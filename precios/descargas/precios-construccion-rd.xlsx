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ame" sheetId="1" state="visible" r:id="rId1"/>
    <sheet name="Catálogo" sheetId="2" state="visible" r:id="rId2"/>
    <sheet name="Comparativo" sheetId="3" state="visible" r:id="rId3"/>
    <sheet name="Presupuesto" sheetId="4" state="visible" r:id="rId4"/>
    <sheet name="Resumen por etapa" sheetId="5" state="visible" r:id="rId5"/>
    <sheet name="Solicitud de cotización" sheetId="6" state="visible" r:id="rId6"/>
    <sheet name="Proveedores" sheetId="7" state="visible" r:id="rId7"/>
    <sheet name="Conversiones" sheetId="8" state="visible" r:id="rId8"/>
  </sheets>
  <definedNames>
    <definedName name="_xlnm._FilterDatabase" localSheetId="1" hidden="1">'Catálogo'!$A$1:$AJ$813</definedName>
    <definedName name="_xlnm._FilterDatabase" localSheetId="2" hidden="1">'Comparativo'!$A$1:$M$525</definedName>
    <definedName name="_xlnm._FilterDatabase" localSheetId="6" hidden="1">'Proveedores'!$A$1:$M$80</definedName>
  </definedNames>
  <calcPr calcId="124519" fullCalcOnLoad="1"/>
</workbook>
</file>

<file path=xl/styles.xml><?xml version="1.0" encoding="utf-8"?>
<styleSheet xmlns="http://schemas.openxmlformats.org/spreadsheetml/2006/main">
  <numFmts count="3">
    <numFmt numFmtId="164" formatCode="#,##0.00;[Red]-#,##0.00;&quot;—&quot;"/>
    <numFmt numFmtId="165" formatCode="#,##0;[Red]-#,##0;&quot;—&quot;"/>
    <numFmt numFmtId="166" formatCode="0.0%;[Red]-0.0%;&quot;—&quot;"/>
  </numFmts>
  <fonts count="8">
    <font>
      <name val="Calibri"/>
      <family val="2"/>
      <color theme="1"/>
      <sz val="11"/>
      <scheme val="minor"/>
    </font>
    <font>
      <name val="Arial"/>
      <b val="1"/>
      <color rgb="001F3864"/>
      <sz val="16"/>
    </font>
    <font>
      <name val="Arial"/>
      <color rgb="00595959"/>
      <sz val="9"/>
    </font>
    <font>
      <name val="Arial"/>
      <b val="1"/>
      <color rgb="001F3864"/>
      <sz val="11"/>
    </font>
    <font>
      <name val="Arial"/>
      <sz val="10"/>
    </font>
    <font>
      <name val="Arial"/>
      <b val="1"/>
      <color rgb="00FFFFFF"/>
      <sz val="10"/>
    </font>
    <font>
      <name val="Arial"/>
      <color rgb="000000FF"/>
      <sz val="10"/>
    </font>
    <font>
      <name val="Arial"/>
      <b val="1"/>
      <sz val="10"/>
    </font>
  </fonts>
  <fills count="5">
    <fill>
      <patternFill/>
    </fill>
    <fill>
      <patternFill patternType="gray125"/>
    </fill>
    <fill>
      <patternFill patternType="solid">
        <fgColor rgb="001F3864"/>
      </patternFill>
    </fill>
    <fill>
      <patternFill patternType="solid">
        <fgColor rgb="00FFF2CC"/>
      </patternFill>
    </fill>
    <fill>
      <patternFill patternType="solid">
        <fgColor rgb="00D9E2F3"/>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0" borderId="0" applyAlignment="1" pivotButton="0" quotePrefix="0" xfId="0">
      <alignment vertical="top" wrapText="1"/>
    </xf>
    <xf numFmtId="0" fontId="5" fillId="2" borderId="1" applyAlignment="1" pivotButton="0" quotePrefix="0" xfId="0">
      <alignment vertical="center" wrapText="1"/>
    </xf>
    <xf numFmtId="0" fontId="4" fillId="0" borderId="0" applyAlignment="1" pivotButton="0" quotePrefix="0" xfId="0">
      <alignment vertical="top"/>
    </xf>
    <xf numFmtId="165" fontId="4" fillId="0" borderId="0" applyAlignment="1" pivotButton="0" quotePrefix="0" xfId="0">
      <alignment vertical="top"/>
    </xf>
    <xf numFmtId="164" fontId="4" fillId="0" borderId="0" applyAlignment="1" pivotButton="0" quotePrefix="0" xfId="0">
      <alignment vertical="top"/>
    </xf>
    <xf numFmtId="164" fontId="4" fillId="0" borderId="0" pivotButton="0" quotePrefix="0" xfId="0"/>
    <xf numFmtId="166" fontId="4" fillId="0" borderId="0" pivotButton="0" quotePrefix="0" xfId="0"/>
    <xf numFmtId="165" fontId="4" fillId="0" borderId="0" pivotButton="0" quotePrefix="0" xfId="0"/>
    <xf numFmtId="0" fontId="2" fillId="0" borderId="0" applyAlignment="1" pivotButton="0" quotePrefix="0" xfId="0">
      <alignment vertical="top" wrapText="1"/>
    </xf>
    <xf numFmtId="0" fontId="6" fillId="3" borderId="1" pivotButton="0" quotePrefix="0" xfId="0"/>
    <xf numFmtId="4" fontId="6" fillId="3" borderId="1" pivotButton="0" quotePrefix="0" xfId="0"/>
    <xf numFmtId="0" fontId="7" fillId="0" borderId="0" pivotButton="0" quotePrefix="0" xfId="0"/>
    <xf numFmtId="164" fontId="4" fillId="4" borderId="0" pivotButton="0" quotePrefix="0" xfId="0"/>
    <xf numFmtId="166" fontId="6" fillId="3" borderId="1" pivotButton="0" quotePrefix="0" xfId="0"/>
    <xf numFmtId="164" fontId="3" fillId="4" borderId="0" pivotButton="0" quotePrefix="0" xfId="0"/>
    <xf numFmtId="0" fontId="0" fillId="0" borderId="4" pivotButton="0" quotePrefix="0" xfId="0"/>
    <xf numFmtId="0" fontId="0" fillId="0" borderId="5" pivotButton="0" quotePrefix="0" xfId="0"/>
    <xf numFmtId="164"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4"/>
  <sheetViews>
    <sheetView showGridLines="0" workbookViewId="0">
      <selection activeCell="A1" sqref="A1"/>
    </sheetView>
  </sheetViews>
  <sheetFormatPr baseColWidth="8" defaultRowHeight="15"/>
  <cols>
    <col width="3" customWidth="1" min="1" max="1"/>
    <col width="30" customWidth="1" min="2" max="2"/>
    <col width="90" customWidth="1" min="3" max="3"/>
  </cols>
  <sheetData>
    <row r="2">
      <c r="B2" s="1" t="inlineStr">
        <is>
          <t>Precios de construcción · República Dominicana</t>
        </is>
      </c>
    </row>
    <row r="3">
      <c r="B3" s="2" t="inlineStr">
        <is>
          <t>Ingenieros Liberato &amp; Asociados · https://precios.ingsliberato.com</t>
        </is>
      </c>
    </row>
    <row r="6">
      <c r="B6" s="3" t="inlineStr">
        <is>
          <t>Generado</t>
        </is>
      </c>
      <c r="C6" s="4" t="inlineStr">
        <is>
          <t>2026-09-09</t>
        </is>
      </c>
    </row>
    <row r="7">
      <c r="B7" s="3" t="inlineStr">
        <is>
          <t>Ítems en el catálogo</t>
        </is>
      </c>
      <c r="C7" s="4" t="n">
        <v>812</v>
      </c>
    </row>
    <row r="8">
      <c r="B8" s="3" t="inlineStr">
        <is>
          <t>Con precio real de un comercio</t>
        </is>
      </c>
      <c r="C8" s="4" t="inlineStr">
        <is>
          <t>522 de 806</t>
        </is>
      </c>
    </row>
    <row r="9">
      <c r="B9" s="3" t="inlineStr">
        <is>
          <t>Con estimación de arranque</t>
        </is>
      </c>
      <c r="C9" s="4" t="n">
        <v>284</v>
      </c>
    </row>
    <row r="10">
      <c r="B10" s="3" t="inlineStr">
        <is>
          <t>Según tarifario oficial (sin monto)</t>
        </is>
      </c>
      <c r="C10" s="4" t="n">
        <v>6</v>
      </c>
    </row>
    <row r="11">
      <c r="B11" s="3" t="inlineStr">
        <is>
          <t>Cotizaciones cargadas</t>
        </is>
      </c>
      <c r="C11" s="4" t="n">
        <v>1681</v>
      </c>
    </row>
    <row r="12">
      <c r="B12" s="3" t="inlineStr">
        <is>
          <t>Comercios con precio publicado</t>
        </is>
      </c>
      <c r="C12" s="4" t="n">
        <v>3</v>
      </c>
    </row>
    <row r="14" ht="42" customHeight="1">
      <c r="B14" s="3" t="inlineStr">
        <is>
          <t>Qué es esto</t>
        </is>
      </c>
      <c r="C14" s="5" t="inlineStr">
        <is>
          <t>Una referencia de mercado, no una oferta. Los precios salen de lo que los propios comercios publican, con su fuente y su fecha en cada fila. Nadie ha cotizado para este archivo y ningún proveedor se ha comprometido con estos montos.</t>
        </is>
      </c>
    </row>
    <row r="16">
      <c r="B16" s="3" t="inlineStr">
        <is>
          <t>Los tres estados</t>
        </is>
      </c>
    </row>
    <row r="17">
      <c r="B17" s="4" t="inlineStr">
        <is>
          <t>Verificado</t>
        </is>
      </c>
      <c r="C17" s="5" t="inlineStr">
        <is>
          <t>Respaldado por el precio que el comercio publica, con fuente y fecha.</t>
        </is>
      </c>
    </row>
    <row r="18">
      <c r="B18" s="4" t="inlineStr">
        <is>
          <t>Estimado</t>
        </is>
      </c>
      <c r="C18" s="5" t="inlineStr">
        <is>
          <t>Estimación nuestra de arranque, mientras se levanta la cotización real.</t>
        </is>
      </c>
    </row>
    <row r="19">
      <c r="B19" s="4" t="inlineStr">
        <is>
          <t>Tarifario oficial</t>
        </is>
      </c>
      <c r="C19" s="5" t="inlineStr">
        <is>
          <t>No lleva monto: se liquida según un tarifario público (licencias, conexiones).</t>
        </is>
      </c>
    </row>
    <row r="21" ht="56" customHeight="1">
      <c r="B21" s="3" t="inlineStr">
        <is>
          <t>Sobre el ITBIS</t>
        </is>
      </c>
      <c r="C21" s="5" t="inlineStr">
        <is>
          <t>Cada ítem dice si su precio lo incluye. Los materiales de mostrador se registran con el 18% incluido, como se muestran en tienda; la mano de obra, los subcontratos y el alquiler de equipo van sin ITBIS. Por eso el presupuesto no aplica un 18% parejo al final: sumarlo a todo sería cobrarlo dos veces sobre los materiales.</t>
        </is>
      </c>
    </row>
    <row r="23">
      <c r="B23" s="3" t="inlineStr">
        <is>
          <t>Las hojas</t>
        </is>
      </c>
    </row>
    <row r="24" ht="26" customHeight="1">
      <c r="B24" s="4" t="inlineStr">
        <is>
          <t>Catálogo</t>
        </is>
      </c>
      <c r="C24" s="5" t="inlineStr">
        <is>
          <t>Los ítems con todos sus campos. Es la hoja de datos contra la que buscan las demás.</t>
        </is>
      </c>
    </row>
    <row r="25" ht="26" customHeight="1">
      <c r="B25" s="4" t="inlineStr">
        <is>
          <t>Comparativo</t>
        </is>
      </c>
      <c r="C25" s="5" t="inlineStr">
        <is>
          <t>Un ítem por fila y una columna por proveedor, con mínimo, mediana, máximo y cuánto se aparta el más caro del más barato.</t>
        </is>
      </c>
    </row>
    <row r="26" ht="26" customHeight="1">
      <c r="B26" s="4" t="inlineStr">
        <is>
          <t>Presupuesto</t>
        </is>
      </c>
      <c r="C26" s="5" t="inlineStr">
        <is>
          <t>Escriba el código y la cantidad en las celdas amarillas; lo demás se calcula solo.</t>
        </is>
      </c>
    </row>
    <row r="27" ht="26" customHeight="1">
      <c r="B27" s="4" t="inlineStr">
        <is>
          <t>Resumen por etapa</t>
        </is>
      </c>
      <c r="C27" s="5" t="inlineStr">
        <is>
          <t>El presupuesto agrupado por etapa de obra.</t>
        </is>
      </c>
    </row>
    <row r="28" ht="26" customHeight="1">
      <c r="B28" s="4" t="inlineStr">
        <is>
          <t>Solicitud de cotización</t>
        </is>
      </c>
      <c r="C28" s="5" t="inlineStr">
        <is>
          <t>Para mandarle a un proveedor: las columnas de precio van vacías y al lado se ve cuánto se aparta de la referencia.</t>
        </is>
      </c>
    </row>
    <row r="29" ht="26" customHeight="1">
      <c r="B29" s="4" t="inlineStr">
        <is>
          <t>Proveedores</t>
        </is>
      </c>
      <c r="C29" s="5" t="inlineStr">
        <is>
          <t>A quién pedirle qué, con su contacto.</t>
        </is>
      </c>
    </row>
    <row r="30" ht="26" customHeight="1">
      <c r="B30" s="4" t="inlineStr">
        <is>
          <t>Conversiones</t>
        </is>
      </c>
      <c r="C30" s="5" t="inlineStr">
        <is>
          <t>Factores de cubicación de uso diario.</t>
        </is>
      </c>
    </row>
    <row r="32">
      <c r="B32" s="3" t="inlineStr">
        <is>
          <t>Actualización</t>
        </is>
      </c>
      <c r="C32" s="5" t="inlineStr">
        <is>
          <t>El sitio se actualiza antes que este archivo. Ante cualquier duda, la versión buena está en https://precios.ingsliberato.com.</t>
        </is>
      </c>
    </row>
    <row r="34">
      <c r="C34" s="3" t="inlineStr">
        <is>
          <t>Realizamos presupuestos para proyectos y licitaciones. ingsliberato.com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813"/>
  <sheetViews>
    <sheetView workbookViewId="0">
      <pane ySplit="1" topLeftCell="A2" activePane="bottomLeft" state="frozen"/>
      <selection pane="bottomLeft" activeCell="A1" sqref="A1"/>
    </sheetView>
  </sheetViews>
  <sheetFormatPr baseColWidth="8" defaultRowHeight="15"/>
  <cols>
    <col width="13" customWidth="1" min="1" max="1"/>
    <col width="16" customWidth="1" min="2" max="2"/>
    <col width="26" customWidth="1" min="3" max="3"/>
    <col width="46" customWidth="1" min="4" max="4"/>
    <col width="40" customWidth="1" min="5" max="5"/>
    <col width="26" customWidth="1" min="6" max="6"/>
    <col width="26" customWidth="1" min="7" max="7"/>
    <col width="12" customWidth="1" min="8" max="8"/>
    <col width="20" customWidth="1" min="9" max="9"/>
    <col width="11" customWidth="1" min="10" max="10"/>
    <col width="11" customWidth="1" min="11" max="11"/>
    <col width="13" customWidth="1" min="12" max="12"/>
    <col width="11" customWidth="1" min="13" max="13"/>
    <col width="15" customWidth="1" min="14" max="14"/>
    <col width="13" customWidth="1" min="15" max="15"/>
    <col width="13" customWidth="1" min="16" max="16"/>
    <col width="11" customWidth="1" min="17" max="17"/>
    <col width="15" customWidth="1" min="18" max="18"/>
    <col width="11" customWidth="1" min="19" max="19"/>
    <col width="42"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30" customWidth="1" min="36" max="36"/>
  </cols>
  <sheetData>
    <row r="1" ht="30" customHeight="1">
      <c r="A1" s="6" t="inlineStr">
        <is>
          <t>Código</t>
        </is>
      </c>
      <c r="B1" s="6" t="inlineStr">
        <is>
          <t>Grupo</t>
        </is>
      </c>
      <c r="C1" s="6" t="inlineStr">
        <is>
          <t>Categoría</t>
        </is>
      </c>
      <c r="D1" s="6" t="inlineStr">
        <is>
          <t>Ítem</t>
        </is>
      </c>
      <c r="E1" s="6" t="inlineStr">
        <is>
          <t>Especificación</t>
        </is>
      </c>
      <c r="F1" s="6" t="inlineStr">
        <is>
          <t>Alcance</t>
        </is>
      </c>
      <c r="G1" s="6" t="inlineStr">
        <is>
          <t>Alias de mercado</t>
        </is>
      </c>
      <c r="H1" s="6" t="inlineStr">
        <is>
          <t>Unidad</t>
        </is>
      </c>
      <c r="I1" s="6" t="inlineStr">
        <is>
          <t>Etapa de obra</t>
        </is>
      </c>
      <c r="J1" s="6" t="inlineStr">
        <is>
          <t>Gama</t>
        </is>
      </c>
      <c r="K1" s="6" t="inlineStr">
        <is>
          <t>Origen</t>
        </is>
      </c>
      <c r="L1" s="6" t="inlineStr">
        <is>
          <t>Estado</t>
        </is>
      </c>
      <c r="M1" s="6" t="inlineStr">
        <is>
          <t>Cotizaciones</t>
        </is>
      </c>
      <c r="N1" s="6" t="inlineStr">
        <is>
          <t>Precio de referencia (RD$)</t>
        </is>
      </c>
      <c r="O1" s="6" t="inlineStr">
        <is>
          <t>Mínimo (RD$)</t>
        </is>
      </c>
      <c r="P1" s="6" t="inlineStr">
        <is>
          <t>Máximo (RD$)</t>
        </is>
      </c>
      <c r="Q1" s="6" t="inlineStr">
        <is>
          <t>Incluye ITBIS</t>
        </is>
      </c>
      <c r="R1" s="6" t="inlineStr">
        <is>
          <t>Precio sin ITBIS (RD$)</t>
        </is>
      </c>
      <c r="S1" s="6" t="inlineStr">
        <is>
          <t>Fecha</t>
        </is>
      </c>
      <c r="T1" s="6" t="inlineStr">
        <is>
          <t>Fuente</t>
        </is>
      </c>
      <c r="U1" s="6" t="inlineStr">
        <is>
          <t>Forma</t>
        </is>
      </c>
      <c r="V1" s="6" t="inlineStr">
        <is>
          <t>Largo (cm)</t>
        </is>
      </c>
      <c r="W1" s="6" t="inlineStr">
        <is>
          <t>Largo (mm)</t>
        </is>
      </c>
      <c r="X1" s="6" t="inlineStr">
        <is>
          <t>Ancho (mm)</t>
        </is>
      </c>
      <c r="Y1" s="6" t="inlineStr">
        <is>
          <t>Alto (mm)</t>
        </is>
      </c>
      <c r="Z1" s="6" t="inlineStr">
        <is>
          <t>Formato</t>
        </is>
      </c>
      <c r="AA1" s="6" t="inlineStr">
        <is>
          <t>Resolución (MP)</t>
        </is>
      </c>
      <c r="AB1" s="6" t="inlineStr">
        <is>
          <t>Lente (mm)</t>
        </is>
      </c>
      <c r="AC1" s="6" t="inlineStr">
        <is>
          <t>Tecnología</t>
        </is>
      </c>
      <c r="AD1" s="6" t="inlineStr">
        <is>
          <t>Canales</t>
        </is>
      </c>
      <c r="AE1" s="6" t="inlineStr">
        <is>
          <t>Categoría de cable</t>
        </is>
      </c>
      <c r="AF1" s="6" t="inlineStr">
        <is>
          <t>Capacidad (gal)</t>
        </is>
      </c>
      <c r="AG1" s="6" t="inlineStr">
        <is>
          <t>Peso (lb)</t>
        </is>
      </c>
      <c r="AH1" s="6" t="inlineStr">
        <is>
          <t>Tamaño</t>
        </is>
      </c>
      <c r="AI1" s="6" t="inlineStr">
        <is>
          <t>Uso</t>
        </is>
      </c>
      <c r="AJ1" s="6" t="inlineStr">
        <is>
          <t>Otras medidas</t>
        </is>
      </c>
    </row>
    <row r="2">
      <c r="A2" s="7" t="inlineStr">
        <is>
          <t>MAT-01-001</t>
        </is>
      </c>
      <c r="B2" s="7" t="inlineStr">
        <is>
          <t>Materiales</t>
        </is>
      </c>
      <c r="C2" s="7" t="inlineStr">
        <is>
          <t>Agregados y áridos</t>
        </is>
      </c>
      <c r="D2" s="5" t="inlineStr">
        <is>
          <t>Arena lavada</t>
        </is>
      </c>
      <c r="E2" s="5" t="inlineStr">
        <is>
          <t>Lavada de río, para hormigón y pañete</t>
        </is>
      </c>
      <c r="F2" s="5" t="inlineStr"/>
      <c r="G2" s="5" t="inlineStr"/>
      <c r="H2" s="7" t="inlineStr">
        <is>
          <t>m³</t>
        </is>
      </c>
      <c r="I2" s="7" t="inlineStr">
        <is>
          <t>Estructura</t>
        </is>
      </c>
      <c r="J2" s="7" t="inlineStr">
        <is>
          <t>estandar</t>
        </is>
      </c>
      <c r="K2" s="7" t="inlineStr">
        <is>
          <t>nacional</t>
        </is>
      </c>
      <c r="L2" s="7" t="inlineStr">
        <is>
          <t>Estimado</t>
        </is>
      </c>
      <c r="M2" s="8" t="n">
        <v>0</v>
      </c>
      <c r="N2" s="9" t="n">
        <v>1150</v>
      </c>
      <c r="O2" s="9" t="n">
        <v>950</v>
      </c>
      <c r="P2" s="9" t="n">
        <v>1450</v>
      </c>
      <c r="Q2" s="7" t="inlineStr">
        <is>
          <t>Sí</t>
        </is>
      </c>
      <c r="R2" s="9">
        <f>IF(N2="","",IF(Q2="Sí",ROUND(N2/1.18,2),N2))</f>
        <v/>
      </c>
      <c r="S2" s="7" t="inlineStr">
        <is>
          <t>2026-09</t>
        </is>
      </c>
      <c r="T2" s="5" t="inlineStr">
        <is>
          <t>Estimación de arranque — pendiente de cotización</t>
        </is>
      </c>
    </row>
    <row r="3">
      <c r="A3" s="7" t="inlineStr">
        <is>
          <t>MAT-01-002</t>
        </is>
      </c>
      <c r="B3" s="7" t="inlineStr">
        <is>
          <t>Materiales</t>
        </is>
      </c>
      <c r="C3" s="7" t="inlineStr">
        <is>
          <t>Agregados y áridos</t>
        </is>
      </c>
      <c r="D3" s="5" t="inlineStr">
        <is>
          <t>Arena gruesa (itabo)</t>
        </is>
      </c>
      <c r="E3" s="5" t="inlineStr">
        <is>
          <t>Para mezclas de mampostería</t>
        </is>
      </c>
      <c r="F3" s="5" t="inlineStr"/>
      <c r="G3" s="5" t="inlineStr"/>
      <c r="H3" s="7" t="inlineStr">
        <is>
          <t>m³</t>
        </is>
      </c>
      <c r="I3" s="7" t="inlineStr">
        <is>
          <t>Mampostería</t>
        </is>
      </c>
      <c r="J3" s="7" t="inlineStr">
        <is>
          <t>economica</t>
        </is>
      </c>
      <c r="K3" s="7" t="inlineStr">
        <is>
          <t>nacional</t>
        </is>
      </c>
      <c r="L3" s="7" t="inlineStr">
        <is>
          <t>Estimado</t>
        </is>
      </c>
      <c r="M3" s="8" t="n">
        <v>0</v>
      </c>
      <c r="N3" s="9" t="n">
        <v>980</v>
      </c>
      <c r="O3" s="9" t="n">
        <v>800</v>
      </c>
      <c r="P3" s="9" t="n">
        <v>1250</v>
      </c>
      <c r="Q3" s="7" t="inlineStr">
        <is>
          <t>Sí</t>
        </is>
      </c>
      <c r="R3" s="9">
        <f>IF(N3="","",IF(Q3="Sí",ROUND(N3/1.18,2),N3))</f>
        <v/>
      </c>
      <c r="S3" s="7" t="inlineStr">
        <is>
          <t>2026-09</t>
        </is>
      </c>
      <c r="T3" s="5" t="inlineStr">
        <is>
          <t>Estimación de arranque — pendiente de cotización</t>
        </is>
      </c>
    </row>
    <row r="4">
      <c r="A4" s="7" t="inlineStr">
        <is>
          <t>MAT-01-003</t>
        </is>
      </c>
      <c r="B4" s="7" t="inlineStr">
        <is>
          <t>Materiales</t>
        </is>
      </c>
      <c r="C4" s="7" t="inlineStr">
        <is>
          <t>Agregados y áridos</t>
        </is>
      </c>
      <c r="D4" s="5" t="inlineStr">
        <is>
          <t>Arena fina</t>
        </is>
      </c>
      <c r="E4" s="5" t="inlineStr">
        <is>
          <t>Para terminación y fino</t>
        </is>
      </c>
      <c r="F4" s="5" t="inlineStr"/>
      <c r="G4" s="5" t="inlineStr"/>
      <c r="H4" s="7" t="inlineStr">
        <is>
          <t>m³</t>
        </is>
      </c>
      <c r="I4" s="7" t="inlineStr">
        <is>
          <t>Terminación de superficies</t>
        </is>
      </c>
      <c r="J4" s="7" t="inlineStr">
        <is>
          <t>estandar</t>
        </is>
      </c>
      <c r="K4" s="7" t="inlineStr">
        <is>
          <t>nacional</t>
        </is>
      </c>
      <c r="L4" s="7" t="inlineStr">
        <is>
          <t>Estimado</t>
        </is>
      </c>
      <c r="M4" s="8" t="n">
        <v>0</v>
      </c>
      <c r="N4" s="9" t="n">
        <v>1280</v>
      </c>
      <c r="O4" s="9" t="n">
        <v>1050</v>
      </c>
      <c r="P4" s="9" t="n">
        <v>1600</v>
      </c>
      <c r="Q4" s="7" t="inlineStr">
        <is>
          <t>Sí</t>
        </is>
      </c>
      <c r="R4" s="9">
        <f>IF(N4="","",IF(Q4="Sí",ROUND(N4/1.18,2),N4))</f>
        <v/>
      </c>
      <c r="S4" s="7" t="inlineStr">
        <is>
          <t>2026-09</t>
        </is>
      </c>
      <c r="T4" s="5" t="inlineStr">
        <is>
          <t>Estimación de arranque — pendiente de cotización</t>
        </is>
      </c>
    </row>
    <row r="5">
      <c r="A5" s="7" t="inlineStr">
        <is>
          <t>MAT-01-004</t>
        </is>
      </c>
      <c r="B5" s="7" t="inlineStr">
        <is>
          <t>Materiales</t>
        </is>
      </c>
      <c r="C5" s="7" t="inlineStr">
        <is>
          <t>Agregados y áridos</t>
        </is>
      </c>
      <c r="D5" s="5" t="inlineStr">
        <is>
          <t>Grava 3/4"</t>
        </is>
      </c>
      <c r="E5" s="5" t="inlineStr">
        <is>
          <t>Triturada, ASTM C-33</t>
        </is>
      </c>
      <c r="F5" s="5" t="inlineStr"/>
      <c r="G5" s="5" t="inlineStr"/>
      <c r="H5" s="7" t="inlineStr">
        <is>
          <t>m³</t>
        </is>
      </c>
      <c r="I5" s="7" t="inlineStr">
        <is>
          <t>Estructura</t>
        </is>
      </c>
      <c r="J5" s="7" t="inlineStr">
        <is>
          <t>estandar</t>
        </is>
      </c>
      <c r="K5" s="7" t="inlineStr">
        <is>
          <t>nacional</t>
        </is>
      </c>
      <c r="L5" s="7" t="inlineStr">
        <is>
          <t>Estimado</t>
        </is>
      </c>
      <c r="M5" s="8" t="n">
        <v>0</v>
      </c>
      <c r="N5" s="9" t="n">
        <v>1320</v>
      </c>
      <c r="O5" s="9" t="n">
        <v>1100</v>
      </c>
      <c r="P5" s="9" t="n">
        <v>1650</v>
      </c>
      <c r="Q5" s="7" t="inlineStr">
        <is>
          <t>Sí</t>
        </is>
      </c>
      <c r="R5" s="9">
        <f>IF(N5="","",IF(Q5="Sí",ROUND(N5/1.18,2),N5))</f>
        <v/>
      </c>
      <c r="S5" s="7" t="inlineStr">
        <is>
          <t>2026-09</t>
        </is>
      </c>
      <c r="T5" s="5" t="inlineStr">
        <is>
          <t>Estimación de arranque — pendiente de cotización</t>
        </is>
      </c>
    </row>
    <row r="6">
      <c r="A6" s="7" t="inlineStr">
        <is>
          <t>MAT-01-005</t>
        </is>
      </c>
      <c r="B6" s="7" t="inlineStr">
        <is>
          <t>Materiales</t>
        </is>
      </c>
      <c r="C6" s="7" t="inlineStr">
        <is>
          <t>Agregados y áridos</t>
        </is>
      </c>
      <c r="D6" s="5" t="inlineStr">
        <is>
          <t>Gravilla 3/8"</t>
        </is>
      </c>
      <c r="E6" s="5" t="inlineStr">
        <is>
          <t>Triturada, para losas finas</t>
        </is>
      </c>
      <c r="F6" s="5" t="inlineStr"/>
      <c r="G6" s="5" t="inlineStr"/>
      <c r="H6" s="7" t="inlineStr">
        <is>
          <t>m³</t>
        </is>
      </c>
      <c r="I6" s="7" t="inlineStr">
        <is>
          <t>Estructura</t>
        </is>
      </c>
      <c r="J6" s="7" t="inlineStr">
        <is>
          <t>estandar</t>
        </is>
      </c>
      <c r="K6" s="7" t="inlineStr">
        <is>
          <t>nacional</t>
        </is>
      </c>
      <c r="L6" s="7" t="inlineStr">
        <is>
          <t>Estimado</t>
        </is>
      </c>
      <c r="M6" s="8" t="n">
        <v>0</v>
      </c>
      <c r="N6" s="9" t="n">
        <v>1380</v>
      </c>
      <c r="O6" s="9" t="n">
        <v>1150</v>
      </c>
      <c r="P6" s="9" t="n">
        <v>1700</v>
      </c>
      <c r="Q6" s="7" t="inlineStr">
        <is>
          <t>Sí</t>
        </is>
      </c>
      <c r="R6" s="9">
        <f>IF(N6="","",IF(Q6="Sí",ROUND(N6/1.18,2),N6))</f>
        <v/>
      </c>
      <c r="S6" s="7" t="inlineStr">
        <is>
          <t>2026-09</t>
        </is>
      </c>
      <c r="T6" s="5" t="inlineStr">
        <is>
          <t>Estimación de arranque — pendiente de cotización</t>
        </is>
      </c>
    </row>
    <row r="7">
      <c r="A7" s="7" t="inlineStr">
        <is>
          <t>MAT-01-006</t>
        </is>
      </c>
      <c r="B7" s="7" t="inlineStr">
        <is>
          <t>Materiales</t>
        </is>
      </c>
      <c r="C7" s="7" t="inlineStr">
        <is>
          <t>Agregados y áridos</t>
        </is>
      </c>
      <c r="D7" s="5" t="inlineStr">
        <is>
          <t>Caliche / material de préstamo</t>
        </is>
      </c>
      <c r="E7" s="5" t="inlineStr">
        <is>
          <t>Relleno compactable</t>
        </is>
      </c>
      <c r="F7" s="5" t="inlineStr"/>
      <c r="G7" s="5" t="inlineStr"/>
      <c r="H7" s="7" t="inlineStr">
        <is>
          <t>m³</t>
        </is>
      </c>
      <c r="I7" s="7" t="inlineStr">
        <is>
          <t>Movimiento de tierra</t>
        </is>
      </c>
      <c r="J7" s="7" t="inlineStr">
        <is>
          <t>economica</t>
        </is>
      </c>
      <c r="K7" s="7" t="inlineStr">
        <is>
          <t>nacional</t>
        </is>
      </c>
      <c r="L7" s="7" t="inlineStr">
        <is>
          <t>Estimado</t>
        </is>
      </c>
      <c r="M7" s="8" t="n">
        <v>0</v>
      </c>
      <c r="N7" s="9" t="n">
        <v>650</v>
      </c>
      <c r="O7" s="9" t="n">
        <v>500</v>
      </c>
      <c r="P7" s="9" t="n">
        <v>850</v>
      </c>
      <c r="Q7" s="7" t="inlineStr">
        <is>
          <t>Sí</t>
        </is>
      </c>
      <c r="R7" s="9">
        <f>IF(N7="","",IF(Q7="Sí",ROUND(N7/1.18,2),N7))</f>
        <v/>
      </c>
      <c r="S7" s="7" t="inlineStr">
        <is>
          <t>2026-09</t>
        </is>
      </c>
      <c r="T7" s="5" t="inlineStr">
        <is>
          <t>Estimación de arranque — pendiente de cotización</t>
        </is>
      </c>
    </row>
    <row r="8">
      <c r="A8" s="7" t="inlineStr">
        <is>
          <t>MAT-01-007</t>
        </is>
      </c>
      <c r="B8" s="7" t="inlineStr">
        <is>
          <t>Materiales</t>
        </is>
      </c>
      <c r="C8" s="7" t="inlineStr">
        <is>
          <t>Agregados y áridos</t>
        </is>
      </c>
      <c r="D8" s="5" t="inlineStr">
        <is>
          <t>Piedra bola para mampostería</t>
        </is>
      </c>
      <c r="E8" s="5" t="inlineStr">
        <is>
          <t>Muros de contención y cimientos</t>
        </is>
      </c>
      <c r="F8" s="5" t="inlineStr"/>
      <c r="G8" s="5" t="inlineStr"/>
      <c r="H8" s="7" t="inlineStr">
        <is>
          <t>m³</t>
        </is>
      </c>
      <c r="I8" s="7" t="inlineStr">
        <is>
          <t>Cimentación</t>
        </is>
      </c>
      <c r="J8" s="7" t="inlineStr">
        <is>
          <t>estandar</t>
        </is>
      </c>
      <c r="K8" s="7" t="inlineStr">
        <is>
          <t>nacional</t>
        </is>
      </c>
      <c r="L8" s="7" t="inlineStr">
        <is>
          <t>Estimado</t>
        </is>
      </c>
      <c r="M8" s="8" t="n">
        <v>0</v>
      </c>
      <c r="N8" s="9" t="n">
        <v>1450</v>
      </c>
      <c r="O8" s="9" t="n">
        <v>1200</v>
      </c>
      <c r="P8" s="9" t="n">
        <v>1800</v>
      </c>
      <c r="Q8" s="7" t="inlineStr">
        <is>
          <t>Sí</t>
        </is>
      </c>
      <c r="R8" s="9">
        <f>IF(N8="","",IF(Q8="Sí",ROUND(N8/1.18,2),N8))</f>
        <v/>
      </c>
      <c r="S8" s="7" t="inlineStr">
        <is>
          <t>2026-09</t>
        </is>
      </c>
      <c r="T8" s="5" t="inlineStr">
        <is>
          <t>Estimación de arranque — pendiente de cotización</t>
        </is>
      </c>
    </row>
    <row r="9">
      <c r="A9" s="7" t="inlineStr">
        <is>
          <t>MAT-01-008</t>
        </is>
      </c>
      <c r="B9" s="7" t="inlineStr">
        <is>
          <t>Materiales</t>
        </is>
      </c>
      <c r="C9" s="7" t="inlineStr">
        <is>
          <t>Agregados y áridos</t>
        </is>
      </c>
      <c r="D9" s="5" t="inlineStr">
        <is>
          <t>Polvo de piedra</t>
        </is>
      </c>
      <c r="E9" s="5" t="inlineStr">
        <is>
          <t>Base y sub-base</t>
        </is>
      </c>
      <c r="F9" s="5" t="inlineStr"/>
      <c r="G9" s="5" t="inlineStr"/>
      <c r="H9" s="7" t="inlineStr">
        <is>
          <t>m³</t>
        </is>
      </c>
      <c r="I9" s="7" t="inlineStr">
        <is>
          <t>Movimiento de tierra</t>
        </is>
      </c>
      <c r="J9" s="7" t="inlineStr">
        <is>
          <t>estandar</t>
        </is>
      </c>
      <c r="K9" s="7" t="inlineStr">
        <is>
          <t>nacional</t>
        </is>
      </c>
      <c r="L9" s="7" t="inlineStr">
        <is>
          <t>Estimado</t>
        </is>
      </c>
      <c r="M9" s="8" t="n">
        <v>0</v>
      </c>
      <c r="N9" s="9" t="n">
        <v>1080</v>
      </c>
      <c r="O9" s="9" t="n">
        <v>900</v>
      </c>
      <c r="P9" s="9" t="n">
        <v>1350</v>
      </c>
      <c r="Q9" s="7" t="inlineStr">
        <is>
          <t>Sí</t>
        </is>
      </c>
      <c r="R9" s="9">
        <f>IF(N9="","",IF(Q9="Sí",ROUND(N9/1.18,2),N9))</f>
        <v/>
      </c>
      <c r="S9" s="7" t="inlineStr">
        <is>
          <t>2026-09</t>
        </is>
      </c>
      <c r="T9" s="5" t="inlineStr">
        <is>
          <t>Estimación de arranque — pendiente de cotización</t>
        </is>
      </c>
    </row>
    <row r="10">
      <c r="A10" s="7" t="inlineStr">
        <is>
          <t>MAT-01-009</t>
        </is>
      </c>
      <c r="B10" s="7" t="inlineStr">
        <is>
          <t>Materiales</t>
        </is>
      </c>
      <c r="C10" s="7" t="inlineStr">
        <is>
          <t>Agregados y áridos</t>
        </is>
      </c>
      <c r="D10" s="5" t="inlineStr">
        <is>
          <t>Arena fina de pañete</t>
        </is>
      </c>
      <c r="E10" s="5" t="inlineStr">
        <is>
          <t>Arena azul cernida para pañete y fino</t>
        </is>
      </c>
      <c r="F10" s="5" t="inlineStr"/>
      <c r="G10" s="5" t="inlineStr">
        <is>
          <t>arena azul</t>
        </is>
      </c>
      <c r="H10" s="7" t="inlineStr">
        <is>
          <t>m³</t>
        </is>
      </c>
      <c r="I10" s="7" t="inlineStr">
        <is>
          <t>Terminación de superficies</t>
        </is>
      </c>
      <c r="J10" s="7" t="inlineStr">
        <is>
          <t>estandar</t>
        </is>
      </c>
      <c r="K10" s="7" t="inlineStr">
        <is>
          <t>nacional</t>
        </is>
      </c>
      <c r="L10" s="7" t="inlineStr">
        <is>
          <t>Estimado</t>
        </is>
      </c>
      <c r="M10" s="8" t="n">
        <v>0</v>
      </c>
      <c r="N10" s="9" t="n">
        <v>1320</v>
      </c>
      <c r="O10" s="9" t="n">
        <v>1080</v>
      </c>
      <c r="P10" s="9" t="n">
        <v>1650</v>
      </c>
      <c r="Q10" s="7" t="inlineStr">
        <is>
          <t>Sí</t>
        </is>
      </c>
      <c r="R10" s="9">
        <f>IF(N10="","",IF(Q10="Sí",ROUND(N10/1.18,2),N10))</f>
        <v/>
      </c>
      <c r="S10" s="7" t="inlineStr">
        <is>
          <t>2026-09</t>
        </is>
      </c>
      <c r="T10" s="5" t="inlineStr">
        <is>
          <t>Estimación de arranque — pendiente de cotización</t>
        </is>
      </c>
    </row>
    <row r="11">
      <c r="A11" s="7" t="inlineStr">
        <is>
          <t>MAT-01-010</t>
        </is>
      </c>
      <c r="B11" s="7" t="inlineStr">
        <is>
          <t>Materiales</t>
        </is>
      </c>
      <c r="C11" s="7" t="inlineStr">
        <is>
          <t>Agregados y áridos</t>
        </is>
      </c>
      <c r="D11" s="5" t="inlineStr">
        <is>
          <t>Arena triturada lavada</t>
        </is>
      </c>
      <c r="E11" s="5" t="inlineStr">
        <is>
          <t>De trituración, lavada</t>
        </is>
      </c>
      <c r="F11" s="5" t="inlineStr"/>
      <c r="G11" s="5" t="inlineStr"/>
      <c r="H11" s="7" t="inlineStr">
        <is>
          <t>m³</t>
        </is>
      </c>
      <c r="I11" s="7" t="inlineStr">
        <is>
          <t>Estructura</t>
        </is>
      </c>
      <c r="J11" s="7" t="inlineStr">
        <is>
          <t>estandar</t>
        </is>
      </c>
      <c r="K11" s="7" t="inlineStr">
        <is>
          <t>nacional</t>
        </is>
      </c>
      <c r="L11" s="7" t="inlineStr">
        <is>
          <t>Estimado</t>
        </is>
      </c>
      <c r="M11" s="8" t="n">
        <v>0</v>
      </c>
      <c r="N11" s="9" t="n">
        <v>1250</v>
      </c>
      <c r="O11" s="9" t="n">
        <v>1020</v>
      </c>
      <c r="P11" s="9" t="n">
        <v>1560</v>
      </c>
      <c r="Q11" s="7" t="inlineStr">
        <is>
          <t>Sí</t>
        </is>
      </c>
      <c r="R11" s="9">
        <f>IF(N11="","",IF(Q11="Sí",ROUND(N11/1.18,2),N11))</f>
        <v/>
      </c>
      <c r="S11" s="7" t="inlineStr">
        <is>
          <t>2026-09</t>
        </is>
      </c>
      <c r="T11" s="5" t="inlineStr">
        <is>
          <t>Estimación de arranque — pendiente de cotización</t>
        </is>
      </c>
    </row>
    <row r="12">
      <c r="A12" s="7" t="inlineStr">
        <is>
          <t>MAT-01-011</t>
        </is>
      </c>
      <c r="B12" s="7" t="inlineStr">
        <is>
          <t>Materiales</t>
        </is>
      </c>
      <c r="C12" s="7" t="inlineStr">
        <is>
          <t>Agregados y áridos</t>
        </is>
      </c>
      <c r="D12" s="5" t="inlineStr">
        <is>
          <t>Granzote grueso</t>
        </is>
      </c>
      <c r="E12" s="5" t="inlineStr">
        <is>
          <t>Subproducto de trituración, para relleno y base</t>
        </is>
      </c>
      <c r="F12" s="5" t="inlineStr"/>
      <c r="G12" s="5" t="inlineStr"/>
      <c r="H12" s="7" t="inlineStr">
        <is>
          <t>m³</t>
        </is>
      </c>
      <c r="I12" s="7" t="inlineStr">
        <is>
          <t>Movimiento de tierra</t>
        </is>
      </c>
      <c r="J12" s="7" t="inlineStr">
        <is>
          <t>economica</t>
        </is>
      </c>
      <c r="K12" s="7" t="inlineStr">
        <is>
          <t>nacional</t>
        </is>
      </c>
      <c r="L12" s="7" t="inlineStr">
        <is>
          <t>Estimado</t>
        </is>
      </c>
      <c r="M12" s="8" t="n">
        <v>0</v>
      </c>
      <c r="N12" s="9" t="n">
        <v>820</v>
      </c>
      <c r="O12" s="9" t="n">
        <v>650</v>
      </c>
      <c r="P12" s="9" t="n">
        <v>1050</v>
      </c>
      <c r="Q12" s="7" t="inlineStr">
        <is>
          <t>Sí</t>
        </is>
      </c>
      <c r="R12" s="9">
        <f>IF(N12="","",IF(Q12="Sí",ROUND(N12/1.18,2),N12))</f>
        <v/>
      </c>
      <c r="S12" s="7" t="inlineStr">
        <is>
          <t>2026-09</t>
        </is>
      </c>
      <c r="T12" s="5" t="inlineStr">
        <is>
          <t>Estimación de arranque — pendiente de cotización</t>
        </is>
      </c>
    </row>
    <row r="13">
      <c r="A13" s="7" t="inlineStr">
        <is>
          <t>MAT-01-012</t>
        </is>
      </c>
      <c r="B13" s="7" t="inlineStr">
        <is>
          <t>Materiales</t>
        </is>
      </c>
      <c r="C13" s="7" t="inlineStr">
        <is>
          <t>Agregados y áridos</t>
        </is>
      </c>
      <c r="D13" s="5" t="inlineStr">
        <is>
          <t>Granzote fino o gravillita</t>
        </is>
      </c>
      <c r="E13" s="5" t="inlineStr">
        <is>
          <t>Fracción fina, base y sub-base</t>
        </is>
      </c>
      <c r="F13" s="5" t="inlineStr"/>
      <c r="G13" s="5" t="inlineStr"/>
      <c r="H13" s="7" t="inlineStr">
        <is>
          <t>m³</t>
        </is>
      </c>
      <c r="I13" s="7" t="inlineStr">
        <is>
          <t>Movimiento de tierra</t>
        </is>
      </c>
      <c r="J13" s="7" t="inlineStr">
        <is>
          <t>economica</t>
        </is>
      </c>
      <c r="K13" s="7" t="inlineStr">
        <is>
          <t>nacional</t>
        </is>
      </c>
      <c r="L13" s="7" t="inlineStr">
        <is>
          <t>Estimado</t>
        </is>
      </c>
      <c r="M13" s="8" t="n">
        <v>0</v>
      </c>
      <c r="N13" s="9" t="n">
        <v>880</v>
      </c>
      <c r="O13" s="9" t="n">
        <v>700</v>
      </c>
      <c r="P13" s="9" t="n">
        <v>1120</v>
      </c>
      <c r="Q13" s="7" t="inlineStr">
        <is>
          <t>Sí</t>
        </is>
      </c>
      <c r="R13" s="9">
        <f>IF(N13="","",IF(Q13="Sí",ROUND(N13/1.18,2),N13))</f>
        <v/>
      </c>
      <c r="S13" s="7" t="inlineStr">
        <is>
          <t>2026-09</t>
        </is>
      </c>
      <c r="T13" s="5" t="inlineStr">
        <is>
          <t>Estimación de arranque — pendiente de cotización</t>
        </is>
      </c>
    </row>
    <row r="14">
      <c r="A14" s="7" t="inlineStr">
        <is>
          <t>MAT-01-013</t>
        </is>
      </c>
      <c r="B14" s="7" t="inlineStr">
        <is>
          <t>Materiales</t>
        </is>
      </c>
      <c r="C14" s="7" t="inlineStr">
        <is>
          <t>Agregados y áridos</t>
        </is>
      </c>
      <c r="D14" s="5" t="inlineStr">
        <is>
          <t>Cascajo de mina</t>
        </is>
      </c>
      <c r="E14" s="5" t="inlineStr">
        <is>
          <t>Precio en mina</t>
        </is>
      </c>
      <c r="F14" s="5" t="inlineStr">
        <is>
          <t>En mina, sin transporte</t>
        </is>
      </c>
      <c r="G14" s="5" t="inlineStr"/>
      <c r="H14" s="7" t="inlineStr">
        <is>
          <t>m³</t>
        </is>
      </c>
      <c r="I14" s="7" t="inlineStr">
        <is>
          <t>Movimiento de tierra</t>
        </is>
      </c>
      <c r="J14" s="7" t="inlineStr">
        <is>
          <t>economica</t>
        </is>
      </c>
      <c r="K14" s="7" t="inlineStr">
        <is>
          <t>nacional</t>
        </is>
      </c>
      <c r="L14" s="7" t="inlineStr">
        <is>
          <t>Estimado</t>
        </is>
      </c>
      <c r="M14" s="8" t="n">
        <v>0</v>
      </c>
      <c r="N14" s="9" t="n">
        <v>560</v>
      </c>
      <c r="O14" s="9" t="n">
        <v>420</v>
      </c>
      <c r="P14" s="9" t="n">
        <v>740</v>
      </c>
      <c r="Q14" s="7" t="inlineStr">
        <is>
          <t>Sí</t>
        </is>
      </c>
      <c r="R14" s="9">
        <f>IF(N14="","",IF(Q14="Sí",ROUND(N14/1.18,2),N14))</f>
        <v/>
      </c>
      <c r="S14" s="7" t="inlineStr">
        <is>
          <t>2026-09</t>
        </is>
      </c>
      <c r="T14" s="5" t="inlineStr">
        <is>
          <t>Estimación de arranque — pendiente de cotización</t>
        </is>
      </c>
    </row>
    <row r="15">
      <c r="A15" s="7" t="inlineStr">
        <is>
          <t>MAT-01-014</t>
        </is>
      </c>
      <c r="B15" s="7" t="inlineStr">
        <is>
          <t>Materiales</t>
        </is>
      </c>
      <c r="C15" s="7" t="inlineStr">
        <is>
          <t>Agregados y áridos</t>
        </is>
      </c>
      <c r="D15" s="5" t="inlineStr">
        <is>
          <t>Material de base triturado</t>
        </is>
      </c>
      <c r="E15" s="5" t="inlineStr">
        <is>
          <t>Precio en mina</t>
        </is>
      </c>
      <c r="F15" s="5" t="inlineStr">
        <is>
          <t>En mina, sin transporte</t>
        </is>
      </c>
      <c r="G15" s="5" t="inlineStr"/>
      <c r="H15" s="7" t="inlineStr">
        <is>
          <t>m³</t>
        </is>
      </c>
      <c r="I15" s="7" t="inlineStr">
        <is>
          <t>Movimiento de tierra</t>
        </is>
      </c>
      <c r="J15" s="7" t="inlineStr">
        <is>
          <t>estandar</t>
        </is>
      </c>
      <c r="K15" s="7" t="inlineStr">
        <is>
          <t>nacional</t>
        </is>
      </c>
      <c r="L15" s="7" t="inlineStr">
        <is>
          <t>Estimado</t>
        </is>
      </c>
      <c r="M15" s="8" t="n">
        <v>0</v>
      </c>
      <c r="N15" s="9" t="n">
        <v>980</v>
      </c>
      <c r="O15" s="9" t="n">
        <v>780</v>
      </c>
      <c r="P15" s="9" t="n">
        <v>1250</v>
      </c>
      <c r="Q15" s="7" t="inlineStr">
        <is>
          <t>Sí</t>
        </is>
      </c>
      <c r="R15" s="9">
        <f>IF(N15="","",IF(Q15="Sí",ROUND(N15/1.18,2),N15))</f>
        <v/>
      </c>
      <c r="S15" s="7" t="inlineStr">
        <is>
          <t>2026-09</t>
        </is>
      </c>
      <c r="T15" s="5" t="inlineStr">
        <is>
          <t>Estimación de arranque — pendiente de cotización</t>
        </is>
      </c>
    </row>
    <row r="16">
      <c r="A16" s="7" t="inlineStr">
        <is>
          <t>MAT-01-015</t>
        </is>
      </c>
      <c r="B16" s="7" t="inlineStr">
        <is>
          <t>Materiales</t>
        </is>
      </c>
      <c r="C16" s="7" t="inlineStr">
        <is>
          <t>Agregados y áridos</t>
        </is>
      </c>
      <c r="D16" s="5" t="inlineStr">
        <is>
          <t>Piedra para muro de gaviones</t>
        </is>
      </c>
      <c r="E16" s="5" t="inlineStr">
        <is>
          <t>Precio en mina</t>
        </is>
      </c>
      <c r="F16" s="5" t="inlineStr">
        <is>
          <t>En mina, sin transporte</t>
        </is>
      </c>
      <c r="G16" s="5" t="inlineStr"/>
      <c r="H16" s="7" t="inlineStr">
        <is>
          <t>m³</t>
        </is>
      </c>
      <c r="I16" s="7" t="inlineStr">
        <is>
          <t>Exteriores</t>
        </is>
      </c>
      <c r="J16" s="7" t="inlineStr">
        <is>
          <t>estandar</t>
        </is>
      </c>
      <c r="K16" s="7" t="inlineStr">
        <is>
          <t>nacional</t>
        </is>
      </c>
      <c r="L16" s="7" t="inlineStr">
        <is>
          <t>Estimado</t>
        </is>
      </c>
      <c r="M16" s="8" t="n">
        <v>0</v>
      </c>
      <c r="N16" s="9" t="n">
        <v>1450</v>
      </c>
      <c r="O16" s="9" t="n">
        <v>1150</v>
      </c>
      <c r="P16" s="9" t="n">
        <v>1850</v>
      </c>
      <c r="Q16" s="7" t="inlineStr">
        <is>
          <t>Sí</t>
        </is>
      </c>
      <c r="R16" s="9">
        <f>IF(N16="","",IF(Q16="Sí",ROUND(N16/1.18,2),N16))</f>
        <v/>
      </c>
      <c r="S16" s="7" t="inlineStr">
        <is>
          <t>2026-09</t>
        </is>
      </c>
      <c r="T16" s="5" t="inlineStr">
        <is>
          <t>Estimación de arranque — pendiente de cotización</t>
        </is>
      </c>
    </row>
    <row r="17">
      <c r="A17" s="7" t="inlineStr">
        <is>
          <t>MAT-01-016</t>
        </is>
      </c>
      <c r="B17" s="7" t="inlineStr">
        <is>
          <t>Materiales</t>
        </is>
      </c>
      <c r="C17" s="7" t="inlineStr">
        <is>
          <t>Agregados y áridos</t>
        </is>
      </c>
      <c r="D17" s="5" t="inlineStr">
        <is>
          <t>Agua para hormigones y morteros</t>
        </is>
      </c>
      <c r="E17" s="5" t="inlineStr">
        <is>
          <t>Agua apta para mezcla</t>
        </is>
      </c>
      <c r="F17" s="5" t="inlineStr"/>
      <c r="G17" s="5" t="inlineStr"/>
      <c r="H17" s="7" t="inlineStr">
        <is>
          <t>galón</t>
        </is>
      </c>
      <c r="I17" s="7" t="inlineStr">
        <is>
          <t>Estructura</t>
        </is>
      </c>
      <c r="J17" s="7" t="inlineStr">
        <is>
          <t>estandar</t>
        </is>
      </c>
      <c r="K17" s="7" t="inlineStr">
        <is>
          <t>nacional</t>
        </is>
      </c>
      <c r="L17" s="7" t="inlineStr">
        <is>
          <t>Estimado</t>
        </is>
      </c>
      <c r="M17" s="8" t="n">
        <v>0</v>
      </c>
      <c r="N17" s="9" t="n">
        <v>3.5</v>
      </c>
      <c r="O17" s="9" t="n">
        <v>2.5</v>
      </c>
      <c r="P17" s="9" t="n">
        <v>5</v>
      </c>
      <c r="Q17" s="7" t="inlineStr">
        <is>
          <t>Sí</t>
        </is>
      </c>
      <c r="R17" s="9">
        <f>IF(N17="","",IF(Q17="Sí",ROUND(N17/1.18,2),N17))</f>
        <v/>
      </c>
      <c r="S17" s="7" t="inlineStr">
        <is>
          <t>2026-09</t>
        </is>
      </c>
      <c r="T17" s="5" t="inlineStr">
        <is>
          <t>Estimación de arranque — pendiente de cotización</t>
        </is>
      </c>
    </row>
    <row r="18">
      <c r="A18" s="7" t="inlineStr">
        <is>
          <t>MAT-01-017</t>
        </is>
      </c>
      <c r="B18" s="7" t="inlineStr">
        <is>
          <t>Materiales</t>
        </is>
      </c>
      <c r="C18" s="7" t="inlineStr">
        <is>
          <t>Agregados y áridos</t>
        </is>
      </c>
      <c r="D18" s="5" t="inlineStr">
        <is>
          <t>Camión de agua de 1,200 galones</t>
        </is>
      </c>
      <c r="E18" s="5" t="inlineStr">
        <is>
          <t>Suministro de agua a obra</t>
        </is>
      </c>
      <c r="F18" s="5" t="inlineStr">
        <is>
          <t>Puesto en obra</t>
        </is>
      </c>
      <c r="G18" s="5" t="inlineStr"/>
      <c r="H18" s="7" t="inlineStr">
        <is>
          <t>unidad</t>
        </is>
      </c>
      <c r="I18" s="7" t="inlineStr">
        <is>
          <t>Preliminares</t>
        </is>
      </c>
      <c r="J18" s="7" t="inlineStr">
        <is>
          <t>estandar</t>
        </is>
      </c>
      <c r="K18" s="7" t="inlineStr">
        <is>
          <t>nacional</t>
        </is>
      </c>
      <c r="L18" s="7" t="inlineStr">
        <is>
          <t>Estimado</t>
        </is>
      </c>
      <c r="M18" s="8" t="n">
        <v>0</v>
      </c>
      <c r="N18" s="9" t="n">
        <v>4800</v>
      </c>
      <c r="O18" s="9" t="n">
        <v>3600</v>
      </c>
      <c r="P18" s="9" t="n">
        <v>6500</v>
      </c>
      <c r="Q18" s="7" t="inlineStr">
        <is>
          <t>Sí</t>
        </is>
      </c>
      <c r="R18" s="9">
        <f>IF(N18="","",IF(Q18="Sí",ROUND(N18/1.18,2),N18))</f>
        <v/>
      </c>
      <c r="S18" s="7" t="inlineStr">
        <is>
          <t>2026-09</t>
        </is>
      </c>
      <c r="T18" s="5" t="inlineStr">
        <is>
          <t>Estimación de arranque — pendiente de cotización</t>
        </is>
      </c>
    </row>
    <row r="19">
      <c r="A19" s="7" t="inlineStr">
        <is>
          <t>MAT-01-018</t>
        </is>
      </c>
      <c r="B19" s="7" t="inlineStr">
        <is>
          <t>Materiales</t>
        </is>
      </c>
      <c r="C19" s="7" t="inlineStr">
        <is>
          <t>Agregados y áridos</t>
        </is>
      </c>
      <c r="D19" s="5" t="inlineStr">
        <is>
          <t>Viaje de arena lavada, 16 m³</t>
        </is>
      </c>
      <c r="E19" s="5" t="inlineStr">
        <is>
          <t>Incluye transporte en volquete</t>
        </is>
      </c>
      <c r="F19" s="5" t="inlineStr"/>
      <c r="G19" s="5" t="inlineStr"/>
      <c r="H19" s="7" t="inlineStr">
        <is>
          <t>viaje</t>
        </is>
      </c>
      <c r="I19" s="7" t="inlineStr">
        <is>
          <t>Estructura</t>
        </is>
      </c>
      <c r="J19" s="7" t="inlineStr">
        <is>
          <t>estandar</t>
        </is>
      </c>
      <c r="K19" s="7" t="inlineStr">
        <is>
          <t>nacional</t>
        </is>
      </c>
      <c r="L19" s="7" t="inlineStr">
        <is>
          <t>Estimado</t>
        </is>
      </c>
      <c r="M19" s="8" t="n">
        <v>0</v>
      </c>
      <c r="N19" s="9" t="n">
        <v>17500</v>
      </c>
      <c r="O19" s="9" t="n">
        <v>14500</v>
      </c>
      <c r="P19" s="9" t="n">
        <v>21000</v>
      </c>
      <c r="Q19" s="7" t="inlineStr">
        <is>
          <t>Sí</t>
        </is>
      </c>
      <c r="R19" s="9">
        <f>IF(N19="","",IF(Q19="Sí",ROUND(N19/1.18,2),N19))</f>
        <v/>
      </c>
      <c r="S19" s="7" t="inlineStr">
        <is>
          <t>2026-09</t>
        </is>
      </c>
      <c r="T19" s="5" t="inlineStr">
        <is>
          <t>Estimación de arranque — pendiente de cotización</t>
        </is>
      </c>
    </row>
    <row r="20">
      <c r="A20" s="7" t="inlineStr">
        <is>
          <t>MAT-01-019</t>
        </is>
      </c>
      <c r="B20" s="7" t="inlineStr">
        <is>
          <t>Materiales</t>
        </is>
      </c>
      <c r="C20" s="7" t="inlineStr">
        <is>
          <t>Agregados y áridos</t>
        </is>
      </c>
      <c r="D20" s="5" t="inlineStr">
        <is>
          <t>Viaje de grava 3/4", 16 m³</t>
        </is>
      </c>
      <c r="E20" s="5" t="inlineStr">
        <is>
          <t>Incluye transporte en volquete</t>
        </is>
      </c>
      <c r="F20" s="5" t="inlineStr"/>
      <c r="G20" s="5" t="inlineStr"/>
      <c r="H20" s="7" t="inlineStr">
        <is>
          <t>viaje</t>
        </is>
      </c>
      <c r="I20" s="7" t="inlineStr">
        <is>
          <t>Estructura</t>
        </is>
      </c>
      <c r="J20" s="7" t="inlineStr">
        <is>
          <t>estandar</t>
        </is>
      </c>
      <c r="K20" s="7" t="inlineStr">
        <is>
          <t>nacional</t>
        </is>
      </c>
      <c r="L20" s="7" t="inlineStr">
        <is>
          <t>Estimado</t>
        </is>
      </c>
      <c r="M20" s="8" t="n">
        <v>0</v>
      </c>
      <c r="N20" s="9" t="n">
        <v>19800</v>
      </c>
      <c r="O20" s="9" t="n">
        <v>16500</v>
      </c>
      <c r="P20" s="9" t="n">
        <v>24000</v>
      </c>
      <c r="Q20" s="7" t="inlineStr">
        <is>
          <t>Sí</t>
        </is>
      </c>
      <c r="R20" s="9">
        <f>IF(N20="","",IF(Q20="Sí",ROUND(N20/1.18,2),N20))</f>
        <v/>
      </c>
      <c r="S20" s="7" t="inlineStr">
        <is>
          <t>2026-09</t>
        </is>
      </c>
      <c r="T20" s="5" t="inlineStr">
        <is>
          <t>Estimación de arranque — pendiente de cotización</t>
        </is>
      </c>
    </row>
    <row r="21">
      <c r="A21" s="7" t="inlineStr">
        <is>
          <t>MAT-02-001</t>
        </is>
      </c>
      <c r="B21" s="7" t="inlineStr">
        <is>
          <t>Materiales</t>
        </is>
      </c>
      <c r="C21" s="7" t="inlineStr">
        <is>
          <t>Cemento, morteros y aditivos</t>
        </is>
      </c>
      <c r="D21" s="5" t="inlineStr">
        <is>
          <t>Cemento gris portland, funda 42.5 kg</t>
        </is>
      </c>
      <c r="E21" s="5" t="inlineStr">
        <is>
          <t>Portland mixto tipo IP, NORDOM 2</t>
        </is>
      </c>
      <c r="F21" s="5" t="inlineStr"/>
      <c r="G21" s="5" t="inlineStr">
        <is>
          <t>94 libras, 94 lbs, saco de cemento, funda de cemento</t>
        </is>
      </c>
      <c r="H21" s="7" t="inlineStr">
        <is>
          <t>funda</t>
        </is>
      </c>
      <c r="I21" s="7" t="inlineStr">
        <is>
          <t>Estructura</t>
        </is>
      </c>
      <c r="J21" s="7" t="inlineStr">
        <is>
          <t>estandar</t>
        </is>
      </c>
      <c r="K21" s="7" t="inlineStr">
        <is>
          <t>nacional</t>
        </is>
      </c>
      <c r="L21" s="7" t="inlineStr">
        <is>
          <t>Verificado</t>
        </is>
      </c>
      <c r="M21" s="8" t="n">
        <v>2</v>
      </c>
      <c r="N21" s="9" t="n">
        <v>595</v>
      </c>
      <c r="O21" s="9" t="n">
        <v>535</v>
      </c>
      <c r="P21" s="9" t="n">
        <v>655</v>
      </c>
      <c r="Q21" s="7" t="inlineStr">
        <is>
          <t>Sí</t>
        </is>
      </c>
      <c r="R21" s="9">
        <f>IF(N21="","",IF(Q21="Sí",ROUND(N21/1.18,2),N21))</f>
        <v/>
      </c>
      <c r="S21" s="7" t="inlineStr">
        <is>
          <t>2026-09-09</t>
        </is>
      </c>
      <c r="T21" s="5" t="inlineStr">
        <is>
          <t>2 cotizaciones de proveedores</t>
        </is>
      </c>
    </row>
    <row r="22">
      <c r="A22" s="7" t="inlineStr">
        <is>
          <t>MAT-02-002</t>
        </is>
      </c>
      <c r="B22" s="7" t="inlineStr">
        <is>
          <t>Materiales</t>
        </is>
      </c>
      <c r="C22" s="7" t="inlineStr">
        <is>
          <t>Cemento, morteros y aditivos</t>
        </is>
      </c>
      <c r="D22" s="5" t="inlineStr">
        <is>
          <t>Cemento blanco, funda 25 kg</t>
        </is>
      </c>
      <c r="E22" s="5" t="inlineStr">
        <is>
          <t>Para terminación y derretido</t>
        </is>
      </c>
      <c r="F22" s="5" t="inlineStr"/>
      <c r="G22" s="5" t="inlineStr"/>
      <c r="H22" s="7" t="inlineStr">
        <is>
          <t>funda</t>
        </is>
      </c>
      <c r="I22" s="7" t="inlineStr">
        <is>
          <t>Terminación de superficies</t>
        </is>
      </c>
      <c r="J22" s="7" t="inlineStr">
        <is>
          <t>estandar</t>
        </is>
      </c>
      <c r="K22" s="7" t="inlineStr">
        <is>
          <t>importado</t>
        </is>
      </c>
      <c r="L22" s="7" t="inlineStr">
        <is>
          <t>Verificado</t>
        </is>
      </c>
      <c r="M22" s="8" t="n">
        <v>1</v>
      </c>
      <c r="N22" s="9" t="n">
        <v>755</v>
      </c>
      <c r="O22" s="9" t="n">
        <v>755</v>
      </c>
      <c r="P22" s="9" t="n">
        <v>755</v>
      </c>
      <c r="Q22" s="7" t="inlineStr">
        <is>
          <t>Sí</t>
        </is>
      </c>
      <c r="R22" s="9">
        <f>IF(N22="","",IF(Q22="Sí",ROUND(N22/1.18,2),N22))</f>
        <v/>
      </c>
      <c r="S22" s="7" t="inlineStr">
        <is>
          <t>2026-09-09</t>
        </is>
      </c>
      <c r="T22" s="5" t="inlineStr">
        <is>
          <t>1 cotización de proveedores</t>
        </is>
      </c>
    </row>
    <row r="23">
      <c r="A23" s="7" t="inlineStr">
        <is>
          <t>MAT-02-003</t>
        </is>
      </c>
      <c r="B23" s="7" t="inlineStr">
        <is>
          <t>Materiales</t>
        </is>
      </c>
      <c r="C23" s="7" t="inlineStr">
        <is>
          <t>Cemento, morteros y aditivos</t>
        </is>
      </c>
      <c r="D23" s="5" t="inlineStr">
        <is>
          <t>Cemento blanco, funda 40 kg</t>
        </is>
      </c>
      <c r="E23" s="5" t="inlineStr">
        <is>
          <t>Presentación de 40 kg</t>
        </is>
      </c>
      <c r="F23" s="5" t="inlineStr"/>
      <c r="G23" s="5" t="inlineStr"/>
      <c r="H23" s="7" t="inlineStr">
        <is>
          <t>funda</t>
        </is>
      </c>
      <c r="I23" s="7" t="inlineStr">
        <is>
          <t>Terminación de superficies</t>
        </is>
      </c>
      <c r="J23" s="7" t="inlineStr">
        <is>
          <t>estandar</t>
        </is>
      </c>
      <c r="K23" s="7" t="inlineStr">
        <is>
          <t>importado</t>
        </is>
      </c>
      <c r="L23" s="7" t="inlineStr">
        <is>
          <t>Verificado</t>
        </is>
      </c>
      <c r="M23" s="8" t="n">
        <v>2</v>
      </c>
      <c r="N23" s="9" t="n">
        <v>1178.7</v>
      </c>
      <c r="O23" s="9" t="n">
        <v>1130.86</v>
      </c>
      <c r="P23" s="9" t="n">
        <v>1295</v>
      </c>
      <c r="Q23" s="7" t="inlineStr">
        <is>
          <t>Sí</t>
        </is>
      </c>
      <c r="R23" s="9">
        <f>IF(N23="","",IF(Q23="Sí",ROUND(N23/1.18,2),N23))</f>
        <v/>
      </c>
      <c r="S23" s="7" t="inlineStr">
        <is>
          <t>2026-09-09</t>
        </is>
      </c>
      <c r="T23" s="5" t="inlineStr">
        <is>
          <t>3 cotizaciones de proveedores</t>
        </is>
      </c>
    </row>
    <row r="24">
      <c r="A24" s="7" t="inlineStr">
        <is>
          <t>MAT-02-004</t>
        </is>
      </c>
      <c r="B24" s="7" t="inlineStr">
        <is>
          <t>Materiales</t>
        </is>
      </c>
      <c r="C24" s="7" t="inlineStr">
        <is>
          <t>Cemento, morteros y aditivos</t>
        </is>
      </c>
      <c r="D24" s="5" t="inlineStr">
        <is>
          <t>Cal hidratada, funda 20 kg</t>
        </is>
      </c>
      <c r="E24" s="5" t="inlineStr">
        <is>
          <t>Presentación de 20 kg</t>
        </is>
      </c>
      <c r="F24" s="5" t="inlineStr"/>
      <c r="G24" s="5" t="inlineStr"/>
      <c r="H24" s="7" t="inlineStr">
        <is>
          <t>funda</t>
        </is>
      </c>
      <c r="I24" s="7" t="inlineStr">
        <is>
          <t>Terminación de superficies</t>
        </is>
      </c>
      <c r="J24" s="7" t="inlineStr">
        <is>
          <t>economica</t>
        </is>
      </c>
      <c r="K24" s="7" t="inlineStr">
        <is>
          <t>nacional</t>
        </is>
      </c>
      <c r="L24" s="7" t="inlineStr">
        <is>
          <t>Verificado</t>
        </is>
      </c>
      <c r="M24" s="8" t="n">
        <v>2</v>
      </c>
      <c r="N24" s="9" t="n">
        <v>503.66</v>
      </c>
      <c r="O24" s="9" t="n">
        <v>437.31</v>
      </c>
      <c r="P24" s="9" t="n">
        <v>570</v>
      </c>
      <c r="Q24" s="7" t="inlineStr">
        <is>
          <t>Sí</t>
        </is>
      </c>
      <c r="R24" s="9">
        <f>IF(N24="","",IF(Q24="Sí",ROUND(N24/1.18,2),N24))</f>
        <v/>
      </c>
      <c r="S24" s="7" t="inlineStr">
        <is>
          <t>2026-09-09</t>
        </is>
      </c>
      <c r="T24" s="5" t="inlineStr">
        <is>
          <t>2 cotizaciones de proveedores</t>
        </is>
      </c>
    </row>
    <row r="25">
      <c r="A25" s="7" t="inlineStr">
        <is>
          <t>MAT-02-005</t>
        </is>
      </c>
      <c r="B25" s="7" t="inlineStr">
        <is>
          <t>Materiales</t>
        </is>
      </c>
      <c r="C25" s="7" t="inlineStr">
        <is>
          <t>Cemento, morteros y aditivos</t>
        </is>
      </c>
      <c r="D25" s="5" t="inlineStr">
        <is>
          <t>Mortero para pegar bloques, funda 42.5 kg</t>
        </is>
      </c>
      <c r="E25" s="5" t="inlineStr">
        <is>
          <t>Predosificado para mampostería</t>
        </is>
      </c>
      <c r="F25" s="5" t="inlineStr"/>
      <c r="G25" s="5" t="inlineStr">
        <is>
          <t>94 libras, pega bloques</t>
        </is>
      </c>
      <c r="H25" s="7" t="inlineStr">
        <is>
          <t>funda</t>
        </is>
      </c>
      <c r="I25" s="7" t="inlineStr">
        <is>
          <t>Mampostería</t>
        </is>
      </c>
      <c r="J25" s="7" t="inlineStr">
        <is>
          <t>estandar</t>
        </is>
      </c>
      <c r="K25" s="7" t="inlineStr">
        <is>
          <t>nacional</t>
        </is>
      </c>
      <c r="L25" s="7" t="inlineStr">
        <is>
          <t>Estimado</t>
        </is>
      </c>
      <c r="M25" s="8" t="n">
        <v>0</v>
      </c>
      <c r="N25" s="9" t="n">
        <v>465</v>
      </c>
      <c r="O25" s="9" t="n">
        <v>390</v>
      </c>
      <c r="P25" s="9" t="n">
        <v>560</v>
      </c>
      <c r="Q25" s="7" t="inlineStr">
        <is>
          <t>Sí</t>
        </is>
      </c>
      <c r="R25" s="9">
        <f>IF(N25="","",IF(Q25="Sí",ROUND(N25/1.18,2),N25))</f>
        <v/>
      </c>
      <c r="S25" s="7" t="inlineStr">
        <is>
          <t>2026-09</t>
        </is>
      </c>
      <c r="T25" s="5" t="inlineStr">
        <is>
          <t>Estimación de arranque — pendiente de cotización</t>
        </is>
      </c>
    </row>
    <row r="26">
      <c r="A26" s="7" t="inlineStr">
        <is>
          <t>MAT-02-006</t>
        </is>
      </c>
      <c r="B26" s="7" t="inlineStr">
        <is>
          <t>Materiales</t>
        </is>
      </c>
      <c r="C26" s="7" t="inlineStr">
        <is>
          <t>Cemento, morteros y aditivos</t>
        </is>
      </c>
      <c r="D26" s="5" t="inlineStr">
        <is>
          <t>Yeso escayola E-30, funda 25 kg</t>
        </is>
      </c>
      <c r="E26" s="5" t="inlineStr">
        <is>
          <t>Para molduras y plafones de yeso</t>
        </is>
      </c>
      <c r="F26" s="5" t="inlineStr"/>
      <c r="G26" s="5" t="inlineStr"/>
      <c r="H26" s="7" t="inlineStr">
        <is>
          <t>funda</t>
        </is>
      </c>
      <c r="I26" s="7" t="inlineStr">
        <is>
          <t>Terminación de superficies</t>
        </is>
      </c>
      <c r="J26" s="7" t="inlineStr">
        <is>
          <t>estandar</t>
        </is>
      </c>
      <c r="K26" s="7" t="inlineStr">
        <is>
          <t>nacional</t>
        </is>
      </c>
      <c r="L26" s="7" t="inlineStr">
        <is>
          <t>Estimado</t>
        </is>
      </c>
      <c r="M26" s="8" t="n">
        <v>0</v>
      </c>
      <c r="N26" s="9" t="n">
        <v>620</v>
      </c>
      <c r="O26" s="9" t="n">
        <v>500</v>
      </c>
      <c r="P26" s="9" t="n">
        <v>780</v>
      </c>
      <c r="Q26" s="7" t="inlineStr">
        <is>
          <t>Sí</t>
        </is>
      </c>
      <c r="R26" s="9">
        <f>IF(N26="","",IF(Q26="Sí",ROUND(N26/1.18,2),N26))</f>
        <v/>
      </c>
      <c r="S26" s="7" t="inlineStr">
        <is>
          <t>2026-09</t>
        </is>
      </c>
      <c r="T26" s="5" t="inlineStr">
        <is>
          <t>Estimación de arranque — pendiente de cotización</t>
        </is>
      </c>
    </row>
    <row r="27">
      <c r="A27" s="7" t="inlineStr">
        <is>
          <t>MAT-02-007</t>
        </is>
      </c>
      <c r="B27" s="7" t="inlineStr">
        <is>
          <t>Materiales</t>
        </is>
      </c>
      <c r="C27" s="7" t="inlineStr">
        <is>
          <t>Cemento, morteros y aditivos</t>
        </is>
      </c>
      <c r="D27" s="5" t="inlineStr">
        <is>
          <t>Pegamento de cerámica blanco, funda 22.7 kg</t>
        </is>
      </c>
      <c r="E27" s="5" t="inlineStr">
        <is>
          <t>Blanco, para piezas claras</t>
        </is>
      </c>
      <c r="F27" s="5" t="inlineStr"/>
      <c r="G27" s="5" t="inlineStr">
        <is>
          <t>50 libras</t>
        </is>
      </c>
      <c r="H27" s="7" t="inlineStr">
        <is>
          <t>funda</t>
        </is>
      </c>
      <c r="I27" s="7" t="inlineStr">
        <is>
          <t>Pisos</t>
        </is>
      </c>
      <c r="J27" s="7" t="inlineStr">
        <is>
          <t>estandar</t>
        </is>
      </c>
      <c r="K27" s="7" t="inlineStr">
        <is>
          <t>nacional</t>
        </is>
      </c>
      <c r="L27" s="7" t="inlineStr">
        <is>
          <t>Verificado</t>
        </is>
      </c>
      <c r="M27" s="8" t="n">
        <v>1</v>
      </c>
      <c r="N27" s="9" t="n">
        <v>1054</v>
      </c>
      <c r="O27" s="9" t="n">
        <v>1054</v>
      </c>
      <c r="P27" s="9" t="n">
        <v>1054</v>
      </c>
      <c r="Q27" s="7" t="inlineStr">
        <is>
          <t>Sí</t>
        </is>
      </c>
      <c r="R27" s="9">
        <f>IF(N27="","",IF(Q27="Sí",ROUND(N27/1.18,2),N27))</f>
        <v/>
      </c>
      <c r="S27" s="7" t="inlineStr">
        <is>
          <t>2026-09-09</t>
        </is>
      </c>
      <c r="T27" s="5" t="inlineStr">
        <is>
          <t>1 cotización de proveedores</t>
        </is>
      </c>
    </row>
    <row r="28">
      <c r="A28" s="7" t="inlineStr">
        <is>
          <t>MAT-02-008</t>
        </is>
      </c>
      <c r="B28" s="7" t="inlineStr">
        <is>
          <t>Materiales</t>
        </is>
      </c>
      <c r="C28" s="7" t="inlineStr">
        <is>
          <t>Cemento, morteros y aditivos</t>
        </is>
      </c>
      <c r="D28" s="5" t="inlineStr">
        <is>
          <t>Cal hidratada, funda 25 kg</t>
        </is>
      </c>
      <c r="E28" s="5" t="inlineStr">
        <is>
          <t>Para morteros de pañete</t>
        </is>
      </c>
      <c r="F28" s="5" t="inlineStr"/>
      <c r="G28" s="5" t="inlineStr"/>
      <c r="H28" s="7" t="inlineStr">
        <is>
          <t>funda</t>
        </is>
      </c>
      <c r="I28" s="7" t="inlineStr">
        <is>
          <t>Terminación de superficies</t>
        </is>
      </c>
      <c r="J28" s="7" t="inlineStr">
        <is>
          <t>economica</t>
        </is>
      </c>
      <c r="K28" s="7" t="inlineStr">
        <is>
          <t>nacional</t>
        </is>
      </c>
      <c r="L28" s="7" t="inlineStr">
        <is>
          <t>Estimado</t>
        </is>
      </c>
      <c r="M28" s="8" t="n">
        <v>0</v>
      </c>
      <c r="N28" s="9" t="n">
        <v>390</v>
      </c>
      <c r="O28" s="9" t="n">
        <v>330</v>
      </c>
      <c r="P28" s="9" t="n">
        <v>470</v>
      </c>
      <c r="Q28" s="7" t="inlineStr">
        <is>
          <t>Sí</t>
        </is>
      </c>
      <c r="R28" s="9">
        <f>IF(N28="","",IF(Q28="Sí",ROUND(N28/1.18,2),N28))</f>
        <v/>
      </c>
      <c r="S28" s="7" t="inlineStr">
        <is>
          <t>2026-09</t>
        </is>
      </c>
      <c r="T28" s="5" t="inlineStr">
        <is>
          <t>Estimación de arranque — pendiente de cotización</t>
        </is>
      </c>
    </row>
    <row r="29">
      <c r="A29" s="7" t="inlineStr">
        <is>
          <t>MAT-02-009</t>
        </is>
      </c>
      <c r="B29" s="7" t="inlineStr">
        <is>
          <t>Materiales</t>
        </is>
      </c>
      <c r="C29" s="7" t="inlineStr">
        <is>
          <t>Cemento, morteros y aditivos</t>
        </is>
      </c>
      <c r="D29" s="5" t="inlineStr">
        <is>
          <t>Mortero predosificado de pañete, funda 42.5 kg</t>
        </is>
      </c>
      <c r="E29" s="5" t="inlineStr">
        <is>
          <t>Listo para mezclar con agua</t>
        </is>
      </c>
      <c r="F29" s="5" t="inlineStr"/>
      <c r="G29" s="5" t="inlineStr"/>
      <c r="H29" s="7" t="inlineStr">
        <is>
          <t>funda</t>
        </is>
      </c>
      <c r="I29" s="7" t="inlineStr">
        <is>
          <t>Terminación de superficies</t>
        </is>
      </c>
      <c r="J29" s="7" t="inlineStr">
        <is>
          <t>estandar</t>
        </is>
      </c>
      <c r="K29" s="7" t="inlineStr">
        <is>
          <t>nacional</t>
        </is>
      </c>
      <c r="L29" s="7" t="inlineStr">
        <is>
          <t>Verificado</t>
        </is>
      </c>
      <c r="M29" s="8" t="n">
        <v>1</v>
      </c>
      <c r="N29" s="9" t="n">
        <v>357</v>
      </c>
      <c r="O29" s="9" t="n">
        <v>330</v>
      </c>
      <c r="P29" s="9" t="n">
        <v>384</v>
      </c>
      <c r="Q29" s="7" t="inlineStr">
        <is>
          <t>Sí</t>
        </is>
      </c>
      <c r="R29" s="9">
        <f>IF(N29="","",IF(Q29="Sí",ROUND(N29/1.18,2),N29))</f>
        <v/>
      </c>
      <c r="S29" s="7" t="inlineStr">
        <is>
          <t>2026-09-09</t>
        </is>
      </c>
      <c r="T29" s="5" t="inlineStr">
        <is>
          <t>2 cotizaciones de proveedores</t>
        </is>
      </c>
    </row>
    <row r="30">
      <c r="A30" s="7" t="inlineStr">
        <is>
          <t>MAT-02-010</t>
        </is>
      </c>
      <c r="B30" s="7" t="inlineStr">
        <is>
          <t>Materiales</t>
        </is>
      </c>
      <c r="C30" s="7" t="inlineStr">
        <is>
          <t>Cemento, morteros y aditivos</t>
        </is>
      </c>
      <c r="D30" s="5" t="inlineStr">
        <is>
          <t>Mortero autonivelante, funda 20 kg</t>
        </is>
      </c>
      <c r="E30" s="5" t="inlineStr">
        <is>
          <t>Nivelación de pisos antes de revestir</t>
        </is>
      </c>
      <c r="F30" s="5" t="inlineStr"/>
      <c r="G30" s="5" t="inlineStr"/>
      <c r="H30" s="7" t="inlineStr">
        <is>
          <t>funda</t>
        </is>
      </c>
      <c r="I30" s="7" t="inlineStr">
        <is>
          <t>Pisos</t>
        </is>
      </c>
      <c r="J30" s="7" t="inlineStr">
        <is>
          <t>estandar</t>
        </is>
      </c>
      <c r="K30" s="7" t="inlineStr">
        <is>
          <t>importado</t>
        </is>
      </c>
      <c r="L30" s="7" t="inlineStr">
        <is>
          <t>Estimado</t>
        </is>
      </c>
      <c r="M30" s="8" t="n">
        <v>0</v>
      </c>
      <c r="N30" s="9" t="n">
        <v>1180</v>
      </c>
      <c r="O30" s="9" t="n">
        <v>950</v>
      </c>
      <c r="P30" s="9" t="n">
        <v>1450</v>
      </c>
      <c r="Q30" s="7" t="inlineStr">
        <is>
          <t>Sí</t>
        </is>
      </c>
      <c r="R30" s="9">
        <f>IF(N30="","",IF(Q30="Sí",ROUND(N30/1.18,2),N30))</f>
        <v/>
      </c>
      <c r="S30" s="7" t="inlineStr">
        <is>
          <t>2026-09</t>
        </is>
      </c>
      <c r="T30" s="5" t="inlineStr">
        <is>
          <t>Estimación de arranque — pendiente de cotización</t>
        </is>
      </c>
    </row>
    <row r="31">
      <c r="A31" s="7" t="inlineStr">
        <is>
          <t>MAT-02-011</t>
        </is>
      </c>
      <c r="B31" s="7" t="inlineStr">
        <is>
          <t>Materiales</t>
        </is>
      </c>
      <c r="C31" s="7" t="inlineStr">
        <is>
          <t>Cemento, morteros y aditivos</t>
        </is>
      </c>
      <c r="D31" s="5" t="inlineStr">
        <is>
          <t>Pegamento de cerámica interior, funda 25 kg</t>
        </is>
      </c>
      <c r="E31" s="5" t="inlineStr">
        <is>
          <t>Uso interior, piso y pared</t>
        </is>
      </c>
      <c r="F31" s="5" t="inlineStr"/>
      <c r="G31" s="5" t="inlineStr"/>
      <c r="H31" s="7" t="inlineStr">
        <is>
          <t>funda</t>
        </is>
      </c>
      <c r="I31" s="7" t="inlineStr">
        <is>
          <t>Pisos</t>
        </is>
      </c>
      <c r="J31" s="7" t="inlineStr">
        <is>
          <t>economica</t>
        </is>
      </c>
      <c r="K31" s="7" t="inlineStr">
        <is>
          <t>nacional</t>
        </is>
      </c>
      <c r="L31" s="7" t="inlineStr">
        <is>
          <t>Estimado</t>
        </is>
      </c>
      <c r="M31" s="8" t="n">
        <v>0</v>
      </c>
      <c r="N31" s="9" t="n">
        <v>385</v>
      </c>
      <c r="O31" s="9" t="n">
        <v>320</v>
      </c>
      <c r="P31" s="9" t="n">
        <v>470</v>
      </c>
      <c r="Q31" s="7" t="inlineStr">
        <is>
          <t>Sí</t>
        </is>
      </c>
      <c r="R31" s="9">
        <f>IF(N31="","",IF(Q31="Sí",ROUND(N31/1.18,2),N31))</f>
        <v/>
      </c>
      <c r="S31" s="7" t="inlineStr">
        <is>
          <t>2026-09</t>
        </is>
      </c>
      <c r="T31" s="5" t="inlineStr">
        <is>
          <t>Estimación de arranque — pendiente de cotización</t>
        </is>
      </c>
    </row>
    <row r="32">
      <c r="A32" s="7" t="inlineStr">
        <is>
          <t>MAT-02-012</t>
        </is>
      </c>
      <c r="B32" s="7" t="inlineStr">
        <is>
          <t>Materiales</t>
        </is>
      </c>
      <c r="C32" s="7" t="inlineStr">
        <is>
          <t>Cemento, morteros y aditivos</t>
        </is>
      </c>
      <c r="D32" s="5" t="inlineStr">
        <is>
          <t>Pegamento flexible para porcelanato, funda 25 kg</t>
        </is>
      </c>
      <c r="E32" s="5" t="inlineStr">
        <is>
          <t>Clase C2, gran formato y exteriores</t>
        </is>
      </c>
      <c r="F32" s="5" t="inlineStr"/>
      <c r="G32" s="5" t="inlineStr"/>
      <c r="H32" s="7" t="inlineStr">
        <is>
          <t>funda</t>
        </is>
      </c>
      <c r="I32" s="7" t="inlineStr">
        <is>
          <t>Pisos</t>
        </is>
      </c>
      <c r="J32" s="7" t="inlineStr">
        <is>
          <t>premium</t>
        </is>
      </c>
      <c r="K32" s="7" t="inlineStr">
        <is>
          <t>nacional</t>
        </is>
      </c>
      <c r="L32" s="7" t="inlineStr">
        <is>
          <t>Estimado</t>
        </is>
      </c>
      <c r="M32" s="8" t="n">
        <v>0</v>
      </c>
      <c r="N32" s="9" t="n">
        <v>680</v>
      </c>
      <c r="O32" s="9" t="n">
        <v>560</v>
      </c>
      <c r="P32" s="9" t="n">
        <v>850</v>
      </c>
      <c r="Q32" s="7" t="inlineStr">
        <is>
          <t>Sí</t>
        </is>
      </c>
      <c r="R32" s="9">
        <f>IF(N32="","",IF(Q32="Sí",ROUND(N32/1.18,2),N32))</f>
        <v/>
      </c>
      <c r="S32" s="7" t="inlineStr">
        <is>
          <t>2026-09</t>
        </is>
      </c>
      <c r="T32" s="5" t="inlineStr">
        <is>
          <t>Estimación de arranque — pendiente de cotización</t>
        </is>
      </c>
    </row>
    <row r="33">
      <c r="A33" s="7" t="inlineStr">
        <is>
          <t>MAT-02-013</t>
        </is>
      </c>
      <c r="B33" s="7" t="inlineStr">
        <is>
          <t>Materiales</t>
        </is>
      </c>
      <c r="C33" s="7" t="inlineStr">
        <is>
          <t>Cemento, morteros y aditivos</t>
        </is>
      </c>
      <c r="D33" s="5" t="inlineStr">
        <is>
          <t>Derretido (grout) con arena, funda 5 kg</t>
        </is>
      </c>
      <c r="E33" s="5" t="inlineStr">
        <is>
          <t>Juntas de 3 mm en adelante</t>
        </is>
      </c>
      <c r="F33" s="5" t="inlineStr"/>
      <c r="G33" s="5" t="inlineStr"/>
      <c r="H33" s="7" t="inlineStr">
        <is>
          <t>funda</t>
        </is>
      </c>
      <c r="I33" s="7" t="inlineStr">
        <is>
          <t>Pisos</t>
        </is>
      </c>
      <c r="J33" s="7" t="inlineStr">
        <is>
          <t>estandar</t>
        </is>
      </c>
      <c r="K33" s="7" t="inlineStr">
        <is>
          <t>nacional</t>
        </is>
      </c>
      <c r="L33" s="7" t="inlineStr">
        <is>
          <t>Estimado</t>
        </is>
      </c>
      <c r="M33" s="8" t="n">
        <v>0</v>
      </c>
      <c r="N33" s="9" t="n">
        <v>340</v>
      </c>
      <c r="O33" s="9" t="n">
        <v>270</v>
      </c>
      <c r="P33" s="9" t="n">
        <v>430</v>
      </c>
      <c r="Q33" s="7" t="inlineStr">
        <is>
          <t>Sí</t>
        </is>
      </c>
      <c r="R33" s="9">
        <f>IF(N33="","",IF(Q33="Sí",ROUND(N33/1.18,2),N33))</f>
        <v/>
      </c>
      <c r="S33" s="7" t="inlineStr">
        <is>
          <t>2026-09</t>
        </is>
      </c>
      <c r="T33" s="5" t="inlineStr">
        <is>
          <t>Estimación de arranque — pendiente de cotización</t>
        </is>
      </c>
    </row>
    <row r="34">
      <c r="A34" s="7" t="inlineStr">
        <is>
          <t>MAT-02-014</t>
        </is>
      </c>
      <c r="B34" s="7" t="inlineStr">
        <is>
          <t>Materiales</t>
        </is>
      </c>
      <c r="C34" s="7" t="inlineStr">
        <is>
          <t>Cemento, morteros y aditivos</t>
        </is>
      </c>
      <c r="D34" s="5" t="inlineStr">
        <is>
          <t>Aditivo plastificante, galón</t>
        </is>
      </c>
      <c r="E34" s="5" t="inlineStr">
        <is>
          <t>Reductor de agua para hormigón</t>
        </is>
      </c>
      <c r="F34" s="5" t="inlineStr"/>
      <c r="G34" s="5" t="inlineStr"/>
      <c r="H34" s="7" t="inlineStr">
        <is>
          <t>galón</t>
        </is>
      </c>
      <c r="I34" s="7" t="inlineStr">
        <is>
          <t>Estructura</t>
        </is>
      </c>
      <c r="J34" s="7" t="inlineStr">
        <is>
          <t>estandar</t>
        </is>
      </c>
      <c r="K34" s="7" t="inlineStr">
        <is>
          <t>importado</t>
        </is>
      </c>
      <c r="L34" s="7" t="inlineStr">
        <is>
          <t>Estimado</t>
        </is>
      </c>
      <c r="M34" s="8" t="n">
        <v>0</v>
      </c>
      <c r="N34" s="9" t="n">
        <v>1450</v>
      </c>
      <c r="O34" s="9" t="n">
        <v>1150</v>
      </c>
      <c r="P34" s="9" t="n">
        <v>1850</v>
      </c>
      <c r="Q34" s="7" t="inlineStr">
        <is>
          <t>Sí</t>
        </is>
      </c>
      <c r="R34" s="9">
        <f>IF(N34="","",IF(Q34="Sí",ROUND(N34/1.18,2),N34))</f>
        <v/>
      </c>
      <c r="S34" s="7" t="inlineStr">
        <is>
          <t>2026-09</t>
        </is>
      </c>
      <c r="T34" s="5" t="inlineStr">
        <is>
          <t>Estimación de arranque — pendiente de cotización</t>
        </is>
      </c>
    </row>
    <row r="35">
      <c r="A35" s="7" t="inlineStr">
        <is>
          <t>MAT-02-015</t>
        </is>
      </c>
      <c r="B35" s="7" t="inlineStr">
        <is>
          <t>Materiales</t>
        </is>
      </c>
      <c r="C35" s="7" t="inlineStr">
        <is>
          <t>Cemento, morteros y aditivos</t>
        </is>
      </c>
      <c r="D35" s="5" t="inlineStr">
        <is>
          <t>Impermeabilizante integral para mezcla, galón</t>
        </is>
      </c>
      <c r="E35" s="5" t="inlineStr">
        <is>
          <t>Aditivo de masa</t>
        </is>
      </c>
      <c r="F35" s="5" t="inlineStr"/>
      <c r="G35" s="5" t="inlineStr"/>
      <c r="H35" s="7" t="inlineStr">
        <is>
          <t>galón</t>
        </is>
      </c>
      <c r="I35" s="7" t="inlineStr">
        <is>
          <t>Techos</t>
        </is>
      </c>
      <c r="J35" s="7" t="inlineStr">
        <is>
          <t>estandar</t>
        </is>
      </c>
      <c r="K35" s="7" t="inlineStr">
        <is>
          <t>importado</t>
        </is>
      </c>
      <c r="L35" s="7" t="inlineStr">
        <is>
          <t>Estimado</t>
        </is>
      </c>
      <c r="M35" s="8" t="n">
        <v>0</v>
      </c>
      <c r="N35" s="9" t="n">
        <v>1350</v>
      </c>
      <c r="O35" s="9" t="n">
        <v>1050</v>
      </c>
      <c r="P35" s="9" t="n">
        <v>1700</v>
      </c>
      <c r="Q35" s="7" t="inlineStr">
        <is>
          <t>Sí</t>
        </is>
      </c>
      <c r="R35" s="9">
        <f>IF(N35="","",IF(Q35="Sí",ROUND(N35/1.18,2),N35))</f>
        <v/>
      </c>
      <c r="S35" s="7" t="inlineStr">
        <is>
          <t>2026-09</t>
        </is>
      </c>
      <c r="T35" s="5" t="inlineStr">
        <is>
          <t>Estimación de arranque — pendiente de cotización</t>
        </is>
      </c>
    </row>
    <row r="36">
      <c r="A36" s="7" t="inlineStr">
        <is>
          <t>MAT-02-016</t>
        </is>
      </c>
      <c r="B36" s="7" t="inlineStr">
        <is>
          <t>Materiales</t>
        </is>
      </c>
      <c r="C36" s="7" t="inlineStr">
        <is>
          <t>Cemento, morteros y aditivos</t>
        </is>
      </c>
      <c r="D36" s="5" t="inlineStr">
        <is>
          <t>Epóxico de anclaje, cartucho 585 ml</t>
        </is>
      </c>
      <c r="E36" s="5" t="inlineStr">
        <is>
          <t>Anclaje químico de varilla</t>
        </is>
      </c>
      <c r="F36" s="5" t="inlineStr"/>
      <c r="G36" s="5" t="inlineStr"/>
      <c r="H36" s="7" t="inlineStr">
        <is>
          <t>cartucho</t>
        </is>
      </c>
      <c r="I36" s="7" t="inlineStr">
        <is>
          <t>Estructura</t>
        </is>
      </c>
      <c r="J36" s="7" t="inlineStr">
        <is>
          <t>premium</t>
        </is>
      </c>
      <c r="K36" s="7" t="inlineStr">
        <is>
          <t>importado</t>
        </is>
      </c>
      <c r="L36" s="7" t="inlineStr">
        <is>
          <t>Estimado</t>
        </is>
      </c>
      <c r="M36" s="8" t="n">
        <v>0</v>
      </c>
      <c r="N36" s="9" t="n">
        <v>3100</v>
      </c>
      <c r="O36" s="9" t="n">
        <v>2400</v>
      </c>
      <c r="P36" s="9" t="n">
        <v>3900</v>
      </c>
      <c r="Q36" s="7" t="inlineStr">
        <is>
          <t>Sí</t>
        </is>
      </c>
      <c r="R36" s="9">
        <f>IF(N36="","",IF(Q36="Sí",ROUND(N36/1.18,2),N36))</f>
        <v/>
      </c>
      <c r="S36" s="7" t="inlineStr">
        <is>
          <t>2026-09</t>
        </is>
      </c>
      <c r="T36" s="5" t="inlineStr">
        <is>
          <t>Estimación de arranque — pendiente de cotización</t>
        </is>
      </c>
    </row>
    <row r="37">
      <c r="A37" s="7" t="inlineStr">
        <is>
          <t>MAT-03-001</t>
        </is>
      </c>
      <c r="B37" s="7" t="inlineStr">
        <is>
          <t>Materiales</t>
        </is>
      </c>
      <c r="C37" s="7" t="inlineStr">
        <is>
          <t>Hormigón premezclado</t>
        </is>
      </c>
      <c r="D37" s="5" t="inlineStr">
        <is>
          <t>Hormigón premezclado 180 kg/cm²</t>
        </is>
      </c>
      <c r="E37" s="5" t="inlineStr">
        <is>
          <t>F'c 180, revenimiento 4"-6"</t>
        </is>
      </c>
      <c r="F37" s="5" t="inlineStr">
        <is>
          <t>Hormigón puesto en obra; no incluye bombeo ni colocación</t>
        </is>
      </c>
      <c r="G37" s="5" t="inlineStr"/>
      <c r="H37" s="7" t="inlineStr">
        <is>
          <t>m³</t>
        </is>
      </c>
      <c r="I37" s="7" t="inlineStr">
        <is>
          <t>Estructura</t>
        </is>
      </c>
      <c r="J37" s="7" t="inlineStr">
        <is>
          <t>estandar</t>
        </is>
      </c>
      <c r="K37" s="7" t="inlineStr">
        <is>
          <t>nacional</t>
        </is>
      </c>
      <c r="L37" s="7" t="inlineStr">
        <is>
          <t>Estimado</t>
        </is>
      </c>
      <c r="M37" s="8" t="n">
        <v>0</v>
      </c>
      <c r="N37" s="9" t="n">
        <v>6300</v>
      </c>
      <c r="O37" s="9" t="n">
        <v>5700</v>
      </c>
      <c r="P37" s="9" t="n">
        <v>7100</v>
      </c>
      <c r="Q37" s="7" t="inlineStr">
        <is>
          <t>No</t>
        </is>
      </c>
      <c r="R37" s="9">
        <f>IF(N37="","",IF(Q37="Sí",ROUND(N37/1.18,2),N37))</f>
        <v/>
      </c>
      <c r="S37" s="7" t="inlineStr">
        <is>
          <t>2026-09</t>
        </is>
      </c>
      <c r="T37" s="5" t="inlineStr">
        <is>
          <t>Estimación de arranque — pendiente de cotización</t>
        </is>
      </c>
    </row>
    <row r="38">
      <c r="A38" s="7" t="inlineStr">
        <is>
          <t>MAT-03-002</t>
        </is>
      </c>
      <c r="B38" s="7" t="inlineStr">
        <is>
          <t>Materiales</t>
        </is>
      </c>
      <c r="C38" s="7" t="inlineStr">
        <is>
          <t>Hormigón premezclado</t>
        </is>
      </c>
      <c r="D38" s="5" t="inlineStr">
        <is>
          <t>Hormigón premezclado 210 kg/cm²</t>
        </is>
      </c>
      <c r="E38" s="5" t="inlineStr">
        <is>
          <t>F'c 210 — el más usado en vivienda</t>
        </is>
      </c>
      <c r="F38" s="5" t="inlineStr">
        <is>
          <t>Hormigón puesto en obra; no incluye bombeo ni colocación</t>
        </is>
      </c>
      <c r="G38" s="5" t="inlineStr"/>
      <c r="H38" s="7" t="inlineStr">
        <is>
          <t>m³</t>
        </is>
      </c>
      <c r="I38" s="7" t="inlineStr">
        <is>
          <t>Estructura</t>
        </is>
      </c>
      <c r="J38" s="7" t="inlineStr">
        <is>
          <t>estandar</t>
        </is>
      </c>
      <c r="K38" s="7" t="inlineStr">
        <is>
          <t>nacional</t>
        </is>
      </c>
      <c r="L38" s="7" t="inlineStr">
        <is>
          <t>Estimado</t>
        </is>
      </c>
      <c r="M38" s="8" t="n">
        <v>0</v>
      </c>
      <c r="N38" s="9" t="n">
        <v>6800</v>
      </c>
      <c r="O38" s="9" t="n">
        <v>6200</v>
      </c>
      <c r="P38" s="9" t="n">
        <v>7600</v>
      </c>
      <c r="Q38" s="7" t="inlineStr">
        <is>
          <t>No</t>
        </is>
      </c>
      <c r="R38" s="9">
        <f>IF(N38="","",IF(Q38="Sí",ROUND(N38/1.18,2),N38))</f>
        <v/>
      </c>
      <c r="S38" s="7" t="inlineStr">
        <is>
          <t>2026-09</t>
        </is>
      </c>
      <c r="T38" s="5" t="inlineStr">
        <is>
          <t>Estimación de arranque — pendiente de cotización</t>
        </is>
      </c>
    </row>
    <row r="39">
      <c r="A39" s="7" t="inlineStr">
        <is>
          <t>MAT-03-003</t>
        </is>
      </c>
      <c r="B39" s="7" t="inlineStr">
        <is>
          <t>Materiales</t>
        </is>
      </c>
      <c r="C39" s="7" t="inlineStr">
        <is>
          <t>Hormigón premezclado</t>
        </is>
      </c>
      <c r="D39" s="5" t="inlineStr">
        <is>
          <t>Hormigón premezclado 240 kg/cm²</t>
        </is>
      </c>
      <c r="E39" s="5" t="inlineStr">
        <is>
          <t>F'c 240</t>
        </is>
      </c>
      <c r="F39" s="5" t="inlineStr">
        <is>
          <t>Hormigón puesto en obra; no incluye bombeo ni colocación</t>
        </is>
      </c>
      <c r="G39" s="5" t="inlineStr"/>
      <c r="H39" s="7" t="inlineStr">
        <is>
          <t>m³</t>
        </is>
      </c>
      <c r="I39" s="7" t="inlineStr">
        <is>
          <t>Estructura</t>
        </is>
      </c>
      <c r="J39" s="7" t="inlineStr">
        <is>
          <t>estandar</t>
        </is>
      </c>
      <c r="K39" s="7" t="inlineStr">
        <is>
          <t>nacional</t>
        </is>
      </c>
      <c r="L39" s="7" t="inlineStr">
        <is>
          <t>Estimado</t>
        </is>
      </c>
      <c r="M39" s="8" t="n">
        <v>0</v>
      </c>
      <c r="N39" s="9" t="n">
        <v>7300</v>
      </c>
      <c r="O39" s="9" t="n">
        <v>6700</v>
      </c>
      <c r="P39" s="9" t="n">
        <v>8200</v>
      </c>
      <c r="Q39" s="7" t="inlineStr">
        <is>
          <t>No</t>
        </is>
      </c>
      <c r="R39" s="9">
        <f>IF(N39="","",IF(Q39="Sí",ROUND(N39/1.18,2),N39))</f>
        <v/>
      </c>
      <c r="S39" s="7" t="inlineStr">
        <is>
          <t>2026-09</t>
        </is>
      </c>
      <c r="T39" s="5" t="inlineStr">
        <is>
          <t>Estimación de arranque — pendiente de cotización</t>
        </is>
      </c>
    </row>
    <row r="40">
      <c r="A40" s="7" t="inlineStr">
        <is>
          <t>MAT-03-004</t>
        </is>
      </c>
      <c r="B40" s="7" t="inlineStr">
        <is>
          <t>Materiales</t>
        </is>
      </c>
      <c r="C40" s="7" t="inlineStr">
        <is>
          <t>Hormigón premezclado</t>
        </is>
      </c>
      <c r="D40" s="5" t="inlineStr">
        <is>
          <t>Hormigón premezclado 280 kg/cm²</t>
        </is>
      </c>
      <c r="E40" s="5" t="inlineStr">
        <is>
          <t>F'c 280</t>
        </is>
      </c>
      <c r="F40" s="5" t="inlineStr">
        <is>
          <t>Hormigón puesto en obra; no incluye bombeo ni colocación</t>
        </is>
      </c>
      <c r="G40" s="5" t="inlineStr"/>
      <c r="H40" s="7" t="inlineStr">
        <is>
          <t>m³</t>
        </is>
      </c>
      <c r="I40" s="7" t="inlineStr">
        <is>
          <t>Estructura</t>
        </is>
      </c>
      <c r="J40" s="7" t="inlineStr">
        <is>
          <t>estandar</t>
        </is>
      </c>
      <c r="K40" s="7" t="inlineStr">
        <is>
          <t>nacional</t>
        </is>
      </c>
      <c r="L40" s="7" t="inlineStr">
        <is>
          <t>Estimado</t>
        </is>
      </c>
      <c r="M40" s="8" t="n">
        <v>0</v>
      </c>
      <c r="N40" s="9" t="n">
        <v>7900</v>
      </c>
      <c r="O40" s="9" t="n">
        <v>7200</v>
      </c>
      <c r="P40" s="9" t="n">
        <v>8800</v>
      </c>
      <c r="Q40" s="7" t="inlineStr">
        <is>
          <t>No</t>
        </is>
      </c>
      <c r="R40" s="9">
        <f>IF(N40="","",IF(Q40="Sí",ROUND(N40/1.18,2),N40))</f>
        <v/>
      </c>
      <c r="S40" s="7" t="inlineStr">
        <is>
          <t>2026-09</t>
        </is>
      </c>
      <c r="T40" s="5" t="inlineStr">
        <is>
          <t>Estimación de arranque — pendiente de cotización</t>
        </is>
      </c>
    </row>
    <row r="41">
      <c r="A41" s="7" t="inlineStr">
        <is>
          <t>MAT-03-005</t>
        </is>
      </c>
      <c r="B41" s="7" t="inlineStr">
        <is>
          <t>Materiales</t>
        </is>
      </c>
      <c r="C41" s="7" t="inlineStr">
        <is>
          <t>Hormigón premezclado</t>
        </is>
      </c>
      <c r="D41" s="5" t="inlineStr">
        <is>
          <t>Hormigón premezclado 300 kg/cm²</t>
        </is>
      </c>
      <c r="E41" s="5" t="inlineStr">
        <is>
          <t>F'c 300</t>
        </is>
      </c>
      <c r="F41" s="5" t="inlineStr">
        <is>
          <t>Hormigón puesto en obra; no incluye bombeo ni colocación</t>
        </is>
      </c>
      <c r="G41" s="5" t="inlineStr"/>
      <c r="H41" s="7" t="inlineStr">
        <is>
          <t>m³</t>
        </is>
      </c>
      <c r="I41" s="7" t="inlineStr">
        <is>
          <t>Estructura</t>
        </is>
      </c>
      <c r="J41" s="7" t="inlineStr">
        <is>
          <t>estandar</t>
        </is>
      </c>
      <c r="K41" s="7" t="inlineStr">
        <is>
          <t>nacional</t>
        </is>
      </c>
      <c r="L41" s="7" t="inlineStr">
        <is>
          <t>Estimado</t>
        </is>
      </c>
      <c r="M41" s="8" t="n">
        <v>0</v>
      </c>
      <c r="N41" s="9" t="n">
        <v>8300</v>
      </c>
      <c r="O41" s="9" t="n">
        <v>7500</v>
      </c>
      <c r="P41" s="9" t="n">
        <v>9300</v>
      </c>
      <c r="Q41" s="7" t="inlineStr">
        <is>
          <t>No</t>
        </is>
      </c>
      <c r="R41" s="9">
        <f>IF(N41="","",IF(Q41="Sí",ROUND(N41/1.18,2),N41))</f>
        <v/>
      </c>
      <c r="S41" s="7" t="inlineStr">
        <is>
          <t>2026-09</t>
        </is>
      </c>
      <c r="T41" s="5" t="inlineStr">
        <is>
          <t>Estimación de arranque — pendiente de cotización</t>
        </is>
      </c>
    </row>
    <row r="42">
      <c r="A42" s="7" t="inlineStr">
        <is>
          <t>MAT-03-006</t>
        </is>
      </c>
      <c r="B42" s="7" t="inlineStr">
        <is>
          <t>Materiales</t>
        </is>
      </c>
      <c r="C42" s="7" t="inlineStr">
        <is>
          <t>Hormigón premezclado</t>
        </is>
      </c>
      <c r="D42" s="5" t="inlineStr">
        <is>
          <t>Hormigón premezclado 350 kg/cm²</t>
        </is>
      </c>
      <c r="E42" s="5" t="inlineStr">
        <is>
          <t>F'c 350, elementos de alta exigencia</t>
        </is>
      </c>
      <c r="F42" s="5" t="inlineStr">
        <is>
          <t>Hormigón puesto en obra; no incluye bombeo ni colocación</t>
        </is>
      </c>
      <c r="G42" s="5" t="inlineStr"/>
      <c r="H42" s="7" t="inlineStr">
        <is>
          <t>m³</t>
        </is>
      </c>
      <c r="I42" s="7" t="inlineStr">
        <is>
          <t>Estructura</t>
        </is>
      </c>
      <c r="J42" s="7" t="inlineStr">
        <is>
          <t>premium</t>
        </is>
      </c>
      <c r="K42" s="7" t="inlineStr">
        <is>
          <t>nacional</t>
        </is>
      </c>
      <c r="L42" s="7" t="inlineStr">
        <is>
          <t>Estimado</t>
        </is>
      </c>
      <c r="M42" s="8" t="n">
        <v>0</v>
      </c>
      <c r="N42" s="9" t="n">
        <v>8900</v>
      </c>
      <c r="O42" s="9" t="n">
        <v>8100</v>
      </c>
      <c r="P42" s="9" t="n">
        <v>9900</v>
      </c>
      <c r="Q42" s="7" t="inlineStr">
        <is>
          <t>No</t>
        </is>
      </c>
      <c r="R42" s="9">
        <f>IF(N42="","",IF(Q42="Sí",ROUND(N42/1.18,2),N42))</f>
        <v/>
      </c>
      <c r="S42" s="7" t="inlineStr">
        <is>
          <t>2026-09</t>
        </is>
      </c>
      <c r="T42" s="5" t="inlineStr">
        <is>
          <t>Estimación de arranque — pendiente de cotización</t>
        </is>
      </c>
    </row>
    <row r="43">
      <c r="A43" s="7" t="inlineStr">
        <is>
          <t>MAT-03-007</t>
        </is>
      </c>
      <c r="B43" s="7" t="inlineStr">
        <is>
          <t>Materiales</t>
        </is>
      </c>
      <c r="C43" s="7" t="inlineStr">
        <is>
          <t>Hormigón premezclado</t>
        </is>
      </c>
      <c r="D43" s="5" t="inlineStr">
        <is>
          <t>Hormigón premezclado 400 kg/cm²</t>
        </is>
      </c>
      <c r="E43" s="5" t="inlineStr">
        <is>
          <t>F'c 400, uso industrial</t>
        </is>
      </c>
      <c r="F43" s="5" t="inlineStr">
        <is>
          <t>Hormigón puesto en obra; no incluye bombeo ni colocación</t>
        </is>
      </c>
      <c r="G43" s="5" t="inlineStr"/>
      <c r="H43" s="7" t="inlineStr">
        <is>
          <t>m³</t>
        </is>
      </c>
      <c r="I43" s="7" t="inlineStr">
        <is>
          <t>Estructura</t>
        </is>
      </c>
      <c r="J43" s="7" t="inlineStr">
        <is>
          <t>premium</t>
        </is>
      </c>
      <c r="K43" s="7" t="inlineStr">
        <is>
          <t>nacional</t>
        </is>
      </c>
      <c r="L43" s="7" t="inlineStr">
        <is>
          <t>Estimado</t>
        </is>
      </c>
      <c r="M43" s="8" t="n">
        <v>0</v>
      </c>
      <c r="N43" s="9" t="n">
        <v>9700</v>
      </c>
      <c r="O43" s="9" t="n">
        <v>8800</v>
      </c>
      <c r="P43" s="9" t="n">
        <v>10900</v>
      </c>
      <c r="Q43" s="7" t="inlineStr">
        <is>
          <t>No</t>
        </is>
      </c>
      <c r="R43" s="9">
        <f>IF(N43="","",IF(Q43="Sí",ROUND(N43/1.18,2),N43))</f>
        <v/>
      </c>
      <c r="S43" s="7" t="inlineStr">
        <is>
          <t>2026-09</t>
        </is>
      </c>
      <c r="T43" s="5" t="inlineStr">
        <is>
          <t>Estimación de arranque — pendiente de cotización</t>
        </is>
      </c>
    </row>
    <row r="44">
      <c r="A44" s="7" t="inlineStr">
        <is>
          <t>MAT-03-008</t>
        </is>
      </c>
      <c r="B44" s="7" t="inlineStr">
        <is>
          <t>Materiales</t>
        </is>
      </c>
      <c r="C44" s="7" t="inlineStr">
        <is>
          <t>Hormigón premezclado</t>
        </is>
      </c>
      <c r="D44" s="5" t="inlineStr">
        <is>
          <t>Hormigón premezclado 450 kg/cm²</t>
        </is>
      </c>
      <c r="E44" s="5" t="inlineStr">
        <is>
          <t>F'c 450, uso industrial</t>
        </is>
      </c>
      <c r="F44" s="5" t="inlineStr">
        <is>
          <t>Hormigón puesto en obra; no incluye bombeo ni colocación</t>
        </is>
      </c>
      <c r="G44" s="5" t="inlineStr"/>
      <c r="H44" s="7" t="inlineStr">
        <is>
          <t>m³</t>
        </is>
      </c>
      <c r="I44" s="7" t="inlineStr">
        <is>
          <t>Estructura</t>
        </is>
      </c>
      <c r="J44" s="7" t="inlineStr">
        <is>
          <t>premium</t>
        </is>
      </c>
      <c r="K44" s="7" t="inlineStr">
        <is>
          <t>nacional</t>
        </is>
      </c>
      <c r="L44" s="7" t="inlineStr">
        <is>
          <t>Estimado</t>
        </is>
      </c>
      <c r="M44" s="8" t="n">
        <v>0</v>
      </c>
      <c r="N44" s="9" t="n">
        <v>10500</v>
      </c>
      <c r="O44" s="9" t="n">
        <v>9500</v>
      </c>
      <c r="P44" s="9" t="n">
        <v>11800</v>
      </c>
      <c r="Q44" s="7" t="inlineStr">
        <is>
          <t>No</t>
        </is>
      </c>
      <c r="R44" s="9">
        <f>IF(N44="","",IF(Q44="Sí",ROUND(N44/1.18,2),N44))</f>
        <v/>
      </c>
      <c r="S44" s="7" t="inlineStr">
        <is>
          <t>2026-09</t>
        </is>
      </c>
      <c r="T44" s="5" t="inlineStr">
        <is>
          <t>Estimación de arranque — pendiente de cotización</t>
        </is>
      </c>
    </row>
    <row r="45">
      <c r="A45" s="7" t="inlineStr">
        <is>
          <t>MAT-03-009</t>
        </is>
      </c>
      <c r="B45" s="7" t="inlineStr">
        <is>
          <t>Materiales</t>
        </is>
      </c>
      <c r="C45" s="7" t="inlineStr">
        <is>
          <t>Hormigón premezclado</t>
        </is>
      </c>
      <c r="D45" s="5" t="inlineStr">
        <is>
          <t>Hormigón premezclado 500 kg/cm²</t>
        </is>
      </c>
      <c r="E45" s="5" t="inlineStr">
        <is>
          <t>F'c 500, uso industrial</t>
        </is>
      </c>
      <c r="F45" s="5" t="inlineStr">
        <is>
          <t>Hormigón puesto en obra; no incluye bombeo ni colocación</t>
        </is>
      </c>
      <c r="G45" s="5" t="inlineStr"/>
      <c r="H45" s="7" t="inlineStr">
        <is>
          <t>m³</t>
        </is>
      </c>
      <c r="I45" s="7" t="inlineStr">
        <is>
          <t>Estructura</t>
        </is>
      </c>
      <c r="J45" s="7" t="inlineStr">
        <is>
          <t>premium</t>
        </is>
      </c>
      <c r="K45" s="7" t="inlineStr">
        <is>
          <t>nacional</t>
        </is>
      </c>
      <c r="L45" s="7" t="inlineStr">
        <is>
          <t>Estimado</t>
        </is>
      </c>
      <c r="M45" s="8" t="n">
        <v>0</v>
      </c>
      <c r="N45" s="9" t="n">
        <v>11400</v>
      </c>
      <c r="O45" s="9" t="n">
        <v>10300</v>
      </c>
      <c r="P45" s="9" t="n">
        <v>12800</v>
      </c>
      <c r="Q45" s="7" t="inlineStr">
        <is>
          <t>No</t>
        </is>
      </c>
      <c r="R45" s="9">
        <f>IF(N45="","",IF(Q45="Sí",ROUND(N45/1.18,2),N45))</f>
        <v/>
      </c>
      <c r="S45" s="7" t="inlineStr">
        <is>
          <t>2026-09</t>
        </is>
      </c>
      <c r="T45" s="5" t="inlineStr">
        <is>
          <t>Estimación de arranque — pendiente de cotización</t>
        </is>
      </c>
    </row>
    <row r="46">
      <c r="A46" s="7" t="inlineStr">
        <is>
          <t>MAT-03-010</t>
        </is>
      </c>
      <c r="B46" s="7" t="inlineStr">
        <is>
          <t>Materiales</t>
        </is>
      </c>
      <c r="C46" s="7" t="inlineStr">
        <is>
          <t>Hormigón premezclado</t>
        </is>
      </c>
      <c r="D46" s="5" t="inlineStr">
        <is>
          <t>Hormigón bombeable 210 kg/cm²</t>
        </is>
      </c>
      <c r="E46" s="5" t="inlineStr">
        <is>
          <t>Diseñado para bombeo</t>
        </is>
      </c>
      <c r="F46" s="5" t="inlineStr">
        <is>
          <t>Hormigón puesto en obra; no incluye bombeo ni colocación</t>
        </is>
      </c>
      <c r="G46" s="5" t="inlineStr"/>
      <c r="H46" s="7" t="inlineStr">
        <is>
          <t>m³</t>
        </is>
      </c>
      <c r="I46" s="7" t="inlineStr">
        <is>
          <t>Estructura</t>
        </is>
      </c>
      <c r="J46" s="7" t="inlineStr">
        <is>
          <t>estandar</t>
        </is>
      </c>
      <c r="K46" s="7" t="inlineStr">
        <is>
          <t>nacional</t>
        </is>
      </c>
      <c r="L46" s="7" t="inlineStr">
        <is>
          <t>Estimado</t>
        </is>
      </c>
      <c r="M46" s="8" t="n">
        <v>0</v>
      </c>
      <c r="N46" s="9" t="n">
        <v>7400</v>
      </c>
      <c r="O46" s="9" t="n">
        <v>6700</v>
      </c>
      <c r="P46" s="9" t="n">
        <v>8300</v>
      </c>
      <c r="Q46" s="7" t="inlineStr">
        <is>
          <t>No</t>
        </is>
      </c>
      <c r="R46" s="9">
        <f>IF(N46="","",IF(Q46="Sí",ROUND(N46/1.18,2),N46))</f>
        <v/>
      </c>
      <c r="S46" s="7" t="inlineStr">
        <is>
          <t>2026-09</t>
        </is>
      </c>
      <c r="T46" s="5" t="inlineStr">
        <is>
          <t>Estimación de arranque — pendiente de cotización</t>
        </is>
      </c>
    </row>
    <row r="47">
      <c r="A47" s="7" t="inlineStr">
        <is>
          <t>MAT-03-011</t>
        </is>
      </c>
      <c r="B47" s="7" t="inlineStr">
        <is>
          <t>Materiales</t>
        </is>
      </c>
      <c r="C47" s="7" t="inlineStr">
        <is>
          <t>Hormigón premezclado</t>
        </is>
      </c>
      <c r="D47" s="5" t="inlineStr">
        <is>
          <t>Bombeo y colocación de hormigón</t>
        </is>
      </c>
      <c r="E47" s="5" t="inlineStr">
        <is>
          <t>Bomba estacionaria o de pluma; verificar mínimo por jornada</t>
        </is>
      </c>
      <c r="F47" s="5" t="inlineStr">
        <is>
          <t>Solo el servicio, sin el hormigón</t>
        </is>
      </c>
      <c r="G47" s="5" t="inlineStr"/>
      <c r="H47" s="7" t="inlineStr">
        <is>
          <t>m³</t>
        </is>
      </c>
      <c r="I47" s="7" t="inlineStr">
        <is>
          <t>Estructura</t>
        </is>
      </c>
      <c r="J47" s="7" t="inlineStr">
        <is>
          <t>estandar</t>
        </is>
      </c>
      <c r="K47" s="7" t="inlineStr">
        <is>
          <t>nacional</t>
        </is>
      </c>
      <c r="L47" s="7" t="inlineStr">
        <is>
          <t>Estimado</t>
        </is>
      </c>
      <c r="M47" s="8" t="n">
        <v>0</v>
      </c>
      <c r="N47" s="9" t="n">
        <v>1150</v>
      </c>
      <c r="O47" s="9" t="n">
        <v>900</v>
      </c>
      <c r="P47" s="9" t="n">
        <v>1500</v>
      </c>
      <c r="Q47" s="7" t="inlineStr">
        <is>
          <t>No</t>
        </is>
      </c>
      <c r="R47" s="9">
        <f>IF(N47="","",IF(Q47="Sí",ROUND(N47/1.18,2),N47))</f>
        <v/>
      </c>
      <c r="S47" s="7" t="inlineStr">
        <is>
          <t>2026-09</t>
        </is>
      </c>
      <c r="T47" s="5" t="inlineStr">
        <is>
          <t>Estimación de arranque — pendiente de cotización</t>
        </is>
      </c>
    </row>
    <row r="48">
      <c r="A48" s="7" t="inlineStr">
        <is>
          <t>MAT-03-012</t>
        </is>
      </c>
      <c r="B48" s="7" t="inlineStr">
        <is>
          <t>Materiales</t>
        </is>
      </c>
      <c r="C48" s="7" t="inlineStr">
        <is>
          <t>Hormigón premezclado</t>
        </is>
      </c>
      <c r="D48" s="5" t="inlineStr">
        <is>
          <t>Instalación de bomba de hormigón</t>
        </is>
      </c>
      <c r="E48" s="5" t="inlineStr">
        <is>
          <t>Cargo único de movilización y montaje del equipo</t>
        </is>
      </c>
      <c r="F48" s="5" t="inlineStr">
        <is>
          <t>Cargo único, aparte del m³ bombeado</t>
        </is>
      </c>
      <c r="G48" s="5" t="inlineStr"/>
      <c r="H48" s="7" t="inlineStr">
        <is>
          <t>unidad</t>
        </is>
      </c>
      <c r="I48" s="7" t="inlineStr">
        <is>
          <t>Estructura</t>
        </is>
      </c>
      <c r="J48" s="7" t="inlineStr">
        <is>
          <t>estandar</t>
        </is>
      </c>
      <c r="K48" s="7" t="inlineStr">
        <is>
          <t>nacional</t>
        </is>
      </c>
      <c r="L48" s="7" t="inlineStr">
        <is>
          <t>Estimado</t>
        </is>
      </c>
      <c r="M48" s="8" t="n">
        <v>0</v>
      </c>
      <c r="N48" s="9" t="n">
        <v>18000</v>
      </c>
      <c r="O48" s="9" t="n">
        <v>12000</v>
      </c>
      <c r="P48" s="9" t="n">
        <v>26000</v>
      </c>
      <c r="Q48" s="7" t="inlineStr">
        <is>
          <t>No</t>
        </is>
      </c>
      <c r="R48" s="9">
        <f>IF(N48="","",IF(Q48="Sí",ROUND(N48/1.18,2),N48))</f>
        <v/>
      </c>
      <c r="S48" s="7" t="inlineStr">
        <is>
          <t>2026-09</t>
        </is>
      </c>
      <c r="T48" s="5" t="inlineStr">
        <is>
          <t>Estimación de arranque — pendiente de cotización</t>
        </is>
      </c>
    </row>
    <row r="49">
      <c r="A49" s="7" t="inlineStr">
        <is>
          <t>MAT-03-013</t>
        </is>
      </c>
      <c r="B49" s="7" t="inlineStr">
        <is>
          <t>Materiales</t>
        </is>
      </c>
      <c r="C49" s="7" t="inlineStr">
        <is>
          <t>Hormigón premezclado</t>
        </is>
      </c>
      <c r="D49" s="5" t="inlineStr">
        <is>
          <t>Relleno fluido (mortero de relleno)</t>
        </is>
      </c>
      <c r="E49" s="5" t="inlineStr">
        <is>
          <t>Relleno de zanjas y vacíos</t>
        </is>
      </c>
      <c r="F49" s="5" t="inlineStr">
        <is>
          <t>Hormigón puesto en obra; no incluye bombeo ni colocación</t>
        </is>
      </c>
      <c r="G49" s="5" t="inlineStr"/>
      <c r="H49" s="7" t="inlineStr">
        <is>
          <t>m³</t>
        </is>
      </c>
      <c r="I49" s="7" t="inlineStr">
        <is>
          <t>Movimiento de tierra</t>
        </is>
      </c>
      <c r="J49" s="7" t="inlineStr">
        <is>
          <t>estandar</t>
        </is>
      </c>
      <c r="K49" s="7" t="inlineStr">
        <is>
          <t>nacional</t>
        </is>
      </c>
      <c r="L49" s="7" t="inlineStr">
        <is>
          <t>Estimado</t>
        </is>
      </c>
      <c r="M49" s="8" t="n">
        <v>0</v>
      </c>
      <c r="N49" s="9" t="n">
        <v>5200</v>
      </c>
      <c r="O49" s="9" t="n">
        <v>4500</v>
      </c>
      <c r="P49" s="9" t="n">
        <v>6000</v>
      </c>
      <c r="Q49" s="7" t="inlineStr">
        <is>
          <t>No</t>
        </is>
      </c>
      <c r="R49" s="9">
        <f>IF(N49="","",IF(Q49="Sí",ROUND(N49/1.18,2),N49))</f>
        <v/>
      </c>
      <c r="S49" s="7" t="inlineStr">
        <is>
          <t>2026-09</t>
        </is>
      </c>
      <c r="T49" s="5" t="inlineStr">
        <is>
          <t>Estimación de arranque — pendiente de cotización</t>
        </is>
      </c>
    </row>
    <row r="50">
      <c r="A50" s="7" t="inlineStr">
        <is>
          <t>MAT-04-001</t>
        </is>
      </c>
      <c r="B50" s="7" t="inlineStr">
        <is>
          <t>Materiales</t>
        </is>
      </c>
      <c r="C50" s="7" t="inlineStr">
        <is>
          <t>Acero de refuerzo y metales</t>
        </is>
      </c>
      <c r="D50" s="5" t="inlineStr">
        <is>
          <t>Varilla corrugada 3/8" x 20 pies</t>
        </is>
      </c>
      <c r="E50" s="5" t="inlineStr">
        <is>
          <t>Grado 60 · ASTM A615 / RTD 458</t>
        </is>
      </c>
      <c r="F50" s="5" t="inlineStr"/>
      <c r="G50" s="5" t="inlineStr"/>
      <c r="H50" s="7" t="inlineStr">
        <is>
          <t>unidad</t>
        </is>
      </c>
      <c r="I50" s="7" t="inlineStr">
        <is>
          <t>Estructura</t>
        </is>
      </c>
      <c r="J50" s="7" t="inlineStr">
        <is>
          <t>estandar</t>
        </is>
      </c>
      <c r="K50" s="7" t="inlineStr">
        <is>
          <t>nacional</t>
        </is>
      </c>
      <c r="L50" s="7" t="inlineStr">
        <is>
          <t>Verificado</t>
        </is>
      </c>
      <c r="M50" s="8" t="n">
        <v>1</v>
      </c>
      <c r="N50" s="9" t="n">
        <v>442.77</v>
      </c>
      <c r="O50" s="9" t="n">
        <v>442.77</v>
      </c>
      <c r="P50" s="9" t="n">
        <v>442.77</v>
      </c>
      <c r="Q50" s="7" t="inlineStr">
        <is>
          <t>Sí</t>
        </is>
      </c>
      <c r="R50" s="9">
        <f>IF(N50="","",IF(Q50="Sí",ROUND(N50/1.18,2),N50))</f>
        <v/>
      </c>
      <c r="S50" s="7" t="inlineStr">
        <is>
          <t>2026-09-08</t>
        </is>
      </c>
      <c r="T50" s="5" t="inlineStr">
        <is>
          <t>1 cotización de proveedores</t>
        </is>
      </c>
    </row>
    <row r="51">
      <c r="A51" s="7" t="inlineStr">
        <is>
          <t>MAT-04-002</t>
        </is>
      </c>
      <c r="B51" s="7" t="inlineStr">
        <is>
          <t>Materiales</t>
        </is>
      </c>
      <c r="C51" s="7" t="inlineStr">
        <is>
          <t>Acero de refuerzo y metales</t>
        </is>
      </c>
      <c r="D51" s="5" t="inlineStr">
        <is>
          <t>Varilla corrugada 1/2" x 20 pies</t>
        </is>
      </c>
      <c r="E51" s="5" t="inlineStr">
        <is>
          <t>Grado 60 · ASTM A615 / RTD 458</t>
        </is>
      </c>
      <c r="F51" s="5" t="inlineStr"/>
      <c r="G51" s="5" t="inlineStr"/>
      <c r="H51" s="7" t="inlineStr">
        <is>
          <t>unidad</t>
        </is>
      </c>
      <c r="I51" s="7" t="inlineStr">
        <is>
          <t>Estructura</t>
        </is>
      </c>
      <c r="J51" s="7" t="inlineStr">
        <is>
          <t>estandar</t>
        </is>
      </c>
      <c r="K51" s="7" t="inlineStr">
        <is>
          <t>nacional</t>
        </is>
      </c>
      <c r="L51" s="7" t="inlineStr">
        <is>
          <t>Estimado</t>
        </is>
      </c>
      <c r="M51" s="8" t="n">
        <v>0</v>
      </c>
      <c r="N51" s="9" t="n">
        <v>590</v>
      </c>
      <c r="O51" s="9" t="n">
        <v>530</v>
      </c>
      <c r="P51" s="9" t="n">
        <v>670</v>
      </c>
      <c r="Q51" s="7" t="inlineStr">
        <is>
          <t>Sí</t>
        </is>
      </c>
      <c r="R51" s="9">
        <f>IF(N51="","",IF(Q51="Sí",ROUND(N51/1.18,2),N51))</f>
        <v/>
      </c>
      <c r="S51" s="7" t="inlineStr">
        <is>
          <t>2026-09</t>
        </is>
      </c>
      <c r="T51" s="5" t="inlineStr">
        <is>
          <t>Estimación de arranque — pendiente de cotización</t>
        </is>
      </c>
    </row>
    <row r="52">
      <c r="A52" s="7" t="inlineStr">
        <is>
          <t>MAT-04-003</t>
        </is>
      </c>
      <c r="B52" s="7" t="inlineStr">
        <is>
          <t>Materiales</t>
        </is>
      </c>
      <c r="C52" s="7" t="inlineStr">
        <is>
          <t>Acero de refuerzo y metales</t>
        </is>
      </c>
      <c r="D52" s="5" t="inlineStr">
        <is>
          <t>Varilla corrugada 5/8" x 20 pies</t>
        </is>
      </c>
      <c r="E52" s="5" t="inlineStr">
        <is>
          <t>Grado 60 · ASTM A615</t>
        </is>
      </c>
      <c r="F52" s="5" t="inlineStr"/>
      <c r="G52" s="5" t="inlineStr"/>
      <c r="H52" s="7" t="inlineStr">
        <is>
          <t>unidad</t>
        </is>
      </c>
      <c r="I52" s="7" t="inlineStr">
        <is>
          <t>Estructura</t>
        </is>
      </c>
      <c r="J52" s="7" t="inlineStr">
        <is>
          <t>estandar</t>
        </is>
      </c>
      <c r="K52" s="7" t="inlineStr">
        <is>
          <t>nacional</t>
        </is>
      </c>
      <c r="L52" s="7" t="inlineStr">
        <is>
          <t>Estimado</t>
        </is>
      </c>
      <c r="M52" s="8" t="n">
        <v>0</v>
      </c>
      <c r="N52" s="9" t="n">
        <v>930</v>
      </c>
      <c r="O52" s="9" t="n">
        <v>840</v>
      </c>
      <c r="P52" s="9" t="n">
        <v>1060</v>
      </c>
      <c r="Q52" s="7" t="inlineStr">
        <is>
          <t>Sí</t>
        </is>
      </c>
      <c r="R52" s="9">
        <f>IF(N52="","",IF(Q52="Sí",ROUND(N52/1.18,2),N52))</f>
        <v/>
      </c>
      <c r="S52" s="7" t="inlineStr">
        <is>
          <t>2026-09</t>
        </is>
      </c>
      <c r="T52" s="5" t="inlineStr">
        <is>
          <t>Estimación de arranque — pendiente de cotización</t>
        </is>
      </c>
    </row>
    <row r="53">
      <c r="A53" s="7" t="inlineStr">
        <is>
          <t>MAT-04-004</t>
        </is>
      </c>
      <c r="B53" s="7" t="inlineStr">
        <is>
          <t>Materiales</t>
        </is>
      </c>
      <c r="C53" s="7" t="inlineStr">
        <is>
          <t>Acero de refuerzo y metales</t>
        </is>
      </c>
      <c r="D53" s="5" t="inlineStr">
        <is>
          <t>Varilla corrugada 3/4" x 20 pies</t>
        </is>
      </c>
      <c r="E53" s="5" t="inlineStr">
        <is>
          <t>Grado 60 · ASTM A615</t>
        </is>
      </c>
      <c r="F53" s="5" t="inlineStr"/>
      <c r="G53" s="5" t="inlineStr"/>
      <c r="H53" s="7" t="inlineStr">
        <is>
          <t>unidad</t>
        </is>
      </c>
      <c r="I53" s="7" t="inlineStr">
        <is>
          <t>Estructura</t>
        </is>
      </c>
      <c r="J53" s="7" t="inlineStr">
        <is>
          <t>estandar</t>
        </is>
      </c>
      <c r="K53" s="7" t="inlineStr">
        <is>
          <t>nacional</t>
        </is>
      </c>
      <c r="L53" s="7" t="inlineStr">
        <is>
          <t>Estimado</t>
        </is>
      </c>
      <c r="M53" s="8" t="n">
        <v>0</v>
      </c>
      <c r="N53" s="9" t="n">
        <v>1340</v>
      </c>
      <c r="O53" s="9" t="n">
        <v>1200</v>
      </c>
      <c r="P53" s="9" t="n">
        <v>1520</v>
      </c>
      <c r="Q53" s="7" t="inlineStr">
        <is>
          <t>Sí</t>
        </is>
      </c>
      <c r="R53" s="9">
        <f>IF(N53="","",IF(Q53="Sí",ROUND(N53/1.18,2),N53))</f>
        <v/>
      </c>
      <c r="S53" s="7" t="inlineStr">
        <is>
          <t>2026-09</t>
        </is>
      </c>
      <c r="T53" s="5" t="inlineStr">
        <is>
          <t>Estimación de arranque — pendiente de cotización</t>
        </is>
      </c>
    </row>
    <row r="54">
      <c r="A54" s="7" t="inlineStr">
        <is>
          <t>MAT-04-005</t>
        </is>
      </c>
      <c r="B54" s="7" t="inlineStr">
        <is>
          <t>Materiales</t>
        </is>
      </c>
      <c r="C54" s="7" t="inlineStr">
        <is>
          <t>Acero de refuerzo y metales</t>
        </is>
      </c>
      <c r="D54" s="5" t="inlineStr">
        <is>
          <t>Varilla corrugada 1" x 20 pies</t>
        </is>
      </c>
      <c r="E54" s="5" t="inlineStr">
        <is>
          <t>Grado 60 · ASTM A615</t>
        </is>
      </c>
      <c r="F54" s="5" t="inlineStr"/>
      <c r="G54" s="5" t="inlineStr"/>
      <c r="H54" s="7" t="inlineStr">
        <is>
          <t>unidad</t>
        </is>
      </c>
      <c r="I54" s="7" t="inlineStr">
        <is>
          <t>Estructura</t>
        </is>
      </c>
      <c r="J54" s="7" t="inlineStr">
        <is>
          <t>estandar</t>
        </is>
      </c>
      <c r="K54" s="7" t="inlineStr">
        <is>
          <t>nacional</t>
        </is>
      </c>
      <c r="L54" s="7" t="inlineStr">
        <is>
          <t>Estimado</t>
        </is>
      </c>
      <c r="M54" s="8" t="n">
        <v>0</v>
      </c>
      <c r="N54" s="9" t="n">
        <v>2380</v>
      </c>
      <c r="O54" s="9" t="n">
        <v>2150</v>
      </c>
      <c r="P54" s="9" t="n">
        <v>2700</v>
      </c>
      <c r="Q54" s="7" t="inlineStr">
        <is>
          <t>Sí</t>
        </is>
      </c>
      <c r="R54" s="9">
        <f>IF(N54="","",IF(Q54="Sí",ROUND(N54/1.18,2),N54))</f>
        <v/>
      </c>
      <c r="S54" s="7" t="inlineStr">
        <is>
          <t>2026-09</t>
        </is>
      </c>
      <c r="T54" s="5" t="inlineStr">
        <is>
          <t>Estimación de arranque — pendiente de cotización</t>
        </is>
      </c>
    </row>
    <row r="55">
      <c r="A55" s="7" t="inlineStr">
        <is>
          <t>MAT-04-006</t>
        </is>
      </c>
      <c r="B55" s="7" t="inlineStr">
        <is>
          <t>Materiales</t>
        </is>
      </c>
      <c r="C55" s="7" t="inlineStr">
        <is>
          <t>Acero de refuerzo y metales</t>
        </is>
      </c>
      <c r="D55" s="5" t="inlineStr">
        <is>
          <t>Varilla corrugada 1/2" x 30 pies</t>
        </is>
      </c>
      <c r="E55" s="5" t="inlineStr">
        <is>
          <t>Grado 60, largo comercial 30'</t>
        </is>
      </c>
      <c r="F55" s="5" t="inlineStr"/>
      <c r="G55" s="5" t="inlineStr"/>
      <c r="H55" s="7" t="inlineStr">
        <is>
          <t>unidad</t>
        </is>
      </c>
      <c r="I55" s="7" t="inlineStr">
        <is>
          <t>Estructura</t>
        </is>
      </c>
      <c r="J55" s="7" t="inlineStr">
        <is>
          <t>estandar</t>
        </is>
      </c>
      <c r="K55" s="7" t="inlineStr">
        <is>
          <t>nacional</t>
        </is>
      </c>
      <c r="L55" s="7" t="inlineStr">
        <is>
          <t>Estimado</t>
        </is>
      </c>
      <c r="M55" s="8" t="n">
        <v>0</v>
      </c>
      <c r="N55" s="9" t="n">
        <v>885</v>
      </c>
      <c r="O55" s="9" t="n">
        <v>800</v>
      </c>
      <c r="P55" s="9" t="n">
        <v>1010</v>
      </c>
      <c r="Q55" s="7" t="inlineStr">
        <is>
          <t>Sí</t>
        </is>
      </c>
      <c r="R55" s="9">
        <f>IF(N55="","",IF(Q55="Sí",ROUND(N55/1.18,2),N55))</f>
        <v/>
      </c>
      <c r="S55" s="7" t="inlineStr">
        <is>
          <t>2026-09</t>
        </is>
      </c>
      <c r="T55" s="5" t="inlineStr">
        <is>
          <t>Estimación de arranque — pendiente de cotización</t>
        </is>
      </c>
    </row>
    <row r="56">
      <c r="A56" s="7" t="inlineStr">
        <is>
          <t>MAT-04-007</t>
        </is>
      </c>
      <c r="B56" s="7" t="inlineStr">
        <is>
          <t>Materiales</t>
        </is>
      </c>
      <c r="C56" s="7" t="inlineStr">
        <is>
          <t>Acero de refuerzo y metales</t>
        </is>
      </c>
      <c r="D56" s="5" t="inlineStr">
        <is>
          <t>Malla electrosoldada 6x6 10/10, plancha</t>
        </is>
      </c>
      <c r="E56" s="5" t="inlineStr">
        <is>
          <t>Plancha 2.20 x 6.00 m</t>
        </is>
      </c>
      <c r="F56" s="5" t="inlineStr"/>
      <c r="G56" s="5" t="inlineStr">
        <is>
          <t>malla de piso</t>
        </is>
      </c>
      <c r="H56" s="7" t="inlineStr">
        <is>
          <t>plancha</t>
        </is>
      </c>
      <c r="I56" s="7" t="inlineStr">
        <is>
          <t>Estructura</t>
        </is>
      </c>
      <c r="J56" s="7" t="inlineStr">
        <is>
          <t>estandar</t>
        </is>
      </c>
      <c r="K56" s="7" t="inlineStr">
        <is>
          <t>nacional</t>
        </is>
      </c>
      <c r="L56" s="7" t="inlineStr">
        <is>
          <t>Estimado</t>
        </is>
      </c>
      <c r="M56" s="8" t="n">
        <v>0</v>
      </c>
      <c r="N56" s="9" t="n">
        <v>2650</v>
      </c>
      <c r="O56" s="9" t="n">
        <v>2300</v>
      </c>
      <c r="P56" s="9" t="n">
        <v>3100</v>
      </c>
      <c r="Q56" s="7" t="inlineStr">
        <is>
          <t>Sí</t>
        </is>
      </c>
      <c r="R56" s="9">
        <f>IF(N56="","",IF(Q56="Sí",ROUND(N56/1.18,2),N56))</f>
        <v/>
      </c>
      <c r="S56" s="7" t="inlineStr">
        <is>
          <t>2026-09</t>
        </is>
      </c>
      <c r="T56" s="5" t="inlineStr">
        <is>
          <t>Estimación de arranque — pendiente de cotización</t>
        </is>
      </c>
    </row>
    <row r="57">
      <c r="A57" s="7" t="inlineStr">
        <is>
          <t>MAT-04-008</t>
        </is>
      </c>
      <c r="B57" s="7" t="inlineStr">
        <is>
          <t>Materiales</t>
        </is>
      </c>
      <c r="C57" s="7" t="inlineStr">
        <is>
          <t>Acero de refuerzo y metales</t>
        </is>
      </c>
      <c r="D57" s="5" t="inlineStr">
        <is>
          <t>Malla electrosoldada D2.3, retícula 10 x 10, rollo</t>
        </is>
      </c>
      <c r="E57" s="5" t="inlineStr">
        <is>
          <t>Rollo 2.40 x 40 m</t>
        </is>
      </c>
      <c r="F57" s="5" t="inlineStr"/>
      <c r="G57" s="5" t="inlineStr"/>
      <c r="H57" s="7" t="inlineStr">
        <is>
          <t>rollo</t>
        </is>
      </c>
      <c r="I57" s="7" t="inlineStr">
        <is>
          <t>Estructura</t>
        </is>
      </c>
      <c r="J57" s="7" t="inlineStr">
        <is>
          <t>estandar</t>
        </is>
      </c>
      <c r="K57" s="7" t="inlineStr">
        <is>
          <t>nacional</t>
        </is>
      </c>
      <c r="L57" s="7" t="inlineStr">
        <is>
          <t>Verificado</t>
        </is>
      </c>
      <c r="M57" s="8" t="n">
        <v>1</v>
      </c>
      <c r="N57" s="9" t="n">
        <v>17130.85</v>
      </c>
      <c r="O57" s="9" t="n">
        <v>17130.85</v>
      </c>
      <c r="P57" s="9" t="n">
        <v>17130.85</v>
      </c>
      <c r="Q57" s="7" t="inlineStr">
        <is>
          <t>Sí</t>
        </is>
      </c>
      <c r="R57" s="9">
        <f>IF(N57="","",IF(Q57="Sí",ROUND(N57/1.18,2),N57))</f>
        <v/>
      </c>
      <c r="S57" s="7" t="inlineStr">
        <is>
          <t>2026-09-09</t>
        </is>
      </c>
      <c r="T57" s="5" t="inlineStr">
        <is>
          <t>1 cotización de proveedores</t>
        </is>
      </c>
    </row>
    <row r="58">
      <c r="A58" s="7" t="inlineStr">
        <is>
          <t>MAT-04-009</t>
        </is>
      </c>
      <c r="B58" s="7" t="inlineStr">
        <is>
          <t>Materiales</t>
        </is>
      </c>
      <c r="C58" s="7" t="inlineStr">
        <is>
          <t>Acero de refuerzo y metales</t>
        </is>
      </c>
      <c r="D58" s="5" t="inlineStr">
        <is>
          <t>Malla electrosoldada D2.3, retícula 15 x 15, rollo</t>
        </is>
      </c>
      <c r="E58" s="5" t="inlineStr">
        <is>
          <t>Rollo 2.40 x 40 m</t>
        </is>
      </c>
      <c r="F58" s="5" t="inlineStr"/>
      <c r="G58" s="5" t="inlineStr"/>
      <c r="H58" s="7" t="inlineStr">
        <is>
          <t>rollo</t>
        </is>
      </c>
      <c r="I58" s="7" t="inlineStr">
        <is>
          <t>Estructura</t>
        </is>
      </c>
      <c r="J58" s="7" t="inlineStr">
        <is>
          <t>estandar</t>
        </is>
      </c>
      <c r="K58" s="7" t="inlineStr">
        <is>
          <t>nacional</t>
        </is>
      </c>
      <c r="L58" s="7" t="inlineStr">
        <is>
          <t>Estimado</t>
        </is>
      </c>
      <c r="M58" s="8" t="n">
        <v>0</v>
      </c>
      <c r="N58" s="9" t="n">
        <v>18500</v>
      </c>
      <c r="O58" s="9" t="n">
        <v>15000</v>
      </c>
      <c r="P58" s="9" t="n">
        <v>23000</v>
      </c>
      <c r="Q58" s="7" t="inlineStr">
        <is>
          <t>Sí</t>
        </is>
      </c>
      <c r="R58" s="9">
        <f>IF(N58="","",IF(Q58="Sí",ROUND(N58/1.18,2),N58))</f>
        <v/>
      </c>
      <c r="S58" s="7" t="inlineStr">
        <is>
          <t>2026-09</t>
        </is>
      </c>
      <c r="T58" s="5" t="inlineStr">
        <is>
          <t>Estimación de arranque — pendiente de cotización</t>
        </is>
      </c>
    </row>
    <row r="59">
      <c r="A59" s="7" t="inlineStr">
        <is>
          <t>MAT-04-010</t>
        </is>
      </c>
      <c r="B59" s="7" t="inlineStr">
        <is>
          <t>Materiales</t>
        </is>
      </c>
      <c r="C59" s="7" t="inlineStr">
        <is>
          <t>Acero de refuerzo y metales</t>
        </is>
      </c>
      <c r="D59" s="5" t="inlineStr">
        <is>
          <t>Malla electrosoldada D2.3, retícula 20 x 20, rollo</t>
        </is>
      </c>
      <c r="E59" s="5" t="inlineStr">
        <is>
          <t>Rollo 2.40 x 40 m</t>
        </is>
      </c>
      <c r="F59" s="5" t="inlineStr"/>
      <c r="G59" s="5" t="inlineStr"/>
      <c r="H59" s="7" t="inlineStr">
        <is>
          <t>rollo</t>
        </is>
      </c>
      <c r="I59" s="7" t="inlineStr">
        <is>
          <t>Estructura</t>
        </is>
      </c>
      <c r="J59" s="7" t="inlineStr">
        <is>
          <t>estandar</t>
        </is>
      </c>
      <c r="K59" s="7" t="inlineStr">
        <is>
          <t>nacional</t>
        </is>
      </c>
      <c r="L59" s="7" t="inlineStr">
        <is>
          <t>Estimado</t>
        </is>
      </c>
      <c r="M59" s="8" t="n">
        <v>0</v>
      </c>
      <c r="N59" s="9" t="n">
        <v>15000</v>
      </c>
      <c r="O59" s="9" t="n">
        <v>12000</v>
      </c>
      <c r="P59" s="9" t="n">
        <v>19000</v>
      </c>
      <c r="Q59" s="7" t="inlineStr">
        <is>
          <t>Sí</t>
        </is>
      </c>
      <c r="R59" s="9">
        <f>IF(N59="","",IF(Q59="Sí",ROUND(N59/1.18,2),N59))</f>
        <v/>
      </c>
      <c r="S59" s="7" t="inlineStr">
        <is>
          <t>2026-09</t>
        </is>
      </c>
      <c r="T59" s="5" t="inlineStr">
        <is>
          <t>Estimación de arranque — pendiente de cotización</t>
        </is>
      </c>
    </row>
    <row r="60">
      <c r="A60" s="7" t="inlineStr">
        <is>
          <t>MAT-04-011</t>
        </is>
      </c>
      <c r="B60" s="7" t="inlineStr">
        <is>
          <t>Materiales</t>
        </is>
      </c>
      <c r="C60" s="7" t="inlineStr">
        <is>
          <t>Acero de refuerzo y metales</t>
        </is>
      </c>
      <c r="D60" s="5" t="inlineStr">
        <is>
          <t>Malla electrosoldada D2.5, retícula 10 x 10, rollo</t>
        </is>
      </c>
      <c r="E60" s="5" t="inlineStr">
        <is>
          <t>Rollo 2.40 x 40 m</t>
        </is>
      </c>
      <c r="F60" s="5" t="inlineStr"/>
      <c r="G60" s="5" t="inlineStr"/>
      <c r="H60" s="7" t="inlineStr">
        <is>
          <t>rollo</t>
        </is>
      </c>
      <c r="I60" s="7" t="inlineStr">
        <is>
          <t>Estructura</t>
        </is>
      </c>
      <c r="J60" s="7" t="inlineStr">
        <is>
          <t>estandar</t>
        </is>
      </c>
      <c r="K60" s="7" t="inlineStr">
        <is>
          <t>nacional</t>
        </is>
      </c>
      <c r="L60" s="7" t="inlineStr">
        <is>
          <t>Estimado</t>
        </is>
      </c>
      <c r="M60" s="8" t="n">
        <v>0</v>
      </c>
      <c r="N60" s="9" t="n">
        <v>28500</v>
      </c>
      <c r="O60" s="9" t="n">
        <v>23000</v>
      </c>
      <c r="P60" s="9" t="n">
        <v>35000</v>
      </c>
      <c r="Q60" s="7" t="inlineStr">
        <is>
          <t>Sí</t>
        </is>
      </c>
      <c r="R60" s="9">
        <f>IF(N60="","",IF(Q60="Sí",ROUND(N60/1.18,2),N60))</f>
        <v/>
      </c>
      <c r="S60" s="7" t="inlineStr">
        <is>
          <t>2026-09</t>
        </is>
      </c>
      <c r="T60" s="5" t="inlineStr">
        <is>
          <t>Estimación de arranque — pendiente de cotización</t>
        </is>
      </c>
    </row>
    <row r="61">
      <c r="A61" s="7" t="inlineStr">
        <is>
          <t>MAT-04-012</t>
        </is>
      </c>
      <c r="B61" s="7" t="inlineStr">
        <is>
          <t>Materiales</t>
        </is>
      </c>
      <c r="C61" s="7" t="inlineStr">
        <is>
          <t>Acero de refuerzo y metales</t>
        </is>
      </c>
      <c r="D61" s="5" t="inlineStr">
        <is>
          <t>Malla electrosoldada D2.5, retícula 15 x 15, rollo</t>
        </is>
      </c>
      <c r="E61" s="5" t="inlineStr">
        <is>
          <t>Rollo 2.40 x 40 m</t>
        </is>
      </c>
      <c r="F61" s="5" t="inlineStr"/>
      <c r="G61" s="5" t="inlineStr"/>
      <c r="H61" s="7" t="inlineStr">
        <is>
          <t>rollo</t>
        </is>
      </c>
      <c r="I61" s="7" t="inlineStr">
        <is>
          <t>Estructura</t>
        </is>
      </c>
      <c r="J61" s="7" t="inlineStr">
        <is>
          <t>estandar</t>
        </is>
      </c>
      <c r="K61" s="7" t="inlineStr">
        <is>
          <t>nacional</t>
        </is>
      </c>
      <c r="L61" s="7" t="inlineStr">
        <is>
          <t>Estimado</t>
        </is>
      </c>
      <c r="M61" s="8" t="n">
        <v>0</v>
      </c>
      <c r="N61" s="9" t="n">
        <v>21500</v>
      </c>
      <c r="O61" s="9" t="n">
        <v>17500</v>
      </c>
      <c r="P61" s="9" t="n">
        <v>27000</v>
      </c>
      <c r="Q61" s="7" t="inlineStr">
        <is>
          <t>Sí</t>
        </is>
      </c>
      <c r="R61" s="9">
        <f>IF(N61="","",IF(Q61="Sí",ROUND(N61/1.18,2),N61))</f>
        <v/>
      </c>
      <c r="S61" s="7" t="inlineStr">
        <is>
          <t>2026-09</t>
        </is>
      </c>
      <c r="T61" s="5" t="inlineStr">
        <is>
          <t>Estimación de arranque — pendiente de cotización</t>
        </is>
      </c>
    </row>
    <row r="62">
      <c r="A62" s="7" t="inlineStr">
        <is>
          <t>MAT-04-013</t>
        </is>
      </c>
      <c r="B62" s="7" t="inlineStr">
        <is>
          <t>Materiales</t>
        </is>
      </c>
      <c r="C62" s="7" t="inlineStr">
        <is>
          <t>Acero de refuerzo y metales</t>
        </is>
      </c>
      <c r="D62" s="5" t="inlineStr">
        <is>
          <t>Malla electrosoldada D2.5, retícula 20 x 20, rollo</t>
        </is>
      </c>
      <c r="E62" s="5" t="inlineStr">
        <is>
          <t>Rollo 2.40 x 40 m</t>
        </is>
      </c>
      <c r="F62" s="5" t="inlineStr"/>
      <c r="G62" s="5" t="inlineStr"/>
      <c r="H62" s="7" t="inlineStr">
        <is>
          <t>rollo</t>
        </is>
      </c>
      <c r="I62" s="7" t="inlineStr">
        <is>
          <t>Estructura</t>
        </is>
      </c>
      <c r="J62" s="7" t="inlineStr">
        <is>
          <t>estandar</t>
        </is>
      </c>
      <c r="K62" s="7" t="inlineStr">
        <is>
          <t>nacional</t>
        </is>
      </c>
      <c r="L62" s="7" t="inlineStr">
        <is>
          <t>Estimado</t>
        </is>
      </c>
      <c r="M62" s="8" t="n">
        <v>0</v>
      </c>
      <c r="N62" s="9" t="n">
        <v>17500</v>
      </c>
      <c r="O62" s="9" t="n">
        <v>14000</v>
      </c>
      <c r="P62" s="9" t="n">
        <v>22000</v>
      </c>
      <c r="Q62" s="7" t="inlineStr">
        <is>
          <t>Sí</t>
        </is>
      </c>
      <c r="R62" s="9">
        <f>IF(N62="","",IF(Q62="Sí",ROUND(N62/1.18,2),N62))</f>
        <v/>
      </c>
      <c r="S62" s="7" t="inlineStr">
        <is>
          <t>2026-09</t>
        </is>
      </c>
      <c r="T62" s="5" t="inlineStr">
        <is>
          <t>Estimación de arranque — pendiente de cotización</t>
        </is>
      </c>
    </row>
    <row r="63">
      <c r="A63" s="7" t="inlineStr">
        <is>
          <t>MAT-04-014</t>
        </is>
      </c>
      <c r="B63" s="7" t="inlineStr">
        <is>
          <t>Materiales</t>
        </is>
      </c>
      <c r="C63" s="7" t="inlineStr">
        <is>
          <t>Acero de refuerzo y metales</t>
        </is>
      </c>
      <c r="D63" s="5" t="inlineStr">
        <is>
          <t>Malla electrosoldada D2.7, retícula 10 x 10, rollo</t>
        </is>
      </c>
      <c r="E63" s="5" t="inlineStr">
        <is>
          <t>Rollo 2.40 x 40 m</t>
        </is>
      </c>
      <c r="F63" s="5" t="inlineStr"/>
      <c r="G63" s="5" t="inlineStr"/>
      <c r="H63" s="7" t="inlineStr">
        <is>
          <t>rollo</t>
        </is>
      </c>
      <c r="I63" s="7" t="inlineStr">
        <is>
          <t>Estructura</t>
        </is>
      </c>
      <c r="J63" s="7" t="inlineStr">
        <is>
          <t>estandar</t>
        </is>
      </c>
      <c r="K63" s="7" t="inlineStr">
        <is>
          <t>nacional</t>
        </is>
      </c>
      <c r="L63" s="7" t="inlineStr">
        <is>
          <t>Verificado</t>
        </is>
      </c>
      <c r="M63" s="8" t="n">
        <v>1</v>
      </c>
      <c r="N63" s="9" t="n">
        <v>20629.26</v>
      </c>
      <c r="O63" s="9" t="n">
        <v>20629.26</v>
      </c>
      <c r="P63" s="9" t="n">
        <v>20629.26</v>
      </c>
      <c r="Q63" s="7" t="inlineStr">
        <is>
          <t>Sí</t>
        </is>
      </c>
      <c r="R63" s="9">
        <f>IF(N63="","",IF(Q63="Sí",ROUND(N63/1.18,2),N63))</f>
        <v/>
      </c>
      <c r="S63" s="7" t="inlineStr">
        <is>
          <t>2026-09-09</t>
        </is>
      </c>
      <c r="T63" s="5" t="inlineStr">
        <is>
          <t>1 cotización de proveedores</t>
        </is>
      </c>
    </row>
    <row r="64">
      <c r="A64" s="7" t="inlineStr">
        <is>
          <t>MAT-04-015</t>
        </is>
      </c>
      <c r="B64" s="7" t="inlineStr">
        <is>
          <t>Materiales</t>
        </is>
      </c>
      <c r="C64" s="7" t="inlineStr">
        <is>
          <t>Acero de refuerzo y metales</t>
        </is>
      </c>
      <c r="D64" s="5" t="inlineStr">
        <is>
          <t>Malla electrosoldada D2.7, retícula 15 x 15, rollo</t>
        </is>
      </c>
      <c r="E64" s="5" t="inlineStr">
        <is>
          <t>Rollo 2.40 x 40 m</t>
        </is>
      </c>
      <c r="F64" s="5" t="inlineStr"/>
      <c r="G64" s="5" t="inlineStr"/>
      <c r="H64" s="7" t="inlineStr">
        <is>
          <t>rollo</t>
        </is>
      </c>
      <c r="I64" s="7" t="inlineStr">
        <is>
          <t>Estructura</t>
        </is>
      </c>
      <c r="J64" s="7" t="inlineStr">
        <is>
          <t>estandar</t>
        </is>
      </c>
      <c r="K64" s="7" t="inlineStr">
        <is>
          <t>nacional</t>
        </is>
      </c>
      <c r="L64" s="7" t="inlineStr">
        <is>
          <t>Estimado</t>
        </is>
      </c>
      <c r="M64" s="8" t="n">
        <v>0</v>
      </c>
      <c r="N64" s="9" t="n">
        <v>24500</v>
      </c>
      <c r="O64" s="9" t="n">
        <v>20000</v>
      </c>
      <c r="P64" s="9" t="n">
        <v>30000</v>
      </c>
      <c r="Q64" s="7" t="inlineStr">
        <is>
          <t>Sí</t>
        </is>
      </c>
      <c r="R64" s="9">
        <f>IF(N64="","",IF(Q64="Sí",ROUND(N64/1.18,2),N64))</f>
        <v/>
      </c>
      <c r="S64" s="7" t="inlineStr">
        <is>
          <t>2026-09</t>
        </is>
      </c>
      <c r="T64" s="5" t="inlineStr">
        <is>
          <t>Estimación de arranque — pendiente de cotización</t>
        </is>
      </c>
    </row>
    <row r="65">
      <c r="A65" s="7" t="inlineStr">
        <is>
          <t>MAT-04-016</t>
        </is>
      </c>
      <c r="B65" s="7" t="inlineStr">
        <is>
          <t>Materiales</t>
        </is>
      </c>
      <c r="C65" s="7" t="inlineStr">
        <is>
          <t>Acero de refuerzo y metales</t>
        </is>
      </c>
      <c r="D65" s="5" t="inlineStr">
        <is>
          <t>Malla electrosoldada D2.9, retícula 10 x 10, rollo</t>
        </is>
      </c>
      <c r="E65" s="5" t="inlineStr">
        <is>
          <t>Rollo 2.40 x 40 m</t>
        </is>
      </c>
      <c r="F65" s="5" t="inlineStr"/>
      <c r="G65" s="5" t="inlineStr"/>
      <c r="H65" s="7" t="inlineStr">
        <is>
          <t>rollo</t>
        </is>
      </c>
      <c r="I65" s="7" t="inlineStr">
        <is>
          <t>Estructura</t>
        </is>
      </c>
      <c r="J65" s="7" t="inlineStr">
        <is>
          <t>estandar</t>
        </is>
      </c>
      <c r="K65" s="7" t="inlineStr">
        <is>
          <t>nacional</t>
        </is>
      </c>
      <c r="L65" s="7" t="inlineStr">
        <is>
          <t>Estimado</t>
        </is>
      </c>
      <c r="M65" s="8" t="n">
        <v>0</v>
      </c>
      <c r="N65" s="9" t="n">
        <v>37000</v>
      </c>
      <c r="O65" s="9" t="n">
        <v>30000</v>
      </c>
      <c r="P65" s="9" t="n">
        <v>46000</v>
      </c>
      <c r="Q65" s="7" t="inlineStr">
        <is>
          <t>Sí</t>
        </is>
      </c>
      <c r="R65" s="9">
        <f>IF(N65="","",IF(Q65="Sí",ROUND(N65/1.18,2),N65))</f>
        <v/>
      </c>
      <c r="S65" s="7" t="inlineStr">
        <is>
          <t>2026-09</t>
        </is>
      </c>
      <c r="T65" s="5" t="inlineStr">
        <is>
          <t>Estimación de arranque — pendiente de cotización</t>
        </is>
      </c>
    </row>
    <row r="66">
      <c r="A66" s="7" t="inlineStr">
        <is>
          <t>MAT-04-017</t>
        </is>
      </c>
      <c r="B66" s="7" t="inlineStr">
        <is>
          <t>Materiales</t>
        </is>
      </c>
      <c r="C66" s="7" t="inlineStr">
        <is>
          <t>Acero de refuerzo y metales</t>
        </is>
      </c>
      <c r="D66" s="5" t="inlineStr">
        <is>
          <t>Malla electrosoldada D2.9, retícula 15 x 15, rollo</t>
        </is>
      </c>
      <c r="E66" s="5" t="inlineStr">
        <is>
          <t>Rollo 2.40 x 40 m</t>
        </is>
      </c>
      <c r="F66" s="5" t="inlineStr"/>
      <c r="G66" s="5" t="inlineStr"/>
      <c r="H66" s="7" t="inlineStr">
        <is>
          <t>rollo</t>
        </is>
      </c>
      <c r="I66" s="7" t="inlineStr">
        <is>
          <t>Estructura</t>
        </is>
      </c>
      <c r="J66" s="7" t="inlineStr">
        <is>
          <t>estandar</t>
        </is>
      </c>
      <c r="K66" s="7" t="inlineStr">
        <is>
          <t>nacional</t>
        </is>
      </c>
      <c r="L66" s="7" t="inlineStr">
        <is>
          <t>Estimado</t>
        </is>
      </c>
      <c r="M66" s="8" t="n">
        <v>0</v>
      </c>
      <c r="N66" s="9" t="n">
        <v>28000</v>
      </c>
      <c r="O66" s="9" t="n">
        <v>22500</v>
      </c>
      <c r="P66" s="9" t="n">
        <v>35000</v>
      </c>
      <c r="Q66" s="7" t="inlineStr">
        <is>
          <t>Sí</t>
        </is>
      </c>
      <c r="R66" s="9">
        <f>IF(N66="","",IF(Q66="Sí",ROUND(N66/1.18,2),N66))</f>
        <v/>
      </c>
      <c r="S66" s="7" t="inlineStr">
        <is>
          <t>2026-09</t>
        </is>
      </c>
      <c r="T66" s="5" t="inlineStr">
        <is>
          <t>Estimación de arranque — pendiente de cotización</t>
        </is>
      </c>
    </row>
    <row r="67">
      <c r="A67" s="7" t="inlineStr">
        <is>
          <t>MAT-04-018</t>
        </is>
      </c>
      <c r="B67" s="7" t="inlineStr">
        <is>
          <t>Materiales</t>
        </is>
      </c>
      <c r="C67" s="7" t="inlineStr">
        <is>
          <t>Acero de refuerzo y metales</t>
        </is>
      </c>
      <c r="D67" s="5" t="inlineStr">
        <is>
          <t>Malla electrosoldada D2.9, retícula 20 x 20, rollo</t>
        </is>
      </c>
      <c r="E67" s="5" t="inlineStr">
        <is>
          <t>Rollo 2.40 x 40 m</t>
        </is>
      </c>
      <c r="F67" s="5" t="inlineStr"/>
      <c r="G67" s="5" t="inlineStr"/>
      <c r="H67" s="7" t="inlineStr">
        <is>
          <t>rollo</t>
        </is>
      </c>
      <c r="I67" s="7" t="inlineStr">
        <is>
          <t>Estructura</t>
        </is>
      </c>
      <c r="J67" s="7" t="inlineStr">
        <is>
          <t>estandar</t>
        </is>
      </c>
      <c r="K67" s="7" t="inlineStr">
        <is>
          <t>nacional</t>
        </is>
      </c>
      <c r="L67" s="7" t="inlineStr">
        <is>
          <t>Estimado</t>
        </is>
      </c>
      <c r="M67" s="8" t="n">
        <v>0</v>
      </c>
      <c r="N67" s="9" t="n">
        <v>22500</v>
      </c>
      <c r="O67" s="9" t="n">
        <v>18000</v>
      </c>
      <c r="P67" s="9" t="n">
        <v>28000</v>
      </c>
      <c r="Q67" s="7" t="inlineStr">
        <is>
          <t>Sí</t>
        </is>
      </c>
      <c r="R67" s="9">
        <f>IF(N67="","",IF(Q67="Sí",ROUND(N67/1.18,2),N67))</f>
        <v/>
      </c>
      <c r="S67" s="7" t="inlineStr">
        <is>
          <t>2026-09</t>
        </is>
      </c>
      <c r="T67" s="5" t="inlineStr">
        <is>
          <t>Estimación de arranque — pendiente de cotización</t>
        </is>
      </c>
    </row>
    <row r="68">
      <c r="A68" s="7" t="inlineStr">
        <is>
          <t>MAT-04-019</t>
        </is>
      </c>
      <c r="B68" s="7" t="inlineStr">
        <is>
          <t>Materiales</t>
        </is>
      </c>
      <c r="C68" s="7" t="inlineStr">
        <is>
          <t>Acero de refuerzo y metales</t>
        </is>
      </c>
      <c r="D68" s="5" t="inlineStr">
        <is>
          <t>Varilla corrugada, por quintal</t>
        </is>
      </c>
      <c r="E68" s="5" t="inlineStr">
        <is>
          <t>Grado 40-60, de 3/8" a 1", largos de 20 a 30 pies</t>
        </is>
      </c>
      <c r="F68" s="5" t="inlineStr"/>
      <c r="G68" s="5" t="inlineStr">
        <is>
          <t>acero por quintal, varilla por peso</t>
        </is>
      </c>
      <c r="H68" s="7" t="inlineStr">
        <is>
          <t>qq</t>
        </is>
      </c>
      <c r="I68" s="7" t="inlineStr">
        <is>
          <t>Estructura</t>
        </is>
      </c>
      <c r="J68" s="7" t="inlineStr">
        <is>
          <t>estandar</t>
        </is>
      </c>
      <c r="K68" s="7" t="inlineStr">
        <is>
          <t>nacional</t>
        </is>
      </c>
      <c r="L68" s="7" t="inlineStr">
        <is>
          <t>Estimado</t>
        </is>
      </c>
      <c r="M68" s="8" t="n">
        <v>0</v>
      </c>
      <c r="N68" s="9" t="n">
        <v>4450</v>
      </c>
      <c r="O68" s="9" t="n">
        <v>3800</v>
      </c>
      <c r="P68" s="9" t="n">
        <v>5300</v>
      </c>
      <c r="Q68" s="7" t="inlineStr">
        <is>
          <t>Sí</t>
        </is>
      </c>
      <c r="R68" s="9">
        <f>IF(N68="","",IF(Q68="Sí",ROUND(N68/1.18,2),N68))</f>
        <v/>
      </c>
      <c r="S68" s="7" t="inlineStr">
        <is>
          <t>2026-09</t>
        </is>
      </c>
      <c r="T68" s="5" t="inlineStr">
        <is>
          <t>Estimación de arranque — pendiente de cotización</t>
        </is>
      </c>
    </row>
    <row r="69">
      <c r="A69" s="7" t="inlineStr">
        <is>
          <t>MAT-04-020</t>
        </is>
      </c>
      <c r="B69" s="7" t="inlineStr">
        <is>
          <t>Materiales</t>
        </is>
      </c>
      <c r="C69" s="7" t="inlineStr">
        <is>
          <t>Acero de refuerzo y metales</t>
        </is>
      </c>
      <c r="D69" s="5" t="inlineStr">
        <is>
          <t>Alambre dulce de amarre, calibre 16</t>
        </is>
      </c>
      <c r="E69" s="5" t="inlineStr">
        <is>
          <t>Amarre general de acero de refuerzo</t>
        </is>
      </c>
      <c r="F69" s="5" t="inlineStr"/>
      <c r="G69" s="5" t="inlineStr"/>
      <c r="H69" s="7" t="inlineStr">
        <is>
          <t>lb</t>
        </is>
      </c>
      <c r="I69" s="7" t="inlineStr">
        <is>
          <t>Estructura</t>
        </is>
      </c>
      <c r="J69" s="7" t="inlineStr">
        <is>
          <t>estandar</t>
        </is>
      </c>
      <c r="K69" s="7" t="inlineStr">
        <is>
          <t>nacional</t>
        </is>
      </c>
      <c r="L69" s="7" t="inlineStr">
        <is>
          <t>Estimado</t>
        </is>
      </c>
      <c r="M69" s="8" t="n">
        <v>0</v>
      </c>
      <c r="N69" s="9" t="n">
        <v>62</v>
      </c>
      <c r="O69" s="9" t="n">
        <v>52</v>
      </c>
      <c r="P69" s="9" t="n">
        <v>78</v>
      </c>
      <c r="Q69" s="7" t="inlineStr">
        <is>
          <t>Sí</t>
        </is>
      </c>
      <c r="R69" s="9">
        <f>IF(N69="","",IF(Q69="Sí",ROUND(N69/1.18,2),N69))</f>
        <v/>
      </c>
      <c r="S69" s="7" t="inlineStr">
        <is>
          <t>2026-09</t>
        </is>
      </c>
      <c r="T69" s="5" t="inlineStr">
        <is>
          <t>Estimación de arranque — pendiente de cotización</t>
        </is>
      </c>
    </row>
    <row r="70">
      <c r="A70" s="7" t="inlineStr">
        <is>
          <t>MAT-04-021</t>
        </is>
      </c>
      <c r="B70" s="7" t="inlineStr">
        <is>
          <t>Materiales</t>
        </is>
      </c>
      <c r="C70" s="7" t="inlineStr">
        <is>
          <t>Acero de refuerzo y metales</t>
        </is>
      </c>
      <c r="D70" s="5" t="inlineStr">
        <is>
          <t>Alambre galvanizado calibre 18, para varillas</t>
        </is>
      </c>
      <c r="E70" s="5" t="inlineStr">
        <is>
          <t>Amarre de acero de refuerzo</t>
        </is>
      </c>
      <c r="F70" s="5" t="inlineStr"/>
      <c r="G70" s="5" t="inlineStr"/>
      <c r="H70" s="7" t="inlineStr">
        <is>
          <t>lb</t>
        </is>
      </c>
      <c r="I70" s="7" t="inlineStr">
        <is>
          <t>Estructura</t>
        </is>
      </c>
      <c r="J70" s="7" t="inlineStr">
        <is>
          <t>estandar</t>
        </is>
      </c>
      <c r="K70" s="7" t="inlineStr">
        <is>
          <t>nacional</t>
        </is>
      </c>
      <c r="L70" s="7" t="inlineStr">
        <is>
          <t>Verificado</t>
        </is>
      </c>
      <c r="M70" s="8" t="n">
        <v>1</v>
      </c>
      <c r="N70" s="9" t="n">
        <v>62.48</v>
      </c>
      <c r="O70" s="9" t="n">
        <v>62.48</v>
      </c>
      <c r="P70" s="9" t="n">
        <v>62.48</v>
      </c>
      <c r="Q70" s="7" t="inlineStr">
        <is>
          <t>Sí</t>
        </is>
      </c>
      <c r="R70" s="9">
        <f>IF(N70="","",IF(Q70="Sí",ROUND(N70/1.18,2),N70))</f>
        <v/>
      </c>
      <c r="S70" s="7" t="inlineStr">
        <is>
          <t>2026-09-09</t>
        </is>
      </c>
      <c r="T70" s="5" t="inlineStr">
        <is>
          <t>1 cotización de proveedores</t>
        </is>
      </c>
    </row>
    <row r="71">
      <c r="A71" s="7" t="inlineStr">
        <is>
          <t>MAT-04-022</t>
        </is>
      </c>
      <c r="B71" s="7" t="inlineStr">
        <is>
          <t>Materiales</t>
        </is>
      </c>
      <c r="C71" s="7" t="inlineStr">
        <is>
          <t>Acero de refuerzo y metales</t>
        </is>
      </c>
      <c r="D71" s="5" t="inlineStr">
        <is>
          <t>Alambre galvanizado calibre 14, para encofrados</t>
        </is>
      </c>
      <c r="E71" s="5" t="inlineStr">
        <is>
          <t>Amarre de formaleta</t>
        </is>
      </c>
      <c r="F71" s="5" t="inlineStr"/>
      <c r="G71" s="5" t="inlineStr"/>
      <c r="H71" s="7" t="inlineStr">
        <is>
          <t>lb</t>
        </is>
      </c>
      <c r="I71" s="7" t="inlineStr">
        <is>
          <t>Estructura</t>
        </is>
      </c>
      <c r="J71" s="7" t="inlineStr">
        <is>
          <t>estandar</t>
        </is>
      </c>
      <c r="K71" s="7" t="inlineStr">
        <is>
          <t>nacional</t>
        </is>
      </c>
      <c r="L71" s="7" t="inlineStr">
        <is>
          <t>Verificado</t>
        </is>
      </c>
      <c r="M71" s="8" t="n">
        <v>1</v>
      </c>
      <c r="N71" s="9" t="n">
        <v>61.12</v>
      </c>
      <c r="O71" s="9" t="n">
        <v>61.12</v>
      </c>
      <c r="P71" s="9" t="n">
        <v>61.12</v>
      </c>
      <c r="Q71" s="7" t="inlineStr">
        <is>
          <t>Sí</t>
        </is>
      </c>
      <c r="R71" s="9">
        <f>IF(N71="","",IF(Q71="Sí",ROUND(N71/1.18,2),N71))</f>
        <v/>
      </c>
      <c r="S71" s="7" t="inlineStr">
        <is>
          <t>2026-09-09</t>
        </is>
      </c>
      <c r="T71" s="5" t="inlineStr">
        <is>
          <t>1 cotización de proveedores</t>
        </is>
      </c>
    </row>
    <row r="72">
      <c r="A72" s="7" t="inlineStr">
        <is>
          <t>MAT-04-023</t>
        </is>
      </c>
      <c r="B72" s="7" t="inlineStr">
        <is>
          <t>Materiales</t>
        </is>
      </c>
      <c r="C72" s="7" t="inlineStr">
        <is>
          <t>Acero de refuerzo y metales</t>
        </is>
      </c>
      <c r="D72" s="5" t="inlineStr">
        <is>
          <t>Angular 1 1/2" x 1/8" x 20 pies</t>
        </is>
      </c>
      <c r="E72" s="5" t="inlineStr">
        <is>
          <t>Perfil L de acero negro</t>
        </is>
      </c>
      <c r="F72" s="5" t="inlineStr"/>
      <c r="G72" s="5" t="inlineStr"/>
      <c r="H72" s="7" t="inlineStr">
        <is>
          <t>unidad</t>
        </is>
      </c>
      <c r="I72" s="7" t="inlineStr">
        <is>
          <t>Estructura</t>
        </is>
      </c>
      <c r="J72" s="7" t="inlineStr">
        <is>
          <t>estandar</t>
        </is>
      </c>
      <c r="K72" s="7" t="inlineStr">
        <is>
          <t>nacional</t>
        </is>
      </c>
      <c r="L72" s="7" t="inlineStr">
        <is>
          <t>Verificado</t>
        </is>
      </c>
      <c r="M72" s="8" t="n">
        <v>1</v>
      </c>
      <c r="N72" s="9" t="n">
        <v>861</v>
      </c>
      <c r="O72" s="9" t="n">
        <v>861</v>
      </c>
      <c r="P72" s="9" t="n">
        <v>861</v>
      </c>
      <c r="Q72" s="7" t="inlineStr">
        <is>
          <t>Sí</t>
        </is>
      </c>
      <c r="R72" s="9">
        <f>IF(N72="","",IF(Q72="Sí",ROUND(N72/1.18,2),N72))</f>
        <v/>
      </c>
      <c r="S72" s="7" t="inlineStr">
        <is>
          <t>2026-09-09</t>
        </is>
      </c>
      <c r="T72" s="5" t="inlineStr">
        <is>
          <t>1 cotización de proveedores</t>
        </is>
      </c>
    </row>
    <row r="73">
      <c r="A73" s="7" t="inlineStr">
        <is>
          <t>MAT-04-024</t>
        </is>
      </c>
      <c r="B73" s="7" t="inlineStr">
        <is>
          <t>Materiales</t>
        </is>
      </c>
      <c r="C73" s="7" t="inlineStr">
        <is>
          <t>Acero de refuerzo y metales</t>
        </is>
      </c>
      <c r="D73" s="5" t="inlineStr">
        <is>
          <t>Tubo estructural cuadrado 2" x 2" x 1/8" x 20 pies</t>
        </is>
      </c>
      <c r="E73" s="5" t="inlineStr">
        <is>
          <t>Tubería estructural negra</t>
        </is>
      </c>
      <c r="F73" s="5" t="inlineStr"/>
      <c r="G73" s="5" t="inlineStr"/>
      <c r="H73" s="7" t="inlineStr">
        <is>
          <t>unidad</t>
        </is>
      </c>
      <c r="I73" s="7" t="inlineStr">
        <is>
          <t>Estructura</t>
        </is>
      </c>
      <c r="J73" s="7" t="inlineStr">
        <is>
          <t>estandar</t>
        </is>
      </c>
      <c r="K73" s="7" t="inlineStr">
        <is>
          <t>nacional</t>
        </is>
      </c>
      <c r="L73" s="7" t="inlineStr">
        <is>
          <t>Estimado</t>
        </is>
      </c>
      <c r="M73" s="8" t="n">
        <v>0</v>
      </c>
      <c r="N73" s="9" t="n">
        <v>3950</v>
      </c>
      <c r="O73" s="9" t="n">
        <v>3400</v>
      </c>
      <c r="P73" s="9" t="n">
        <v>4600</v>
      </c>
      <c r="Q73" s="7" t="inlineStr">
        <is>
          <t>Sí</t>
        </is>
      </c>
      <c r="R73" s="9">
        <f>IF(N73="","",IF(Q73="Sí",ROUND(N73/1.18,2),N73))</f>
        <v/>
      </c>
      <c r="S73" s="7" t="inlineStr">
        <is>
          <t>2026-09</t>
        </is>
      </c>
      <c r="T73" s="5" t="inlineStr">
        <is>
          <t>Estimación de arranque — pendiente de cotización</t>
        </is>
      </c>
    </row>
    <row r="74">
      <c r="A74" s="7" t="inlineStr">
        <is>
          <t>MAT-04-025</t>
        </is>
      </c>
      <c r="B74" s="7" t="inlineStr">
        <is>
          <t>Materiales</t>
        </is>
      </c>
      <c r="C74" s="7" t="inlineStr">
        <is>
          <t>Acero de refuerzo y metales</t>
        </is>
      </c>
      <c r="D74" s="5" t="inlineStr">
        <is>
          <t>Plancha galvanizada calibre 22, 4 x 8 pies</t>
        </is>
      </c>
      <c r="E74" s="5" t="inlineStr">
        <is>
          <t>Lámina lisa galvanizada</t>
        </is>
      </c>
      <c r="F74" s="5" t="inlineStr"/>
      <c r="G74" s="5" t="inlineStr"/>
      <c r="H74" s="7" t="inlineStr">
        <is>
          <t>plancha</t>
        </is>
      </c>
      <c r="I74" s="7" t="inlineStr">
        <is>
          <t>Estructura</t>
        </is>
      </c>
      <c r="J74" s="7" t="inlineStr">
        <is>
          <t>estandar</t>
        </is>
      </c>
      <c r="K74" s="7" t="inlineStr">
        <is>
          <t>importado</t>
        </is>
      </c>
      <c r="L74" s="7" t="inlineStr">
        <is>
          <t>Estimado</t>
        </is>
      </c>
      <c r="M74" s="8" t="n">
        <v>0</v>
      </c>
      <c r="N74" s="9" t="n">
        <v>4200</v>
      </c>
      <c r="O74" s="9" t="n">
        <v>3600</v>
      </c>
      <c r="P74" s="9" t="n">
        <v>5000</v>
      </c>
      <c r="Q74" s="7" t="inlineStr">
        <is>
          <t>Sí</t>
        </is>
      </c>
      <c r="R74" s="9">
        <f>IF(N74="","",IF(Q74="Sí",ROUND(N74/1.18,2),N74))</f>
        <v/>
      </c>
      <c r="S74" s="7" t="inlineStr">
        <is>
          <t>2026-09</t>
        </is>
      </c>
      <c r="T74" s="5" t="inlineStr">
        <is>
          <t>Estimación de arranque — pendiente de cotización</t>
        </is>
      </c>
    </row>
    <row r="75">
      <c r="A75" s="7" t="inlineStr">
        <is>
          <t>MAT-04-026</t>
        </is>
      </c>
      <c r="B75" s="7" t="inlineStr">
        <is>
          <t>Materiales</t>
        </is>
      </c>
      <c r="C75" s="7" t="inlineStr">
        <is>
          <t>Acero de refuerzo y metales</t>
        </is>
      </c>
      <c r="D75" s="5" t="inlineStr">
        <is>
          <t>Perfil canal C 6" x 20 pies</t>
        </is>
      </c>
      <c r="E75" s="5" t="inlineStr">
        <is>
          <t>Canal estructural de acero</t>
        </is>
      </c>
      <c r="F75" s="5" t="inlineStr"/>
      <c r="G75" s="5" t="inlineStr"/>
      <c r="H75" s="7" t="inlineStr">
        <is>
          <t>unidad</t>
        </is>
      </c>
      <c r="I75" s="7" t="inlineStr">
        <is>
          <t>Estructura</t>
        </is>
      </c>
      <c r="J75" s="7" t="inlineStr">
        <is>
          <t>estandar</t>
        </is>
      </c>
      <c r="K75" s="7" t="inlineStr">
        <is>
          <t>nacional</t>
        </is>
      </c>
      <c r="L75" s="7" t="inlineStr">
        <is>
          <t>Estimado</t>
        </is>
      </c>
      <c r="M75" s="8" t="n">
        <v>0</v>
      </c>
      <c r="N75" s="9" t="n">
        <v>5400</v>
      </c>
      <c r="O75" s="9" t="n">
        <v>4600</v>
      </c>
      <c r="P75" s="9" t="n">
        <v>6400</v>
      </c>
      <c r="Q75" s="7" t="inlineStr">
        <is>
          <t>Sí</t>
        </is>
      </c>
      <c r="R75" s="9">
        <f>IF(N75="","",IF(Q75="Sí",ROUND(N75/1.18,2),N75))</f>
        <v/>
      </c>
      <c r="S75" s="7" t="inlineStr">
        <is>
          <t>2026-09</t>
        </is>
      </c>
      <c r="T75" s="5" t="inlineStr">
        <is>
          <t>Estimación de arranque — pendiente de cotización</t>
        </is>
      </c>
    </row>
    <row r="76">
      <c r="A76" s="7" t="inlineStr">
        <is>
          <t>MAT-05-001</t>
        </is>
      </c>
      <c r="B76" s="7" t="inlineStr">
        <is>
          <t>Materiales</t>
        </is>
      </c>
      <c r="C76" s="7" t="inlineStr">
        <is>
          <t>Bloques y prefabricados</t>
        </is>
      </c>
      <c r="D76" s="5" t="inlineStr">
        <is>
          <t>Bloque de hormigón 4"</t>
        </is>
      </c>
      <c r="E76" s="5" t="inlineStr">
        <is>
          <t>8" x 16", ASTM C90 / NORDOM 461</t>
        </is>
      </c>
      <c r="F76" s="5" t="inlineStr"/>
      <c r="G76" s="5" t="inlineStr"/>
      <c r="H76" s="7" t="inlineStr">
        <is>
          <t>unidad</t>
        </is>
      </c>
      <c r="I76" s="7" t="inlineStr">
        <is>
          <t>Mampostería</t>
        </is>
      </c>
      <c r="J76" s="7" t="inlineStr">
        <is>
          <t>estandar</t>
        </is>
      </c>
      <c r="K76" s="7" t="inlineStr">
        <is>
          <t>nacional</t>
        </is>
      </c>
      <c r="L76" s="7" t="inlineStr">
        <is>
          <t>Estimado</t>
        </is>
      </c>
      <c r="M76" s="8" t="n">
        <v>0</v>
      </c>
      <c r="N76" s="9" t="n">
        <v>29</v>
      </c>
      <c r="O76" s="9" t="n">
        <v>25</v>
      </c>
      <c r="P76" s="9" t="n">
        <v>34</v>
      </c>
      <c r="Q76" s="7" t="inlineStr">
        <is>
          <t>Sí</t>
        </is>
      </c>
      <c r="R76" s="9">
        <f>IF(N76="","",IF(Q76="Sí",ROUND(N76/1.18,2),N76))</f>
        <v/>
      </c>
      <c r="S76" s="7" t="inlineStr">
        <is>
          <t>2026-09</t>
        </is>
      </c>
      <c r="T76" s="5" t="inlineStr">
        <is>
          <t>Estimación de arranque — pendiente de cotización</t>
        </is>
      </c>
    </row>
    <row r="77">
      <c r="A77" s="7" t="inlineStr">
        <is>
          <t>MAT-05-002</t>
        </is>
      </c>
      <c r="B77" s="7" t="inlineStr">
        <is>
          <t>Materiales</t>
        </is>
      </c>
      <c r="C77" s="7" t="inlineStr">
        <is>
          <t>Bloques y prefabricados</t>
        </is>
      </c>
      <c r="D77" s="5" t="inlineStr">
        <is>
          <t>Bloque de hormigón 5"</t>
        </is>
      </c>
      <c r="E77" s="5" t="inlineStr">
        <is>
          <t>8" x 16"</t>
        </is>
      </c>
      <c r="F77" s="5" t="inlineStr"/>
      <c r="G77" s="5" t="inlineStr"/>
      <c r="H77" s="7" t="inlineStr">
        <is>
          <t>unidad</t>
        </is>
      </c>
      <c r="I77" s="7" t="inlineStr">
        <is>
          <t>Mampostería</t>
        </is>
      </c>
      <c r="J77" s="7" t="inlineStr">
        <is>
          <t>estandar</t>
        </is>
      </c>
      <c r="K77" s="7" t="inlineStr">
        <is>
          <t>nacional</t>
        </is>
      </c>
      <c r="L77" s="7" t="inlineStr">
        <is>
          <t>Estimado</t>
        </is>
      </c>
      <c r="M77" s="8" t="n">
        <v>0</v>
      </c>
      <c r="N77" s="9" t="n">
        <v>34</v>
      </c>
      <c r="O77" s="9" t="n">
        <v>29</v>
      </c>
      <c r="P77" s="9" t="n">
        <v>40</v>
      </c>
      <c r="Q77" s="7" t="inlineStr">
        <is>
          <t>Sí</t>
        </is>
      </c>
      <c r="R77" s="9">
        <f>IF(N77="","",IF(Q77="Sí",ROUND(N77/1.18,2),N77))</f>
        <v/>
      </c>
      <c r="S77" s="7" t="inlineStr">
        <is>
          <t>2026-09</t>
        </is>
      </c>
      <c r="T77" s="5" t="inlineStr">
        <is>
          <t>Estimación de arranque — pendiente de cotización</t>
        </is>
      </c>
    </row>
    <row r="78">
      <c r="A78" s="7" t="inlineStr">
        <is>
          <t>MAT-05-003</t>
        </is>
      </c>
      <c r="B78" s="7" t="inlineStr">
        <is>
          <t>Materiales</t>
        </is>
      </c>
      <c r="C78" s="7" t="inlineStr">
        <is>
          <t>Bloques y prefabricados</t>
        </is>
      </c>
      <c r="D78" s="5" t="inlineStr">
        <is>
          <t>Bloque de hormigón 6"</t>
        </is>
      </c>
      <c r="E78" s="5" t="inlineStr">
        <is>
          <t>8" x 16"</t>
        </is>
      </c>
      <c r="F78" s="5" t="inlineStr"/>
      <c r="G78" s="5" t="inlineStr"/>
      <c r="H78" s="7" t="inlineStr">
        <is>
          <t>unidad</t>
        </is>
      </c>
      <c r="I78" s="7" t="inlineStr">
        <is>
          <t>Mampostería</t>
        </is>
      </c>
      <c r="J78" s="7" t="inlineStr">
        <is>
          <t>estandar</t>
        </is>
      </c>
      <c r="K78" s="7" t="inlineStr">
        <is>
          <t>nacional</t>
        </is>
      </c>
      <c r="L78" s="7" t="inlineStr">
        <is>
          <t>Estimado</t>
        </is>
      </c>
      <c r="M78" s="8" t="n">
        <v>0</v>
      </c>
      <c r="N78" s="9" t="n">
        <v>39</v>
      </c>
      <c r="O78" s="9" t="n">
        <v>34</v>
      </c>
      <c r="P78" s="9" t="n">
        <v>46</v>
      </c>
      <c r="Q78" s="7" t="inlineStr">
        <is>
          <t>Sí</t>
        </is>
      </c>
      <c r="R78" s="9">
        <f>IF(N78="","",IF(Q78="Sí",ROUND(N78/1.18,2),N78))</f>
        <v/>
      </c>
      <c r="S78" s="7" t="inlineStr">
        <is>
          <t>2026-09</t>
        </is>
      </c>
      <c r="T78" s="5" t="inlineStr">
        <is>
          <t>Estimación de arranque — pendiente de cotización</t>
        </is>
      </c>
    </row>
    <row r="79">
      <c r="A79" s="7" t="inlineStr">
        <is>
          <t>MAT-05-004</t>
        </is>
      </c>
      <c r="B79" s="7" t="inlineStr">
        <is>
          <t>Materiales</t>
        </is>
      </c>
      <c r="C79" s="7" t="inlineStr">
        <is>
          <t>Bloques y prefabricados</t>
        </is>
      </c>
      <c r="D79" s="5" t="inlineStr">
        <is>
          <t>Bloque de hormigón 8"</t>
        </is>
      </c>
      <c r="E79" s="5" t="inlineStr">
        <is>
          <t>8" x 16", muros estructurales</t>
        </is>
      </c>
      <c r="F79" s="5" t="inlineStr"/>
      <c r="G79" s="5" t="inlineStr"/>
      <c r="H79" s="7" t="inlineStr">
        <is>
          <t>unidad</t>
        </is>
      </c>
      <c r="I79" s="7" t="inlineStr">
        <is>
          <t>Mampostería</t>
        </is>
      </c>
      <c r="J79" s="7" t="inlineStr">
        <is>
          <t>estandar</t>
        </is>
      </c>
      <c r="K79" s="7" t="inlineStr">
        <is>
          <t>nacional</t>
        </is>
      </c>
      <c r="L79" s="7" t="inlineStr">
        <is>
          <t>Estimado</t>
        </is>
      </c>
      <c r="M79" s="8" t="n">
        <v>0</v>
      </c>
      <c r="N79" s="9" t="n">
        <v>53</v>
      </c>
      <c r="O79" s="9" t="n">
        <v>46</v>
      </c>
      <c r="P79" s="9" t="n">
        <v>62</v>
      </c>
      <c r="Q79" s="7" t="inlineStr">
        <is>
          <t>Sí</t>
        </is>
      </c>
      <c r="R79" s="9">
        <f>IF(N79="","",IF(Q79="Sí",ROUND(N79/1.18,2),N79))</f>
        <v/>
      </c>
      <c r="S79" s="7" t="inlineStr">
        <is>
          <t>2026-09</t>
        </is>
      </c>
      <c r="T79" s="5" t="inlineStr">
        <is>
          <t>Estimación de arranque — pendiente de cotización</t>
        </is>
      </c>
    </row>
    <row r="80">
      <c r="A80" s="7" t="inlineStr">
        <is>
          <t>MAT-05-005</t>
        </is>
      </c>
      <c r="B80" s="7" t="inlineStr">
        <is>
          <t>Materiales</t>
        </is>
      </c>
      <c r="C80" s="7" t="inlineStr">
        <is>
          <t>Bloques y prefabricados</t>
        </is>
      </c>
      <c r="D80" s="5" t="inlineStr">
        <is>
          <t>Bloque de hormigón 6", millar</t>
        </is>
      </c>
      <c r="E80" s="5" t="inlineStr">
        <is>
          <t>Compra por millar en fábrica, sin transporte</t>
        </is>
      </c>
      <c r="F80" s="5" t="inlineStr"/>
      <c r="G80" s="5" t="inlineStr"/>
      <c r="H80" s="7" t="inlineStr">
        <is>
          <t>millar</t>
        </is>
      </c>
      <c r="I80" s="7" t="inlineStr">
        <is>
          <t>Mampostería</t>
        </is>
      </c>
      <c r="J80" s="7" t="inlineStr">
        <is>
          <t>estandar</t>
        </is>
      </c>
      <c r="K80" s="7" t="inlineStr">
        <is>
          <t>nacional</t>
        </is>
      </c>
      <c r="L80" s="7" t="inlineStr">
        <is>
          <t>Estimado</t>
        </is>
      </c>
      <c r="M80" s="8" t="n">
        <v>0</v>
      </c>
      <c r="N80" s="9" t="n">
        <v>37500</v>
      </c>
      <c r="O80" s="9" t="n">
        <v>33000</v>
      </c>
      <c r="P80" s="9" t="n">
        <v>44000</v>
      </c>
      <c r="Q80" s="7" t="inlineStr">
        <is>
          <t>Sí</t>
        </is>
      </c>
      <c r="R80" s="9">
        <f>IF(N80="","",IF(Q80="Sí",ROUND(N80/1.18,2),N80))</f>
        <v/>
      </c>
      <c r="S80" s="7" t="inlineStr">
        <is>
          <t>2026-09</t>
        </is>
      </c>
      <c r="T80" s="5" t="inlineStr">
        <is>
          <t>Estimación de arranque — pendiente de cotización</t>
        </is>
      </c>
    </row>
    <row r="81">
      <c r="A81" s="7" t="inlineStr">
        <is>
          <t>MAT-05-006</t>
        </is>
      </c>
      <c r="B81" s="7" t="inlineStr">
        <is>
          <t>Materiales</t>
        </is>
      </c>
      <c r="C81" s="7" t="inlineStr">
        <is>
          <t>Bloques y prefabricados</t>
        </is>
      </c>
      <c r="D81" s="5" t="inlineStr">
        <is>
          <t>Ladrillo de arcilla</t>
        </is>
      </c>
      <c r="E81" s="5" t="inlineStr">
        <is>
          <t>Ladrillo rojo tradicional</t>
        </is>
      </c>
      <c r="F81" s="5" t="inlineStr"/>
      <c r="G81" s="5" t="inlineStr"/>
      <c r="H81" s="7" t="inlineStr">
        <is>
          <t>unidad</t>
        </is>
      </c>
      <c r="I81" s="7" t="inlineStr">
        <is>
          <t>Mampostería</t>
        </is>
      </c>
      <c r="J81" s="7" t="inlineStr">
        <is>
          <t>estandar</t>
        </is>
      </c>
      <c r="K81" s="7" t="inlineStr">
        <is>
          <t>nacional</t>
        </is>
      </c>
      <c r="L81" s="7" t="inlineStr">
        <is>
          <t>Estimado</t>
        </is>
      </c>
      <c r="M81" s="8" t="n">
        <v>0</v>
      </c>
      <c r="N81" s="9" t="n">
        <v>29</v>
      </c>
      <c r="O81" s="9" t="n">
        <v>23</v>
      </c>
      <c r="P81" s="9" t="n">
        <v>38</v>
      </c>
      <c r="Q81" s="7" t="inlineStr">
        <is>
          <t>Sí</t>
        </is>
      </c>
      <c r="R81" s="9">
        <f>IF(N81="","",IF(Q81="Sí",ROUND(N81/1.18,2),N81))</f>
        <v/>
      </c>
      <c r="S81" s="7" t="inlineStr">
        <is>
          <t>2026-09</t>
        </is>
      </c>
      <c r="T81" s="5" t="inlineStr">
        <is>
          <t>Estimación de arranque — pendiente de cotización</t>
        </is>
      </c>
    </row>
    <row r="82">
      <c r="A82" s="7" t="inlineStr">
        <is>
          <t>MAT-05-007</t>
        </is>
      </c>
      <c r="B82" s="7" t="inlineStr">
        <is>
          <t>Materiales</t>
        </is>
      </c>
      <c r="C82" s="7" t="inlineStr">
        <is>
          <t>Bloques y prefabricados</t>
        </is>
      </c>
      <c r="D82" s="5" t="inlineStr">
        <is>
          <t>Celosía / bloque calado ornamental</t>
        </is>
      </c>
      <c r="E82" s="5" t="inlineStr">
        <is>
          <t>Ventilación y fachadas</t>
        </is>
      </c>
      <c r="F82" s="5" t="inlineStr"/>
      <c r="G82" s="5" t="inlineStr"/>
      <c r="H82" s="7" t="inlineStr">
        <is>
          <t>unidad</t>
        </is>
      </c>
      <c r="I82" s="7" t="inlineStr">
        <is>
          <t>Mampostería</t>
        </is>
      </c>
      <c r="J82" s="7" t="inlineStr">
        <is>
          <t>estandar</t>
        </is>
      </c>
      <c r="K82" s="7" t="inlineStr">
        <is>
          <t>nacional</t>
        </is>
      </c>
      <c r="L82" s="7" t="inlineStr">
        <is>
          <t>Estimado</t>
        </is>
      </c>
      <c r="M82" s="8" t="n">
        <v>0</v>
      </c>
      <c r="N82" s="9" t="n">
        <v>92</v>
      </c>
      <c r="O82" s="9" t="n">
        <v>70</v>
      </c>
      <c r="P82" s="9" t="n">
        <v>130</v>
      </c>
      <c r="Q82" s="7" t="inlineStr">
        <is>
          <t>Sí</t>
        </is>
      </c>
      <c r="R82" s="9">
        <f>IF(N82="","",IF(Q82="Sí",ROUND(N82/1.18,2),N82))</f>
        <v/>
      </c>
      <c r="S82" s="7" t="inlineStr">
        <is>
          <t>2026-09</t>
        </is>
      </c>
      <c r="T82" s="5" t="inlineStr">
        <is>
          <t>Estimación de arranque — pendiente de cotización</t>
        </is>
      </c>
    </row>
    <row r="83">
      <c r="A83" s="7" t="inlineStr">
        <is>
          <t>MAT-05-008</t>
        </is>
      </c>
      <c r="B83" s="7" t="inlineStr">
        <is>
          <t>Materiales</t>
        </is>
      </c>
      <c r="C83" s="7" t="inlineStr">
        <is>
          <t>Bloques y prefabricados</t>
        </is>
      </c>
      <c r="D83" s="5" t="inlineStr">
        <is>
          <t>Adoquín de hormigón</t>
        </is>
      </c>
      <c r="E83" s="5" t="inlineStr">
        <is>
          <t>Espesor 6 cm, tránsito peatonal y liviano</t>
        </is>
      </c>
      <c r="F83" s="5" t="inlineStr"/>
      <c r="G83" s="5" t="inlineStr"/>
      <c r="H83" s="7" t="inlineStr">
        <is>
          <t>m²</t>
        </is>
      </c>
      <c r="I83" s="7" t="inlineStr">
        <is>
          <t>Exteriores</t>
        </is>
      </c>
      <c r="J83" s="7" t="inlineStr">
        <is>
          <t>estandar</t>
        </is>
      </c>
      <c r="K83" s="7" t="inlineStr">
        <is>
          <t>nacional</t>
        </is>
      </c>
      <c r="L83" s="7" t="inlineStr">
        <is>
          <t>Estimado</t>
        </is>
      </c>
      <c r="M83" s="8" t="n">
        <v>0</v>
      </c>
      <c r="N83" s="9" t="n">
        <v>1180</v>
      </c>
      <c r="O83" s="9" t="n">
        <v>950</v>
      </c>
      <c r="P83" s="9" t="n">
        <v>1500</v>
      </c>
      <c r="Q83" s="7" t="inlineStr">
        <is>
          <t>Sí</t>
        </is>
      </c>
      <c r="R83" s="9">
        <f>IF(N83="","",IF(Q83="Sí",ROUND(N83/1.18,2),N83))</f>
        <v/>
      </c>
      <c r="S83" s="7" t="inlineStr">
        <is>
          <t>2026-09</t>
        </is>
      </c>
      <c r="T83" s="5" t="inlineStr">
        <is>
          <t>Estimación de arranque — pendiente de cotización</t>
        </is>
      </c>
    </row>
    <row r="84">
      <c r="A84" s="7" t="inlineStr">
        <is>
          <t>MAT-05-009</t>
        </is>
      </c>
      <c r="B84" s="7" t="inlineStr">
        <is>
          <t>Materiales</t>
        </is>
      </c>
      <c r="C84" s="7" t="inlineStr">
        <is>
          <t>Bloques y prefabricados</t>
        </is>
      </c>
      <c r="D84" s="5" t="inlineStr">
        <is>
          <t>Vigueta prefabricada pretensada</t>
        </is>
      </c>
      <c r="E84" s="5" t="inlineStr">
        <is>
          <t>Para losa aligerada con block de techo</t>
        </is>
      </c>
      <c r="F84" s="5" t="inlineStr"/>
      <c r="G84" s="5" t="inlineStr"/>
      <c r="H84" s="7" t="inlineStr">
        <is>
          <t>ml</t>
        </is>
      </c>
      <c r="I84" s="7" t="inlineStr">
        <is>
          <t>Estructura</t>
        </is>
      </c>
      <c r="J84" s="7" t="inlineStr">
        <is>
          <t>estandar</t>
        </is>
      </c>
      <c r="K84" s="7" t="inlineStr">
        <is>
          <t>nacional</t>
        </is>
      </c>
      <c r="L84" s="7" t="inlineStr">
        <is>
          <t>Estimado</t>
        </is>
      </c>
      <c r="M84" s="8" t="n">
        <v>0</v>
      </c>
      <c r="N84" s="9" t="n">
        <v>780</v>
      </c>
      <c r="O84" s="9" t="n">
        <v>640</v>
      </c>
      <c r="P84" s="9" t="n">
        <v>980</v>
      </c>
      <c r="Q84" s="7" t="inlineStr">
        <is>
          <t>Sí</t>
        </is>
      </c>
      <c r="R84" s="9">
        <f>IF(N84="","",IF(Q84="Sí",ROUND(N84/1.18,2),N84))</f>
        <v/>
      </c>
      <c r="S84" s="7" t="inlineStr">
        <is>
          <t>2026-09</t>
        </is>
      </c>
      <c r="T84" s="5" t="inlineStr">
        <is>
          <t>Estimación de arranque — pendiente de cotización</t>
        </is>
      </c>
    </row>
    <row r="85">
      <c r="A85" s="7" t="inlineStr">
        <is>
          <t>MAT-05-010</t>
        </is>
      </c>
      <c r="B85" s="7" t="inlineStr">
        <is>
          <t>Materiales</t>
        </is>
      </c>
      <c r="C85" s="7" t="inlineStr">
        <is>
          <t>Bloques y prefabricados</t>
        </is>
      </c>
      <c r="D85" s="5" t="inlineStr">
        <is>
          <t>Tapa de registro de hormigón</t>
        </is>
      </c>
      <c r="E85" s="5" t="inlineStr">
        <is>
          <t>Con marco, tránsito peatonal</t>
        </is>
      </c>
      <c r="F85" s="5" t="inlineStr"/>
      <c r="G85" s="5" t="inlineStr"/>
      <c r="H85" s="7" t="inlineStr">
        <is>
          <t>unidad</t>
        </is>
      </c>
      <c r="I85" s="7" t="inlineStr">
        <is>
          <t>Instalaciones</t>
        </is>
      </c>
      <c r="J85" s="7" t="inlineStr">
        <is>
          <t>estandar</t>
        </is>
      </c>
      <c r="K85" s="7" t="inlineStr">
        <is>
          <t>nacional</t>
        </is>
      </c>
      <c r="L85" s="7" t="inlineStr">
        <is>
          <t>Estimado</t>
        </is>
      </c>
      <c r="M85" s="8" t="n">
        <v>0</v>
      </c>
      <c r="N85" s="9" t="n">
        <v>2500</v>
      </c>
      <c r="O85" s="9" t="n">
        <v>1900</v>
      </c>
      <c r="P85" s="9" t="n">
        <v>3300</v>
      </c>
      <c r="Q85" s="7" t="inlineStr">
        <is>
          <t>Sí</t>
        </is>
      </c>
      <c r="R85" s="9">
        <f>IF(N85="","",IF(Q85="Sí",ROUND(N85/1.18,2),N85))</f>
        <v/>
      </c>
      <c r="S85" s="7" t="inlineStr">
        <is>
          <t>2026-09</t>
        </is>
      </c>
      <c r="T85" s="5" t="inlineStr">
        <is>
          <t>Estimación de arranque — pendiente de cotización</t>
        </is>
      </c>
    </row>
    <row r="86">
      <c r="A86" s="7" t="inlineStr">
        <is>
          <t>MAT-06-001</t>
        </is>
      </c>
      <c r="B86" s="7" t="inlineStr">
        <is>
          <t>Materiales</t>
        </is>
      </c>
      <c r="C86" s="7" t="inlineStr">
        <is>
          <t>Madera y encofrado</t>
        </is>
      </c>
      <c r="D86" s="5" t="inlineStr">
        <is>
          <t>Tabla de pino 1" x 12" x 12 pies</t>
        </is>
      </c>
      <c r="E86" s="5" t="inlineStr">
        <is>
          <t>Pino americano bruto para encofrado</t>
        </is>
      </c>
      <c r="F86" s="5" t="inlineStr"/>
      <c r="G86" s="5" t="inlineStr"/>
      <c r="H86" s="7" t="inlineStr">
        <is>
          <t>unidad</t>
        </is>
      </c>
      <c r="I86" s="7" t="inlineStr">
        <is>
          <t>Estructura</t>
        </is>
      </c>
      <c r="J86" s="7" t="inlineStr">
        <is>
          <t>estandar</t>
        </is>
      </c>
      <c r="K86" s="7" t="inlineStr">
        <is>
          <t>importado</t>
        </is>
      </c>
      <c r="L86" s="7" t="inlineStr">
        <is>
          <t>Estimado</t>
        </is>
      </c>
      <c r="M86" s="8" t="n">
        <v>0</v>
      </c>
      <c r="N86" s="9" t="n">
        <v>1150</v>
      </c>
      <c r="O86" s="9" t="n">
        <v>950</v>
      </c>
      <c r="P86" s="9" t="n">
        <v>1450</v>
      </c>
      <c r="Q86" s="7" t="inlineStr">
        <is>
          <t>Sí</t>
        </is>
      </c>
      <c r="R86" s="9">
        <f>IF(N86="","",IF(Q86="Sí",ROUND(N86/1.18,2),N86))</f>
        <v/>
      </c>
      <c r="S86" s="7" t="inlineStr">
        <is>
          <t>2026-09</t>
        </is>
      </c>
      <c r="T86" s="5" t="inlineStr">
        <is>
          <t>Estimación de arranque — pendiente de cotización</t>
        </is>
      </c>
    </row>
    <row r="87">
      <c r="A87" s="7" t="inlineStr">
        <is>
          <t>MAT-06-002</t>
        </is>
      </c>
      <c r="B87" s="7" t="inlineStr">
        <is>
          <t>Materiales</t>
        </is>
      </c>
      <c r="C87" s="7" t="inlineStr">
        <is>
          <t>Madera y encofrado</t>
        </is>
      </c>
      <c r="D87" s="5" t="inlineStr">
        <is>
          <t>Cuartón de pino 2" x 4" x 12 pies</t>
        </is>
      </c>
      <c r="E87" s="5" t="inlineStr">
        <is>
          <t>Pino bruto, apuntalamiento</t>
        </is>
      </c>
      <c r="F87" s="5" t="inlineStr"/>
      <c r="G87" s="5" t="inlineStr"/>
      <c r="H87" s="7" t="inlineStr">
        <is>
          <t>unidad</t>
        </is>
      </c>
      <c r="I87" s="7" t="inlineStr">
        <is>
          <t>Estructura</t>
        </is>
      </c>
      <c r="J87" s="7" t="inlineStr">
        <is>
          <t>estandar</t>
        </is>
      </c>
      <c r="K87" s="7" t="inlineStr">
        <is>
          <t>importado</t>
        </is>
      </c>
      <c r="L87" s="7" t="inlineStr">
        <is>
          <t>Estimado</t>
        </is>
      </c>
      <c r="M87" s="8" t="n">
        <v>0</v>
      </c>
      <c r="N87" s="9" t="n">
        <v>690</v>
      </c>
      <c r="O87" s="9" t="n">
        <v>570</v>
      </c>
      <c r="P87" s="9" t="n">
        <v>870</v>
      </c>
      <c r="Q87" s="7" t="inlineStr">
        <is>
          <t>Sí</t>
        </is>
      </c>
      <c r="R87" s="9">
        <f>IF(N87="","",IF(Q87="Sí",ROUND(N87/1.18,2),N87))</f>
        <v/>
      </c>
      <c r="S87" s="7" t="inlineStr">
        <is>
          <t>2026-09</t>
        </is>
      </c>
      <c r="T87" s="5" t="inlineStr">
        <is>
          <t>Estimación de arranque — pendiente de cotización</t>
        </is>
      </c>
    </row>
    <row r="88">
      <c r="A88" s="7" t="inlineStr">
        <is>
          <t>MAT-06-003</t>
        </is>
      </c>
      <c r="B88" s="7" t="inlineStr">
        <is>
          <t>Materiales</t>
        </is>
      </c>
      <c r="C88" s="7" t="inlineStr">
        <is>
          <t>Madera y encofrado</t>
        </is>
      </c>
      <c r="D88" s="5" t="inlineStr">
        <is>
          <t>Alfarda de pino 2" x 6" x 12 pies</t>
        </is>
      </c>
      <c r="E88" s="5" t="inlineStr">
        <is>
          <t>Pino bruto</t>
        </is>
      </c>
      <c r="F88" s="5" t="inlineStr"/>
      <c r="G88" s="5" t="inlineStr"/>
      <c r="H88" s="7" t="inlineStr">
        <is>
          <t>unidad</t>
        </is>
      </c>
      <c r="I88" s="7" t="inlineStr">
        <is>
          <t>Estructura</t>
        </is>
      </c>
      <c r="J88" s="7" t="inlineStr">
        <is>
          <t>estandar</t>
        </is>
      </c>
      <c r="K88" s="7" t="inlineStr">
        <is>
          <t>importado</t>
        </is>
      </c>
      <c r="L88" s="7" t="inlineStr">
        <is>
          <t>Estimado</t>
        </is>
      </c>
      <c r="M88" s="8" t="n">
        <v>0</v>
      </c>
      <c r="N88" s="9" t="n">
        <v>1030</v>
      </c>
      <c r="O88" s="9" t="n">
        <v>850</v>
      </c>
      <c r="P88" s="9" t="n">
        <v>1300</v>
      </c>
      <c r="Q88" s="7" t="inlineStr">
        <is>
          <t>Sí</t>
        </is>
      </c>
      <c r="R88" s="9">
        <f>IF(N88="","",IF(Q88="Sí",ROUND(N88/1.18,2),N88))</f>
        <v/>
      </c>
      <c r="S88" s="7" t="inlineStr">
        <is>
          <t>2026-09</t>
        </is>
      </c>
      <c r="T88" s="5" t="inlineStr">
        <is>
          <t>Estimación de arranque — pendiente de cotización</t>
        </is>
      </c>
    </row>
    <row r="89">
      <c r="A89" s="7" t="inlineStr">
        <is>
          <t>MAT-06-004</t>
        </is>
      </c>
      <c r="B89" s="7" t="inlineStr">
        <is>
          <t>Materiales</t>
        </is>
      </c>
      <c r="C89" s="7" t="inlineStr">
        <is>
          <t>Madera y encofrado</t>
        </is>
      </c>
      <c r="D89" s="5" t="inlineStr">
        <is>
          <t>Madera de pino bruto</t>
        </is>
      </c>
      <c r="E89" s="5" t="inlineStr">
        <is>
          <t>Precio por pie tablar, compra suelta</t>
        </is>
      </c>
      <c r="F89" s="5" t="inlineStr"/>
      <c r="G89" s="5" t="inlineStr"/>
      <c r="H89" s="7" t="inlineStr">
        <is>
          <t>pie tablar</t>
        </is>
      </c>
      <c r="I89" s="7" t="inlineStr">
        <is>
          <t>Estructura</t>
        </is>
      </c>
      <c r="J89" s="7" t="inlineStr">
        <is>
          <t>estandar</t>
        </is>
      </c>
      <c r="K89" s="7" t="inlineStr">
        <is>
          <t>importado</t>
        </is>
      </c>
      <c r="L89" s="7" t="inlineStr">
        <is>
          <t>Estimado</t>
        </is>
      </c>
      <c r="M89" s="8" t="n">
        <v>0</v>
      </c>
      <c r="N89" s="9" t="n">
        <v>78</v>
      </c>
      <c r="O89" s="9" t="n">
        <v>62</v>
      </c>
      <c r="P89" s="9" t="n">
        <v>98</v>
      </c>
      <c r="Q89" s="7" t="inlineStr">
        <is>
          <t>Sí</t>
        </is>
      </c>
      <c r="R89" s="9">
        <f>IF(N89="","",IF(Q89="Sí",ROUND(N89/1.18,2),N89))</f>
        <v/>
      </c>
      <c r="S89" s="7" t="inlineStr">
        <is>
          <t>2026-09</t>
        </is>
      </c>
      <c r="T89" s="5" t="inlineStr">
        <is>
          <t>Estimación de arranque — pendiente de cotización</t>
        </is>
      </c>
    </row>
    <row r="90">
      <c r="A90" s="7" t="inlineStr">
        <is>
          <t>MAT-06-005</t>
        </is>
      </c>
      <c r="B90" s="7" t="inlineStr">
        <is>
          <t>Materiales</t>
        </is>
      </c>
      <c r="C90" s="7" t="inlineStr">
        <is>
          <t>Madera y encofrado</t>
        </is>
      </c>
      <c r="D90" s="5" t="inlineStr">
        <is>
          <t>Plywood corriente 1/2", 4 x 8 pies</t>
        </is>
      </c>
      <c r="E90" s="5" t="inlineStr">
        <is>
          <t>Uso general y encofrado sencillo</t>
        </is>
      </c>
      <c r="F90" s="5" t="inlineStr"/>
      <c r="G90" s="5" t="inlineStr"/>
      <c r="H90" s="7" t="inlineStr">
        <is>
          <t>plancha</t>
        </is>
      </c>
      <c r="I90" s="7" t="inlineStr">
        <is>
          <t>Estructura</t>
        </is>
      </c>
      <c r="J90" s="7" t="inlineStr">
        <is>
          <t>economica</t>
        </is>
      </c>
      <c r="K90" s="7" t="inlineStr">
        <is>
          <t>importado</t>
        </is>
      </c>
      <c r="L90" s="7" t="inlineStr">
        <is>
          <t>Verificado</t>
        </is>
      </c>
      <c r="M90" s="8" t="n">
        <v>1</v>
      </c>
      <c r="N90" s="9" t="n">
        <v>1472.5</v>
      </c>
      <c r="O90" s="9" t="n">
        <v>1425</v>
      </c>
      <c r="P90" s="9" t="n">
        <v>1520</v>
      </c>
      <c r="Q90" s="7" t="inlineStr">
        <is>
          <t>Sí</t>
        </is>
      </c>
      <c r="R90" s="9">
        <f>IF(N90="","",IF(Q90="Sí",ROUND(N90/1.18,2),N90))</f>
        <v/>
      </c>
      <c r="S90" s="7" t="inlineStr">
        <is>
          <t>2026-09-09</t>
        </is>
      </c>
      <c r="T90" s="5" t="inlineStr">
        <is>
          <t>2 cotizaciones de proveedores</t>
        </is>
      </c>
    </row>
    <row r="91">
      <c r="A91" s="7" t="inlineStr">
        <is>
          <t>MAT-06-006</t>
        </is>
      </c>
      <c r="B91" s="7" t="inlineStr">
        <is>
          <t>Materiales</t>
        </is>
      </c>
      <c r="C91" s="7" t="inlineStr">
        <is>
          <t>Madera y encofrado</t>
        </is>
      </c>
      <c r="D91" s="5" t="inlineStr">
        <is>
          <t>Plywood corriente 3/4", 4 x 8 pies</t>
        </is>
      </c>
      <c r="E91" s="5" t="inlineStr">
        <is>
          <t>Uso general</t>
        </is>
      </c>
      <c r="F91" s="5" t="inlineStr"/>
      <c r="G91" s="5" t="inlineStr"/>
      <c r="H91" s="7" t="inlineStr">
        <is>
          <t>plancha</t>
        </is>
      </c>
      <c r="I91" s="7" t="inlineStr">
        <is>
          <t>Estructura</t>
        </is>
      </c>
      <c r="J91" s="7" t="inlineStr">
        <is>
          <t>estandar</t>
        </is>
      </c>
      <c r="K91" s="7" t="inlineStr">
        <is>
          <t>importado</t>
        </is>
      </c>
      <c r="L91" s="7" t="inlineStr">
        <is>
          <t>Verificado</t>
        </is>
      </c>
      <c r="M91" s="8" t="n">
        <v>1</v>
      </c>
      <c r="N91" s="9" t="n">
        <v>1992.5</v>
      </c>
      <c r="O91" s="9" t="n">
        <v>1990</v>
      </c>
      <c r="P91" s="9" t="n">
        <v>1995</v>
      </c>
      <c r="Q91" s="7" t="inlineStr">
        <is>
          <t>Sí</t>
        </is>
      </c>
      <c r="R91" s="9">
        <f>IF(N91="","",IF(Q91="Sí",ROUND(N91/1.18,2),N91))</f>
        <v/>
      </c>
      <c r="S91" s="7" t="inlineStr">
        <is>
          <t>2026-09-09</t>
        </is>
      </c>
      <c r="T91" s="5" t="inlineStr">
        <is>
          <t>2 cotizaciones de proveedores</t>
        </is>
      </c>
    </row>
    <row r="92">
      <c r="A92" s="7" t="inlineStr">
        <is>
          <t>MAT-06-007</t>
        </is>
      </c>
      <c r="B92" s="7" t="inlineStr">
        <is>
          <t>Materiales</t>
        </is>
      </c>
      <c r="C92" s="7" t="inlineStr">
        <is>
          <t>Madera y encofrado</t>
        </is>
      </c>
      <c r="D92" s="5" t="inlineStr">
        <is>
          <t>Plywood fenólico de formaleta 5/8" (Film Face)</t>
        </is>
      </c>
      <c r="E92" s="5" t="inlineStr">
        <is>
          <t>Cara fenólica, varios usos de encofrado</t>
        </is>
      </c>
      <c r="F92" s="5" t="inlineStr"/>
      <c r="G92" s="5" t="inlineStr"/>
      <c r="H92" s="7" t="inlineStr">
        <is>
          <t>plancha</t>
        </is>
      </c>
      <c r="I92" s="7" t="inlineStr">
        <is>
          <t>Estructura</t>
        </is>
      </c>
      <c r="J92" s="7" t="inlineStr">
        <is>
          <t>premium</t>
        </is>
      </c>
      <c r="K92" s="7" t="inlineStr">
        <is>
          <t>importado</t>
        </is>
      </c>
      <c r="L92" s="7" t="inlineStr">
        <is>
          <t>Estimado</t>
        </is>
      </c>
      <c r="M92" s="8" t="n">
        <v>0</v>
      </c>
      <c r="N92" s="9" t="n">
        <v>3950</v>
      </c>
      <c r="O92" s="9" t="n">
        <v>3300</v>
      </c>
      <c r="P92" s="9" t="n">
        <v>4800</v>
      </c>
      <c r="Q92" s="7" t="inlineStr">
        <is>
          <t>Sí</t>
        </is>
      </c>
      <c r="R92" s="9">
        <f>IF(N92="","",IF(Q92="Sí",ROUND(N92/1.18,2),N92))</f>
        <v/>
      </c>
      <c r="S92" s="7" t="inlineStr">
        <is>
          <t>2026-09</t>
        </is>
      </c>
      <c r="T92" s="5" t="inlineStr">
        <is>
          <t>Estimación de arranque — pendiente de cotización</t>
        </is>
      </c>
    </row>
    <row r="93">
      <c r="A93" s="7" t="inlineStr">
        <is>
          <t>MAT-06-008</t>
        </is>
      </c>
      <c r="B93" s="7" t="inlineStr">
        <is>
          <t>Materiales</t>
        </is>
      </c>
      <c r="C93" s="7" t="inlineStr">
        <is>
          <t>Madera y encofrado</t>
        </is>
      </c>
      <c r="D93" s="5" t="inlineStr">
        <is>
          <t>Plywood 3/4 pulgada dos caras, americano</t>
        </is>
      </c>
      <c r="E93" s="5" t="inlineStr">
        <is>
          <t>Ambas caras aptas para vista, 4 x 8 pies</t>
        </is>
      </c>
      <c r="F93" s="5" t="inlineStr"/>
      <c r="G93" s="5" t="inlineStr"/>
      <c r="H93" s="7" t="inlineStr">
        <is>
          <t>plancha</t>
        </is>
      </c>
      <c r="I93" s="7" t="inlineStr">
        <is>
          <t>Terminación de superficies</t>
        </is>
      </c>
      <c r="J93" s="7" t="inlineStr">
        <is>
          <t>estandar</t>
        </is>
      </c>
      <c r="K93" s="7" t="inlineStr">
        <is>
          <t>importado</t>
        </is>
      </c>
      <c r="L93" s="7" t="inlineStr">
        <is>
          <t>Estimado</t>
        </is>
      </c>
      <c r="M93" s="8" t="n">
        <v>0</v>
      </c>
      <c r="N93" s="9" t="n">
        <v>3200</v>
      </c>
      <c r="O93" s="9" t="n">
        <v>2650</v>
      </c>
      <c r="P93" s="9" t="n">
        <v>3900</v>
      </c>
      <c r="Q93" s="7" t="inlineStr">
        <is>
          <t>Sí</t>
        </is>
      </c>
      <c r="R93" s="9">
        <f>IF(N93="","",IF(Q93="Sí",ROUND(N93/1.18,2),N93))</f>
        <v/>
      </c>
      <c r="S93" s="7" t="inlineStr">
        <is>
          <t>2026-09</t>
        </is>
      </c>
      <c r="T93" s="5" t="inlineStr">
        <is>
          <t>Estimación de arranque — pendiente de cotización</t>
        </is>
      </c>
    </row>
    <row r="94">
      <c r="A94" s="7" t="inlineStr">
        <is>
          <t>MAT-06-009</t>
        </is>
      </c>
      <c r="B94" s="7" t="inlineStr">
        <is>
          <t>Materiales</t>
        </is>
      </c>
      <c r="C94" s="7" t="inlineStr">
        <is>
          <t>Madera y encofrado</t>
        </is>
      </c>
      <c r="D94" s="5" t="inlineStr">
        <is>
          <t>Plywood 3/4 pulgada una cara, americano</t>
        </is>
      </c>
      <c r="E94" s="5" t="inlineStr">
        <is>
          <t>Una cara apta para vista, 4 x 8 pies</t>
        </is>
      </c>
      <c r="F94" s="5" t="inlineStr"/>
      <c r="G94" s="5" t="inlineStr"/>
      <c r="H94" s="7" t="inlineStr">
        <is>
          <t>plancha</t>
        </is>
      </c>
      <c r="I94" s="7" t="inlineStr">
        <is>
          <t>Terminación de superficies</t>
        </is>
      </c>
      <c r="J94" s="7" t="inlineStr">
        <is>
          <t>estandar</t>
        </is>
      </c>
      <c r="K94" s="7" t="inlineStr">
        <is>
          <t>importado</t>
        </is>
      </c>
      <c r="L94" s="7" t="inlineStr">
        <is>
          <t>Estimado</t>
        </is>
      </c>
      <c r="M94" s="8" t="n">
        <v>0</v>
      </c>
      <c r="N94" s="9" t="n">
        <v>2850</v>
      </c>
      <c r="O94" s="9" t="n">
        <v>2350</v>
      </c>
      <c r="P94" s="9" t="n">
        <v>3500</v>
      </c>
      <c r="Q94" s="7" t="inlineStr">
        <is>
          <t>Sí</t>
        </is>
      </c>
      <c r="R94" s="9">
        <f>IF(N94="","",IF(Q94="Sí",ROUND(N94/1.18,2),N94))</f>
        <v/>
      </c>
      <c r="S94" s="7" t="inlineStr">
        <is>
          <t>2026-09</t>
        </is>
      </c>
      <c r="T94" s="5" t="inlineStr">
        <is>
          <t>Estimación de arranque — pendiente de cotización</t>
        </is>
      </c>
    </row>
    <row r="95">
      <c r="A95" s="7" t="inlineStr">
        <is>
          <t>MAT-06-010</t>
        </is>
      </c>
      <c r="B95" s="7" t="inlineStr">
        <is>
          <t>Materiales</t>
        </is>
      </c>
      <c r="C95" s="7" t="inlineStr">
        <is>
          <t>Madera y encofrado</t>
        </is>
      </c>
      <c r="D95" s="5" t="inlineStr">
        <is>
          <t>Plywood 3/4 pulgada dos caras, brasileño</t>
        </is>
      </c>
      <c r="E95" s="5" t="inlineStr">
        <is>
          <t>Ambas caras aptas para vista, 4 x 8 pies</t>
        </is>
      </c>
      <c r="F95" s="5" t="inlineStr"/>
      <c r="G95" s="5" t="inlineStr"/>
      <c r="H95" s="7" t="inlineStr">
        <is>
          <t>plancha</t>
        </is>
      </c>
      <c r="I95" s="7" t="inlineStr">
        <is>
          <t>Terminación de superficies</t>
        </is>
      </c>
      <c r="J95" s="7" t="inlineStr">
        <is>
          <t>estandar</t>
        </is>
      </c>
      <c r="K95" s="7" t="inlineStr">
        <is>
          <t>importado</t>
        </is>
      </c>
      <c r="L95" s="7" t="inlineStr">
        <is>
          <t>Estimado</t>
        </is>
      </c>
      <c r="M95" s="8" t="n">
        <v>0</v>
      </c>
      <c r="N95" s="9" t="n">
        <v>2600</v>
      </c>
      <c r="O95" s="9" t="n">
        <v>2150</v>
      </c>
      <c r="P95" s="9" t="n">
        <v>3200</v>
      </c>
      <c r="Q95" s="7" t="inlineStr">
        <is>
          <t>Sí</t>
        </is>
      </c>
      <c r="R95" s="9">
        <f>IF(N95="","",IF(Q95="Sí",ROUND(N95/1.18,2),N95))</f>
        <v/>
      </c>
      <c r="S95" s="7" t="inlineStr">
        <is>
          <t>2026-09</t>
        </is>
      </c>
      <c r="T95" s="5" t="inlineStr">
        <is>
          <t>Estimación de arranque — pendiente de cotización</t>
        </is>
      </c>
    </row>
    <row r="96">
      <c r="A96" s="7" t="inlineStr">
        <is>
          <t>MAT-06-011</t>
        </is>
      </c>
      <c r="B96" s="7" t="inlineStr">
        <is>
          <t>Materiales</t>
        </is>
      </c>
      <c r="C96" s="7" t="inlineStr">
        <is>
          <t>Madera y encofrado</t>
        </is>
      </c>
      <c r="D96" s="5" t="inlineStr">
        <is>
          <t>Madera bruta de pino americano</t>
        </is>
      </c>
      <c r="E96" s="5" t="inlineStr">
        <is>
          <t>Sin cepillar</t>
        </is>
      </c>
      <c r="F96" s="5" t="inlineStr"/>
      <c r="G96" s="5" t="inlineStr"/>
      <c r="H96" s="7" t="inlineStr">
        <is>
          <t>pie tablar</t>
        </is>
      </c>
      <c r="I96" s="7" t="inlineStr">
        <is>
          <t>Estructura</t>
        </is>
      </c>
      <c r="J96" s="7" t="inlineStr">
        <is>
          <t>estandar</t>
        </is>
      </c>
      <c r="K96" s="7" t="inlineStr">
        <is>
          <t>importado</t>
        </is>
      </c>
      <c r="L96" s="7" t="inlineStr">
        <is>
          <t>Estimado</t>
        </is>
      </c>
      <c r="M96" s="8" t="n">
        <v>0</v>
      </c>
      <c r="N96" s="9" t="n">
        <v>82</v>
      </c>
      <c r="O96" s="9" t="n">
        <v>66</v>
      </c>
      <c r="P96" s="9" t="n">
        <v>105</v>
      </c>
      <c r="Q96" s="7" t="inlineStr">
        <is>
          <t>Sí</t>
        </is>
      </c>
      <c r="R96" s="9">
        <f>IF(N96="","",IF(Q96="Sí",ROUND(N96/1.18,2),N96))</f>
        <v/>
      </c>
      <c r="S96" s="7" t="inlineStr">
        <is>
          <t>2026-09</t>
        </is>
      </c>
      <c r="T96" s="5" t="inlineStr">
        <is>
          <t>Estimación de arranque — pendiente de cotización</t>
        </is>
      </c>
    </row>
    <row r="97">
      <c r="A97" s="7" t="inlineStr">
        <is>
          <t>MAT-06-012</t>
        </is>
      </c>
      <c r="B97" s="7" t="inlineStr">
        <is>
          <t>Materiales</t>
        </is>
      </c>
      <c r="C97" s="7" t="inlineStr">
        <is>
          <t>Madera y encofrado</t>
        </is>
      </c>
      <c r="D97" s="5" t="inlineStr">
        <is>
          <t>Madera cepillada de pino americano</t>
        </is>
      </c>
      <c r="E97" s="5" t="inlineStr">
        <is>
          <t>Cepillada en las cuatro caras</t>
        </is>
      </c>
      <c r="F97" s="5" t="inlineStr"/>
      <c r="G97" s="5" t="inlineStr"/>
      <c r="H97" s="7" t="inlineStr">
        <is>
          <t>pie tablar</t>
        </is>
      </c>
      <c r="I97" s="7" t="inlineStr">
        <is>
          <t>Terminación de superficies</t>
        </is>
      </c>
      <c r="J97" s="7" t="inlineStr">
        <is>
          <t>estandar</t>
        </is>
      </c>
      <c r="K97" s="7" t="inlineStr">
        <is>
          <t>importado</t>
        </is>
      </c>
      <c r="L97" s="7" t="inlineStr">
        <is>
          <t>Estimado</t>
        </is>
      </c>
      <c r="M97" s="8" t="n">
        <v>0</v>
      </c>
      <c r="N97" s="9" t="n">
        <v>118</v>
      </c>
      <c r="O97" s="9" t="n">
        <v>95</v>
      </c>
      <c r="P97" s="9" t="n">
        <v>150</v>
      </c>
      <c r="Q97" s="7" t="inlineStr">
        <is>
          <t>Sí</t>
        </is>
      </c>
      <c r="R97" s="9">
        <f>IF(N97="","",IF(Q97="Sí",ROUND(N97/1.18,2),N97))</f>
        <v/>
      </c>
      <c r="S97" s="7" t="inlineStr">
        <is>
          <t>2026-09</t>
        </is>
      </c>
      <c r="T97" s="5" t="inlineStr">
        <is>
          <t>Estimación de arranque — pendiente de cotización</t>
        </is>
      </c>
    </row>
    <row r="98">
      <c r="A98" s="7" t="inlineStr">
        <is>
          <t>MAT-06-013</t>
        </is>
      </c>
      <c r="B98" s="7" t="inlineStr">
        <is>
          <t>Materiales</t>
        </is>
      </c>
      <c r="C98" s="7" t="inlineStr">
        <is>
          <t>Madera y encofrado</t>
        </is>
      </c>
      <c r="D98" s="5" t="inlineStr">
        <is>
          <t>Madera bruta de pino chileno</t>
        </is>
      </c>
      <c r="E98" s="5" t="inlineStr">
        <is>
          <t>Sin cepillar</t>
        </is>
      </c>
      <c r="F98" s="5" t="inlineStr"/>
      <c r="G98" s="5" t="inlineStr"/>
      <c r="H98" s="7" t="inlineStr">
        <is>
          <t>pie tablar</t>
        </is>
      </c>
      <c r="I98" s="7" t="inlineStr">
        <is>
          <t>Estructura</t>
        </is>
      </c>
      <c r="J98" s="7" t="inlineStr">
        <is>
          <t>economica</t>
        </is>
      </c>
      <c r="K98" s="7" t="inlineStr">
        <is>
          <t>importado</t>
        </is>
      </c>
      <c r="L98" s="7" t="inlineStr">
        <is>
          <t>Estimado</t>
        </is>
      </c>
      <c r="M98" s="8" t="n">
        <v>0</v>
      </c>
      <c r="N98" s="9" t="n">
        <v>74</v>
      </c>
      <c r="O98" s="9" t="n">
        <v>60</v>
      </c>
      <c r="P98" s="9" t="n">
        <v>95</v>
      </c>
      <c r="Q98" s="7" t="inlineStr">
        <is>
          <t>Sí</t>
        </is>
      </c>
      <c r="R98" s="9">
        <f>IF(N98="","",IF(Q98="Sí",ROUND(N98/1.18,2),N98))</f>
        <v/>
      </c>
      <c r="S98" s="7" t="inlineStr">
        <is>
          <t>2026-09</t>
        </is>
      </c>
      <c r="T98" s="5" t="inlineStr">
        <is>
          <t>Estimación de arranque — pendiente de cotización</t>
        </is>
      </c>
    </row>
    <row r="99">
      <c r="A99" s="7" t="inlineStr">
        <is>
          <t>MAT-06-014</t>
        </is>
      </c>
      <c r="B99" s="7" t="inlineStr">
        <is>
          <t>Materiales</t>
        </is>
      </c>
      <c r="C99" s="7" t="inlineStr">
        <is>
          <t>Madera y encofrado</t>
        </is>
      </c>
      <c r="D99" s="5" t="inlineStr">
        <is>
          <t>Madera cepillada de pino chileno</t>
        </is>
      </c>
      <c r="E99" s="5" t="inlineStr">
        <is>
          <t>Cepillada en las cuatro caras</t>
        </is>
      </c>
      <c r="F99" s="5" t="inlineStr"/>
      <c r="G99" s="5" t="inlineStr"/>
      <c r="H99" s="7" t="inlineStr">
        <is>
          <t>pie tablar</t>
        </is>
      </c>
      <c r="I99" s="7" t="inlineStr">
        <is>
          <t>Terminación de superficies</t>
        </is>
      </c>
      <c r="J99" s="7" t="inlineStr">
        <is>
          <t>estandar</t>
        </is>
      </c>
      <c r="K99" s="7" t="inlineStr">
        <is>
          <t>importado</t>
        </is>
      </c>
      <c r="L99" s="7" t="inlineStr">
        <is>
          <t>Estimado</t>
        </is>
      </c>
      <c r="M99" s="8" t="n">
        <v>0</v>
      </c>
      <c r="N99" s="9" t="n">
        <v>105</v>
      </c>
      <c r="O99" s="9" t="n">
        <v>84</v>
      </c>
      <c r="P99" s="9" t="n">
        <v>135</v>
      </c>
      <c r="Q99" s="7" t="inlineStr">
        <is>
          <t>Sí</t>
        </is>
      </c>
      <c r="R99" s="9">
        <f>IF(N99="","",IF(Q99="Sí",ROUND(N99/1.18,2),N99))</f>
        <v/>
      </c>
      <c r="S99" s="7" t="inlineStr">
        <is>
          <t>2026-09</t>
        </is>
      </c>
      <c r="T99" s="5" t="inlineStr">
        <is>
          <t>Estimación de arranque — pendiente de cotización</t>
        </is>
      </c>
    </row>
    <row r="100">
      <c r="A100" s="7" t="inlineStr">
        <is>
          <t>MAT-06-015</t>
        </is>
      </c>
      <c r="B100" s="7" t="inlineStr">
        <is>
          <t>Materiales</t>
        </is>
      </c>
      <c r="C100" s="7" t="inlineStr">
        <is>
          <t>Madera y encofrado</t>
        </is>
      </c>
      <c r="D100" s="5" t="inlineStr">
        <is>
          <t>Madera bruta de pino americano tratado</t>
        </is>
      </c>
      <c r="E100" s="5" t="inlineStr">
        <is>
          <t>Tratada para intemperie</t>
        </is>
      </c>
      <c r="F100" s="5" t="inlineStr"/>
      <c r="G100" s="5" t="inlineStr"/>
      <c r="H100" s="7" t="inlineStr">
        <is>
          <t>pie tablar</t>
        </is>
      </c>
      <c r="I100" s="7" t="inlineStr">
        <is>
          <t>Exteriores</t>
        </is>
      </c>
      <c r="J100" s="7" t="inlineStr">
        <is>
          <t>estandar</t>
        </is>
      </c>
      <c r="K100" s="7" t="inlineStr">
        <is>
          <t>importado</t>
        </is>
      </c>
      <c r="L100" s="7" t="inlineStr">
        <is>
          <t>Estimado</t>
        </is>
      </c>
      <c r="M100" s="8" t="n">
        <v>0</v>
      </c>
      <c r="N100" s="9" t="n">
        <v>112</v>
      </c>
      <c r="O100" s="9" t="n">
        <v>90</v>
      </c>
      <c r="P100" s="9" t="n">
        <v>145</v>
      </c>
      <c r="Q100" s="7" t="inlineStr">
        <is>
          <t>Sí</t>
        </is>
      </c>
      <c r="R100" s="9">
        <f>IF(N100="","",IF(Q100="Sí",ROUND(N100/1.18,2),N100))</f>
        <v/>
      </c>
      <c r="S100" s="7" t="inlineStr">
        <is>
          <t>2026-09</t>
        </is>
      </c>
      <c r="T100" s="5" t="inlineStr">
        <is>
          <t>Estimación de arranque — pendiente de cotización</t>
        </is>
      </c>
    </row>
    <row r="101">
      <c r="A101" s="7" t="inlineStr">
        <is>
          <t>MAT-06-016</t>
        </is>
      </c>
      <c r="B101" s="7" t="inlineStr">
        <is>
          <t>Materiales</t>
        </is>
      </c>
      <c r="C101" s="7" t="inlineStr">
        <is>
          <t>Madera y encofrado</t>
        </is>
      </c>
      <c r="D101" s="5" t="inlineStr">
        <is>
          <t>Madera tratada 2" x 4" x 12 pies</t>
        </is>
      </c>
      <c r="E101" s="5" t="inlineStr">
        <is>
          <t>Tratada para intemperie</t>
        </is>
      </c>
      <c r="F101" s="5" t="inlineStr"/>
      <c r="G101" s="5" t="inlineStr"/>
      <c r="H101" s="7" t="inlineStr">
        <is>
          <t>unidad</t>
        </is>
      </c>
      <c r="I101" s="7" t="inlineStr">
        <is>
          <t>Exteriores</t>
        </is>
      </c>
      <c r="J101" s="7" t="inlineStr">
        <is>
          <t>estandar</t>
        </is>
      </c>
      <c r="K101" s="7" t="inlineStr">
        <is>
          <t>importado</t>
        </is>
      </c>
      <c r="L101" s="7" t="inlineStr">
        <is>
          <t>Estimado</t>
        </is>
      </c>
      <c r="M101" s="8" t="n">
        <v>0</v>
      </c>
      <c r="N101" s="9" t="n">
        <v>1180</v>
      </c>
      <c r="O101" s="9" t="n">
        <v>950</v>
      </c>
      <c r="P101" s="9" t="n">
        <v>1480</v>
      </c>
      <c r="Q101" s="7" t="inlineStr">
        <is>
          <t>Sí</t>
        </is>
      </c>
      <c r="R101" s="9">
        <f>IF(N101="","",IF(Q101="Sí",ROUND(N101/1.18,2),N101))</f>
        <v/>
      </c>
      <c r="S101" s="7" t="inlineStr">
        <is>
          <t>2026-09</t>
        </is>
      </c>
      <c r="T101" s="5" t="inlineStr">
        <is>
          <t>Estimación de arranque — pendiente de cotización</t>
        </is>
      </c>
    </row>
    <row r="102">
      <c r="A102" s="7" t="inlineStr">
        <is>
          <t>MAT-06-017</t>
        </is>
      </c>
      <c r="B102" s="7" t="inlineStr">
        <is>
          <t>Materiales</t>
        </is>
      </c>
      <c r="C102" s="7" t="inlineStr">
        <is>
          <t>Madera y encofrado</t>
        </is>
      </c>
      <c r="D102" s="5" t="inlineStr">
        <is>
          <t>Desmoldante para formaleta</t>
        </is>
      </c>
      <c r="E102" s="5" t="inlineStr">
        <is>
          <t>Facilita el desencofrado</t>
        </is>
      </c>
      <c r="F102" s="5" t="inlineStr"/>
      <c r="G102" s="5" t="inlineStr"/>
      <c r="H102" s="7" t="inlineStr">
        <is>
          <t>galón</t>
        </is>
      </c>
      <c r="I102" s="7" t="inlineStr">
        <is>
          <t>Estructura</t>
        </is>
      </c>
      <c r="J102" s="7" t="inlineStr">
        <is>
          <t>estandar</t>
        </is>
      </c>
      <c r="K102" s="7" t="inlineStr">
        <is>
          <t>nacional</t>
        </is>
      </c>
      <c r="L102" s="7" t="inlineStr">
        <is>
          <t>Estimado</t>
        </is>
      </c>
      <c r="M102" s="8" t="n">
        <v>0</v>
      </c>
      <c r="N102" s="9" t="n">
        <v>1180</v>
      </c>
      <c r="O102" s="9" t="n">
        <v>950</v>
      </c>
      <c r="P102" s="9" t="n">
        <v>1500</v>
      </c>
      <c r="Q102" s="7" t="inlineStr">
        <is>
          <t>Sí</t>
        </is>
      </c>
      <c r="R102" s="9">
        <f>IF(N102="","",IF(Q102="Sí",ROUND(N102/1.18,2),N102))</f>
        <v/>
      </c>
      <c r="S102" s="7" t="inlineStr">
        <is>
          <t>2026-09</t>
        </is>
      </c>
      <c r="T102" s="5" t="inlineStr">
        <is>
          <t>Estimación de arranque — pendiente de cotización</t>
        </is>
      </c>
    </row>
    <row r="103">
      <c r="A103" s="7" t="inlineStr">
        <is>
          <t>MAT-07-001</t>
        </is>
      </c>
      <c r="B103" s="7" t="inlineStr">
        <is>
          <t>Materiales</t>
        </is>
      </c>
      <c r="C103" s="7" t="inlineStr">
        <is>
          <t>Techos e impermeabilización</t>
        </is>
      </c>
      <c r="D103" s="5" t="inlineStr">
        <is>
          <t>Zinc acanalado calibre 26, 10 pies</t>
        </is>
      </c>
      <c r="E103" s="5" t="inlineStr">
        <is>
          <t>Galvanizado ondulado</t>
        </is>
      </c>
      <c r="F103" s="5" t="inlineStr"/>
      <c r="G103" s="5" t="inlineStr"/>
      <c r="H103" s="7" t="inlineStr">
        <is>
          <t>plancha</t>
        </is>
      </c>
      <c r="I103" s="7" t="inlineStr">
        <is>
          <t>Techos</t>
        </is>
      </c>
      <c r="J103" s="7" t="inlineStr">
        <is>
          <t>economica</t>
        </is>
      </c>
      <c r="K103" s="7" t="inlineStr">
        <is>
          <t>nacional</t>
        </is>
      </c>
      <c r="L103" s="7" t="inlineStr">
        <is>
          <t>Estimado</t>
        </is>
      </c>
      <c r="M103" s="8" t="n">
        <v>0</v>
      </c>
      <c r="N103" s="9" t="n">
        <v>1780</v>
      </c>
      <c r="O103" s="9" t="n">
        <v>1500</v>
      </c>
      <c r="P103" s="9" t="n">
        <v>2150</v>
      </c>
      <c r="Q103" s="7" t="inlineStr">
        <is>
          <t>Sí</t>
        </is>
      </c>
      <c r="R103" s="9">
        <f>IF(N103="","",IF(Q103="Sí",ROUND(N103/1.18,2),N103))</f>
        <v/>
      </c>
      <c r="S103" s="7" t="inlineStr">
        <is>
          <t>2026-09</t>
        </is>
      </c>
      <c r="T103" s="5" t="inlineStr">
        <is>
          <t>Estimación de arranque — pendiente de cotización</t>
        </is>
      </c>
    </row>
    <row r="104">
      <c r="A104" s="7" t="inlineStr">
        <is>
          <t>MAT-07-002</t>
        </is>
      </c>
      <c r="B104" s="7" t="inlineStr">
        <is>
          <t>Materiales</t>
        </is>
      </c>
      <c r="C104" s="7" t="inlineStr">
        <is>
          <t>Techos e impermeabilización</t>
        </is>
      </c>
      <c r="D104" s="5" t="inlineStr">
        <is>
          <t>Aluzinc calibre 26, 12 pies</t>
        </is>
      </c>
      <c r="E104" s="5" t="inlineStr">
        <is>
          <t>Acanalado, fabricación a medida disponible</t>
        </is>
      </c>
      <c r="F104" s="5" t="inlineStr"/>
      <c r="G104" s="5" t="inlineStr"/>
      <c r="H104" s="7" t="inlineStr">
        <is>
          <t>plancha</t>
        </is>
      </c>
      <c r="I104" s="7" t="inlineStr">
        <is>
          <t>Techos</t>
        </is>
      </c>
      <c r="J104" s="7" t="inlineStr">
        <is>
          <t>estandar</t>
        </is>
      </c>
      <c r="K104" s="7" t="inlineStr">
        <is>
          <t>nacional</t>
        </is>
      </c>
      <c r="L104" s="7" t="inlineStr">
        <is>
          <t>Estimado</t>
        </is>
      </c>
      <c r="M104" s="8" t="n">
        <v>0</v>
      </c>
      <c r="N104" s="9" t="n">
        <v>2480</v>
      </c>
      <c r="O104" s="9" t="n">
        <v>2100</v>
      </c>
      <c r="P104" s="9" t="n">
        <v>3000</v>
      </c>
      <c r="Q104" s="7" t="inlineStr">
        <is>
          <t>Sí</t>
        </is>
      </c>
      <c r="R104" s="9">
        <f>IF(N104="","",IF(Q104="Sí",ROUND(N104/1.18,2),N104))</f>
        <v/>
      </c>
      <c r="S104" s="7" t="inlineStr">
        <is>
          <t>2026-09</t>
        </is>
      </c>
      <c r="T104" s="5" t="inlineStr">
        <is>
          <t>Estimación de arranque — pendiente de cotización</t>
        </is>
      </c>
    </row>
    <row r="105">
      <c r="A105" s="7" t="inlineStr">
        <is>
          <t>MAT-07-003</t>
        </is>
      </c>
      <c r="B105" s="7" t="inlineStr">
        <is>
          <t>Materiales</t>
        </is>
      </c>
      <c r="C105" s="7" t="inlineStr">
        <is>
          <t>Techos e impermeabilización</t>
        </is>
      </c>
      <c r="D105" s="5" t="inlineStr">
        <is>
          <t>Aluzinc tipo teja española, 12 pies</t>
        </is>
      </c>
      <c r="E105" s="5" t="inlineStr">
        <is>
          <t>Perfil teja, colores</t>
        </is>
      </c>
      <c r="F105" s="5" t="inlineStr"/>
      <c r="G105" s="5" t="inlineStr"/>
      <c r="H105" s="7" t="inlineStr">
        <is>
          <t>plancha</t>
        </is>
      </c>
      <c r="I105" s="7" t="inlineStr">
        <is>
          <t>Techos</t>
        </is>
      </c>
      <c r="J105" s="7" t="inlineStr">
        <is>
          <t>premium</t>
        </is>
      </c>
      <c r="K105" s="7" t="inlineStr">
        <is>
          <t>nacional</t>
        </is>
      </c>
      <c r="L105" s="7" t="inlineStr">
        <is>
          <t>Estimado</t>
        </is>
      </c>
      <c r="M105" s="8" t="n">
        <v>0</v>
      </c>
      <c r="N105" s="9" t="n">
        <v>3200</v>
      </c>
      <c r="O105" s="9" t="n">
        <v>2700</v>
      </c>
      <c r="P105" s="9" t="n">
        <v>3900</v>
      </c>
      <c r="Q105" s="7" t="inlineStr">
        <is>
          <t>Sí</t>
        </is>
      </c>
      <c r="R105" s="9">
        <f>IF(N105="","",IF(Q105="Sí",ROUND(N105/1.18,2),N105))</f>
        <v/>
      </c>
      <c r="S105" s="7" t="inlineStr">
        <is>
          <t>2026-09</t>
        </is>
      </c>
      <c r="T105" s="5" t="inlineStr">
        <is>
          <t>Estimación de arranque — pendiente de cotización</t>
        </is>
      </c>
    </row>
    <row r="106">
      <c r="A106" s="7" t="inlineStr">
        <is>
          <t>MAT-07-004</t>
        </is>
      </c>
      <c r="B106" s="7" t="inlineStr">
        <is>
          <t>Materiales</t>
        </is>
      </c>
      <c r="C106" s="7" t="inlineStr">
        <is>
          <t>Techos e impermeabilización</t>
        </is>
      </c>
      <c r="D106" s="5" t="inlineStr">
        <is>
          <t>Teja asfáltica (shingle), paquete 3.1 m²</t>
        </is>
      </c>
      <c r="E106" s="5" t="inlineStr">
        <is>
          <t>Arquitectónica, garantía de fábrica</t>
        </is>
      </c>
      <c r="F106" s="5" t="inlineStr"/>
      <c r="G106" s="5" t="inlineStr"/>
      <c r="H106" s="7" t="inlineStr">
        <is>
          <t>paquete</t>
        </is>
      </c>
      <c r="I106" s="7" t="inlineStr">
        <is>
          <t>Techos</t>
        </is>
      </c>
      <c r="J106" s="7" t="inlineStr">
        <is>
          <t>estandar</t>
        </is>
      </c>
      <c r="K106" s="7" t="inlineStr">
        <is>
          <t>importado</t>
        </is>
      </c>
      <c r="L106" s="7" t="inlineStr">
        <is>
          <t>Estimado</t>
        </is>
      </c>
      <c r="M106" s="8" t="n">
        <v>0</v>
      </c>
      <c r="N106" s="9" t="n">
        <v>2350</v>
      </c>
      <c r="O106" s="9" t="n">
        <v>1950</v>
      </c>
      <c r="P106" s="9" t="n">
        <v>2900</v>
      </c>
      <c r="Q106" s="7" t="inlineStr">
        <is>
          <t>Sí</t>
        </is>
      </c>
      <c r="R106" s="9">
        <f>IF(N106="","",IF(Q106="Sí",ROUND(N106/1.18,2),N106))</f>
        <v/>
      </c>
      <c r="S106" s="7" t="inlineStr">
        <is>
          <t>2026-09</t>
        </is>
      </c>
      <c r="T106" s="5" t="inlineStr">
        <is>
          <t>Estimación de arranque — pendiente de cotización</t>
        </is>
      </c>
    </row>
    <row r="107">
      <c r="A107" s="7" t="inlineStr">
        <is>
          <t>MAT-07-005</t>
        </is>
      </c>
      <c r="B107" s="7" t="inlineStr">
        <is>
          <t>Materiales</t>
        </is>
      </c>
      <c r="C107" s="7" t="inlineStr">
        <is>
          <t>Techos e impermeabilización</t>
        </is>
      </c>
      <c r="D107" s="5" t="inlineStr">
        <is>
          <t>Lámina de policarbonato alveolar 6 mm</t>
        </is>
      </c>
      <c r="E107" s="5" t="inlineStr">
        <is>
          <t>Traslúcida, 2.10 x 5.80 m</t>
        </is>
      </c>
      <c r="F107" s="5" t="inlineStr"/>
      <c r="G107" s="5" t="inlineStr"/>
      <c r="H107" s="7" t="inlineStr">
        <is>
          <t>plancha</t>
        </is>
      </c>
      <c r="I107" s="7" t="inlineStr">
        <is>
          <t>Techos</t>
        </is>
      </c>
      <c r="J107" s="7" t="inlineStr">
        <is>
          <t>estandar</t>
        </is>
      </c>
      <c r="K107" s="7" t="inlineStr">
        <is>
          <t>importado</t>
        </is>
      </c>
      <c r="L107" s="7" t="inlineStr">
        <is>
          <t>Estimado</t>
        </is>
      </c>
      <c r="M107" s="8" t="n">
        <v>0</v>
      </c>
      <c r="N107" s="9" t="n">
        <v>4600</v>
      </c>
      <c r="O107" s="9" t="n">
        <v>3800</v>
      </c>
      <c r="P107" s="9" t="n">
        <v>5600</v>
      </c>
      <c r="Q107" s="7" t="inlineStr">
        <is>
          <t>Sí</t>
        </is>
      </c>
      <c r="R107" s="9">
        <f>IF(N107="","",IF(Q107="Sí",ROUND(N107/1.18,2),N107))</f>
        <v/>
      </c>
      <c r="S107" s="7" t="inlineStr">
        <is>
          <t>2026-09</t>
        </is>
      </c>
      <c r="T107" s="5" t="inlineStr">
        <is>
          <t>Estimación de arranque — pendiente de cotización</t>
        </is>
      </c>
    </row>
    <row r="108">
      <c r="A108" s="7" t="inlineStr">
        <is>
          <t>MAT-07-006</t>
        </is>
      </c>
      <c r="B108" s="7" t="inlineStr">
        <is>
          <t>Materiales</t>
        </is>
      </c>
      <c r="C108" s="7" t="inlineStr">
        <is>
          <t>Techos e impermeabilización</t>
        </is>
      </c>
      <c r="D108" s="5" t="inlineStr">
        <is>
          <t>Lona asfáltica, rollo 10 m²</t>
        </is>
      </c>
      <c r="E108" s="5" t="inlineStr">
        <is>
          <t>Manto autoprotegido para techo</t>
        </is>
      </c>
      <c r="F108" s="5" t="inlineStr"/>
      <c r="G108" s="5" t="inlineStr"/>
      <c r="H108" s="7" t="inlineStr">
        <is>
          <t>rollo</t>
        </is>
      </c>
      <c r="I108" s="7" t="inlineStr">
        <is>
          <t>Techos</t>
        </is>
      </c>
      <c r="J108" s="7" t="inlineStr">
        <is>
          <t>estandar</t>
        </is>
      </c>
      <c r="K108" s="7" t="inlineStr">
        <is>
          <t>nacional</t>
        </is>
      </c>
      <c r="L108" s="7" t="inlineStr">
        <is>
          <t>Estimado</t>
        </is>
      </c>
      <c r="M108" s="8" t="n">
        <v>0</v>
      </c>
      <c r="N108" s="9" t="n">
        <v>5900</v>
      </c>
      <c r="O108" s="9" t="n">
        <v>4900</v>
      </c>
      <c r="P108" s="9" t="n">
        <v>7200</v>
      </c>
      <c r="Q108" s="7" t="inlineStr">
        <is>
          <t>Sí</t>
        </is>
      </c>
      <c r="R108" s="9">
        <f>IF(N108="","",IF(Q108="Sí",ROUND(N108/1.18,2),N108))</f>
        <v/>
      </c>
      <c r="S108" s="7" t="inlineStr">
        <is>
          <t>2026-09</t>
        </is>
      </c>
      <c r="T108" s="5" t="inlineStr">
        <is>
          <t>Estimación de arranque — pendiente de cotización</t>
        </is>
      </c>
    </row>
    <row r="109">
      <c r="A109" s="7" t="inlineStr">
        <is>
          <t>MAT-07-007</t>
        </is>
      </c>
      <c r="B109" s="7" t="inlineStr">
        <is>
          <t>Materiales</t>
        </is>
      </c>
      <c r="C109" s="7" t="inlineStr">
        <is>
          <t>Techos e impermeabilización</t>
        </is>
      </c>
      <c r="D109" s="5" t="inlineStr">
        <is>
          <t>Manto líquido acrílico, cubeta 5 gal</t>
        </is>
      </c>
      <c r="E109" s="5" t="inlineStr">
        <is>
          <t>Impermeabilizante elastomérico</t>
        </is>
      </c>
      <c r="F109" s="5" t="inlineStr"/>
      <c r="G109" s="5" t="inlineStr"/>
      <c r="H109" s="7" t="inlineStr">
        <is>
          <t>cubeta</t>
        </is>
      </c>
      <c r="I109" s="7" t="inlineStr">
        <is>
          <t>Techos</t>
        </is>
      </c>
      <c r="J109" s="7" t="inlineStr">
        <is>
          <t>estandar</t>
        </is>
      </c>
      <c r="K109" s="7" t="inlineStr">
        <is>
          <t>nacional</t>
        </is>
      </c>
      <c r="L109" s="7" t="inlineStr">
        <is>
          <t>Estimado</t>
        </is>
      </c>
      <c r="M109" s="8" t="n">
        <v>0</v>
      </c>
      <c r="N109" s="9" t="n">
        <v>4400</v>
      </c>
      <c r="O109" s="9" t="n">
        <v>3600</v>
      </c>
      <c r="P109" s="9" t="n">
        <v>5400</v>
      </c>
      <c r="Q109" s="7" t="inlineStr">
        <is>
          <t>Sí</t>
        </is>
      </c>
      <c r="R109" s="9">
        <f>IF(N109="","",IF(Q109="Sí",ROUND(N109/1.18,2),N109))</f>
        <v/>
      </c>
      <c r="S109" s="7" t="inlineStr">
        <is>
          <t>2026-09</t>
        </is>
      </c>
      <c r="T109" s="5" t="inlineStr">
        <is>
          <t>Estimación de arranque — pendiente de cotización</t>
        </is>
      </c>
    </row>
    <row r="110">
      <c r="A110" s="7" t="inlineStr">
        <is>
          <t>MAT-07-008</t>
        </is>
      </c>
      <c r="B110" s="7" t="inlineStr">
        <is>
          <t>Materiales</t>
        </is>
      </c>
      <c r="C110" s="7" t="inlineStr">
        <is>
          <t>Techos e impermeabilización</t>
        </is>
      </c>
      <c r="D110" s="5" t="inlineStr">
        <is>
          <t>Impermeabilizante cementicio, funda 25 kg</t>
        </is>
      </c>
      <c r="E110" s="5" t="inlineStr">
        <is>
          <t>Cisternas, plateas y sótanos</t>
        </is>
      </c>
      <c r="F110" s="5" t="inlineStr"/>
      <c r="G110" s="5" t="inlineStr"/>
      <c r="H110" s="7" t="inlineStr">
        <is>
          <t>funda</t>
        </is>
      </c>
      <c r="I110" s="7" t="inlineStr">
        <is>
          <t>Techos</t>
        </is>
      </c>
      <c r="J110" s="7" t="inlineStr">
        <is>
          <t>estandar</t>
        </is>
      </c>
      <c r="K110" s="7" t="inlineStr">
        <is>
          <t>nacional</t>
        </is>
      </c>
      <c r="L110" s="7" t="inlineStr">
        <is>
          <t>Estimado</t>
        </is>
      </c>
      <c r="M110" s="8" t="n">
        <v>0</v>
      </c>
      <c r="N110" s="9" t="n">
        <v>1650</v>
      </c>
      <c r="O110" s="9" t="n">
        <v>1300</v>
      </c>
      <c r="P110" s="9" t="n">
        <v>2050</v>
      </c>
      <c r="Q110" s="7" t="inlineStr">
        <is>
          <t>Sí</t>
        </is>
      </c>
      <c r="R110" s="9">
        <f>IF(N110="","",IF(Q110="Sí",ROUND(N110/1.18,2),N110))</f>
        <v/>
      </c>
      <c r="S110" s="7" t="inlineStr">
        <is>
          <t>2026-09</t>
        </is>
      </c>
      <c r="T110" s="5" t="inlineStr">
        <is>
          <t>Estimación de arranque — pendiente de cotización</t>
        </is>
      </c>
    </row>
    <row r="111">
      <c r="A111" s="7" t="inlineStr">
        <is>
          <t>MAT-07-009</t>
        </is>
      </c>
      <c r="B111" s="7" t="inlineStr">
        <is>
          <t>Materiales</t>
        </is>
      </c>
      <c r="C111" s="7" t="inlineStr">
        <is>
          <t>Techos e impermeabilización</t>
        </is>
      </c>
      <c r="D111" s="5" t="inlineStr">
        <is>
          <t>Silicón de techo, galón</t>
        </is>
      </c>
      <c r="E111" s="5" t="inlineStr">
        <is>
          <t>Sellado de tornillos y traslapes</t>
        </is>
      </c>
      <c r="F111" s="5" t="inlineStr"/>
      <c r="G111" s="5" t="inlineStr"/>
      <c r="H111" s="7" t="inlineStr">
        <is>
          <t>galón</t>
        </is>
      </c>
      <c r="I111" s="7" t="inlineStr">
        <is>
          <t>Techos</t>
        </is>
      </c>
      <c r="J111" s="7" t="inlineStr">
        <is>
          <t>estandar</t>
        </is>
      </c>
      <c r="K111" s="7" t="inlineStr">
        <is>
          <t>nacional</t>
        </is>
      </c>
      <c r="L111" s="7" t="inlineStr">
        <is>
          <t>Estimado</t>
        </is>
      </c>
      <c r="M111" s="8" t="n">
        <v>0</v>
      </c>
      <c r="N111" s="9" t="n">
        <v>1550</v>
      </c>
      <c r="O111" s="9" t="n">
        <v>1250</v>
      </c>
      <c r="P111" s="9" t="n">
        <v>1950</v>
      </c>
      <c r="Q111" s="7" t="inlineStr">
        <is>
          <t>Sí</t>
        </is>
      </c>
      <c r="R111" s="9">
        <f>IF(N111="","",IF(Q111="Sí",ROUND(N111/1.18,2),N111))</f>
        <v/>
      </c>
      <c r="S111" s="7" t="inlineStr">
        <is>
          <t>2026-09</t>
        </is>
      </c>
      <c r="T111" s="5" t="inlineStr">
        <is>
          <t>Estimación de arranque — pendiente de cotización</t>
        </is>
      </c>
    </row>
    <row r="112">
      <c r="A112" s="7" t="inlineStr">
        <is>
          <t>MAT-07-010</t>
        </is>
      </c>
      <c r="B112" s="7" t="inlineStr">
        <is>
          <t>Materiales</t>
        </is>
      </c>
      <c r="C112" s="7" t="inlineStr">
        <is>
          <t>Techos e impermeabilización</t>
        </is>
      </c>
      <c r="D112" s="5" t="inlineStr">
        <is>
          <t>Aislante foil doble burbuja, rollo 100 pies²</t>
        </is>
      </c>
      <c r="E112" s="5" t="inlineStr">
        <is>
          <t>Barrera radiante bajo cubierta</t>
        </is>
      </c>
      <c r="F112" s="5" t="inlineStr"/>
      <c r="G112" s="5" t="inlineStr"/>
      <c r="H112" s="7" t="inlineStr">
        <is>
          <t>rollo</t>
        </is>
      </c>
      <c r="I112" s="7" t="inlineStr">
        <is>
          <t>Techos</t>
        </is>
      </c>
      <c r="J112" s="7" t="inlineStr">
        <is>
          <t>estandar</t>
        </is>
      </c>
      <c r="K112" s="7" t="inlineStr">
        <is>
          <t>importado</t>
        </is>
      </c>
      <c r="L112" s="7" t="inlineStr">
        <is>
          <t>Estimado</t>
        </is>
      </c>
      <c r="M112" s="8" t="n">
        <v>0</v>
      </c>
      <c r="N112" s="9" t="n">
        <v>3900</v>
      </c>
      <c r="O112" s="9" t="n">
        <v>3200</v>
      </c>
      <c r="P112" s="9" t="n">
        <v>4800</v>
      </c>
      <c r="Q112" s="7" t="inlineStr">
        <is>
          <t>Sí</t>
        </is>
      </c>
      <c r="R112" s="9">
        <f>IF(N112="","",IF(Q112="Sí",ROUND(N112/1.18,2),N112))</f>
        <v/>
      </c>
      <c r="S112" s="7" t="inlineStr">
        <is>
          <t>2026-09</t>
        </is>
      </c>
      <c r="T112" s="5" t="inlineStr">
        <is>
          <t>Estimación de arranque — pendiente de cotización</t>
        </is>
      </c>
    </row>
    <row r="113">
      <c r="A113" s="7" t="inlineStr">
        <is>
          <t>MAT-08-001</t>
        </is>
      </c>
      <c r="B113" s="7" t="inlineStr">
        <is>
          <t>Materiales</t>
        </is>
      </c>
      <c r="C113" s="7" t="inlineStr">
        <is>
          <t>Pisos y revestimientos</t>
        </is>
      </c>
      <c r="D113" s="5" t="inlineStr">
        <is>
          <t>Cerámica nacional 33 x 33 cm</t>
        </is>
      </c>
      <c r="E113" s="5" t="inlineStr">
        <is>
          <t>Piso interior tránsito medio</t>
        </is>
      </c>
      <c r="F113" s="5" t="inlineStr"/>
      <c r="G113" s="5" t="inlineStr"/>
      <c r="H113" s="7" t="inlineStr">
        <is>
          <t>m²</t>
        </is>
      </c>
      <c r="I113" s="7" t="inlineStr">
        <is>
          <t>Pisos</t>
        </is>
      </c>
      <c r="J113" s="7" t="inlineStr">
        <is>
          <t>economica</t>
        </is>
      </c>
      <c r="K113" s="7" t="inlineStr">
        <is>
          <t>nacional</t>
        </is>
      </c>
      <c r="L113" s="7" t="inlineStr">
        <is>
          <t>Estimado</t>
        </is>
      </c>
      <c r="M113" s="8" t="n">
        <v>0</v>
      </c>
      <c r="N113" s="9" t="n">
        <v>590</v>
      </c>
      <c r="O113" s="9" t="n">
        <v>450</v>
      </c>
      <c r="P113" s="9" t="n">
        <v>780</v>
      </c>
      <c r="Q113" s="7" t="inlineStr">
        <is>
          <t>Sí</t>
        </is>
      </c>
      <c r="R113" s="9">
        <f>IF(N113="","",IF(Q113="Sí",ROUND(N113/1.18,2),N113))</f>
        <v/>
      </c>
      <c r="S113" s="7" t="inlineStr">
        <is>
          <t>2026-09</t>
        </is>
      </c>
      <c r="T113" s="5" t="inlineStr">
        <is>
          <t>Estimación de arranque — pendiente de cotización</t>
        </is>
      </c>
    </row>
    <row r="114">
      <c r="A114" s="7" t="inlineStr">
        <is>
          <t>MAT-08-002</t>
        </is>
      </c>
      <c r="B114" s="7" t="inlineStr">
        <is>
          <t>Materiales</t>
        </is>
      </c>
      <c r="C114" s="7" t="inlineStr">
        <is>
          <t>Pisos y revestimientos</t>
        </is>
      </c>
      <c r="D114" s="5" t="inlineStr">
        <is>
          <t>Cerámica de pared 25 x 40 cm</t>
        </is>
      </c>
      <c r="E114" s="5" t="inlineStr">
        <is>
          <t>Baños y cocinas</t>
        </is>
      </c>
      <c r="F114" s="5" t="inlineStr"/>
      <c r="G114" s="5" t="inlineStr"/>
      <c r="H114" s="7" t="inlineStr">
        <is>
          <t>m²</t>
        </is>
      </c>
      <c r="I114" s="7" t="inlineStr">
        <is>
          <t>Pisos</t>
        </is>
      </c>
      <c r="J114" s="7" t="inlineStr">
        <is>
          <t>estandar</t>
        </is>
      </c>
      <c r="K114" s="7" t="inlineStr">
        <is>
          <t>nacional</t>
        </is>
      </c>
      <c r="L114" s="7" t="inlineStr">
        <is>
          <t>Estimado</t>
        </is>
      </c>
      <c r="M114" s="8" t="n">
        <v>0</v>
      </c>
      <c r="N114" s="9" t="n">
        <v>720</v>
      </c>
      <c r="O114" s="9" t="n">
        <v>560</v>
      </c>
      <c r="P114" s="9" t="n">
        <v>950</v>
      </c>
      <c r="Q114" s="7" t="inlineStr">
        <is>
          <t>Sí</t>
        </is>
      </c>
      <c r="R114" s="9">
        <f>IF(N114="","",IF(Q114="Sí",ROUND(N114/1.18,2),N114))</f>
        <v/>
      </c>
      <c r="S114" s="7" t="inlineStr">
        <is>
          <t>2026-09</t>
        </is>
      </c>
      <c r="T114" s="5" t="inlineStr">
        <is>
          <t>Estimación de arranque — pendiente de cotización</t>
        </is>
      </c>
    </row>
    <row r="115">
      <c r="A115" s="7" t="inlineStr">
        <is>
          <t>MAT-08-003</t>
        </is>
      </c>
      <c r="B115" s="7" t="inlineStr">
        <is>
          <t>Materiales</t>
        </is>
      </c>
      <c r="C115" s="7" t="inlineStr">
        <is>
          <t>Pisos y revestimientos</t>
        </is>
      </c>
      <c r="D115" s="5" t="inlineStr">
        <is>
          <t>Porcelanato mate 60 x 60 cm</t>
        </is>
      </c>
      <c r="E115" s="5" t="inlineStr">
        <is>
          <t>Rectificado, tránsito residencial</t>
        </is>
      </c>
      <c r="F115" s="5" t="inlineStr"/>
      <c r="G115" s="5" t="inlineStr"/>
      <c r="H115" s="7" t="inlineStr">
        <is>
          <t>m²</t>
        </is>
      </c>
      <c r="I115" s="7" t="inlineStr">
        <is>
          <t>Pisos</t>
        </is>
      </c>
      <c r="J115" s="7" t="inlineStr">
        <is>
          <t>estandar</t>
        </is>
      </c>
      <c r="K115" s="7" t="inlineStr">
        <is>
          <t>importado</t>
        </is>
      </c>
      <c r="L115" s="7" t="inlineStr">
        <is>
          <t>Estimado</t>
        </is>
      </c>
      <c r="M115" s="8" t="n">
        <v>0</v>
      </c>
      <c r="N115" s="9" t="n">
        <v>1280</v>
      </c>
      <c r="O115" s="9" t="n">
        <v>980</v>
      </c>
      <c r="P115" s="9" t="n">
        <v>1700</v>
      </c>
      <c r="Q115" s="7" t="inlineStr">
        <is>
          <t>Sí</t>
        </is>
      </c>
      <c r="R115" s="9">
        <f>IF(N115="","",IF(Q115="Sí",ROUND(N115/1.18,2),N115))</f>
        <v/>
      </c>
      <c r="S115" s="7" t="inlineStr">
        <is>
          <t>2026-09</t>
        </is>
      </c>
      <c r="T115" s="5" t="inlineStr">
        <is>
          <t>Estimación de arranque — pendiente de cotización</t>
        </is>
      </c>
    </row>
    <row r="116">
      <c r="A116" s="7" t="inlineStr">
        <is>
          <t>MAT-08-004</t>
        </is>
      </c>
      <c r="B116" s="7" t="inlineStr">
        <is>
          <t>Materiales</t>
        </is>
      </c>
      <c r="C116" s="7" t="inlineStr">
        <is>
          <t>Pisos y revestimientos</t>
        </is>
      </c>
      <c r="D116" s="5" t="inlineStr">
        <is>
          <t>Porcelanato gran formato 80 x 80 cm</t>
        </is>
      </c>
      <c r="E116" s="5" t="inlineStr">
        <is>
          <t>Rectificado, importado</t>
        </is>
      </c>
      <c r="F116" s="5" t="inlineStr"/>
      <c r="G116" s="5" t="inlineStr"/>
      <c r="H116" s="7" t="inlineStr">
        <is>
          <t>m²</t>
        </is>
      </c>
      <c r="I116" s="7" t="inlineStr">
        <is>
          <t>Pisos</t>
        </is>
      </c>
      <c r="J116" s="7" t="inlineStr">
        <is>
          <t>premium</t>
        </is>
      </c>
      <c r="K116" s="7" t="inlineStr">
        <is>
          <t>importado</t>
        </is>
      </c>
      <c r="L116" s="7" t="inlineStr">
        <is>
          <t>Estimado</t>
        </is>
      </c>
      <c r="M116" s="8" t="n">
        <v>0</v>
      </c>
      <c r="N116" s="9" t="n">
        <v>2450</v>
      </c>
      <c r="O116" s="9" t="n">
        <v>1900</v>
      </c>
      <c r="P116" s="9" t="n">
        <v>3200</v>
      </c>
      <c r="Q116" s="7" t="inlineStr">
        <is>
          <t>Sí</t>
        </is>
      </c>
      <c r="R116" s="9">
        <f>IF(N116="","",IF(Q116="Sí",ROUND(N116/1.18,2),N116))</f>
        <v/>
      </c>
      <c r="S116" s="7" t="inlineStr">
        <is>
          <t>2026-09</t>
        </is>
      </c>
      <c r="T116" s="5" t="inlineStr">
        <is>
          <t>Estimación de arranque — pendiente de cotización</t>
        </is>
      </c>
    </row>
    <row r="117">
      <c r="A117" s="7" t="inlineStr">
        <is>
          <t>MAT-08-005</t>
        </is>
      </c>
      <c r="B117" s="7" t="inlineStr">
        <is>
          <t>Materiales</t>
        </is>
      </c>
      <c r="C117" s="7" t="inlineStr">
        <is>
          <t>Pisos y revestimientos</t>
        </is>
      </c>
      <c r="D117" s="5" t="inlineStr">
        <is>
          <t>Mármol importado</t>
        </is>
      </c>
      <c r="E117" s="5" t="inlineStr">
        <is>
          <t>Plancha pulida, espesor 2 cm</t>
        </is>
      </c>
      <c r="F117" s="5" t="inlineStr"/>
      <c r="G117" s="5" t="inlineStr"/>
      <c r="H117" s="7" t="inlineStr">
        <is>
          <t>m²</t>
        </is>
      </c>
      <c r="I117" s="7" t="inlineStr">
        <is>
          <t>Pisos</t>
        </is>
      </c>
      <c r="J117" s="7" t="inlineStr">
        <is>
          <t>premium</t>
        </is>
      </c>
      <c r="K117" s="7" t="inlineStr">
        <is>
          <t>importado</t>
        </is>
      </c>
      <c r="L117" s="7" t="inlineStr">
        <is>
          <t>Estimado</t>
        </is>
      </c>
      <c r="M117" s="8" t="n">
        <v>0</v>
      </c>
      <c r="N117" s="9" t="n">
        <v>5200</v>
      </c>
      <c r="O117" s="9" t="n">
        <v>3800</v>
      </c>
      <c r="P117" s="9" t="n">
        <v>7500</v>
      </c>
      <c r="Q117" s="7" t="inlineStr">
        <is>
          <t>Sí</t>
        </is>
      </c>
      <c r="R117" s="9">
        <f>IF(N117="","",IF(Q117="Sí",ROUND(N117/1.18,2),N117))</f>
        <v/>
      </c>
      <c r="S117" s="7" t="inlineStr">
        <is>
          <t>2026-09</t>
        </is>
      </c>
      <c r="T117" s="5" t="inlineStr">
        <is>
          <t>Estimación de arranque — pendiente de cotización</t>
        </is>
      </c>
    </row>
    <row r="118">
      <c r="A118" s="7" t="inlineStr">
        <is>
          <t>MAT-08-006</t>
        </is>
      </c>
      <c r="B118" s="7" t="inlineStr">
        <is>
          <t>Materiales</t>
        </is>
      </c>
      <c r="C118" s="7" t="inlineStr">
        <is>
          <t>Pisos y revestimientos</t>
        </is>
      </c>
      <c r="D118" s="5" t="inlineStr">
        <is>
          <t>Coralina dominicana</t>
        </is>
      </c>
      <c r="E118" s="5" t="inlineStr">
        <is>
          <t>Piedra natural local, exteriores y piscinas</t>
        </is>
      </c>
      <c r="F118" s="5" t="inlineStr"/>
      <c r="G118" s="5" t="inlineStr"/>
      <c r="H118" s="7" t="inlineStr">
        <is>
          <t>m²</t>
        </is>
      </c>
      <c r="I118" s="7" t="inlineStr">
        <is>
          <t>Exteriores</t>
        </is>
      </c>
      <c r="J118" s="7" t="inlineStr">
        <is>
          <t>estandar</t>
        </is>
      </c>
      <c r="K118" s="7" t="inlineStr">
        <is>
          <t>nacional</t>
        </is>
      </c>
      <c r="L118" s="7" t="inlineStr">
        <is>
          <t>Estimado</t>
        </is>
      </c>
      <c r="M118" s="8" t="n">
        <v>0</v>
      </c>
      <c r="N118" s="9" t="n">
        <v>2100</v>
      </c>
      <c r="O118" s="9" t="n">
        <v>1600</v>
      </c>
      <c r="P118" s="9" t="n">
        <v>2900</v>
      </c>
      <c r="Q118" s="7" t="inlineStr">
        <is>
          <t>Sí</t>
        </is>
      </c>
      <c r="R118" s="9">
        <f>IF(N118="","",IF(Q118="Sí",ROUND(N118/1.18,2),N118))</f>
        <v/>
      </c>
      <c r="S118" s="7" t="inlineStr">
        <is>
          <t>2026-09</t>
        </is>
      </c>
      <c r="T118" s="5" t="inlineStr">
        <is>
          <t>Estimación de arranque — pendiente de cotización</t>
        </is>
      </c>
    </row>
    <row r="119">
      <c r="A119" s="7" t="inlineStr">
        <is>
          <t>MAT-08-007</t>
        </is>
      </c>
      <c r="B119" s="7" t="inlineStr">
        <is>
          <t>Materiales</t>
        </is>
      </c>
      <c r="C119" s="7" t="inlineStr">
        <is>
          <t>Pisos y revestimientos</t>
        </is>
      </c>
      <c r="D119" s="5" t="inlineStr">
        <is>
          <t>Granito fundido / terrazo</t>
        </is>
      </c>
      <c r="E119" s="5" t="inlineStr">
        <is>
          <t>Fundido y pulido en sitio</t>
        </is>
      </c>
      <c r="F119" s="5" t="inlineStr"/>
      <c r="G119" s="5" t="inlineStr"/>
      <c r="H119" s="7" t="inlineStr">
        <is>
          <t>m²</t>
        </is>
      </c>
      <c r="I119" s="7" t="inlineStr">
        <is>
          <t>Pisos</t>
        </is>
      </c>
      <c r="J119" s="7" t="inlineStr">
        <is>
          <t>estandar</t>
        </is>
      </c>
      <c r="K119" s="7" t="inlineStr">
        <is>
          <t>nacional</t>
        </is>
      </c>
      <c r="L119" s="7" t="inlineStr">
        <is>
          <t>Estimado</t>
        </is>
      </c>
      <c r="M119" s="8" t="n">
        <v>0</v>
      </c>
      <c r="N119" s="9" t="n">
        <v>1950</v>
      </c>
      <c r="O119" s="9" t="n">
        <v>1500</v>
      </c>
      <c r="P119" s="9" t="n">
        <v>2600</v>
      </c>
      <c r="Q119" s="7" t="inlineStr">
        <is>
          <t>Sí</t>
        </is>
      </c>
      <c r="R119" s="9">
        <f>IF(N119="","",IF(Q119="Sí",ROUND(N119/1.18,2),N119))</f>
        <v/>
      </c>
      <c r="S119" s="7" t="inlineStr">
        <is>
          <t>2026-09</t>
        </is>
      </c>
      <c r="T119" s="5" t="inlineStr">
        <is>
          <t>Estimación de arranque — pendiente de cotización</t>
        </is>
      </c>
    </row>
    <row r="120">
      <c r="A120" s="7" t="inlineStr">
        <is>
          <t>MAT-08-008</t>
        </is>
      </c>
      <c r="B120" s="7" t="inlineStr">
        <is>
          <t>Materiales</t>
        </is>
      </c>
      <c r="C120" s="7" t="inlineStr">
        <is>
          <t>Pisos y revestimientos</t>
        </is>
      </c>
      <c r="D120" s="5" t="inlineStr">
        <is>
          <t>Piso vinílico SPC con click</t>
        </is>
      </c>
      <c r="E120" s="5" t="inlineStr">
        <is>
          <t>Núcleo rígido, resistente al agua</t>
        </is>
      </c>
      <c r="F120" s="5" t="inlineStr"/>
      <c r="G120" s="5" t="inlineStr"/>
      <c r="H120" s="7" t="inlineStr">
        <is>
          <t>m²</t>
        </is>
      </c>
      <c r="I120" s="7" t="inlineStr">
        <is>
          <t>Pisos</t>
        </is>
      </c>
      <c r="J120" s="7" t="inlineStr">
        <is>
          <t>estandar</t>
        </is>
      </c>
      <c r="K120" s="7" t="inlineStr">
        <is>
          <t>importado</t>
        </is>
      </c>
      <c r="L120" s="7" t="inlineStr">
        <is>
          <t>Estimado</t>
        </is>
      </c>
      <c r="M120" s="8" t="n">
        <v>0</v>
      </c>
      <c r="N120" s="9" t="n">
        <v>1480</v>
      </c>
      <c r="O120" s="9" t="n">
        <v>1150</v>
      </c>
      <c r="P120" s="9" t="n">
        <v>1950</v>
      </c>
      <c r="Q120" s="7" t="inlineStr">
        <is>
          <t>Sí</t>
        </is>
      </c>
      <c r="R120" s="9">
        <f>IF(N120="","",IF(Q120="Sí",ROUND(N120/1.18,2),N120))</f>
        <v/>
      </c>
      <c r="S120" s="7" t="inlineStr">
        <is>
          <t>2026-09</t>
        </is>
      </c>
      <c r="T120" s="5" t="inlineStr">
        <is>
          <t>Estimación de arranque — pendiente de cotización</t>
        </is>
      </c>
    </row>
    <row r="121">
      <c r="A121" s="7" t="inlineStr">
        <is>
          <t>MAT-08-009</t>
        </is>
      </c>
      <c r="B121" s="7" t="inlineStr">
        <is>
          <t>Materiales</t>
        </is>
      </c>
      <c r="C121" s="7" t="inlineStr">
        <is>
          <t>Pisos y revestimientos</t>
        </is>
      </c>
      <c r="D121" s="5" t="inlineStr">
        <is>
          <t>Deck de WPC para exteriores</t>
        </is>
      </c>
      <c r="E121" s="5" t="inlineStr">
        <is>
          <t>Madera plástica, terrazas y piscinas</t>
        </is>
      </c>
      <c r="F121" s="5" t="inlineStr"/>
      <c r="G121" s="5" t="inlineStr"/>
      <c r="H121" s="7" t="inlineStr">
        <is>
          <t>m²</t>
        </is>
      </c>
      <c r="I121" s="7" t="inlineStr">
        <is>
          <t>Exteriores</t>
        </is>
      </c>
      <c r="J121" s="7" t="inlineStr">
        <is>
          <t>premium</t>
        </is>
      </c>
      <c r="K121" s="7" t="inlineStr">
        <is>
          <t>importado</t>
        </is>
      </c>
      <c r="L121" s="7" t="inlineStr">
        <is>
          <t>Estimado</t>
        </is>
      </c>
      <c r="M121" s="8" t="n">
        <v>0</v>
      </c>
      <c r="N121" s="9" t="n">
        <v>3400</v>
      </c>
      <c r="O121" s="9" t="n">
        <v>2700</v>
      </c>
      <c r="P121" s="9" t="n">
        <v>4400</v>
      </c>
      <c r="Q121" s="7" t="inlineStr">
        <is>
          <t>Sí</t>
        </is>
      </c>
      <c r="R121" s="9">
        <f>IF(N121="","",IF(Q121="Sí",ROUND(N121/1.18,2),N121))</f>
        <v/>
      </c>
      <c r="S121" s="7" t="inlineStr">
        <is>
          <t>2026-09</t>
        </is>
      </c>
      <c r="T121" s="5" t="inlineStr">
        <is>
          <t>Estimación de arranque — pendiente de cotización</t>
        </is>
      </c>
    </row>
    <row r="122">
      <c r="A122" s="7" t="inlineStr">
        <is>
          <t>MAT-08-010</t>
        </is>
      </c>
      <c r="B122" s="7" t="inlineStr">
        <is>
          <t>Materiales</t>
        </is>
      </c>
      <c r="C122" s="7" t="inlineStr">
        <is>
          <t>Pisos y revestimientos</t>
        </is>
      </c>
      <c r="D122" s="5" t="inlineStr">
        <is>
          <t>Clip con tornillo para deck sintético</t>
        </is>
      </c>
      <c r="E122" s="5" t="inlineStr">
        <is>
          <t>Fijación oculta entre tablas</t>
        </is>
      </c>
      <c r="F122" s="5" t="inlineStr"/>
      <c r="G122" s="5" t="inlineStr"/>
      <c r="H122" s="7" t="inlineStr">
        <is>
          <t>unidad</t>
        </is>
      </c>
      <c r="I122" s="7" t="inlineStr">
        <is>
          <t>Exteriores</t>
        </is>
      </c>
      <c r="J122" s="7" t="inlineStr">
        <is>
          <t>estandar</t>
        </is>
      </c>
      <c r="K122" s="7" t="inlineStr">
        <is>
          <t>importado</t>
        </is>
      </c>
      <c r="L122" s="7" t="inlineStr">
        <is>
          <t>Estimado</t>
        </is>
      </c>
      <c r="M122" s="8" t="n">
        <v>0</v>
      </c>
      <c r="N122" s="9" t="n">
        <v>42</v>
      </c>
      <c r="O122" s="9" t="n">
        <v>32</v>
      </c>
      <c r="P122" s="9" t="n">
        <v>58</v>
      </c>
      <c r="Q122" s="7" t="inlineStr">
        <is>
          <t>Sí</t>
        </is>
      </c>
      <c r="R122" s="9">
        <f>IF(N122="","",IF(Q122="Sí",ROUND(N122/1.18,2),N122))</f>
        <v/>
      </c>
      <c r="S122" s="7" t="inlineStr">
        <is>
          <t>2026-09</t>
        </is>
      </c>
      <c r="T122" s="5" t="inlineStr">
        <is>
          <t>Estimación de arranque — pendiente de cotización</t>
        </is>
      </c>
    </row>
    <row r="123">
      <c r="A123" s="7" t="inlineStr">
        <is>
          <t>MAT-08-011</t>
        </is>
      </c>
      <c r="B123" s="7" t="inlineStr">
        <is>
          <t>Materiales</t>
        </is>
      </c>
      <c r="C123" s="7" t="inlineStr">
        <is>
          <t>Pisos y revestimientos</t>
        </is>
      </c>
      <c r="D123" s="5" t="inlineStr">
        <is>
          <t>Zócalo de porcelanato 8 cm</t>
        </is>
      </c>
      <c r="E123" s="5" t="inlineStr">
        <is>
          <t>A juego con el piso</t>
        </is>
      </c>
      <c r="F123" s="5" t="inlineStr"/>
      <c r="G123" s="5" t="inlineStr"/>
      <c r="H123" s="7" t="inlineStr">
        <is>
          <t>ml</t>
        </is>
      </c>
      <c r="I123" s="7" t="inlineStr">
        <is>
          <t>Pisos</t>
        </is>
      </c>
      <c r="J123" s="7" t="inlineStr">
        <is>
          <t>estandar</t>
        </is>
      </c>
      <c r="K123" s="7" t="inlineStr">
        <is>
          <t>nacional</t>
        </is>
      </c>
      <c r="L123" s="7" t="inlineStr">
        <is>
          <t>Estimado</t>
        </is>
      </c>
      <c r="M123" s="8" t="n">
        <v>0</v>
      </c>
      <c r="N123" s="9" t="n">
        <v>240</v>
      </c>
      <c r="O123" s="9" t="n">
        <v>180</v>
      </c>
      <c r="P123" s="9" t="n">
        <v>330</v>
      </c>
      <c r="Q123" s="7" t="inlineStr">
        <is>
          <t>Sí</t>
        </is>
      </c>
      <c r="R123" s="9">
        <f>IF(N123="","",IF(Q123="Sí",ROUND(N123/1.18,2),N123))</f>
        <v/>
      </c>
      <c r="S123" s="7" t="inlineStr">
        <is>
          <t>2026-09</t>
        </is>
      </c>
      <c r="T123" s="5" t="inlineStr">
        <is>
          <t>Estimación de arranque — pendiente de cotización</t>
        </is>
      </c>
    </row>
    <row r="124">
      <c r="A124" s="7" t="inlineStr">
        <is>
          <t>MAT-08-012</t>
        </is>
      </c>
      <c r="B124" s="7" t="inlineStr">
        <is>
          <t>Materiales</t>
        </is>
      </c>
      <c r="C124" s="7" t="inlineStr">
        <is>
          <t>Pisos y revestimientos</t>
        </is>
      </c>
      <c r="D124" s="5" t="inlineStr">
        <is>
          <t>Tope de granito natural instalado</t>
        </is>
      </c>
      <c r="E124" s="5" t="inlineStr">
        <is>
          <t>Espesor 2 cm, incluye pulido de canto</t>
        </is>
      </c>
      <c r="F124" s="5" t="inlineStr"/>
      <c r="G124" s="5" t="inlineStr"/>
      <c r="H124" s="7" t="inlineStr">
        <is>
          <t>pie lineal</t>
        </is>
      </c>
      <c r="I124" s="7" t="inlineStr">
        <is>
          <t>Terminación de superficies</t>
        </is>
      </c>
      <c r="J124" s="7" t="inlineStr">
        <is>
          <t>premium</t>
        </is>
      </c>
      <c r="K124" s="7" t="inlineStr">
        <is>
          <t>importado</t>
        </is>
      </c>
      <c r="L124" s="7" t="inlineStr">
        <is>
          <t>Estimado</t>
        </is>
      </c>
      <c r="M124" s="8" t="n">
        <v>0</v>
      </c>
      <c r="N124" s="9" t="n">
        <v>4400</v>
      </c>
      <c r="O124" s="9" t="n">
        <v>3400</v>
      </c>
      <c r="P124" s="9" t="n">
        <v>5800</v>
      </c>
      <c r="Q124" s="7" t="inlineStr">
        <is>
          <t>Sí</t>
        </is>
      </c>
      <c r="R124" s="9">
        <f>IF(N124="","",IF(Q124="Sí",ROUND(N124/1.18,2),N124))</f>
        <v/>
      </c>
      <c r="S124" s="7" t="inlineStr">
        <is>
          <t>2026-09</t>
        </is>
      </c>
      <c r="T124" s="5" t="inlineStr">
        <is>
          <t>Estimación de arranque — pendiente de cotización</t>
        </is>
      </c>
    </row>
    <row r="125">
      <c r="A125" s="7" t="inlineStr">
        <is>
          <t>MAT-08-013</t>
        </is>
      </c>
      <c r="B125" s="7" t="inlineStr">
        <is>
          <t>Materiales</t>
        </is>
      </c>
      <c r="C125" s="7" t="inlineStr">
        <is>
          <t>Pisos y revestimientos</t>
        </is>
      </c>
      <c r="D125" s="5" t="inlineStr">
        <is>
          <t>Tope de cuarzo instalado</t>
        </is>
      </c>
      <c r="E125" s="5" t="inlineStr">
        <is>
          <t>Cuarzo de ingeniería</t>
        </is>
      </c>
      <c r="F125" s="5" t="inlineStr"/>
      <c r="G125" s="5" t="inlineStr"/>
      <c r="H125" s="7" t="inlineStr">
        <is>
          <t>pie lineal</t>
        </is>
      </c>
      <c r="I125" s="7" t="inlineStr">
        <is>
          <t>Terminación de superficies</t>
        </is>
      </c>
      <c r="J125" s="7" t="inlineStr">
        <is>
          <t>premium</t>
        </is>
      </c>
      <c r="K125" s="7" t="inlineStr">
        <is>
          <t>importado</t>
        </is>
      </c>
      <c r="L125" s="7" t="inlineStr">
        <is>
          <t>Estimado</t>
        </is>
      </c>
      <c r="M125" s="8" t="n">
        <v>0</v>
      </c>
      <c r="N125" s="9" t="n">
        <v>6800</v>
      </c>
      <c r="O125" s="9" t="n">
        <v>5200</v>
      </c>
      <c r="P125" s="9" t="n">
        <v>8900</v>
      </c>
      <c r="Q125" s="7" t="inlineStr">
        <is>
          <t>Sí</t>
        </is>
      </c>
      <c r="R125" s="9">
        <f>IF(N125="","",IF(Q125="Sí",ROUND(N125/1.18,2),N125))</f>
        <v/>
      </c>
      <c r="S125" s="7" t="inlineStr">
        <is>
          <t>2026-09</t>
        </is>
      </c>
      <c r="T125" s="5" t="inlineStr">
        <is>
          <t>Estimación de arranque — pendiente de cotización</t>
        </is>
      </c>
    </row>
    <row r="126">
      <c r="A126" s="7" t="inlineStr">
        <is>
          <t>MAT-09-001</t>
        </is>
      </c>
      <c r="B126" s="7" t="inlineStr">
        <is>
          <t>Materiales</t>
        </is>
      </c>
      <c r="C126" s="7" t="inlineStr">
        <is>
          <t>Plomería, sanitarios y gas</t>
        </is>
      </c>
      <c r="D126" s="5" t="inlineStr">
        <is>
          <t>Tubo PVC drenaje 4" x 20 pies</t>
        </is>
      </c>
      <c r="E126" s="5" t="inlineStr">
        <is>
          <t>SDR-41 sanitario</t>
        </is>
      </c>
      <c r="F126" s="5" t="inlineStr"/>
      <c r="G126" s="5" t="inlineStr"/>
      <c r="H126" s="7" t="inlineStr">
        <is>
          <t>tubo</t>
        </is>
      </c>
      <c r="I126" s="7" t="inlineStr">
        <is>
          <t>Instalaciones</t>
        </is>
      </c>
      <c r="J126" s="7" t="inlineStr">
        <is>
          <t>estandar</t>
        </is>
      </c>
      <c r="K126" s="7" t="inlineStr">
        <is>
          <t>nacional</t>
        </is>
      </c>
      <c r="L126" s="7" t="inlineStr">
        <is>
          <t>Estimado</t>
        </is>
      </c>
      <c r="M126" s="8" t="n">
        <v>1</v>
      </c>
      <c r="N126" s="9" t="n">
        <v>1280</v>
      </c>
      <c r="O126" s="9" t="n">
        <v>1050</v>
      </c>
      <c r="P126" s="9" t="n">
        <v>1600</v>
      </c>
      <c r="Q126" s="7" t="inlineStr">
        <is>
          <t>Sí</t>
        </is>
      </c>
      <c r="R126" s="9">
        <f>IF(N126="","",IF(Q126="Sí",ROUND(N126/1.18,2),N126))</f>
        <v/>
      </c>
      <c r="S126" s="7" t="inlineStr">
        <is>
          <t>2026-09</t>
        </is>
      </c>
      <c r="T126" s="5" t="inlineStr">
        <is>
          <t>Estimación de arranque — pendiente de cotización</t>
        </is>
      </c>
    </row>
    <row r="127">
      <c r="A127" s="7" t="inlineStr">
        <is>
          <t>MAT-09-002</t>
        </is>
      </c>
      <c r="B127" s="7" t="inlineStr">
        <is>
          <t>Materiales</t>
        </is>
      </c>
      <c r="C127" s="7" t="inlineStr">
        <is>
          <t>Plomería, sanitarios y gas</t>
        </is>
      </c>
      <c r="D127" s="5" t="inlineStr">
        <is>
          <t>Tubo PVC drenaje 2" x 20 pies</t>
        </is>
      </c>
      <c r="E127" s="5" t="inlineStr">
        <is>
          <t>SDR-41 sanitario</t>
        </is>
      </c>
      <c r="F127" s="5" t="inlineStr"/>
      <c r="G127" s="5" t="inlineStr"/>
      <c r="H127" s="7" t="inlineStr">
        <is>
          <t>tubo</t>
        </is>
      </c>
      <c r="I127" s="7" t="inlineStr">
        <is>
          <t>Instalaciones</t>
        </is>
      </c>
      <c r="J127" s="7" t="inlineStr">
        <is>
          <t>estandar</t>
        </is>
      </c>
      <c r="K127" s="7" t="inlineStr">
        <is>
          <t>nacional</t>
        </is>
      </c>
      <c r="L127" s="7" t="inlineStr">
        <is>
          <t>Estimado</t>
        </is>
      </c>
      <c r="M127" s="8" t="n">
        <v>1</v>
      </c>
      <c r="N127" s="9" t="n">
        <v>540</v>
      </c>
      <c r="O127" s="9" t="n">
        <v>440</v>
      </c>
      <c r="P127" s="9" t="n">
        <v>680</v>
      </c>
      <c r="Q127" s="7" t="inlineStr">
        <is>
          <t>Sí</t>
        </is>
      </c>
      <c r="R127" s="9">
        <f>IF(N127="","",IF(Q127="Sí",ROUND(N127/1.18,2),N127))</f>
        <v/>
      </c>
      <c r="S127" s="7" t="inlineStr">
        <is>
          <t>2026-09</t>
        </is>
      </c>
      <c r="T127" s="5" t="inlineStr">
        <is>
          <t>Estimación de arranque — pendiente de cotización</t>
        </is>
      </c>
    </row>
    <row r="128">
      <c r="A128" s="7" t="inlineStr">
        <is>
          <t>MAT-09-003</t>
        </is>
      </c>
      <c r="B128" s="7" t="inlineStr">
        <is>
          <t>Materiales</t>
        </is>
      </c>
      <c r="C128" s="7" t="inlineStr">
        <is>
          <t>Plomería, sanitarios y gas</t>
        </is>
      </c>
      <c r="D128" s="5" t="inlineStr">
        <is>
          <t>Tubo PVC drenaje 6" x 20 pies</t>
        </is>
      </c>
      <c r="E128" s="5" t="inlineStr">
        <is>
          <t>SDR-41 sanitario</t>
        </is>
      </c>
      <c r="F128" s="5" t="inlineStr"/>
      <c r="G128" s="5" t="inlineStr"/>
      <c r="H128" s="7" t="inlineStr">
        <is>
          <t>tubo</t>
        </is>
      </c>
      <c r="I128" s="7" t="inlineStr">
        <is>
          <t>Instalaciones</t>
        </is>
      </c>
      <c r="J128" s="7" t="inlineStr">
        <is>
          <t>estandar</t>
        </is>
      </c>
      <c r="K128" s="7" t="inlineStr">
        <is>
          <t>nacional</t>
        </is>
      </c>
      <c r="L128" s="7" t="inlineStr">
        <is>
          <t>Estimado</t>
        </is>
      </c>
      <c r="M128" s="8" t="n">
        <v>0</v>
      </c>
      <c r="N128" s="9" t="n">
        <v>2450</v>
      </c>
      <c r="O128" s="9" t="n">
        <v>2000</v>
      </c>
      <c r="P128" s="9" t="n">
        <v>3050</v>
      </c>
      <c r="Q128" s="7" t="inlineStr">
        <is>
          <t>Sí</t>
        </is>
      </c>
      <c r="R128" s="9">
        <f>IF(N128="","",IF(Q128="Sí",ROUND(N128/1.18,2),N128))</f>
        <v/>
      </c>
      <c r="S128" s="7" t="inlineStr">
        <is>
          <t>2026-09</t>
        </is>
      </c>
      <c r="T128" s="5" t="inlineStr">
        <is>
          <t>Estimación de arranque — pendiente de cotización</t>
        </is>
      </c>
    </row>
    <row r="129">
      <c r="A129" s="7" t="inlineStr">
        <is>
          <t>MAT-09-004</t>
        </is>
      </c>
      <c r="B129" s="7" t="inlineStr">
        <is>
          <t>Materiales</t>
        </is>
      </c>
      <c r="C129" s="7" t="inlineStr">
        <is>
          <t>Plomería, sanitarios y gas</t>
        </is>
      </c>
      <c r="D129" s="5" t="inlineStr">
        <is>
          <t>Tubo PVC presión 1/2" SCH-40 x 20 pies</t>
        </is>
      </c>
      <c r="E129" s="5" t="inlineStr">
        <is>
          <t>Agua fría a presión</t>
        </is>
      </c>
      <c r="F129" s="5" t="inlineStr"/>
      <c r="G129" s="5" t="inlineStr"/>
      <c r="H129" s="7" t="inlineStr">
        <is>
          <t>tubo</t>
        </is>
      </c>
      <c r="I129" s="7" t="inlineStr">
        <is>
          <t>Instalaciones</t>
        </is>
      </c>
      <c r="J129" s="7" t="inlineStr">
        <is>
          <t>estandar</t>
        </is>
      </c>
      <c r="K129" s="7" t="inlineStr">
        <is>
          <t>nacional</t>
        </is>
      </c>
      <c r="L129" s="7" t="inlineStr">
        <is>
          <t>Estimado</t>
        </is>
      </c>
      <c r="M129" s="8" t="n">
        <v>0</v>
      </c>
      <c r="N129" s="9" t="n">
        <v>360</v>
      </c>
      <c r="O129" s="9" t="n">
        <v>290</v>
      </c>
      <c r="P129" s="9" t="n">
        <v>450</v>
      </c>
      <c r="Q129" s="7" t="inlineStr">
        <is>
          <t>Sí</t>
        </is>
      </c>
      <c r="R129" s="9">
        <f>IF(N129="","",IF(Q129="Sí",ROUND(N129/1.18,2),N129))</f>
        <v/>
      </c>
      <c r="S129" s="7" t="inlineStr">
        <is>
          <t>2026-09</t>
        </is>
      </c>
      <c r="T129" s="5" t="inlineStr">
        <is>
          <t>Estimación de arranque — pendiente de cotización</t>
        </is>
      </c>
    </row>
    <row r="130">
      <c r="A130" s="7" t="inlineStr">
        <is>
          <t>MAT-09-005</t>
        </is>
      </c>
      <c r="B130" s="7" t="inlineStr">
        <is>
          <t>Materiales</t>
        </is>
      </c>
      <c r="C130" s="7" t="inlineStr">
        <is>
          <t>Plomería, sanitarios y gas</t>
        </is>
      </c>
      <c r="D130" s="5" t="inlineStr">
        <is>
          <t>Tubo CPVC 1/2" x 20 pies</t>
        </is>
      </c>
      <c r="E130" s="5" t="inlineStr">
        <is>
          <t>Agua caliente</t>
        </is>
      </c>
      <c r="F130" s="5" t="inlineStr"/>
      <c r="G130" s="5" t="inlineStr"/>
      <c r="H130" s="7" t="inlineStr">
        <is>
          <t>tubo</t>
        </is>
      </c>
      <c r="I130" s="7" t="inlineStr">
        <is>
          <t>Instalaciones</t>
        </is>
      </c>
      <c r="J130" s="7" t="inlineStr">
        <is>
          <t>estandar</t>
        </is>
      </c>
      <c r="K130" s="7" t="inlineStr">
        <is>
          <t>importado</t>
        </is>
      </c>
      <c r="L130" s="7" t="inlineStr">
        <is>
          <t>Estimado</t>
        </is>
      </c>
      <c r="M130" s="8" t="n">
        <v>0</v>
      </c>
      <c r="N130" s="9" t="n">
        <v>780</v>
      </c>
      <c r="O130" s="9" t="n">
        <v>620</v>
      </c>
      <c r="P130" s="9" t="n">
        <v>990</v>
      </c>
      <c r="Q130" s="7" t="inlineStr">
        <is>
          <t>Sí</t>
        </is>
      </c>
      <c r="R130" s="9">
        <f>IF(N130="","",IF(Q130="Sí",ROUND(N130/1.18,2),N130))</f>
        <v/>
      </c>
      <c r="S130" s="7" t="inlineStr">
        <is>
          <t>2026-09</t>
        </is>
      </c>
      <c r="T130" s="5" t="inlineStr">
        <is>
          <t>Estimación de arranque — pendiente de cotización</t>
        </is>
      </c>
    </row>
    <row r="131">
      <c r="A131" s="7" t="inlineStr">
        <is>
          <t>MAT-09-006</t>
        </is>
      </c>
      <c r="B131" s="7" t="inlineStr">
        <is>
          <t>Materiales</t>
        </is>
      </c>
      <c r="C131" s="7" t="inlineStr">
        <is>
          <t>Plomería, sanitarios y gas</t>
        </is>
      </c>
      <c r="D131" s="5" t="inlineStr">
        <is>
          <t>Codo PVC 90° de 4"</t>
        </is>
      </c>
      <c r="E131" s="5" t="inlineStr">
        <is>
          <t>Drenaje sanitario</t>
        </is>
      </c>
      <c r="F131" s="5" t="inlineStr"/>
      <c r="G131" s="5" t="inlineStr"/>
      <c r="H131" s="7" t="inlineStr">
        <is>
          <t>unidad</t>
        </is>
      </c>
      <c r="I131" s="7" t="inlineStr">
        <is>
          <t>Instalaciones</t>
        </is>
      </c>
      <c r="J131" s="7" t="inlineStr">
        <is>
          <t>estandar</t>
        </is>
      </c>
      <c r="K131" s="7" t="inlineStr">
        <is>
          <t>nacional</t>
        </is>
      </c>
      <c r="L131" s="7" t="inlineStr">
        <is>
          <t>Estimado</t>
        </is>
      </c>
      <c r="M131" s="8" t="n">
        <v>0</v>
      </c>
      <c r="N131" s="9" t="n">
        <v>285</v>
      </c>
      <c r="O131" s="9" t="n">
        <v>220</v>
      </c>
      <c r="P131" s="9" t="n">
        <v>370</v>
      </c>
      <c r="Q131" s="7" t="inlineStr">
        <is>
          <t>Sí</t>
        </is>
      </c>
      <c r="R131" s="9">
        <f>IF(N131="","",IF(Q131="Sí",ROUND(N131/1.18,2),N131))</f>
        <v/>
      </c>
      <c r="S131" s="7" t="inlineStr">
        <is>
          <t>2026-09</t>
        </is>
      </c>
      <c r="T131" s="5" t="inlineStr">
        <is>
          <t>Estimación de arranque — pendiente de cotización</t>
        </is>
      </c>
    </row>
    <row r="132">
      <c r="A132" s="7" t="inlineStr">
        <is>
          <t>MAT-09-007</t>
        </is>
      </c>
      <c r="B132" s="7" t="inlineStr">
        <is>
          <t>Materiales</t>
        </is>
      </c>
      <c r="C132" s="7" t="inlineStr">
        <is>
          <t>Plomería, sanitarios y gas</t>
        </is>
      </c>
      <c r="D132" s="5" t="inlineStr">
        <is>
          <t>Llave de paso de 1/2"</t>
        </is>
      </c>
      <c r="E132" s="5" t="inlineStr">
        <is>
          <t>Bronce o PVC según marca</t>
        </is>
      </c>
      <c r="F132" s="5" t="inlineStr"/>
      <c r="G132" s="5" t="inlineStr"/>
      <c r="H132" s="7" t="inlineStr">
        <is>
          <t>unidad</t>
        </is>
      </c>
      <c r="I132" s="7" t="inlineStr">
        <is>
          <t>Instalaciones</t>
        </is>
      </c>
      <c r="J132" s="7" t="inlineStr">
        <is>
          <t>estandar</t>
        </is>
      </c>
      <c r="K132" s="7" t="inlineStr">
        <is>
          <t>nacional</t>
        </is>
      </c>
      <c r="L132" s="7" t="inlineStr">
        <is>
          <t>Estimado</t>
        </is>
      </c>
      <c r="M132" s="8" t="n">
        <v>0</v>
      </c>
      <c r="N132" s="9" t="n">
        <v>520</v>
      </c>
      <c r="O132" s="9" t="n">
        <v>400</v>
      </c>
      <c r="P132" s="9" t="n">
        <v>700</v>
      </c>
      <c r="Q132" s="7" t="inlineStr">
        <is>
          <t>Sí</t>
        </is>
      </c>
      <c r="R132" s="9">
        <f>IF(N132="","",IF(Q132="Sí",ROUND(N132/1.18,2),N132))</f>
        <v/>
      </c>
      <c r="S132" s="7" t="inlineStr">
        <is>
          <t>2026-09</t>
        </is>
      </c>
      <c r="T132" s="5" t="inlineStr">
        <is>
          <t>Estimación de arranque — pendiente de cotización</t>
        </is>
      </c>
    </row>
    <row r="133">
      <c r="A133" s="7" t="inlineStr">
        <is>
          <t>MAT-09-008</t>
        </is>
      </c>
      <c r="B133" s="7" t="inlineStr">
        <is>
          <t>Materiales</t>
        </is>
      </c>
      <c r="C133" s="7" t="inlineStr">
        <is>
          <t>Plomería, sanitarios y gas</t>
        </is>
      </c>
      <c r="D133" s="5" t="inlineStr">
        <is>
          <t>Inodoro de una pieza, gama económica</t>
        </is>
      </c>
      <c r="E133" s="5" t="inlineStr">
        <is>
          <t>Con asiento y accesorios</t>
        </is>
      </c>
      <c r="F133" s="5" t="inlineStr"/>
      <c r="G133" s="5" t="inlineStr"/>
      <c r="H133" s="7" t="inlineStr">
        <is>
          <t>unidad</t>
        </is>
      </c>
      <c r="I133" s="7" t="inlineStr">
        <is>
          <t>Instalaciones</t>
        </is>
      </c>
      <c r="J133" s="7" t="inlineStr">
        <is>
          <t>economica</t>
        </is>
      </c>
      <c r="K133" s="7" t="inlineStr">
        <is>
          <t>importado</t>
        </is>
      </c>
      <c r="L133" s="7" t="inlineStr">
        <is>
          <t>Verificado</t>
        </is>
      </c>
      <c r="M133" s="8" t="n">
        <v>1</v>
      </c>
      <c r="N133" s="9" t="n">
        <v>6107.2</v>
      </c>
      <c r="O133" s="9" t="n">
        <v>6107.2</v>
      </c>
      <c r="P133" s="9" t="n">
        <v>6107.2</v>
      </c>
      <c r="Q133" s="7" t="inlineStr">
        <is>
          <t>Sí</t>
        </is>
      </c>
      <c r="R133" s="9">
        <f>IF(N133="","",IF(Q133="Sí",ROUND(N133/1.18,2),N133))</f>
        <v/>
      </c>
      <c r="S133" s="7" t="inlineStr">
        <is>
          <t>2026-09-08</t>
        </is>
      </c>
      <c r="T133" s="5" t="inlineStr">
        <is>
          <t>1 cotización de proveedores</t>
        </is>
      </c>
    </row>
    <row r="134">
      <c r="A134" s="7" t="inlineStr">
        <is>
          <t>MAT-09-009</t>
        </is>
      </c>
      <c r="B134" s="7" t="inlineStr">
        <is>
          <t>Materiales</t>
        </is>
      </c>
      <c r="C134" s="7" t="inlineStr">
        <is>
          <t>Plomería, sanitarios y gas</t>
        </is>
      </c>
      <c r="D134" s="5" t="inlineStr">
        <is>
          <t>Inodoro de una pieza, gama premium</t>
        </is>
      </c>
      <c r="E134" s="5" t="inlineStr">
        <is>
          <t>Marca de línea alta</t>
        </is>
      </c>
      <c r="F134" s="5" t="inlineStr"/>
      <c r="G134" s="5" t="inlineStr"/>
      <c r="H134" s="7" t="inlineStr">
        <is>
          <t>unidad</t>
        </is>
      </c>
      <c r="I134" s="7" t="inlineStr">
        <is>
          <t>Instalaciones</t>
        </is>
      </c>
      <c r="J134" s="7" t="inlineStr">
        <is>
          <t>premium</t>
        </is>
      </c>
      <c r="K134" s="7" t="inlineStr">
        <is>
          <t>importado</t>
        </is>
      </c>
      <c r="L134" s="7" t="inlineStr">
        <is>
          <t>Estimado</t>
        </is>
      </c>
      <c r="M134" s="8" t="n">
        <v>0</v>
      </c>
      <c r="N134" s="9" t="n">
        <v>28000</v>
      </c>
      <c r="O134" s="9" t="n">
        <v>20000</v>
      </c>
      <c r="P134" s="9" t="n">
        <v>42000</v>
      </c>
      <c r="Q134" s="7" t="inlineStr">
        <is>
          <t>Sí</t>
        </is>
      </c>
      <c r="R134" s="9">
        <f>IF(N134="","",IF(Q134="Sí",ROUND(N134/1.18,2),N134))</f>
        <v/>
      </c>
      <c r="S134" s="7" t="inlineStr">
        <is>
          <t>2026-09</t>
        </is>
      </c>
      <c r="T134" s="5" t="inlineStr">
        <is>
          <t>Estimación de arranque — pendiente de cotización</t>
        </is>
      </c>
    </row>
    <row r="135">
      <c r="A135" s="7" t="inlineStr">
        <is>
          <t>MAT-09-010</t>
        </is>
      </c>
      <c r="B135" s="7" t="inlineStr">
        <is>
          <t>Materiales</t>
        </is>
      </c>
      <c r="C135" s="7" t="inlineStr">
        <is>
          <t>Plomería, sanitarios y gas</t>
        </is>
      </c>
      <c r="D135" s="5" t="inlineStr">
        <is>
          <t>Lavamanos de sobreponer</t>
        </is>
      </c>
      <c r="E135" s="5" t="inlineStr">
        <is>
          <t>Porcelana</t>
        </is>
      </c>
      <c r="F135" s="5" t="inlineStr"/>
      <c r="G135" s="5" t="inlineStr"/>
      <c r="H135" s="7" t="inlineStr">
        <is>
          <t>unidad</t>
        </is>
      </c>
      <c r="I135" s="7" t="inlineStr">
        <is>
          <t>Instalaciones</t>
        </is>
      </c>
      <c r="J135" s="7" t="inlineStr">
        <is>
          <t>estandar</t>
        </is>
      </c>
      <c r="K135" s="7" t="inlineStr">
        <is>
          <t>importado</t>
        </is>
      </c>
      <c r="L135" s="7" t="inlineStr">
        <is>
          <t>Estimado</t>
        </is>
      </c>
      <c r="M135" s="8" t="n">
        <v>0</v>
      </c>
      <c r="N135" s="9" t="n">
        <v>6200</v>
      </c>
      <c r="O135" s="9" t="n">
        <v>4500</v>
      </c>
      <c r="P135" s="9" t="n">
        <v>9000</v>
      </c>
      <c r="Q135" s="7" t="inlineStr">
        <is>
          <t>Sí</t>
        </is>
      </c>
      <c r="R135" s="9">
        <f>IF(N135="","",IF(Q135="Sí",ROUND(N135/1.18,2),N135))</f>
        <v/>
      </c>
      <c r="S135" s="7" t="inlineStr">
        <is>
          <t>2026-09</t>
        </is>
      </c>
      <c r="T135" s="5" t="inlineStr">
        <is>
          <t>Estimación de arranque — pendiente de cotización</t>
        </is>
      </c>
    </row>
    <row r="136">
      <c r="A136" s="7" t="inlineStr">
        <is>
          <t>MAT-09-011</t>
        </is>
      </c>
      <c r="B136" s="7" t="inlineStr">
        <is>
          <t>Materiales</t>
        </is>
      </c>
      <c r="C136" s="7" t="inlineStr">
        <is>
          <t>Plomería, sanitarios y gas</t>
        </is>
      </c>
      <c r="D136" s="5" t="inlineStr">
        <is>
          <t>Mezcladora de lavamanos</t>
        </is>
      </c>
      <c r="E136" s="5" t="inlineStr">
        <is>
          <t>Monomando cromado</t>
        </is>
      </c>
      <c r="F136" s="5" t="inlineStr"/>
      <c r="G136" s="5" t="inlineStr"/>
      <c r="H136" s="7" t="inlineStr">
        <is>
          <t>unidad</t>
        </is>
      </c>
      <c r="I136" s="7" t="inlineStr">
        <is>
          <t>Instalaciones</t>
        </is>
      </c>
      <c r="J136" s="7" t="inlineStr">
        <is>
          <t>estandar</t>
        </is>
      </c>
      <c r="K136" s="7" t="inlineStr">
        <is>
          <t>importado</t>
        </is>
      </c>
      <c r="L136" s="7" t="inlineStr">
        <is>
          <t>Estimado</t>
        </is>
      </c>
      <c r="M136" s="8" t="n">
        <v>0</v>
      </c>
      <c r="N136" s="9" t="n">
        <v>5400</v>
      </c>
      <c r="O136" s="9" t="n">
        <v>3500</v>
      </c>
      <c r="P136" s="9" t="n">
        <v>8500</v>
      </c>
      <c r="Q136" s="7" t="inlineStr">
        <is>
          <t>Sí</t>
        </is>
      </c>
      <c r="R136" s="9">
        <f>IF(N136="","",IF(Q136="Sí",ROUND(N136/1.18,2),N136))</f>
        <v/>
      </c>
      <c r="S136" s="7" t="inlineStr">
        <is>
          <t>2026-09</t>
        </is>
      </c>
      <c r="T136" s="5" t="inlineStr">
        <is>
          <t>Estimación de arranque — pendiente de cotización</t>
        </is>
      </c>
    </row>
    <row r="137">
      <c r="A137" s="7" t="inlineStr">
        <is>
          <t>MAT-09-012</t>
        </is>
      </c>
      <c r="B137" s="7" t="inlineStr">
        <is>
          <t>Materiales</t>
        </is>
      </c>
      <c r="C137" s="7" t="inlineStr">
        <is>
          <t>Plomería, sanitarios y gas</t>
        </is>
      </c>
      <c r="D137" s="5" t="inlineStr">
        <is>
          <t>Calentador eléctrico 10 galones</t>
        </is>
      </c>
      <c r="E137" s="5" t="inlineStr">
        <is>
          <t>Con termostato</t>
        </is>
      </c>
      <c r="F137" s="5" t="inlineStr"/>
      <c r="G137" s="5" t="inlineStr"/>
      <c r="H137" s="7" t="inlineStr">
        <is>
          <t>unidad</t>
        </is>
      </c>
      <c r="I137" s="7" t="inlineStr">
        <is>
          <t>Instalaciones</t>
        </is>
      </c>
      <c r="J137" s="7" t="inlineStr">
        <is>
          <t>estandar</t>
        </is>
      </c>
      <c r="K137" s="7" t="inlineStr">
        <is>
          <t>importado</t>
        </is>
      </c>
      <c r="L137" s="7" t="inlineStr">
        <is>
          <t>Estimado</t>
        </is>
      </c>
      <c r="M137" s="8" t="n">
        <v>0</v>
      </c>
      <c r="N137" s="9" t="n">
        <v>12500</v>
      </c>
      <c r="O137" s="9" t="n">
        <v>9800</v>
      </c>
      <c r="P137" s="9" t="n">
        <v>16500</v>
      </c>
      <c r="Q137" s="7" t="inlineStr">
        <is>
          <t>Sí</t>
        </is>
      </c>
      <c r="R137" s="9">
        <f>IF(N137="","",IF(Q137="Sí",ROUND(N137/1.18,2),N137))</f>
        <v/>
      </c>
      <c r="S137" s="7" t="inlineStr">
        <is>
          <t>2026-09</t>
        </is>
      </c>
      <c r="T137" s="5" t="inlineStr">
        <is>
          <t>Estimación de arranque — pendiente de cotización</t>
        </is>
      </c>
    </row>
    <row r="138">
      <c r="A138" s="7" t="inlineStr">
        <is>
          <t>MAT-09-013</t>
        </is>
      </c>
      <c r="B138" s="7" t="inlineStr">
        <is>
          <t>Materiales</t>
        </is>
      </c>
      <c r="C138" s="7" t="inlineStr">
        <is>
          <t>Plomería, sanitarios y gas</t>
        </is>
      </c>
      <c r="D138" s="5" t="inlineStr">
        <is>
          <t>Bomba centrífuga 1 HP</t>
        </is>
      </c>
      <c r="E138" s="5" t="inlineStr">
        <is>
          <t>Para cisterna a tinaco</t>
        </is>
      </c>
      <c r="F138" s="5" t="inlineStr"/>
      <c r="G138" s="5" t="inlineStr"/>
      <c r="H138" s="7" t="inlineStr">
        <is>
          <t>unidad</t>
        </is>
      </c>
      <c r="I138" s="7" t="inlineStr">
        <is>
          <t>Instalaciones</t>
        </is>
      </c>
      <c r="J138" s="7" t="inlineStr">
        <is>
          <t>estandar</t>
        </is>
      </c>
      <c r="K138" s="7" t="inlineStr">
        <is>
          <t>importado</t>
        </is>
      </c>
      <c r="L138" s="7" t="inlineStr">
        <is>
          <t>Estimado</t>
        </is>
      </c>
      <c r="M138" s="8" t="n">
        <v>0</v>
      </c>
      <c r="N138" s="9" t="n">
        <v>14500</v>
      </c>
      <c r="O138" s="9" t="n">
        <v>11000</v>
      </c>
      <c r="P138" s="9" t="n">
        <v>19500</v>
      </c>
      <c r="Q138" s="7" t="inlineStr">
        <is>
          <t>Sí</t>
        </is>
      </c>
      <c r="R138" s="9">
        <f>IF(N138="","",IF(Q138="Sí",ROUND(N138/1.18,2),N138))</f>
        <v/>
      </c>
      <c r="S138" s="7" t="inlineStr">
        <is>
          <t>2026-09</t>
        </is>
      </c>
      <c r="T138" s="5" t="inlineStr">
        <is>
          <t>Estimación de arranque — pendiente de cotización</t>
        </is>
      </c>
    </row>
    <row r="139">
      <c r="A139" s="7" t="inlineStr">
        <is>
          <t>MAT-09-014</t>
        </is>
      </c>
      <c r="B139" s="7" t="inlineStr">
        <is>
          <t>Materiales</t>
        </is>
      </c>
      <c r="C139" s="7" t="inlineStr">
        <is>
          <t>Plomería, sanitarios y gas</t>
        </is>
      </c>
      <c r="D139" s="5" t="inlineStr">
        <is>
          <t>Tinaco de 450 galones</t>
        </is>
      </c>
      <c r="E139" s="5" t="inlineStr">
        <is>
          <t>Polietileno tricapa</t>
        </is>
      </c>
      <c r="F139" s="5" t="inlineStr"/>
      <c r="G139" s="5" t="inlineStr"/>
      <c r="H139" s="7" t="inlineStr">
        <is>
          <t>unidad</t>
        </is>
      </c>
      <c r="I139" s="7" t="inlineStr">
        <is>
          <t>Instalaciones</t>
        </is>
      </c>
      <c r="J139" s="7" t="inlineStr">
        <is>
          <t>estandar</t>
        </is>
      </c>
      <c r="K139" s="7" t="inlineStr">
        <is>
          <t>nacional</t>
        </is>
      </c>
      <c r="L139" s="7" t="inlineStr">
        <is>
          <t>Estimado</t>
        </is>
      </c>
      <c r="M139" s="8" t="n">
        <v>0</v>
      </c>
      <c r="N139" s="9" t="n">
        <v>16500</v>
      </c>
      <c r="O139" s="9" t="n">
        <v>13000</v>
      </c>
      <c r="P139" s="9" t="n">
        <v>21000</v>
      </c>
      <c r="Q139" s="7" t="inlineStr">
        <is>
          <t>Sí</t>
        </is>
      </c>
      <c r="R139" s="9">
        <f>IF(N139="","",IF(Q139="Sí",ROUND(N139/1.18,2),N139))</f>
        <v/>
      </c>
      <c r="S139" s="7" t="inlineStr">
        <is>
          <t>2026-09</t>
        </is>
      </c>
      <c r="T139" s="5" t="inlineStr">
        <is>
          <t>Estimación de arranque — pendiente de cotización</t>
        </is>
      </c>
    </row>
    <row r="140">
      <c r="A140" s="7" t="inlineStr">
        <is>
          <t>MAT-09-015</t>
        </is>
      </c>
      <c r="B140" s="7" t="inlineStr">
        <is>
          <t>Materiales</t>
        </is>
      </c>
      <c r="C140" s="7" t="inlineStr">
        <is>
          <t>Plomería, sanitarios y gas</t>
        </is>
      </c>
      <c r="D140" s="5" t="inlineStr">
        <is>
          <t>Trampa de grasa prefabricada</t>
        </is>
      </c>
      <c r="E140" s="5" t="inlineStr">
        <is>
          <t>Cocinas residenciales</t>
        </is>
      </c>
      <c r="F140" s="5" t="inlineStr"/>
      <c r="G140" s="5" t="inlineStr"/>
      <c r="H140" s="7" t="inlineStr">
        <is>
          <t>unidad</t>
        </is>
      </c>
      <c r="I140" s="7" t="inlineStr">
        <is>
          <t>Instalaciones</t>
        </is>
      </c>
      <c r="J140" s="7" t="inlineStr">
        <is>
          <t>estandar</t>
        </is>
      </c>
      <c r="K140" s="7" t="inlineStr">
        <is>
          <t>nacional</t>
        </is>
      </c>
      <c r="L140" s="7" t="inlineStr">
        <is>
          <t>Estimado</t>
        </is>
      </c>
      <c r="M140" s="8" t="n">
        <v>0</v>
      </c>
      <c r="N140" s="9" t="n">
        <v>9500</v>
      </c>
      <c r="O140" s="9" t="n">
        <v>7000</v>
      </c>
      <c r="P140" s="9" t="n">
        <v>13000</v>
      </c>
      <c r="Q140" s="7" t="inlineStr">
        <is>
          <t>Sí</t>
        </is>
      </c>
      <c r="R140" s="9">
        <f>IF(N140="","",IF(Q140="Sí",ROUND(N140/1.18,2),N140))</f>
        <v/>
      </c>
      <c r="S140" s="7" t="inlineStr">
        <is>
          <t>2026-09</t>
        </is>
      </c>
      <c r="T140" s="5" t="inlineStr">
        <is>
          <t>Estimación de arranque — pendiente de cotización</t>
        </is>
      </c>
    </row>
    <row r="141">
      <c r="A141" s="7" t="inlineStr">
        <is>
          <t>MAT-10-001</t>
        </is>
      </c>
      <c r="B141" s="7" t="inlineStr">
        <is>
          <t>Materiales</t>
        </is>
      </c>
      <c r="C141" s="7" t="inlineStr">
        <is>
          <t>Electricidad e iluminación</t>
        </is>
      </c>
      <c r="D141" s="5" t="inlineStr">
        <is>
          <t>Cable THHN #12, rollo 100 pies</t>
        </is>
      </c>
      <c r="E141" s="5" t="inlineStr">
        <is>
          <t>Cobre, 600 V</t>
        </is>
      </c>
      <c r="F141" s="5" t="inlineStr"/>
      <c r="G141" s="5" t="inlineStr"/>
      <c r="H141" s="7" t="inlineStr">
        <is>
          <t>rollo</t>
        </is>
      </c>
      <c r="I141" s="7" t="inlineStr">
        <is>
          <t>Instalaciones</t>
        </is>
      </c>
      <c r="J141" s="7" t="inlineStr">
        <is>
          <t>estandar</t>
        </is>
      </c>
      <c r="K141" s="7" t="inlineStr">
        <is>
          <t>importado</t>
        </is>
      </c>
      <c r="L141" s="7" t="inlineStr">
        <is>
          <t>Estimado</t>
        </is>
      </c>
      <c r="M141" s="8" t="n">
        <v>0</v>
      </c>
      <c r="N141" s="9" t="n">
        <v>2450</v>
      </c>
      <c r="O141" s="9" t="n">
        <v>1950</v>
      </c>
      <c r="P141" s="9" t="n">
        <v>3100</v>
      </c>
      <c r="Q141" s="7" t="inlineStr">
        <is>
          <t>Sí</t>
        </is>
      </c>
      <c r="R141" s="9">
        <f>IF(N141="","",IF(Q141="Sí",ROUND(N141/1.18,2),N141))</f>
        <v/>
      </c>
      <c r="S141" s="7" t="inlineStr">
        <is>
          <t>2026-09</t>
        </is>
      </c>
      <c r="T141" s="5" t="inlineStr">
        <is>
          <t>Estimación de arranque — pendiente de cotización</t>
        </is>
      </c>
    </row>
    <row r="142">
      <c r="A142" s="7" t="inlineStr">
        <is>
          <t>MAT-10-002</t>
        </is>
      </c>
      <c r="B142" s="7" t="inlineStr">
        <is>
          <t>Materiales</t>
        </is>
      </c>
      <c r="C142" s="7" t="inlineStr">
        <is>
          <t>Electricidad e iluminación</t>
        </is>
      </c>
      <c r="D142" s="5" t="inlineStr">
        <is>
          <t>Cable THHN #10, rollo 100 pies</t>
        </is>
      </c>
      <c r="E142" s="5" t="inlineStr">
        <is>
          <t>Cobre, 600 V</t>
        </is>
      </c>
      <c r="F142" s="5" t="inlineStr"/>
      <c r="G142" s="5" t="inlineStr"/>
      <c r="H142" s="7" t="inlineStr">
        <is>
          <t>rollo</t>
        </is>
      </c>
      <c r="I142" s="7" t="inlineStr">
        <is>
          <t>Instalaciones</t>
        </is>
      </c>
      <c r="J142" s="7" t="inlineStr">
        <is>
          <t>estandar</t>
        </is>
      </c>
      <c r="K142" s="7" t="inlineStr">
        <is>
          <t>importado</t>
        </is>
      </c>
      <c r="L142" s="7" t="inlineStr">
        <is>
          <t>Estimado</t>
        </is>
      </c>
      <c r="M142" s="8" t="n">
        <v>0</v>
      </c>
      <c r="N142" s="9" t="n">
        <v>3800</v>
      </c>
      <c r="O142" s="9" t="n">
        <v>3100</v>
      </c>
      <c r="P142" s="9" t="n">
        <v>4800</v>
      </c>
      <c r="Q142" s="7" t="inlineStr">
        <is>
          <t>Sí</t>
        </is>
      </c>
      <c r="R142" s="9">
        <f>IF(N142="","",IF(Q142="Sí",ROUND(N142/1.18,2),N142))</f>
        <v/>
      </c>
      <c r="S142" s="7" t="inlineStr">
        <is>
          <t>2026-09</t>
        </is>
      </c>
      <c r="T142" s="5" t="inlineStr">
        <is>
          <t>Estimación de arranque — pendiente de cotización</t>
        </is>
      </c>
    </row>
    <row r="143">
      <c r="A143" s="7" t="inlineStr">
        <is>
          <t>MAT-10-003</t>
        </is>
      </c>
      <c r="B143" s="7" t="inlineStr">
        <is>
          <t>Materiales</t>
        </is>
      </c>
      <c r="C143" s="7" t="inlineStr">
        <is>
          <t>Electricidad e iluminación</t>
        </is>
      </c>
      <c r="D143" s="5" t="inlineStr">
        <is>
          <t>Cable THHN #8, rollo 100 pies</t>
        </is>
      </c>
      <c r="E143" s="5" t="inlineStr">
        <is>
          <t>Cobre, 600 V</t>
        </is>
      </c>
      <c r="F143" s="5" t="inlineStr"/>
      <c r="G143" s="5" t="inlineStr"/>
      <c r="H143" s="7" t="inlineStr">
        <is>
          <t>rollo</t>
        </is>
      </c>
      <c r="I143" s="7" t="inlineStr">
        <is>
          <t>Instalaciones</t>
        </is>
      </c>
      <c r="J143" s="7" t="inlineStr">
        <is>
          <t>estandar</t>
        </is>
      </c>
      <c r="K143" s="7" t="inlineStr">
        <is>
          <t>importado</t>
        </is>
      </c>
      <c r="L143" s="7" t="inlineStr">
        <is>
          <t>Estimado</t>
        </is>
      </c>
      <c r="M143" s="8" t="n">
        <v>0</v>
      </c>
      <c r="N143" s="9" t="n">
        <v>6200</v>
      </c>
      <c r="O143" s="9" t="n">
        <v>5000</v>
      </c>
      <c r="P143" s="9" t="n">
        <v>7800</v>
      </c>
      <c r="Q143" s="7" t="inlineStr">
        <is>
          <t>Sí</t>
        </is>
      </c>
      <c r="R143" s="9">
        <f>IF(N143="","",IF(Q143="Sí",ROUND(N143/1.18,2),N143))</f>
        <v/>
      </c>
      <c r="S143" s="7" t="inlineStr">
        <is>
          <t>2026-09</t>
        </is>
      </c>
      <c r="T143" s="5" t="inlineStr">
        <is>
          <t>Estimación de arranque — pendiente de cotización</t>
        </is>
      </c>
    </row>
    <row r="144">
      <c r="A144" s="7" t="inlineStr">
        <is>
          <t>MAT-10-004</t>
        </is>
      </c>
      <c r="B144" s="7" t="inlineStr">
        <is>
          <t>Materiales</t>
        </is>
      </c>
      <c r="C144" s="7" t="inlineStr">
        <is>
          <t>Electricidad e iluminación</t>
        </is>
      </c>
      <c r="D144" s="5" t="inlineStr">
        <is>
          <t>Tubo EMT 1/2" x 10 pies</t>
        </is>
      </c>
      <c r="E144" s="5" t="inlineStr">
        <is>
          <t>Canalización metálica</t>
        </is>
      </c>
      <c r="F144" s="5" t="inlineStr"/>
      <c r="G144" s="5" t="inlineStr"/>
      <c r="H144" s="7" t="inlineStr">
        <is>
          <t>tubo</t>
        </is>
      </c>
      <c r="I144" s="7" t="inlineStr">
        <is>
          <t>Instalaciones</t>
        </is>
      </c>
      <c r="J144" s="7" t="inlineStr">
        <is>
          <t>estandar</t>
        </is>
      </c>
      <c r="K144" s="7" t="inlineStr">
        <is>
          <t>importado</t>
        </is>
      </c>
      <c r="L144" s="7" t="inlineStr">
        <is>
          <t>Estimado</t>
        </is>
      </c>
      <c r="M144" s="8" t="n">
        <v>0</v>
      </c>
      <c r="N144" s="9" t="n">
        <v>480</v>
      </c>
      <c r="O144" s="9" t="n">
        <v>380</v>
      </c>
      <c r="P144" s="9" t="n">
        <v>620</v>
      </c>
      <c r="Q144" s="7" t="inlineStr">
        <is>
          <t>Sí</t>
        </is>
      </c>
      <c r="R144" s="9">
        <f>IF(N144="","",IF(Q144="Sí",ROUND(N144/1.18,2),N144))</f>
        <v/>
      </c>
      <c r="S144" s="7" t="inlineStr">
        <is>
          <t>2026-09</t>
        </is>
      </c>
      <c r="T144" s="5" t="inlineStr">
        <is>
          <t>Estimación de arranque — pendiente de cotización</t>
        </is>
      </c>
    </row>
    <row r="145">
      <c r="A145" s="7" t="inlineStr">
        <is>
          <t>MAT-10-005</t>
        </is>
      </c>
      <c r="B145" s="7" t="inlineStr">
        <is>
          <t>Materiales</t>
        </is>
      </c>
      <c r="C145" s="7" t="inlineStr">
        <is>
          <t>Electricidad e iluminación</t>
        </is>
      </c>
      <c r="D145" s="5" t="inlineStr">
        <is>
          <t>Tubo PVC eléctrico 1/2" x 10 pies</t>
        </is>
      </c>
      <c r="E145" s="5" t="inlineStr">
        <is>
          <t>Canalización empotrada</t>
        </is>
      </c>
      <c r="F145" s="5" t="inlineStr"/>
      <c r="G145" s="5" t="inlineStr"/>
      <c r="H145" s="7" t="inlineStr">
        <is>
          <t>tubo</t>
        </is>
      </c>
      <c r="I145" s="7" t="inlineStr">
        <is>
          <t>Instalaciones</t>
        </is>
      </c>
      <c r="J145" s="7" t="inlineStr">
        <is>
          <t>estandar</t>
        </is>
      </c>
      <c r="K145" s="7" t="inlineStr">
        <is>
          <t>nacional</t>
        </is>
      </c>
      <c r="L145" s="7" t="inlineStr">
        <is>
          <t>Estimado</t>
        </is>
      </c>
      <c r="M145" s="8" t="n">
        <v>0</v>
      </c>
      <c r="N145" s="9" t="n">
        <v>195</v>
      </c>
      <c r="O145" s="9" t="n">
        <v>150</v>
      </c>
      <c r="P145" s="9" t="n">
        <v>260</v>
      </c>
      <c r="Q145" s="7" t="inlineStr">
        <is>
          <t>Sí</t>
        </is>
      </c>
      <c r="R145" s="9">
        <f>IF(N145="","",IF(Q145="Sí",ROUND(N145/1.18,2),N145))</f>
        <v/>
      </c>
      <c r="S145" s="7" t="inlineStr">
        <is>
          <t>2026-09</t>
        </is>
      </c>
      <c r="T145" s="5" t="inlineStr">
        <is>
          <t>Estimación de arranque — pendiente de cotización</t>
        </is>
      </c>
    </row>
    <row r="146">
      <c r="A146" s="7" t="inlineStr">
        <is>
          <t>MAT-10-006</t>
        </is>
      </c>
      <c r="B146" s="7" t="inlineStr">
        <is>
          <t>Materiales</t>
        </is>
      </c>
      <c r="C146" s="7" t="inlineStr">
        <is>
          <t>Electricidad e iluminación</t>
        </is>
      </c>
      <c r="D146" s="5" t="inlineStr">
        <is>
          <t>Caja eléctrica 2 x 4</t>
        </is>
      </c>
      <c r="E146" s="5" t="inlineStr">
        <is>
          <t>Metálica o PVC</t>
        </is>
      </c>
      <c r="F146" s="5" t="inlineStr"/>
      <c r="G146" s="5" t="inlineStr"/>
      <c r="H146" s="7" t="inlineStr">
        <is>
          <t>unidad</t>
        </is>
      </c>
      <c r="I146" s="7" t="inlineStr">
        <is>
          <t>Instalaciones</t>
        </is>
      </c>
      <c r="J146" s="7" t="inlineStr">
        <is>
          <t>estandar</t>
        </is>
      </c>
      <c r="K146" s="7" t="inlineStr">
        <is>
          <t>nacional</t>
        </is>
      </c>
      <c r="L146" s="7" t="inlineStr">
        <is>
          <t>Estimado</t>
        </is>
      </c>
      <c r="M146" s="8" t="n">
        <v>0</v>
      </c>
      <c r="N146" s="9" t="n">
        <v>95</v>
      </c>
      <c r="O146" s="9" t="n">
        <v>70</v>
      </c>
      <c r="P146" s="9" t="n">
        <v>130</v>
      </c>
      <c r="Q146" s="7" t="inlineStr">
        <is>
          <t>Sí</t>
        </is>
      </c>
      <c r="R146" s="9">
        <f>IF(N146="","",IF(Q146="Sí",ROUND(N146/1.18,2),N146))</f>
        <v/>
      </c>
      <c r="S146" s="7" t="inlineStr">
        <is>
          <t>2026-09</t>
        </is>
      </c>
      <c r="T146" s="5" t="inlineStr">
        <is>
          <t>Estimación de arranque — pendiente de cotización</t>
        </is>
      </c>
    </row>
    <row r="147">
      <c r="A147" s="7" t="inlineStr">
        <is>
          <t>MAT-10-007</t>
        </is>
      </c>
      <c r="B147" s="7" t="inlineStr">
        <is>
          <t>Materiales</t>
        </is>
      </c>
      <c r="C147" s="7" t="inlineStr">
        <is>
          <t>Electricidad e iluminación</t>
        </is>
      </c>
      <c r="D147" s="5" t="inlineStr">
        <is>
          <t>Tomacorriente doble polarizado</t>
        </is>
      </c>
      <c r="E147" s="5" t="inlineStr">
        <is>
          <t>15 A, con placa</t>
        </is>
      </c>
      <c r="F147" s="5" t="inlineStr"/>
      <c r="G147" s="5" t="inlineStr"/>
      <c r="H147" s="7" t="inlineStr">
        <is>
          <t>unidad</t>
        </is>
      </c>
      <c r="I147" s="7" t="inlineStr">
        <is>
          <t>Instalaciones</t>
        </is>
      </c>
      <c r="J147" s="7" t="inlineStr">
        <is>
          <t>estandar</t>
        </is>
      </c>
      <c r="K147" s="7" t="inlineStr">
        <is>
          <t>importado</t>
        </is>
      </c>
      <c r="L147" s="7" t="inlineStr">
        <is>
          <t>Estimado</t>
        </is>
      </c>
      <c r="M147" s="8" t="n">
        <v>0</v>
      </c>
      <c r="N147" s="9" t="n">
        <v>380</v>
      </c>
      <c r="O147" s="9" t="n">
        <v>260</v>
      </c>
      <c r="P147" s="9" t="n">
        <v>550</v>
      </c>
      <c r="Q147" s="7" t="inlineStr">
        <is>
          <t>Sí</t>
        </is>
      </c>
      <c r="R147" s="9">
        <f>IF(N147="","",IF(Q147="Sí",ROUND(N147/1.18,2),N147))</f>
        <v/>
      </c>
      <c r="S147" s="7" t="inlineStr">
        <is>
          <t>2026-09</t>
        </is>
      </c>
      <c r="T147" s="5" t="inlineStr">
        <is>
          <t>Estimación de arranque — pendiente de cotización</t>
        </is>
      </c>
    </row>
    <row r="148">
      <c r="A148" s="7" t="inlineStr">
        <is>
          <t>MAT-10-008</t>
        </is>
      </c>
      <c r="B148" s="7" t="inlineStr">
        <is>
          <t>Materiales</t>
        </is>
      </c>
      <c r="C148" s="7" t="inlineStr">
        <is>
          <t>Electricidad e iluminación</t>
        </is>
      </c>
      <c r="D148" s="5" t="inlineStr">
        <is>
          <t>Interruptor sencillo</t>
        </is>
      </c>
      <c r="E148" s="5" t="inlineStr">
        <is>
          <t>Con placa</t>
        </is>
      </c>
      <c r="F148" s="5" t="inlineStr"/>
      <c r="G148" s="5" t="inlineStr"/>
      <c r="H148" s="7" t="inlineStr">
        <is>
          <t>unidad</t>
        </is>
      </c>
      <c r="I148" s="7" t="inlineStr">
        <is>
          <t>Instalaciones</t>
        </is>
      </c>
      <c r="J148" s="7" t="inlineStr">
        <is>
          <t>estandar</t>
        </is>
      </c>
      <c r="K148" s="7" t="inlineStr">
        <is>
          <t>importado</t>
        </is>
      </c>
      <c r="L148" s="7" t="inlineStr">
        <is>
          <t>Estimado</t>
        </is>
      </c>
      <c r="M148" s="8" t="n">
        <v>0</v>
      </c>
      <c r="N148" s="9" t="n">
        <v>320</v>
      </c>
      <c r="O148" s="9" t="n">
        <v>220</v>
      </c>
      <c r="P148" s="9" t="n">
        <v>480</v>
      </c>
      <c r="Q148" s="7" t="inlineStr">
        <is>
          <t>Sí</t>
        </is>
      </c>
      <c r="R148" s="9">
        <f>IF(N148="","",IF(Q148="Sí",ROUND(N148/1.18,2),N148))</f>
        <v/>
      </c>
      <c r="S148" s="7" t="inlineStr">
        <is>
          <t>2026-09</t>
        </is>
      </c>
      <c r="T148" s="5" t="inlineStr">
        <is>
          <t>Estimación de arranque — pendiente de cotización</t>
        </is>
      </c>
    </row>
    <row r="149">
      <c r="A149" s="7" t="inlineStr">
        <is>
          <t>MAT-10-009</t>
        </is>
      </c>
      <c r="B149" s="7" t="inlineStr">
        <is>
          <t>Materiales</t>
        </is>
      </c>
      <c r="C149" s="7" t="inlineStr">
        <is>
          <t>Electricidad e iluminación</t>
        </is>
      </c>
      <c r="D149" s="5" t="inlineStr">
        <is>
          <t>Breaker enchufable 20 A</t>
        </is>
      </c>
      <c r="E149" s="5" t="inlineStr">
        <is>
          <t>1 polo, marca de línea</t>
        </is>
      </c>
      <c r="F149" s="5" t="inlineStr"/>
      <c r="G149" s="5" t="inlineStr"/>
      <c r="H149" s="7" t="inlineStr">
        <is>
          <t>unidad</t>
        </is>
      </c>
      <c r="I149" s="7" t="inlineStr">
        <is>
          <t>Instalaciones</t>
        </is>
      </c>
      <c r="J149" s="7" t="inlineStr">
        <is>
          <t>estandar</t>
        </is>
      </c>
      <c r="K149" s="7" t="inlineStr">
        <is>
          <t>importado</t>
        </is>
      </c>
      <c r="L149" s="7" t="inlineStr">
        <is>
          <t>Verificado</t>
        </is>
      </c>
      <c r="M149" s="8" t="n">
        <v>1</v>
      </c>
      <c r="N149" s="9" t="n">
        <v>472.72</v>
      </c>
      <c r="O149" s="9" t="n">
        <v>472.72</v>
      </c>
      <c r="P149" s="9" t="n">
        <v>472.72</v>
      </c>
      <c r="Q149" s="7" t="inlineStr">
        <is>
          <t>Sí</t>
        </is>
      </c>
      <c r="R149" s="9">
        <f>IF(N149="","",IF(Q149="Sí",ROUND(N149/1.18,2),N149))</f>
        <v/>
      </c>
      <c r="S149" s="7" t="inlineStr">
        <is>
          <t>2026-09-08</t>
        </is>
      </c>
      <c r="T149" s="5" t="inlineStr">
        <is>
          <t>1 cotización de proveedores</t>
        </is>
      </c>
    </row>
    <row r="150">
      <c r="A150" s="7" t="inlineStr">
        <is>
          <t>MAT-10-010</t>
        </is>
      </c>
      <c r="B150" s="7" t="inlineStr">
        <is>
          <t>Materiales</t>
        </is>
      </c>
      <c r="C150" s="7" t="inlineStr">
        <is>
          <t>Electricidad e iluminación</t>
        </is>
      </c>
      <c r="D150" s="5" t="inlineStr">
        <is>
          <t>Panel eléctrico de 12 espacios con main</t>
        </is>
      </c>
      <c r="E150" s="5" t="inlineStr">
        <is>
          <t>Monofásico 120/240 V</t>
        </is>
      </c>
      <c r="F150" s="5" t="inlineStr"/>
      <c r="G150" s="5" t="inlineStr"/>
      <c r="H150" s="7" t="inlineStr">
        <is>
          <t>unidad</t>
        </is>
      </c>
      <c r="I150" s="7" t="inlineStr">
        <is>
          <t>Instalaciones</t>
        </is>
      </c>
      <c r="J150" s="7" t="inlineStr">
        <is>
          <t>estandar</t>
        </is>
      </c>
      <c r="K150" s="7" t="inlineStr">
        <is>
          <t>importado</t>
        </is>
      </c>
      <c r="L150" s="7" t="inlineStr">
        <is>
          <t>Estimado</t>
        </is>
      </c>
      <c r="M150" s="8" t="n">
        <v>0</v>
      </c>
      <c r="N150" s="9" t="n">
        <v>9500</v>
      </c>
      <c r="O150" s="9" t="n">
        <v>7500</v>
      </c>
      <c r="P150" s="9" t="n">
        <v>12500</v>
      </c>
      <c r="Q150" s="7" t="inlineStr">
        <is>
          <t>Sí</t>
        </is>
      </c>
      <c r="R150" s="9">
        <f>IF(N150="","",IF(Q150="Sí",ROUND(N150/1.18,2),N150))</f>
        <v/>
      </c>
      <c r="S150" s="7" t="inlineStr">
        <is>
          <t>2026-09</t>
        </is>
      </c>
      <c r="T150" s="5" t="inlineStr">
        <is>
          <t>Estimación de arranque — pendiente de cotización</t>
        </is>
      </c>
    </row>
    <row r="151">
      <c r="A151" s="7" t="inlineStr">
        <is>
          <t>MAT-10-011</t>
        </is>
      </c>
      <c r="B151" s="7" t="inlineStr">
        <is>
          <t>Materiales</t>
        </is>
      </c>
      <c r="C151" s="7" t="inlineStr">
        <is>
          <t>Electricidad e iluminación</t>
        </is>
      </c>
      <c r="D151" s="5" t="inlineStr">
        <is>
          <t>Bombillo LED 9 W</t>
        </is>
      </c>
      <c r="E151" s="5" t="inlineStr">
        <is>
          <t>Rosca E27, luz blanca o cálida</t>
        </is>
      </c>
      <c r="F151" s="5" t="inlineStr"/>
      <c r="G151" s="5" t="inlineStr"/>
      <c r="H151" s="7" t="inlineStr">
        <is>
          <t>unidad</t>
        </is>
      </c>
      <c r="I151" s="7" t="inlineStr">
        <is>
          <t>Instalaciones</t>
        </is>
      </c>
      <c r="J151" s="7" t="inlineStr">
        <is>
          <t>economica</t>
        </is>
      </c>
      <c r="K151" s="7" t="inlineStr">
        <is>
          <t>importado</t>
        </is>
      </c>
      <c r="L151" s="7" t="inlineStr">
        <is>
          <t>Estimado</t>
        </is>
      </c>
      <c r="M151" s="8" t="n">
        <v>0</v>
      </c>
      <c r="N151" s="9" t="n">
        <v>220</v>
      </c>
      <c r="O151" s="9" t="n">
        <v>150</v>
      </c>
      <c r="P151" s="9" t="n">
        <v>330</v>
      </c>
      <c r="Q151" s="7" t="inlineStr">
        <is>
          <t>Sí</t>
        </is>
      </c>
      <c r="R151" s="9">
        <f>IF(N151="","",IF(Q151="Sí",ROUND(N151/1.18,2),N151))</f>
        <v/>
      </c>
      <c r="S151" s="7" t="inlineStr">
        <is>
          <t>2026-09</t>
        </is>
      </c>
      <c r="T151" s="5" t="inlineStr">
        <is>
          <t>Estimación de arranque — pendiente de cotización</t>
        </is>
      </c>
    </row>
    <row r="152">
      <c r="A152" s="7" t="inlineStr">
        <is>
          <t>MAT-10-012</t>
        </is>
      </c>
      <c r="B152" s="7" t="inlineStr">
        <is>
          <t>Materiales</t>
        </is>
      </c>
      <c r="C152" s="7" t="inlineStr">
        <is>
          <t>Electricidad e iluminación</t>
        </is>
      </c>
      <c r="D152" s="5" t="inlineStr">
        <is>
          <t>Ojo de buey LED 6" empotrado</t>
        </is>
      </c>
      <c r="E152" s="5" t="inlineStr">
        <is>
          <t>Panel LED con driver</t>
        </is>
      </c>
      <c r="F152" s="5" t="inlineStr"/>
      <c r="G152" s="5" t="inlineStr"/>
      <c r="H152" s="7" t="inlineStr">
        <is>
          <t>unidad</t>
        </is>
      </c>
      <c r="I152" s="7" t="inlineStr">
        <is>
          <t>Instalaciones</t>
        </is>
      </c>
      <c r="J152" s="7" t="inlineStr">
        <is>
          <t>estandar</t>
        </is>
      </c>
      <c r="K152" s="7" t="inlineStr">
        <is>
          <t>importado</t>
        </is>
      </c>
      <c r="L152" s="7" t="inlineStr">
        <is>
          <t>Estimado</t>
        </is>
      </c>
      <c r="M152" s="8" t="n">
        <v>0</v>
      </c>
      <c r="N152" s="9" t="n">
        <v>850</v>
      </c>
      <c r="O152" s="9" t="n">
        <v>600</v>
      </c>
      <c r="P152" s="9" t="n">
        <v>1250</v>
      </c>
      <c r="Q152" s="7" t="inlineStr">
        <is>
          <t>Sí</t>
        </is>
      </c>
      <c r="R152" s="9">
        <f>IF(N152="","",IF(Q152="Sí",ROUND(N152/1.18,2),N152))</f>
        <v/>
      </c>
      <c r="S152" s="7" t="inlineStr">
        <is>
          <t>2026-09</t>
        </is>
      </c>
      <c r="T152" s="5" t="inlineStr">
        <is>
          <t>Estimación de arranque — pendiente de cotización</t>
        </is>
      </c>
    </row>
    <row r="153">
      <c r="A153" s="7" t="inlineStr">
        <is>
          <t>MAT-10-013</t>
        </is>
      </c>
      <c r="B153" s="7" t="inlineStr">
        <is>
          <t>Materiales</t>
        </is>
      </c>
      <c r="C153" s="7" t="inlineStr">
        <is>
          <t>Electricidad e iluminación</t>
        </is>
      </c>
      <c r="D153" s="5" t="inlineStr">
        <is>
          <t>Inversor 3 kVA con cargador</t>
        </is>
      </c>
      <c r="E153" s="5" t="inlineStr">
        <is>
          <t>Onda pura, respaldo residencial</t>
        </is>
      </c>
      <c r="F153" s="5" t="inlineStr"/>
      <c r="G153" s="5" t="inlineStr"/>
      <c r="H153" s="7" t="inlineStr">
        <is>
          <t>unidad</t>
        </is>
      </c>
      <c r="I153" s="7" t="inlineStr">
        <is>
          <t>Instalaciones</t>
        </is>
      </c>
      <c r="J153" s="7" t="inlineStr">
        <is>
          <t>estandar</t>
        </is>
      </c>
      <c r="K153" s="7" t="inlineStr">
        <is>
          <t>importado</t>
        </is>
      </c>
      <c r="L153" s="7" t="inlineStr">
        <is>
          <t>Estimado</t>
        </is>
      </c>
      <c r="M153" s="8" t="n">
        <v>0</v>
      </c>
      <c r="N153" s="9" t="n">
        <v>48000</v>
      </c>
      <c r="O153" s="9" t="n">
        <v>38000</v>
      </c>
      <c r="P153" s="9" t="n">
        <v>62000</v>
      </c>
      <c r="Q153" s="7" t="inlineStr">
        <is>
          <t>Sí</t>
        </is>
      </c>
      <c r="R153" s="9">
        <f>IF(N153="","",IF(Q153="Sí",ROUND(N153/1.18,2),N153))</f>
        <v/>
      </c>
      <c r="S153" s="7" t="inlineStr">
        <is>
          <t>2026-09</t>
        </is>
      </c>
      <c r="T153" s="5" t="inlineStr">
        <is>
          <t>Estimación de arranque — pendiente de cotización</t>
        </is>
      </c>
    </row>
    <row r="154">
      <c r="A154" s="7" t="inlineStr">
        <is>
          <t>MAT-10-014</t>
        </is>
      </c>
      <c r="B154" s="7" t="inlineStr">
        <is>
          <t>Materiales</t>
        </is>
      </c>
      <c r="C154" s="7" t="inlineStr">
        <is>
          <t>Electricidad e iluminación</t>
        </is>
      </c>
      <c r="D154" s="5" t="inlineStr">
        <is>
          <t>Batería de gel 200 Ah</t>
        </is>
      </c>
      <c r="E154" s="5" t="inlineStr">
        <is>
          <t>Ciclo profundo para inversor</t>
        </is>
      </c>
      <c r="F154" s="5" t="inlineStr"/>
      <c r="G154" s="5" t="inlineStr"/>
      <c r="H154" s="7" t="inlineStr">
        <is>
          <t>unidad</t>
        </is>
      </c>
      <c r="I154" s="7" t="inlineStr">
        <is>
          <t>Instalaciones</t>
        </is>
      </c>
      <c r="J154" s="7" t="inlineStr">
        <is>
          <t>estandar</t>
        </is>
      </c>
      <c r="K154" s="7" t="inlineStr">
        <is>
          <t>importado</t>
        </is>
      </c>
      <c r="L154" s="7" t="inlineStr">
        <is>
          <t>Estimado</t>
        </is>
      </c>
      <c r="M154" s="8" t="n">
        <v>0</v>
      </c>
      <c r="N154" s="9" t="n">
        <v>32000</v>
      </c>
      <c r="O154" s="9" t="n">
        <v>25000</v>
      </c>
      <c r="P154" s="9" t="n">
        <v>42000</v>
      </c>
      <c r="Q154" s="7" t="inlineStr">
        <is>
          <t>Sí</t>
        </is>
      </c>
      <c r="R154" s="9">
        <f>IF(N154="","",IF(Q154="Sí",ROUND(N154/1.18,2),N154))</f>
        <v/>
      </c>
      <c r="S154" s="7" t="inlineStr">
        <is>
          <t>2026-09</t>
        </is>
      </c>
      <c r="T154" s="5" t="inlineStr">
        <is>
          <t>Estimación de arranque — pendiente de cotización</t>
        </is>
      </c>
    </row>
    <row r="155">
      <c r="A155" s="7" t="inlineStr">
        <is>
          <t>MAT-10-015</t>
        </is>
      </c>
      <c r="B155" s="7" t="inlineStr">
        <is>
          <t>Materiales</t>
        </is>
      </c>
      <c r="C155" s="7" t="inlineStr">
        <is>
          <t>Electricidad e iluminación</t>
        </is>
      </c>
      <c r="D155" s="5" t="inlineStr">
        <is>
          <t>Panel solar 550 W</t>
        </is>
      </c>
      <c r="E155" s="5" t="inlineStr">
        <is>
          <t>Monocristalino</t>
        </is>
      </c>
      <c r="F155" s="5" t="inlineStr"/>
      <c r="G155" s="5" t="inlineStr"/>
      <c r="H155" s="7" t="inlineStr">
        <is>
          <t>unidad</t>
        </is>
      </c>
      <c r="I155" s="7" t="inlineStr">
        <is>
          <t>Instalaciones</t>
        </is>
      </c>
      <c r="J155" s="7" t="inlineStr">
        <is>
          <t>estandar</t>
        </is>
      </c>
      <c r="K155" s="7" t="inlineStr">
        <is>
          <t>importado</t>
        </is>
      </c>
      <c r="L155" s="7" t="inlineStr">
        <is>
          <t>Estimado</t>
        </is>
      </c>
      <c r="M155" s="8" t="n">
        <v>0</v>
      </c>
      <c r="N155" s="9" t="n">
        <v>14500</v>
      </c>
      <c r="O155" s="9" t="n">
        <v>11500</v>
      </c>
      <c r="P155" s="9" t="n">
        <v>19000</v>
      </c>
      <c r="Q155" s="7" t="inlineStr">
        <is>
          <t>Sí</t>
        </is>
      </c>
      <c r="R155" s="9">
        <f>IF(N155="","",IF(Q155="Sí",ROUND(N155/1.18,2),N155))</f>
        <v/>
      </c>
      <c r="S155" s="7" t="inlineStr">
        <is>
          <t>2026-09</t>
        </is>
      </c>
      <c r="T155" s="5" t="inlineStr">
        <is>
          <t>Estimación de arranque — pendiente de cotización</t>
        </is>
      </c>
    </row>
    <row r="156">
      <c r="A156" s="7" t="inlineStr">
        <is>
          <t>MAT-10-016</t>
        </is>
      </c>
      <c r="B156" s="7" t="inlineStr">
        <is>
          <t>Materiales</t>
        </is>
      </c>
      <c r="C156" s="7" t="inlineStr">
        <is>
          <t>Electricidad e iluminación</t>
        </is>
      </c>
      <c r="D156" s="5" t="inlineStr">
        <is>
          <t>Varilla copperweld 5/8" x 8 pies</t>
        </is>
      </c>
      <c r="E156" s="5" t="inlineStr">
        <is>
          <t>Puesta a tierra</t>
        </is>
      </c>
      <c r="F156" s="5" t="inlineStr"/>
      <c r="G156" s="5" t="inlineStr"/>
      <c r="H156" s="7" t="inlineStr">
        <is>
          <t>unidad</t>
        </is>
      </c>
      <c r="I156" s="7" t="inlineStr">
        <is>
          <t>Instalaciones</t>
        </is>
      </c>
      <c r="J156" s="7" t="inlineStr">
        <is>
          <t>estandar</t>
        </is>
      </c>
      <c r="K156" s="7" t="inlineStr">
        <is>
          <t>importado</t>
        </is>
      </c>
      <c r="L156" s="7" t="inlineStr">
        <is>
          <t>Estimado</t>
        </is>
      </c>
      <c r="M156" s="8" t="n">
        <v>0</v>
      </c>
      <c r="N156" s="9" t="n">
        <v>1450</v>
      </c>
      <c r="O156" s="9" t="n">
        <v>1150</v>
      </c>
      <c r="P156" s="9" t="n">
        <v>1850</v>
      </c>
      <c r="Q156" s="7" t="inlineStr">
        <is>
          <t>Sí</t>
        </is>
      </c>
      <c r="R156" s="9">
        <f>IF(N156="","",IF(Q156="Sí",ROUND(N156/1.18,2),N156))</f>
        <v/>
      </c>
      <c r="S156" s="7" t="inlineStr">
        <is>
          <t>2026-09</t>
        </is>
      </c>
      <c r="T156" s="5" t="inlineStr">
        <is>
          <t>Estimación de arranque — pendiente de cotización</t>
        </is>
      </c>
    </row>
    <row r="157">
      <c r="A157" s="7" t="inlineStr">
        <is>
          <t>MAT-11-001</t>
        </is>
      </c>
      <c r="B157" s="7" t="inlineStr">
        <is>
          <t>Materiales</t>
        </is>
      </c>
      <c r="C157" s="7" t="inlineStr">
        <is>
          <t>Puertas, ventanas y cristales</t>
        </is>
      </c>
      <c r="D157" s="5" t="inlineStr">
        <is>
          <t>Puerta de tambor (MDF) con marco</t>
        </is>
      </c>
      <c r="E157" s="5" t="inlineStr">
        <is>
          <t>Interior, 32" x 80", sin herrajes</t>
        </is>
      </c>
      <c r="F157" s="5" t="inlineStr"/>
      <c r="G157" s="5" t="inlineStr"/>
      <c r="H157" s="7" t="inlineStr">
        <is>
          <t>unidad</t>
        </is>
      </c>
      <c r="I157" s="7" t="inlineStr">
        <is>
          <t>Puertas y ventanas</t>
        </is>
      </c>
      <c r="J157" s="7" t="inlineStr">
        <is>
          <t>economica</t>
        </is>
      </c>
      <c r="K157" s="7" t="inlineStr">
        <is>
          <t>nacional</t>
        </is>
      </c>
      <c r="L157" s="7" t="inlineStr">
        <is>
          <t>Estimado</t>
        </is>
      </c>
      <c r="M157" s="8" t="n">
        <v>0</v>
      </c>
      <c r="N157" s="9" t="n">
        <v>8500</v>
      </c>
      <c r="O157" s="9" t="n">
        <v>6500</v>
      </c>
      <c r="P157" s="9" t="n">
        <v>11500</v>
      </c>
      <c r="Q157" s="7" t="inlineStr">
        <is>
          <t>Sí</t>
        </is>
      </c>
      <c r="R157" s="9">
        <f>IF(N157="","",IF(Q157="Sí",ROUND(N157/1.18,2),N157))</f>
        <v/>
      </c>
      <c r="S157" s="7" t="inlineStr">
        <is>
          <t>2026-09</t>
        </is>
      </c>
      <c r="T157" s="5" t="inlineStr">
        <is>
          <t>Estimación de arranque — pendiente de cotización</t>
        </is>
      </c>
    </row>
    <row r="158">
      <c r="A158" s="7" t="inlineStr">
        <is>
          <t>MAT-11-002</t>
        </is>
      </c>
      <c r="B158" s="7" t="inlineStr">
        <is>
          <t>Materiales</t>
        </is>
      </c>
      <c r="C158" s="7" t="inlineStr">
        <is>
          <t>Puertas, ventanas y cristales</t>
        </is>
      </c>
      <c r="D158" s="5" t="inlineStr">
        <is>
          <t>Puerta de madera preciosa maciza</t>
        </is>
      </c>
      <c r="E158" s="5" t="inlineStr">
        <is>
          <t>Caoba o roble, fabricación a medida</t>
        </is>
      </c>
      <c r="F158" s="5" t="inlineStr"/>
      <c r="G158" s="5" t="inlineStr"/>
      <c r="H158" s="7" t="inlineStr">
        <is>
          <t>unidad</t>
        </is>
      </c>
      <c r="I158" s="7" t="inlineStr">
        <is>
          <t>Puertas y ventanas</t>
        </is>
      </c>
      <c r="J158" s="7" t="inlineStr">
        <is>
          <t>premium</t>
        </is>
      </c>
      <c r="K158" s="7" t="inlineStr">
        <is>
          <t>nacional</t>
        </is>
      </c>
      <c r="L158" s="7" t="inlineStr">
        <is>
          <t>Estimado</t>
        </is>
      </c>
      <c r="M158" s="8" t="n">
        <v>0</v>
      </c>
      <c r="N158" s="9" t="n">
        <v>42000</v>
      </c>
      <c r="O158" s="9" t="n">
        <v>30000</v>
      </c>
      <c r="P158" s="9" t="n">
        <v>65000</v>
      </c>
      <c r="Q158" s="7" t="inlineStr">
        <is>
          <t>Sí</t>
        </is>
      </c>
      <c r="R158" s="9">
        <f>IF(N158="","",IF(Q158="Sí",ROUND(N158/1.18,2),N158))</f>
        <v/>
      </c>
      <c r="S158" s="7" t="inlineStr">
        <is>
          <t>2026-09</t>
        </is>
      </c>
      <c r="T158" s="5" t="inlineStr">
        <is>
          <t>Estimación de arranque — pendiente de cotización</t>
        </is>
      </c>
    </row>
    <row r="159">
      <c r="A159" s="7" t="inlineStr">
        <is>
          <t>MAT-11-003</t>
        </is>
      </c>
      <c r="B159" s="7" t="inlineStr">
        <is>
          <t>Materiales</t>
        </is>
      </c>
      <c r="C159" s="7" t="inlineStr">
        <is>
          <t>Puertas, ventanas y cristales</t>
        </is>
      </c>
      <c r="D159" s="5" t="inlineStr">
        <is>
          <t>Puerta metálica de seguridad</t>
        </is>
      </c>
      <c r="E159" s="5" t="inlineStr">
        <is>
          <t>Con cerradura multipunto</t>
        </is>
      </c>
      <c r="F159" s="5" t="inlineStr"/>
      <c r="G159" s="5" t="inlineStr"/>
      <c r="H159" s="7" t="inlineStr">
        <is>
          <t>unidad</t>
        </is>
      </c>
      <c r="I159" s="7" t="inlineStr">
        <is>
          <t>Puertas y ventanas</t>
        </is>
      </c>
      <c r="J159" s="7" t="inlineStr">
        <is>
          <t>estandar</t>
        </is>
      </c>
      <c r="K159" s="7" t="inlineStr">
        <is>
          <t>nacional</t>
        </is>
      </c>
      <c r="L159" s="7" t="inlineStr">
        <is>
          <t>Estimado</t>
        </is>
      </c>
      <c r="M159" s="8" t="n">
        <v>0</v>
      </c>
      <c r="N159" s="9" t="n">
        <v>26000</v>
      </c>
      <c r="O159" s="9" t="n">
        <v>19000</v>
      </c>
      <c r="P159" s="9" t="n">
        <v>38000</v>
      </c>
      <c r="Q159" s="7" t="inlineStr">
        <is>
          <t>Sí</t>
        </is>
      </c>
      <c r="R159" s="9">
        <f>IF(N159="","",IF(Q159="Sí",ROUND(N159/1.18,2),N159))</f>
        <v/>
      </c>
      <c r="S159" s="7" t="inlineStr">
        <is>
          <t>2026-09</t>
        </is>
      </c>
      <c r="T159" s="5" t="inlineStr">
        <is>
          <t>Estimación de arranque — pendiente de cotización</t>
        </is>
      </c>
    </row>
    <row r="160">
      <c r="A160" s="7" t="inlineStr">
        <is>
          <t>MAT-11-004</t>
        </is>
      </c>
      <c r="B160" s="7" t="inlineStr">
        <is>
          <t>Materiales</t>
        </is>
      </c>
      <c r="C160" s="7" t="inlineStr">
        <is>
          <t>Puertas, ventanas y cristales</t>
        </is>
      </c>
      <c r="D160" s="5" t="inlineStr">
        <is>
          <t>Portón de garaje corredizo</t>
        </is>
      </c>
      <c r="E160" s="5" t="inlineStr">
        <is>
          <t>Hierro, sin motor</t>
        </is>
      </c>
      <c r="F160" s="5" t="inlineStr"/>
      <c r="G160" s="5" t="inlineStr"/>
      <c r="H160" s="7" t="inlineStr">
        <is>
          <t>m²</t>
        </is>
      </c>
      <c r="I160" s="7" t="inlineStr">
        <is>
          <t>Puertas y ventanas</t>
        </is>
      </c>
      <c r="J160" s="7" t="inlineStr">
        <is>
          <t>estandar</t>
        </is>
      </c>
      <c r="K160" s="7" t="inlineStr">
        <is>
          <t>nacional</t>
        </is>
      </c>
      <c r="L160" s="7" t="inlineStr">
        <is>
          <t>Estimado</t>
        </is>
      </c>
      <c r="M160" s="8" t="n">
        <v>0</v>
      </c>
      <c r="N160" s="9" t="n">
        <v>12500</v>
      </c>
      <c r="O160" s="9" t="n">
        <v>9000</v>
      </c>
      <c r="P160" s="9" t="n">
        <v>18000</v>
      </c>
      <c r="Q160" s="7" t="inlineStr">
        <is>
          <t>Sí</t>
        </is>
      </c>
      <c r="R160" s="9">
        <f>IF(N160="","",IF(Q160="Sí",ROUND(N160/1.18,2),N160))</f>
        <v/>
      </c>
      <c r="S160" s="7" t="inlineStr">
        <is>
          <t>2026-09</t>
        </is>
      </c>
      <c r="T160" s="5" t="inlineStr">
        <is>
          <t>Estimación de arranque — pendiente de cotización</t>
        </is>
      </c>
    </row>
    <row r="161">
      <c r="A161" s="7" t="inlineStr">
        <is>
          <t>MAT-11-005</t>
        </is>
      </c>
      <c r="B161" s="7" t="inlineStr">
        <is>
          <t>Materiales</t>
        </is>
      </c>
      <c r="C161" s="7" t="inlineStr">
        <is>
          <t>Puertas, ventanas y cristales</t>
        </is>
      </c>
      <c r="D161" s="5" t="inlineStr">
        <is>
          <t>Ventana corrediza de aluminio con cristal</t>
        </is>
      </c>
      <c r="E161" s="5" t="inlineStr">
        <is>
          <t>Aluminio natural, cristal 5 mm</t>
        </is>
      </c>
      <c r="F161" s="5" t="inlineStr"/>
      <c r="G161" s="5" t="inlineStr"/>
      <c r="H161" s="7" t="inlineStr">
        <is>
          <t>pie²</t>
        </is>
      </c>
      <c r="I161" s="7" t="inlineStr">
        <is>
          <t>Puertas y ventanas</t>
        </is>
      </c>
      <c r="J161" s="7" t="inlineStr">
        <is>
          <t>estandar</t>
        </is>
      </c>
      <c r="K161" s="7" t="inlineStr">
        <is>
          <t>nacional</t>
        </is>
      </c>
      <c r="L161" s="7" t="inlineStr">
        <is>
          <t>Estimado</t>
        </is>
      </c>
      <c r="M161" s="8" t="n">
        <v>0</v>
      </c>
      <c r="N161" s="9" t="n">
        <v>1450</v>
      </c>
      <c r="O161" s="9" t="n">
        <v>1100</v>
      </c>
      <c r="P161" s="9" t="n">
        <v>1950</v>
      </c>
      <c r="Q161" s="7" t="inlineStr">
        <is>
          <t>Sí</t>
        </is>
      </c>
      <c r="R161" s="9">
        <f>IF(N161="","",IF(Q161="Sí",ROUND(N161/1.18,2),N161))</f>
        <v/>
      </c>
      <c r="S161" s="7" t="inlineStr">
        <is>
          <t>2026-09</t>
        </is>
      </c>
      <c r="T161" s="5" t="inlineStr">
        <is>
          <t>Estimación de arranque — pendiente de cotización</t>
        </is>
      </c>
    </row>
    <row r="162">
      <c r="A162" s="7" t="inlineStr">
        <is>
          <t>MAT-11-006</t>
        </is>
      </c>
      <c r="B162" s="7" t="inlineStr">
        <is>
          <t>Materiales</t>
        </is>
      </c>
      <c r="C162" s="7" t="inlineStr">
        <is>
          <t>Puertas, ventanas y cristales</t>
        </is>
      </c>
      <c r="D162" s="5" t="inlineStr">
        <is>
          <t>Ventana proyectada de aluminio</t>
        </is>
      </c>
      <c r="E162" s="5" t="inlineStr">
        <is>
          <t>Con brazos y screen</t>
        </is>
      </c>
      <c r="F162" s="5" t="inlineStr"/>
      <c r="G162" s="5" t="inlineStr"/>
      <c r="H162" s="7" t="inlineStr">
        <is>
          <t>pie²</t>
        </is>
      </c>
      <c r="I162" s="7" t="inlineStr">
        <is>
          <t>Puertas y ventanas</t>
        </is>
      </c>
      <c r="J162" s="7" t="inlineStr">
        <is>
          <t>estandar</t>
        </is>
      </c>
      <c r="K162" s="7" t="inlineStr">
        <is>
          <t>nacional</t>
        </is>
      </c>
      <c r="L162" s="7" t="inlineStr">
        <is>
          <t>Estimado</t>
        </is>
      </c>
      <c r="M162" s="8" t="n">
        <v>0</v>
      </c>
      <c r="N162" s="9" t="n">
        <v>1850</v>
      </c>
      <c r="O162" s="9" t="n">
        <v>1400</v>
      </c>
      <c r="P162" s="9" t="n">
        <v>2500</v>
      </c>
      <c r="Q162" s="7" t="inlineStr">
        <is>
          <t>Sí</t>
        </is>
      </c>
      <c r="R162" s="9">
        <f>IF(N162="","",IF(Q162="Sí",ROUND(N162/1.18,2),N162))</f>
        <v/>
      </c>
      <c r="S162" s="7" t="inlineStr">
        <is>
          <t>2026-09</t>
        </is>
      </c>
      <c r="T162" s="5" t="inlineStr">
        <is>
          <t>Estimación de arranque — pendiente de cotización</t>
        </is>
      </c>
    </row>
    <row r="163">
      <c r="A163" s="7" t="inlineStr">
        <is>
          <t>MAT-11-007</t>
        </is>
      </c>
      <c r="B163" s="7" t="inlineStr">
        <is>
          <t>Materiales</t>
        </is>
      </c>
      <c r="C163" s="7" t="inlineStr">
        <is>
          <t>Puertas, ventanas y cristales</t>
        </is>
      </c>
      <c r="D163" s="5" t="inlineStr">
        <is>
          <t>Cristal templado 10 mm</t>
        </is>
      </c>
      <c r="E163" s="5" t="inlineStr">
        <is>
          <t>Instalado, sin herrajes</t>
        </is>
      </c>
      <c r="F163" s="5" t="inlineStr"/>
      <c r="G163" s="5" t="inlineStr"/>
      <c r="H163" s="7" t="inlineStr">
        <is>
          <t>pie²</t>
        </is>
      </c>
      <c r="I163" s="7" t="inlineStr">
        <is>
          <t>Puertas y ventanas</t>
        </is>
      </c>
      <c r="J163" s="7" t="inlineStr">
        <is>
          <t>premium</t>
        </is>
      </c>
      <c r="K163" s="7" t="inlineStr">
        <is>
          <t>importado</t>
        </is>
      </c>
      <c r="L163" s="7" t="inlineStr">
        <is>
          <t>Estimado</t>
        </is>
      </c>
      <c r="M163" s="8" t="n">
        <v>0</v>
      </c>
      <c r="N163" s="9" t="n">
        <v>1750</v>
      </c>
      <c r="O163" s="9" t="n">
        <v>1350</v>
      </c>
      <c r="P163" s="9" t="n">
        <v>2350</v>
      </c>
      <c r="Q163" s="7" t="inlineStr">
        <is>
          <t>Sí</t>
        </is>
      </c>
      <c r="R163" s="9">
        <f>IF(N163="","",IF(Q163="Sí",ROUND(N163/1.18,2),N163))</f>
        <v/>
      </c>
      <c r="S163" s="7" t="inlineStr">
        <is>
          <t>2026-09</t>
        </is>
      </c>
      <c r="T163" s="5" t="inlineStr">
        <is>
          <t>Estimación de arranque — pendiente de cotización</t>
        </is>
      </c>
    </row>
    <row r="164">
      <c r="A164" s="7" t="inlineStr">
        <is>
          <t>MAT-11-008</t>
        </is>
      </c>
      <c r="B164" s="7" t="inlineStr">
        <is>
          <t>Materiales</t>
        </is>
      </c>
      <c r="C164" s="7" t="inlineStr">
        <is>
          <t>Puertas, ventanas y cristales</t>
        </is>
      </c>
      <c r="D164" s="5" t="inlineStr">
        <is>
          <t>Cerradura de pomo</t>
        </is>
      </c>
      <c r="E164" s="5" t="inlineStr">
        <is>
          <t>Interior, acabado satinado</t>
        </is>
      </c>
      <c r="F164" s="5" t="inlineStr"/>
      <c r="G164" s="5" t="inlineStr"/>
      <c r="H164" s="7" t="inlineStr">
        <is>
          <t>unidad</t>
        </is>
      </c>
      <c r="I164" s="7" t="inlineStr">
        <is>
          <t>Puertas y ventanas</t>
        </is>
      </c>
      <c r="J164" s="7" t="inlineStr">
        <is>
          <t>estandar</t>
        </is>
      </c>
      <c r="K164" s="7" t="inlineStr">
        <is>
          <t>importado</t>
        </is>
      </c>
      <c r="L164" s="7" t="inlineStr">
        <is>
          <t>Estimado</t>
        </is>
      </c>
      <c r="M164" s="8" t="n">
        <v>0</v>
      </c>
      <c r="N164" s="9" t="n">
        <v>1450</v>
      </c>
      <c r="O164" s="9" t="n">
        <v>950</v>
      </c>
      <c r="P164" s="9" t="n">
        <v>2200</v>
      </c>
      <c r="Q164" s="7" t="inlineStr">
        <is>
          <t>Sí</t>
        </is>
      </c>
      <c r="R164" s="9">
        <f>IF(N164="","",IF(Q164="Sí",ROUND(N164/1.18,2),N164))</f>
        <v/>
      </c>
      <c r="S164" s="7" t="inlineStr">
        <is>
          <t>2026-09</t>
        </is>
      </c>
      <c r="T164" s="5" t="inlineStr">
        <is>
          <t>Estimación de arranque — pendiente de cotización</t>
        </is>
      </c>
    </row>
    <row r="165">
      <c r="A165" s="7" t="inlineStr">
        <is>
          <t>MAT-11-009</t>
        </is>
      </c>
      <c r="B165" s="7" t="inlineStr">
        <is>
          <t>Materiales</t>
        </is>
      </c>
      <c r="C165" s="7" t="inlineStr">
        <is>
          <t>Puertas, ventanas y cristales</t>
        </is>
      </c>
      <c r="D165" s="5" t="inlineStr">
        <is>
          <t>Cerradura digital con huella</t>
        </is>
      </c>
      <c r="E165" s="5" t="inlineStr">
        <is>
          <t>Biométrica con clave y tarjeta</t>
        </is>
      </c>
      <c r="F165" s="5" t="inlineStr"/>
      <c r="G165" s="5" t="inlineStr"/>
      <c r="H165" s="7" t="inlineStr">
        <is>
          <t>unidad</t>
        </is>
      </c>
      <c r="I165" s="7" t="inlineStr">
        <is>
          <t>Puertas y ventanas</t>
        </is>
      </c>
      <c r="J165" s="7" t="inlineStr">
        <is>
          <t>premium</t>
        </is>
      </c>
      <c r="K165" s="7" t="inlineStr">
        <is>
          <t>importado</t>
        </is>
      </c>
      <c r="L165" s="7" t="inlineStr">
        <is>
          <t>Estimado</t>
        </is>
      </c>
      <c r="M165" s="8" t="n">
        <v>0</v>
      </c>
      <c r="N165" s="9" t="n">
        <v>12500</v>
      </c>
      <c r="O165" s="9" t="n">
        <v>8500</v>
      </c>
      <c r="P165" s="9" t="n">
        <v>19000</v>
      </c>
      <c r="Q165" s="7" t="inlineStr">
        <is>
          <t>Sí</t>
        </is>
      </c>
      <c r="R165" s="9">
        <f>IF(N165="","",IF(Q165="Sí",ROUND(N165/1.18,2),N165))</f>
        <v/>
      </c>
      <c r="S165" s="7" t="inlineStr">
        <is>
          <t>2026-09</t>
        </is>
      </c>
      <c r="T165" s="5" t="inlineStr">
        <is>
          <t>Estimación de arranque — pendiente de cotización</t>
        </is>
      </c>
    </row>
    <row r="166">
      <c r="A166" s="7" t="inlineStr">
        <is>
          <t>MAT-11-010</t>
        </is>
      </c>
      <c r="B166" s="7" t="inlineStr">
        <is>
          <t>Materiales</t>
        </is>
      </c>
      <c r="C166" s="7" t="inlineStr">
        <is>
          <t>Puertas, ventanas y cristales</t>
        </is>
      </c>
      <c r="D166" s="5" t="inlineStr">
        <is>
          <t>Barandal de acero inoxidable con cristal</t>
        </is>
      </c>
      <c r="E166" s="5" t="inlineStr">
        <is>
          <t>Instalado, escaleras y balcones</t>
        </is>
      </c>
      <c r="F166" s="5" t="inlineStr"/>
      <c r="G166" s="5" t="inlineStr"/>
      <c r="H166" s="7" t="inlineStr">
        <is>
          <t>ml</t>
        </is>
      </c>
      <c r="I166" s="7" t="inlineStr">
        <is>
          <t>Terminación de superficies</t>
        </is>
      </c>
      <c r="J166" s="7" t="inlineStr">
        <is>
          <t>premium</t>
        </is>
      </c>
      <c r="K166" s="7" t="inlineStr">
        <is>
          <t>nacional</t>
        </is>
      </c>
      <c r="L166" s="7" t="inlineStr">
        <is>
          <t>Estimado</t>
        </is>
      </c>
      <c r="M166" s="8" t="n">
        <v>0</v>
      </c>
      <c r="N166" s="9" t="n">
        <v>14500</v>
      </c>
      <c r="O166" s="9" t="n">
        <v>11000</v>
      </c>
      <c r="P166" s="9" t="n">
        <v>20000</v>
      </c>
      <c r="Q166" s="7" t="inlineStr">
        <is>
          <t>Sí</t>
        </is>
      </c>
      <c r="R166" s="9">
        <f>IF(N166="","",IF(Q166="Sí",ROUND(N166/1.18,2),N166))</f>
        <v/>
      </c>
      <c r="S166" s="7" t="inlineStr">
        <is>
          <t>2026-09</t>
        </is>
      </c>
      <c r="T166" s="5" t="inlineStr">
        <is>
          <t>Estimación de arranque — pendiente de cotización</t>
        </is>
      </c>
    </row>
    <row r="167">
      <c r="A167" s="7" t="inlineStr">
        <is>
          <t>MAT-11-011</t>
        </is>
      </c>
      <c r="B167" s="7" t="inlineStr">
        <is>
          <t>Materiales</t>
        </is>
      </c>
      <c r="C167" s="7" t="inlineStr">
        <is>
          <t>Puertas, ventanas y cristales</t>
        </is>
      </c>
      <c r="D167" s="5" t="inlineStr">
        <is>
          <t>Verja de hierro para ventana</t>
        </is>
      </c>
      <c r="E167" s="5" t="inlineStr">
        <is>
          <t>Fabricada e instalada, con pintura</t>
        </is>
      </c>
      <c r="F167" s="5" t="inlineStr"/>
      <c r="G167" s="5" t="inlineStr"/>
      <c r="H167" s="7" t="inlineStr">
        <is>
          <t>m²</t>
        </is>
      </c>
      <c r="I167" s="7" t="inlineStr">
        <is>
          <t>Puertas y ventanas</t>
        </is>
      </c>
      <c r="J167" s="7" t="inlineStr">
        <is>
          <t>estandar</t>
        </is>
      </c>
      <c r="K167" s="7" t="inlineStr">
        <is>
          <t>nacional</t>
        </is>
      </c>
      <c r="L167" s="7" t="inlineStr">
        <is>
          <t>Estimado</t>
        </is>
      </c>
      <c r="M167" s="8" t="n">
        <v>0</v>
      </c>
      <c r="N167" s="9" t="n">
        <v>3800</v>
      </c>
      <c r="O167" s="9" t="n">
        <v>2800</v>
      </c>
      <c r="P167" s="9" t="n">
        <v>5200</v>
      </c>
      <c r="Q167" s="7" t="inlineStr">
        <is>
          <t>Sí</t>
        </is>
      </c>
      <c r="R167" s="9">
        <f>IF(N167="","",IF(Q167="Sí",ROUND(N167/1.18,2),N167))</f>
        <v/>
      </c>
      <c r="S167" s="7" t="inlineStr">
        <is>
          <t>2026-09</t>
        </is>
      </c>
      <c r="T167" s="5" t="inlineStr">
        <is>
          <t>Estimación de arranque — pendiente de cotización</t>
        </is>
      </c>
    </row>
    <row r="168">
      <c r="A168" s="7" t="inlineStr">
        <is>
          <t>MAT-12-001</t>
        </is>
      </c>
      <c r="B168" s="7" t="inlineStr">
        <is>
          <t>Materiales</t>
        </is>
      </c>
      <c r="C168" s="7" t="inlineStr">
        <is>
          <t>Pintura y acabados</t>
        </is>
      </c>
      <c r="D168" s="5" t="inlineStr">
        <is>
          <t>Pintura acrílica mate, cubeta 5 gal (económica)</t>
        </is>
      </c>
      <c r="E168" s="5" t="inlineStr">
        <is>
          <t>Interior, rendimiento estándar</t>
        </is>
      </c>
      <c r="F168" s="5" t="inlineStr"/>
      <c r="G168" s="5" t="inlineStr"/>
      <c r="H168" s="7" t="inlineStr">
        <is>
          <t>cubeta</t>
        </is>
      </c>
      <c r="I168" s="7" t="inlineStr">
        <is>
          <t>Pintura</t>
        </is>
      </c>
      <c r="J168" s="7" t="inlineStr">
        <is>
          <t>economica</t>
        </is>
      </c>
      <c r="K168" s="7" t="inlineStr">
        <is>
          <t>nacional</t>
        </is>
      </c>
      <c r="L168" s="7" t="inlineStr">
        <is>
          <t>Estimado</t>
        </is>
      </c>
      <c r="M168" s="8" t="n">
        <v>0</v>
      </c>
      <c r="N168" s="9" t="n">
        <v>5200</v>
      </c>
      <c r="O168" s="9" t="n">
        <v>4200</v>
      </c>
      <c r="P168" s="9" t="n">
        <v>6500</v>
      </c>
      <c r="Q168" s="7" t="inlineStr">
        <is>
          <t>Sí</t>
        </is>
      </c>
      <c r="R168" s="9">
        <f>IF(N168="","",IF(Q168="Sí",ROUND(N168/1.18,2),N168))</f>
        <v/>
      </c>
      <c r="S168" s="7" t="inlineStr">
        <is>
          <t>2026-09</t>
        </is>
      </c>
      <c r="T168" s="5" t="inlineStr">
        <is>
          <t>Estimación de arranque — pendiente de cotización</t>
        </is>
      </c>
    </row>
    <row r="169">
      <c r="A169" s="7" t="inlineStr">
        <is>
          <t>MAT-12-002</t>
        </is>
      </c>
      <c r="B169" s="7" t="inlineStr">
        <is>
          <t>Materiales</t>
        </is>
      </c>
      <c r="C169" s="7" t="inlineStr">
        <is>
          <t>Pintura y acabados</t>
        </is>
      </c>
      <c r="D169" s="5" t="inlineStr">
        <is>
          <t>Pintura acrílica satinada, cubeta 5 gal</t>
        </is>
      </c>
      <c r="E169" s="5" t="inlineStr">
        <is>
          <t>Interior/exterior lavable</t>
        </is>
      </c>
      <c r="F169" s="5" t="inlineStr"/>
      <c r="G169" s="5" t="inlineStr"/>
      <c r="H169" s="7" t="inlineStr">
        <is>
          <t>cubeta</t>
        </is>
      </c>
      <c r="I169" s="7" t="inlineStr">
        <is>
          <t>Pintura</t>
        </is>
      </c>
      <c r="J169" s="7" t="inlineStr">
        <is>
          <t>estandar</t>
        </is>
      </c>
      <c r="K169" s="7" t="inlineStr">
        <is>
          <t>nacional</t>
        </is>
      </c>
      <c r="L169" s="7" t="inlineStr">
        <is>
          <t>Estimado</t>
        </is>
      </c>
      <c r="M169" s="8" t="n">
        <v>0</v>
      </c>
      <c r="N169" s="9" t="n">
        <v>8900</v>
      </c>
      <c r="O169" s="9" t="n">
        <v>7000</v>
      </c>
      <c r="P169" s="9" t="n">
        <v>11500</v>
      </c>
      <c r="Q169" s="7" t="inlineStr">
        <is>
          <t>Sí</t>
        </is>
      </c>
      <c r="R169" s="9">
        <f>IF(N169="","",IF(Q169="Sí",ROUND(N169/1.18,2),N169))</f>
        <v/>
      </c>
      <c r="S169" s="7" t="inlineStr">
        <is>
          <t>2026-09</t>
        </is>
      </c>
      <c r="T169" s="5" t="inlineStr">
        <is>
          <t>Estimación de arranque — pendiente de cotización</t>
        </is>
      </c>
    </row>
    <row r="170">
      <c r="A170" s="7" t="inlineStr">
        <is>
          <t>MAT-12-003</t>
        </is>
      </c>
      <c r="B170" s="7" t="inlineStr">
        <is>
          <t>Materiales</t>
        </is>
      </c>
      <c r="C170" s="7" t="inlineStr">
        <is>
          <t>Pintura y acabados</t>
        </is>
      </c>
      <c r="D170" s="5" t="inlineStr">
        <is>
          <t>Pintura acrílica premium, cubeta 5 gal</t>
        </is>
      </c>
      <c r="E170" s="5" t="inlineStr">
        <is>
          <t>Alta cobertura y durabilidad</t>
        </is>
      </c>
      <c r="F170" s="5" t="inlineStr"/>
      <c r="G170" s="5" t="inlineStr"/>
      <c r="H170" s="7" t="inlineStr">
        <is>
          <t>cubeta</t>
        </is>
      </c>
      <c r="I170" s="7" t="inlineStr">
        <is>
          <t>Pintura</t>
        </is>
      </c>
      <c r="J170" s="7" t="inlineStr">
        <is>
          <t>premium</t>
        </is>
      </c>
      <c r="K170" s="7" t="inlineStr">
        <is>
          <t>nacional</t>
        </is>
      </c>
      <c r="L170" s="7" t="inlineStr">
        <is>
          <t>Estimado</t>
        </is>
      </c>
      <c r="M170" s="8" t="n">
        <v>0</v>
      </c>
      <c r="N170" s="9" t="n">
        <v>14500</v>
      </c>
      <c r="O170" s="9" t="n">
        <v>11000</v>
      </c>
      <c r="P170" s="9" t="n">
        <v>19000</v>
      </c>
      <c r="Q170" s="7" t="inlineStr">
        <is>
          <t>Sí</t>
        </is>
      </c>
      <c r="R170" s="9">
        <f>IF(N170="","",IF(Q170="Sí",ROUND(N170/1.18,2),N170))</f>
        <v/>
      </c>
      <c r="S170" s="7" t="inlineStr">
        <is>
          <t>2026-09</t>
        </is>
      </c>
      <c r="T170" s="5" t="inlineStr">
        <is>
          <t>Estimación de arranque — pendiente de cotización</t>
        </is>
      </c>
    </row>
    <row r="171">
      <c r="A171" s="7" t="inlineStr">
        <is>
          <t>MAT-12-004</t>
        </is>
      </c>
      <c r="B171" s="7" t="inlineStr">
        <is>
          <t>Materiales</t>
        </is>
      </c>
      <c r="C171" s="7" t="inlineStr">
        <is>
          <t>Pintura y acabados</t>
        </is>
      </c>
      <c r="D171" s="5" t="inlineStr">
        <is>
          <t>Esmalte base aceite, galón</t>
        </is>
      </c>
      <c r="E171" s="5" t="inlineStr">
        <is>
          <t>Metal y madera</t>
        </is>
      </c>
      <c r="F171" s="5" t="inlineStr"/>
      <c r="G171" s="5" t="inlineStr"/>
      <c r="H171" s="7" t="inlineStr">
        <is>
          <t>galón</t>
        </is>
      </c>
      <c r="I171" s="7" t="inlineStr">
        <is>
          <t>Pintura</t>
        </is>
      </c>
      <c r="J171" s="7" t="inlineStr">
        <is>
          <t>estandar</t>
        </is>
      </c>
      <c r="K171" s="7" t="inlineStr">
        <is>
          <t>nacional</t>
        </is>
      </c>
      <c r="L171" s="7" t="inlineStr">
        <is>
          <t>Estimado</t>
        </is>
      </c>
      <c r="M171" s="8" t="n">
        <v>0</v>
      </c>
      <c r="N171" s="9" t="n">
        <v>2400</v>
      </c>
      <c r="O171" s="9" t="n">
        <v>1900</v>
      </c>
      <c r="P171" s="9" t="n">
        <v>3100</v>
      </c>
      <c r="Q171" s="7" t="inlineStr">
        <is>
          <t>Sí</t>
        </is>
      </c>
      <c r="R171" s="9">
        <f>IF(N171="","",IF(Q171="Sí",ROUND(N171/1.18,2),N171))</f>
        <v/>
      </c>
      <c r="S171" s="7" t="inlineStr">
        <is>
          <t>2026-09</t>
        </is>
      </c>
      <c r="T171" s="5" t="inlineStr">
        <is>
          <t>Estimación de arranque — pendiente de cotización</t>
        </is>
      </c>
    </row>
    <row r="172">
      <c r="A172" s="7" t="inlineStr">
        <is>
          <t>MAT-12-005</t>
        </is>
      </c>
      <c r="B172" s="7" t="inlineStr">
        <is>
          <t>Materiales</t>
        </is>
      </c>
      <c r="C172" s="7" t="inlineStr">
        <is>
          <t>Pintura y acabados</t>
        </is>
      </c>
      <c r="D172" s="5" t="inlineStr">
        <is>
          <t>Sellador de muro, cubeta 5 gal</t>
        </is>
      </c>
      <c r="E172" s="5" t="inlineStr">
        <is>
          <t>Base para pintura sobre pañete</t>
        </is>
      </c>
      <c r="F172" s="5" t="inlineStr"/>
      <c r="G172" s="5" t="inlineStr"/>
      <c r="H172" s="7" t="inlineStr">
        <is>
          <t>cubeta</t>
        </is>
      </c>
      <c r="I172" s="7" t="inlineStr">
        <is>
          <t>Pintura</t>
        </is>
      </c>
      <c r="J172" s="7" t="inlineStr">
        <is>
          <t>estandar</t>
        </is>
      </c>
      <c r="K172" s="7" t="inlineStr">
        <is>
          <t>nacional</t>
        </is>
      </c>
      <c r="L172" s="7" t="inlineStr">
        <is>
          <t>Estimado</t>
        </is>
      </c>
      <c r="M172" s="8" t="n">
        <v>0</v>
      </c>
      <c r="N172" s="9" t="n">
        <v>4800</v>
      </c>
      <c r="O172" s="9" t="n">
        <v>3800</v>
      </c>
      <c r="P172" s="9" t="n">
        <v>6100</v>
      </c>
      <c r="Q172" s="7" t="inlineStr">
        <is>
          <t>Sí</t>
        </is>
      </c>
      <c r="R172" s="9">
        <f>IF(N172="","",IF(Q172="Sí",ROUND(N172/1.18,2),N172))</f>
        <v/>
      </c>
      <c r="S172" s="7" t="inlineStr">
        <is>
          <t>2026-09</t>
        </is>
      </c>
      <c r="T172" s="5" t="inlineStr">
        <is>
          <t>Estimación de arranque — pendiente de cotización</t>
        </is>
      </c>
    </row>
    <row r="173">
      <c r="A173" s="7" t="inlineStr">
        <is>
          <t>MAT-12-006</t>
        </is>
      </c>
      <c r="B173" s="7" t="inlineStr">
        <is>
          <t>Materiales</t>
        </is>
      </c>
      <c r="C173" s="7" t="inlineStr">
        <is>
          <t>Pintura y acabados</t>
        </is>
      </c>
      <c r="D173" s="5" t="inlineStr">
        <is>
          <t>Masilla / empaste, cubeta 5 gal</t>
        </is>
      </c>
      <c r="E173" s="5" t="inlineStr">
        <is>
          <t>Nivelación de superficies</t>
        </is>
      </c>
      <c r="F173" s="5" t="inlineStr"/>
      <c r="G173" s="5" t="inlineStr"/>
      <c r="H173" s="7" t="inlineStr">
        <is>
          <t>cubeta</t>
        </is>
      </c>
      <c r="I173" s="7" t="inlineStr">
        <is>
          <t>Pintura</t>
        </is>
      </c>
      <c r="J173" s="7" t="inlineStr">
        <is>
          <t>estandar</t>
        </is>
      </c>
      <c r="K173" s="7" t="inlineStr">
        <is>
          <t>nacional</t>
        </is>
      </c>
      <c r="L173" s="7" t="inlineStr">
        <is>
          <t>Estimado</t>
        </is>
      </c>
      <c r="M173" s="8" t="n">
        <v>0</v>
      </c>
      <c r="N173" s="9" t="n">
        <v>3600</v>
      </c>
      <c r="O173" s="9" t="n">
        <v>2800</v>
      </c>
      <c r="P173" s="9" t="n">
        <v>4700</v>
      </c>
      <c r="Q173" s="7" t="inlineStr">
        <is>
          <t>Sí</t>
        </is>
      </c>
      <c r="R173" s="9">
        <f>IF(N173="","",IF(Q173="Sí",ROUND(N173/1.18,2),N173))</f>
        <v/>
      </c>
      <c r="S173" s="7" t="inlineStr">
        <is>
          <t>2026-09</t>
        </is>
      </c>
      <c r="T173" s="5" t="inlineStr">
        <is>
          <t>Estimación de arranque — pendiente de cotización</t>
        </is>
      </c>
    </row>
    <row r="174">
      <c r="A174" s="7" t="inlineStr">
        <is>
          <t>MAT-12-007</t>
        </is>
      </c>
      <c r="B174" s="7" t="inlineStr">
        <is>
          <t>Materiales</t>
        </is>
      </c>
      <c r="C174" s="7" t="inlineStr">
        <is>
          <t>Pintura y acabados</t>
        </is>
      </c>
      <c r="D174" s="5" t="inlineStr">
        <is>
          <t>Pintura epóxica de piso, galón</t>
        </is>
      </c>
      <c r="E174" s="5" t="inlineStr">
        <is>
          <t>Dos componentes, tránsito pesado</t>
        </is>
      </c>
      <c r="F174" s="5" t="inlineStr"/>
      <c r="G174" s="5" t="inlineStr"/>
      <c r="H174" s="7" t="inlineStr">
        <is>
          <t>galón</t>
        </is>
      </c>
      <c r="I174" s="7" t="inlineStr">
        <is>
          <t>Pintura</t>
        </is>
      </c>
      <c r="J174" s="7" t="inlineStr">
        <is>
          <t>premium</t>
        </is>
      </c>
      <c r="K174" s="7" t="inlineStr">
        <is>
          <t>importado</t>
        </is>
      </c>
      <c r="L174" s="7" t="inlineStr">
        <is>
          <t>Estimado</t>
        </is>
      </c>
      <c r="M174" s="8" t="n">
        <v>0</v>
      </c>
      <c r="N174" s="9" t="n">
        <v>5400</v>
      </c>
      <c r="O174" s="9" t="n">
        <v>4200</v>
      </c>
      <c r="P174" s="9" t="n">
        <v>7000</v>
      </c>
      <c r="Q174" s="7" t="inlineStr">
        <is>
          <t>Sí</t>
        </is>
      </c>
      <c r="R174" s="9">
        <f>IF(N174="","",IF(Q174="Sí",ROUND(N174/1.18,2),N174))</f>
        <v/>
      </c>
      <c r="S174" s="7" t="inlineStr">
        <is>
          <t>2026-09</t>
        </is>
      </c>
      <c r="T174" s="5" t="inlineStr">
        <is>
          <t>Estimación de arranque — pendiente de cotización</t>
        </is>
      </c>
    </row>
    <row r="175">
      <c r="A175" s="7" t="inlineStr">
        <is>
          <t>MAT-12-008</t>
        </is>
      </c>
      <c r="B175" s="7" t="inlineStr">
        <is>
          <t>Materiales</t>
        </is>
      </c>
      <c r="C175" s="7" t="inlineStr">
        <is>
          <t>Pintura y acabados</t>
        </is>
      </c>
      <c r="D175" s="5" t="inlineStr">
        <is>
          <t>Pintura de tráfico, galón</t>
        </is>
      </c>
      <c r="E175" s="5" t="inlineStr">
        <is>
          <t>Señalización vial y parqueos</t>
        </is>
      </c>
      <c r="F175" s="5" t="inlineStr"/>
      <c r="G175" s="5" t="inlineStr"/>
      <c r="H175" s="7" t="inlineStr">
        <is>
          <t>galón</t>
        </is>
      </c>
      <c r="I175" s="7" t="inlineStr">
        <is>
          <t>Exteriores</t>
        </is>
      </c>
      <c r="J175" s="7" t="inlineStr">
        <is>
          <t>estandar</t>
        </is>
      </c>
      <c r="K175" s="7" t="inlineStr">
        <is>
          <t>nacional</t>
        </is>
      </c>
      <c r="L175" s="7" t="inlineStr">
        <is>
          <t>Estimado</t>
        </is>
      </c>
      <c r="M175" s="8" t="n">
        <v>0</v>
      </c>
      <c r="N175" s="9" t="n">
        <v>2900</v>
      </c>
      <c r="O175" s="9" t="n">
        <v>2300</v>
      </c>
      <c r="P175" s="9" t="n">
        <v>3800</v>
      </c>
      <c r="Q175" s="7" t="inlineStr">
        <is>
          <t>Sí</t>
        </is>
      </c>
      <c r="R175" s="9">
        <f>IF(N175="","",IF(Q175="Sí",ROUND(N175/1.18,2),N175))</f>
        <v/>
      </c>
      <c r="S175" s="7" t="inlineStr">
        <is>
          <t>2026-09</t>
        </is>
      </c>
      <c r="T175" s="5" t="inlineStr">
        <is>
          <t>Estimación de arranque — pendiente de cotización</t>
        </is>
      </c>
    </row>
    <row r="176">
      <c r="A176" s="7" t="inlineStr">
        <is>
          <t>MAT-13-001</t>
        </is>
      </c>
      <c r="B176" s="7" t="inlineStr">
        <is>
          <t>Materiales</t>
        </is>
      </c>
      <c r="C176" s="7" t="inlineStr">
        <is>
          <t>Plafones y construcción liviana</t>
        </is>
      </c>
      <c r="D176" s="5" t="inlineStr">
        <is>
          <t>Plancha de yeso regular 1/2", 4 x 8 pies</t>
        </is>
      </c>
      <c r="E176" s="5" t="inlineStr">
        <is>
          <t>Sheetrock estándar</t>
        </is>
      </c>
      <c r="F176" s="5" t="inlineStr"/>
      <c r="G176" s="5" t="inlineStr"/>
      <c r="H176" s="7" t="inlineStr">
        <is>
          <t>plancha</t>
        </is>
      </c>
      <c r="I176" s="7" t="inlineStr">
        <is>
          <t>Terminación de superficies</t>
        </is>
      </c>
      <c r="J176" s="7" t="inlineStr">
        <is>
          <t>estandar</t>
        </is>
      </c>
      <c r="K176" s="7" t="inlineStr">
        <is>
          <t>nacional</t>
        </is>
      </c>
      <c r="L176" s="7" t="inlineStr">
        <is>
          <t>Verificado</t>
        </is>
      </c>
      <c r="M176" s="8" t="n">
        <v>2</v>
      </c>
      <c r="N176" s="9" t="n">
        <v>925.59</v>
      </c>
      <c r="O176" s="9" t="n">
        <v>895</v>
      </c>
      <c r="P176" s="9" t="n">
        <v>956.17</v>
      </c>
      <c r="Q176" s="7" t="inlineStr">
        <is>
          <t>Sí</t>
        </is>
      </c>
      <c r="R176" s="9">
        <f>IF(N176="","",IF(Q176="Sí",ROUND(N176/1.18,2),N176))</f>
        <v/>
      </c>
      <c r="S176" s="7" t="inlineStr">
        <is>
          <t>2026-09-09</t>
        </is>
      </c>
      <c r="T176" s="5" t="inlineStr">
        <is>
          <t>2 cotizaciones de proveedores</t>
        </is>
      </c>
    </row>
    <row r="177">
      <c r="A177" s="7" t="inlineStr">
        <is>
          <t>MAT-13-002</t>
        </is>
      </c>
      <c r="B177" s="7" t="inlineStr">
        <is>
          <t>Materiales</t>
        </is>
      </c>
      <c r="C177" s="7" t="inlineStr">
        <is>
          <t>Plafones y construcción liviana</t>
        </is>
      </c>
      <c r="D177" s="5" t="inlineStr">
        <is>
          <t>Plancha de yeso RH (verde) 1/2", 4 x 8 pies</t>
        </is>
      </c>
      <c r="E177" s="5" t="inlineStr">
        <is>
          <t>Resistente a la humedad</t>
        </is>
      </c>
      <c r="F177" s="5" t="inlineStr"/>
      <c r="G177" s="5" t="inlineStr"/>
      <c r="H177" s="7" t="inlineStr">
        <is>
          <t>plancha</t>
        </is>
      </c>
      <c r="I177" s="7" t="inlineStr">
        <is>
          <t>Terminación de superficies</t>
        </is>
      </c>
      <c r="J177" s="7" t="inlineStr">
        <is>
          <t>estandar</t>
        </is>
      </c>
      <c r="K177" s="7" t="inlineStr">
        <is>
          <t>nacional</t>
        </is>
      </c>
      <c r="L177" s="7" t="inlineStr">
        <is>
          <t>Estimado</t>
        </is>
      </c>
      <c r="M177" s="8" t="n">
        <v>0</v>
      </c>
      <c r="N177" s="9" t="n">
        <v>1450</v>
      </c>
      <c r="O177" s="9" t="n">
        <v>1150</v>
      </c>
      <c r="P177" s="9" t="n">
        <v>1850</v>
      </c>
      <c r="Q177" s="7" t="inlineStr">
        <is>
          <t>Sí</t>
        </is>
      </c>
      <c r="R177" s="9">
        <f>IF(N177="","",IF(Q177="Sí",ROUND(N177/1.18,2),N177))</f>
        <v/>
      </c>
      <c r="S177" s="7" t="inlineStr">
        <is>
          <t>2026-09</t>
        </is>
      </c>
      <c r="T177" s="5" t="inlineStr">
        <is>
          <t>Estimación de arranque — pendiente de cotización</t>
        </is>
      </c>
    </row>
    <row r="178">
      <c r="A178" s="7" t="inlineStr">
        <is>
          <t>MAT-13-003</t>
        </is>
      </c>
      <c r="B178" s="7" t="inlineStr">
        <is>
          <t>Materiales</t>
        </is>
      </c>
      <c r="C178" s="7" t="inlineStr">
        <is>
          <t>Plafones y construcción liviana</t>
        </is>
      </c>
      <c r="D178" s="5" t="inlineStr">
        <is>
          <t>Plancha cementicia 1/2", 3 x 5 pies</t>
        </is>
      </c>
      <c r="E178" s="5" t="inlineStr">
        <is>
          <t>Durock / fibrocemento, áreas húmedas</t>
        </is>
      </c>
      <c r="F178" s="5" t="inlineStr"/>
      <c r="G178" s="5" t="inlineStr"/>
      <c r="H178" s="7" t="inlineStr">
        <is>
          <t>plancha</t>
        </is>
      </c>
      <c r="I178" s="7" t="inlineStr">
        <is>
          <t>Terminación de superficies</t>
        </is>
      </c>
      <c r="J178" s="7" t="inlineStr">
        <is>
          <t>estandar</t>
        </is>
      </c>
      <c r="K178" s="7" t="inlineStr">
        <is>
          <t>importado</t>
        </is>
      </c>
      <c r="L178" s="7" t="inlineStr">
        <is>
          <t>Estimado</t>
        </is>
      </c>
      <c r="M178" s="8" t="n">
        <v>0</v>
      </c>
      <c r="N178" s="9" t="n">
        <v>2100</v>
      </c>
      <c r="O178" s="9" t="n">
        <v>1700</v>
      </c>
      <c r="P178" s="9" t="n">
        <v>2700</v>
      </c>
      <c r="Q178" s="7" t="inlineStr">
        <is>
          <t>Sí</t>
        </is>
      </c>
      <c r="R178" s="9">
        <f>IF(N178="","",IF(Q178="Sí",ROUND(N178/1.18,2),N178))</f>
        <v/>
      </c>
      <c r="S178" s="7" t="inlineStr">
        <is>
          <t>2026-09</t>
        </is>
      </c>
      <c r="T178" s="5" t="inlineStr">
        <is>
          <t>Estimación de arranque — pendiente de cotización</t>
        </is>
      </c>
    </row>
    <row r="179">
      <c r="A179" s="7" t="inlineStr">
        <is>
          <t>MAT-13-004</t>
        </is>
      </c>
      <c r="B179" s="7" t="inlineStr">
        <is>
          <t>Materiales</t>
        </is>
      </c>
      <c r="C179" s="7" t="inlineStr">
        <is>
          <t>Plafones y construcción liviana</t>
        </is>
      </c>
      <c r="D179" s="5" t="inlineStr">
        <is>
          <t>Paral (stud) 3 5/8" x 10 pies</t>
        </is>
      </c>
      <c r="E179" s="5" t="inlineStr">
        <is>
          <t>Perfilería galvanizada</t>
        </is>
      </c>
      <c r="F179" s="5" t="inlineStr"/>
      <c r="G179" s="5" t="inlineStr"/>
      <c r="H179" s="7" t="inlineStr">
        <is>
          <t>unidad</t>
        </is>
      </c>
      <c r="I179" s="7" t="inlineStr">
        <is>
          <t>Terminación de superficies</t>
        </is>
      </c>
      <c r="J179" s="7" t="inlineStr">
        <is>
          <t>estandar</t>
        </is>
      </c>
      <c r="K179" s="7" t="inlineStr">
        <is>
          <t>nacional</t>
        </is>
      </c>
      <c r="L179" s="7" t="inlineStr">
        <is>
          <t>Estimado</t>
        </is>
      </c>
      <c r="M179" s="8" t="n">
        <v>0</v>
      </c>
      <c r="N179" s="9" t="n">
        <v>480</v>
      </c>
      <c r="O179" s="9" t="n">
        <v>380</v>
      </c>
      <c r="P179" s="9" t="n">
        <v>620</v>
      </c>
      <c r="Q179" s="7" t="inlineStr">
        <is>
          <t>Sí</t>
        </is>
      </c>
      <c r="R179" s="9">
        <f>IF(N179="","",IF(Q179="Sí",ROUND(N179/1.18,2),N179))</f>
        <v/>
      </c>
      <c r="S179" s="7" t="inlineStr">
        <is>
          <t>2026-09</t>
        </is>
      </c>
      <c r="T179" s="5" t="inlineStr">
        <is>
          <t>Estimación de arranque — pendiente de cotización</t>
        </is>
      </c>
    </row>
    <row r="180">
      <c r="A180" s="7" t="inlineStr">
        <is>
          <t>MAT-13-005</t>
        </is>
      </c>
      <c r="B180" s="7" t="inlineStr">
        <is>
          <t>Materiales</t>
        </is>
      </c>
      <c r="C180" s="7" t="inlineStr">
        <is>
          <t>Plafones y construcción liviana</t>
        </is>
      </c>
      <c r="D180" s="5" t="inlineStr">
        <is>
          <t>Canal (track) 3 5/8" x 10 pies</t>
        </is>
      </c>
      <c r="E180" s="5" t="inlineStr">
        <is>
          <t>Perfilería galvanizada</t>
        </is>
      </c>
      <c r="F180" s="5" t="inlineStr"/>
      <c r="G180" s="5" t="inlineStr"/>
      <c r="H180" s="7" t="inlineStr">
        <is>
          <t>unidad</t>
        </is>
      </c>
      <c r="I180" s="7" t="inlineStr">
        <is>
          <t>Terminación de superficies</t>
        </is>
      </c>
      <c r="J180" s="7" t="inlineStr">
        <is>
          <t>estandar</t>
        </is>
      </c>
      <c r="K180" s="7" t="inlineStr">
        <is>
          <t>nacional</t>
        </is>
      </c>
      <c r="L180" s="7" t="inlineStr">
        <is>
          <t>Estimado</t>
        </is>
      </c>
      <c r="M180" s="8" t="n">
        <v>0</v>
      </c>
      <c r="N180" s="9" t="n">
        <v>450</v>
      </c>
      <c r="O180" s="9" t="n">
        <v>350</v>
      </c>
      <c r="P180" s="9" t="n">
        <v>580</v>
      </c>
      <c r="Q180" s="7" t="inlineStr">
        <is>
          <t>Sí</t>
        </is>
      </c>
      <c r="R180" s="9">
        <f>IF(N180="","",IF(Q180="Sí",ROUND(N180/1.18,2),N180))</f>
        <v/>
      </c>
      <c r="S180" s="7" t="inlineStr">
        <is>
          <t>2026-09</t>
        </is>
      </c>
      <c r="T180" s="5" t="inlineStr">
        <is>
          <t>Estimación de arranque — pendiente de cotización</t>
        </is>
      </c>
    </row>
    <row r="181">
      <c r="A181" s="7" t="inlineStr">
        <is>
          <t>MAT-13-006</t>
        </is>
      </c>
      <c r="B181" s="7" t="inlineStr">
        <is>
          <t>Materiales</t>
        </is>
      </c>
      <c r="C181" s="7" t="inlineStr">
        <is>
          <t>Plafones y construcción liviana</t>
        </is>
      </c>
      <c r="D181" s="5" t="inlineStr">
        <is>
          <t>Plafón acústico 2 x 2 pies</t>
        </is>
      </c>
      <c r="E181" s="5" t="inlineStr">
        <is>
          <t>Fibra mineral, con suspensión aparte</t>
        </is>
      </c>
      <c r="F181" s="5" t="inlineStr"/>
      <c r="G181" s="5" t="inlineStr"/>
      <c r="H181" s="7" t="inlineStr">
        <is>
          <t>plancha</t>
        </is>
      </c>
      <c r="I181" s="7" t="inlineStr">
        <is>
          <t>Terminación de superficies</t>
        </is>
      </c>
      <c r="J181" s="7" t="inlineStr">
        <is>
          <t>estandar</t>
        </is>
      </c>
      <c r="K181" s="7" t="inlineStr">
        <is>
          <t>importado</t>
        </is>
      </c>
      <c r="L181" s="7" t="inlineStr">
        <is>
          <t>Verificado</t>
        </is>
      </c>
      <c r="M181" s="8" t="n">
        <v>1</v>
      </c>
      <c r="N181" s="9" t="n">
        <v>595</v>
      </c>
      <c r="O181" s="9" t="n">
        <v>595</v>
      </c>
      <c r="P181" s="9" t="n">
        <v>595</v>
      </c>
      <c r="Q181" s="7" t="inlineStr">
        <is>
          <t>Sí</t>
        </is>
      </c>
      <c r="R181" s="9">
        <f>IF(N181="","",IF(Q181="Sí",ROUND(N181/1.18,2),N181))</f>
        <v/>
      </c>
      <c r="S181" s="7" t="inlineStr">
        <is>
          <t>2026-09-09</t>
        </is>
      </c>
      <c r="T181" s="5" t="inlineStr">
        <is>
          <t>1 cotización de proveedores</t>
        </is>
      </c>
    </row>
    <row r="182">
      <c r="A182" s="7" t="inlineStr">
        <is>
          <t>MAT-13-007</t>
        </is>
      </c>
      <c r="B182" s="7" t="inlineStr">
        <is>
          <t>Materiales</t>
        </is>
      </c>
      <c r="C182" s="7" t="inlineStr">
        <is>
          <t>Plafones y construcción liviana</t>
        </is>
      </c>
      <c r="D182" s="5" t="inlineStr">
        <is>
          <t>Plafón de PVC</t>
        </is>
      </c>
      <c r="E182" s="5" t="inlineStr">
        <is>
          <t>Machihembrado, áreas húmedas</t>
        </is>
      </c>
      <c r="F182" s="5" t="inlineStr"/>
      <c r="G182" s="5" t="inlineStr"/>
      <c r="H182" s="7" t="inlineStr">
        <is>
          <t>m²</t>
        </is>
      </c>
      <c r="I182" s="7" t="inlineStr">
        <is>
          <t>Terminación de superficies</t>
        </is>
      </c>
      <c r="J182" s="7" t="inlineStr">
        <is>
          <t>estandar</t>
        </is>
      </c>
      <c r="K182" s="7" t="inlineStr">
        <is>
          <t>importado</t>
        </is>
      </c>
      <c r="L182" s="7" t="inlineStr">
        <is>
          <t>Estimado</t>
        </is>
      </c>
      <c r="M182" s="8" t="n">
        <v>0</v>
      </c>
      <c r="N182" s="9" t="n">
        <v>950</v>
      </c>
      <c r="O182" s="9" t="n">
        <v>750</v>
      </c>
      <c r="P182" s="9" t="n">
        <v>1250</v>
      </c>
      <c r="Q182" s="7" t="inlineStr">
        <is>
          <t>Sí</t>
        </is>
      </c>
      <c r="R182" s="9">
        <f>IF(N182="","",IF(Q182="Sí",ROUND(N182/1.18,2),N182))</f>
        <v/>
      </c>
      <c r="S182" s="7" t="inlineStr">
        <is>
          <t>2026-09</t>
        </is>
      </c>
      <c r="T182" s="5" t="inlineStr">
        <is>
          <t>Estimación de arranque — pendiente de cotización</t>
        </is>
      </c>
    </row>
    <row r="183">
      <c r="A183" s="7" t="inlineStr">
        <is>
          <t>MAT-13-008</t>
        </is>
      </c>
      <c r="B183" s="7" t="inlineStr">
        <is>
          <t>Materiales</t>
        </is>
      </c>
      <c r="C183" s="7" t="inlineStr">
        <is>
          <t>Plafones y construcción liviana</t>
        </is>
      </c>
      <c r="D183" s="5" t="inlineStr">
        <is>
          <t>Masilla de juntas, cubeta 5 gal</t>
        </is>
      </c>
      <c r="E183" s="5" t="inlineStr">
        <is>
          <t>Compuesto para juntas de yeso</t>
        </is>
      </c>
      <c r="F183" s="5" t="inlineStr"/>
      <c r="G183" s="5" t="inlineStr"/>
      <c r="H183" s="7" t="inlineStr">
        <is>
          <t>cubeta</t>
        </is>
      </c>
      <c r="I183" s="7" t="inlineStr">
        <is>
          <t>Terminación de superficies</t>
        </is>
      </c>
      <c r="J183" s="7" t="inlineStr">
        <is>
          <t>estandar</t>
        </is>
      </c>
      <c r="K183" s="7" t="inlineStr">
        <is>
          <t>nacional</t>
        </is>
      </c>
      <c r="L183" s="7" t="inlineStr">
        <is>
          <t>Estimado</t>
        </is>
      </c>
      <c r="M183" s="8" t="n">
        <v>0</v>
      </c>
      <c r="N183" s="9" t="n">
        <v>2400</v>
      </c>
      <c r="O183" s="9" t="n">
        <v>1900</v>
      </c>
      <c r="P183" s="9" t="n">
        <v>3100</v>
      </c>
      <c r="Q183" s="7" t="inlineStr">
        <is>
          <t>Sí</t>
        </is>
      </c>
      <c r="R183" s="9">
        <f>IF(N183="","",IF(Q183="Sí",ROUND(N183/1.18,2),N183))</f>
        <v/>
      </c>
      <c r="S183" s="7" t="inlineStr">
        <is>
          <t>2026-09</t>
        </is>
      </c>
      <c r="T183" s="5" t="inlineStr">
        <is>
          <t>Estimación de arranque — pendiente de cotización</t>
        </is>
      </c>
    </row>
    <row r="184">
      <c r="A184" s="7" t="inlineStr">
        <is>
          <t>MAT-13-009</t>
        </is>
      </c>
      <c r="B184" s="7" t="inlineStr">
        <is>
          <t>Materiales</t>
        </is>
      </c>
      <c r="C184" s="7" t="inlineStr">
        <is>
          <t>Plafones y construcción liviana</t>
        </is>
      </c>
      <c r="D184" s="5" t="inlineStr">
        <is>
          <t>Cinta de papel para juntas, rollo 250 pies</t>
        </is>
      </c>
      <c r="E184" s="5" t="inlineStr">
        <is>
          <t>Refuerzo de juntas</t>
        </is>
      </c>
      <c r="F184" s="5" t="inlineStr"/>
      <c r="G184" s="5" t="inlineStr"/>
      <c r="H184" s="7" t="inlineStr">
        <is>
          <t>rollo</t>
        </is>
      </c>
      <c r="I184" s="7" t="inlineStr">
        <is>
          <t>Terminación de superficies</t>
        </is>
      </c>
      <c r="J184" s="7" t="inlineStr">
        <is>
          <t>estandar</t>
        </is>
      </c>
      <c r="K184" s="7" t="inlineStr">
        <is>
          <t>nacional</t>
        </is>
      </c>
      <c r="L184" s="7" t="inlineStr">
        <is>
          <t>Estimado</t>
        </is>
      </c>
      <c r="M184" s="8" t="n">
        <v>0</v>
      </c>
      <c r="N184" s="9" t="n">
        <v>320</v>
      </c>
      <c r="O184" s="9" t="n">
        <v>240</v>
      </c>
      <c r="P184" s="9" t="n">
        <v>430</v>
      </c>
      <c r="Q184" s="7" t="inlineStr">
        <is>
          <t>Sí</t>
        </is>
      </c>
      <c r="R184" s="9">
        <f>IF(N184="","",IF(Q184="Sí",ROUND(N184/1.18,2),N184))</f>
        <v/>
      </c>
      <c r="S184" s="7" t="inlineStr">
        <is>
          <t>2026-09</t>
        </is>
      </c>
      <c r="T184" s="5" t="inlineStr">
        <is>
          <t>Estimación de arranque — pendiente de cotización</t>
        </is>
      </c>
    </row>
    <row r="185">
      <c r="A185" s="7" t="inlineStr">
        <is>
          <t>MAT-13-010</t>
        </is>
      </c>
      <c r="B185" s="7" t="inlineStr">
        <is>
          <t>Materiales</t>
        </is>
      </c>
      <c r="C185" s="7" t="inlineStr">
        <is>
          <t>Plafones y construcción liviana</t>
        </is>
      </c>
      <c r="D185" s="5" t="inlineStr">
        <is>
          <t>Tornillo drywall 1", caja 1 lb</t>
        </is>
      </c>
      <c r="E185" s="5" t="inlineStr">
        <is>
          <t>Punta fina, cabeza trompeta</t>
        </is>
      </c>
      <c r="F185" s="5" t="inlineStr"/>
      <c r="G185" s="5" t="inlineStr"/>
      <c r="H185" s="7" t="inlineStr">
        <is>
          <t>caja</t>
        </is>
      </c>
      <c r="I185" s="7" t="inlineStr">
        <is>
          <t>Terminación de superficies</t>
        </is>
      </c>
      <c r="J185" s="7" t="inlineStr">
        <is>
          <t>estandar</t>
        </is>
      </c>
      <c r="K185" s="7" t="inlineStr">
        <is>
          <t>nacional</t>
        </is>
      </c>
      <c r="L185" s="7" t="inlineStr">
        <is>
          <t>Estimado</t>
        </is>
      </c>
      <c r="M185" s="8" t="n">
        <v>0</v>
      </c>
      <c r="N185" s="9" t="n">
        <v>280</v>
      </c>
      <c r="O185" s="9" t="n">
        <v>210</v>
      </c>
      <c r="P185" s="9" t="n">
        <v>380</v>
      </c>
      <c r="Q185" s="7" t="inlineStr">
        <is>
          <t>Sí</t>
        </is>
      </c>
      <c r="R185" s="9">
        <f>IF(N185="","",IF(Q185="Sí",ROUND(N185/1.18,2),N185))</f>
        <v/>
      </c>
      <c r="S185" s="7" t="inlineStr">
        <is>
          <t>2026-09</t>
        </is>
      </c>
      <c r="T185" s="5" t="inlineStr">
        <is>
          <t>Estimación de arranque — pendiente de cotización</t>
        </is>
      </c>
    </row>
    <row r="186">
      <c r="A186" s="7" t="inlineStr">
        <is>
          <t>MAT-14-001</t>
        </is>
      </c>
      <c r="B186" s="7" t="inlineStr">
        <is>
          <t>Materiales</t>
        </is>
      </c>
      <c r="C186" s="7" t="inlineStr">
        <is>
          <t>Ferretería y fijaciones</t>
        </is>
      </c>
      <c r="D186" s="5" t="inlineStr">
        <is>
          <t>Clavo de 2 1/2"</t>
        </is>
      </c>
      <c r="E186" s="5" t="inlineStr">
        <is>
          <t>Con cabeza, para encofrado</t>
        </is>
      </c>
      <c r="F186" s="5" t="inlineStr"/>
      <c r="G186" s="5" t="inlineStr"/>
      <c r="H186" s="7" t="inlineStr">
        <is>
          <t>lb</t>
        </is>
      </c>
      <c r="I186" s="7" t="inlineStr">
        <is>
          <t>Estructura</t>
        </is>
      </c>
      <c r="J186" s="7" t="inlineStr">
        <is>
          <t>estandar</t>
        </is>
      </c>
      <c r="K186" s="7" t="inlineStr">
        <is>
          <t>nacional</t>
        </is>
      </c>
      <c r="L186" s="7" t="inlineStr">
        <is>
          <t>Estimado</t>
        </is>
      </c>
      <c r="M186" s="8" t="n">
        <v>0</v>
      </c>
      <c r="N186" s="9" t="n">
        <v>78</v>
      </c>
      <c r="O186" s="9" t="n">
        <v>60</v>
      </c>
      <c r="P186" s="9" t="n">
        <v>100</v>
      </c>
      <c r="Q186" s="7" t="inlineStr">
        <is>
          <t>Sí</t>
        </is>
      </c>
      <c r="R186" s="9">
        <f>IF(N186="","",IF(Q186="Sí",ROUND(N186/1.18,2),N186))</f>
        <v/>
      </c>
      <c r="S186" s="7" t="inlineStr">
        <is>
          <t>2026-09</t>
        </is>
      </c>
      <c r="T186" s="5" t="inlineStr">
        <is>
          <t>Estimación de arranque — pendiente de cotización</t>
        </is>
      </c>
    </row>
    <row r="187">
      <c r="A187" s="7" t="inlineStr">
        <is>
          <t>MAT-14-002</t>
        </is>
      </c>
      <c r="B187" s="7" t="inlineStr">
        <is>
          <t>Materiales</t>
        </is>
      </c>
      <c r="C187" s="7" t="inlineStr">
        <is>
          <t>Ferretería y fijaciones</t>
        </is>
      </c>
      <c r="D187" s="5" t="inlineStr">
        <is>
          <t>Tornillo autoperforante 1", caja 100 uds</t>
        </is>
      </c>
      <c r="E187" s="5" t="inlineStr">
        <is>
          <t>Punta broca para metal</t>
        </is>
      </c>
      <c r="F187" s="5" t="inlineStr"/>
      <c r="G187" s="5" t="inlineStr"/>
      <c r="H187" s="7" t="inlineStr">
        <is>
          <t>caja</t>
        </is>
      </c>
      <c r="I187" s="7" t="inlineStr">
        <is>
          <t>Terminación de superficies</t>
        </is>
      </c>
      <c r="J187" s="7" t="inlineStr">
        <is>
          <t>estandar</t>
        </is>
      </c>
      <c r="K187" s="7" t="inlineStr">
        <is>
          <t>nacional</t>
        </is>
      </c>
      <c r="L187" s="7" t="inlineStr">
        <is>
          <t>Estimado</t>
        </is>
      </c>
      <c r="M187" s="8" t="n">
        <v>0</v>
      </c>
      <c r="N187" s="9" t="n">
        <v>420</v>
      </c>
      <c r="O187" s="9" t="n">
        <v>320</v>
      </c>
      <c r="P187" s="9" t="n">
        <v>560</v>
      </c>
      <c r="Q187" s="7" t="inlineStr">
        <is>
          <t>Sí</t>
        </is>
      </c>
      <c r="R187" s="9">
        <f>IF(N187="","",IF(Q187="Sí",ROUND(N187/1.18,2),N187))</f>
        <v/>
      </c>
      <c r="S187" s="7" t="inlineStr">
        <is>
          <t>2026-09</t>
        </is>
      </c>
      <c r="T187" s="5" t="inlineStr">
        <is>
          <t>Estimación de arranque — pendiente de cotización</t>
        </is>
      </c>
    </row>
    <row r="188">
      <c r="A188" s="7" t="inlineStr">
        <is>
          <t>MAT-14-003</t>
        </is>
      </c>
      <c r="B188" s="7" t="inlineStr">
        <is>
          <t>Materiales</t>
        </is>
      </c>
      <c r="C188" s="7" t="inlineStr">
        <is>
          <t>Ferretería y fijaciones</t>
        </is>
      </c>
      <c r="D188" s="5" t="inlineStr">
        <is>
          <t>Tarugo plástico 1/4" con tornillo, 100 uds</t>
        </is>
      </c>
      <c r="E188" s="5" t="inlineStr">
        <is>
          <t>Fijación en pared</t>
        </is>
      </c>
      <c r="F188" s="5" t="inlineStr"/>
      <c r="G188" s="5" t="inlineStr"/>
      <c r="H188" s="7" t="inlineStr">
        <is>
          <t>caja</t>
        </is>
      </c>
      <c r="I188" s="7" t="inlineStr">
        <is>
          <t>Terminación de superficies</t>
        </is>
      </c>
      <c r="J188" s="7" t="inlineStr">
        <is>
          <t>estandar</t>
        </is>
      </c>
      <c r="K188" s="7" t="inlineStr">
        <is>
          <t>nacional</t>
        </is>
      </c>
      <c r="L188" s="7" t="inlineStr">
        <is>
          <t>Estimado</t>
        </is>
      </c>
      <c r="M188" s="8" t="n">
        <v>0</v>
      </c>
      <c r="N188" s="9" t="n">
        <v>380</v>
      </c>
      <c r="O188" s="9" t="n">
        <v>290</v>
      </c>
      <c r="P188" s="9" t="n">
        <v>500</v>
      </c>
      <c r="Q188" s="7" t="inlineStr">
        <is>
          <t>Sí</t>
        </is>
      </c>
      <c r="R188" s="9">
        <f>IF(N188="","",IF(Q188="Sí",ROUND(N188/1.18,2),N188))</f>
        <v/>
      </c>
      <c r="S188" s="7" t="inlineStr">
        <is>
          <t>2026-09</t>
        </is>
      </c>
      <c r="T188" s="5" t="inlineStr">
        <is>
          <t>Estimación de arranque — pendiente de cotización</t>
        </is>
      </c>
    </row>
    <row r="189">
      <c r="A189" s="7" t="inlineStr">
        <is>
          <t>MAT-14-004</t>
        </is>
      </c>
      <c r="B189" s="7" t="inlineStr">
        <is>
          <t>Materiales</t>
        </is>
      </c>
      <c r="C189" s="7" t="inlineStr">
        <is>
          <t>Ferretería y fijaciones</t>
        </is>
      </c>
      <c r="D189" s="5" t="inlineStr">
        <is>
          <t>Anclaje expansivo 3/8" x 3"</t>
        </is>
      </c>
      <c r="E189" s="5" t="inlineStr">
        <is>
          <t>Cuña metálica para hormigón</t>
        </is>
      </c>
      <c r="F189" s="5" t="inlineStr"/>
      <c r="G189" s="5" t="inlineStr"/>
      <c r="H189" s="7" t="inlineStr">
        <is>
          <t>unidad</t>
        </is>
      </c>
      <c r="I189" s="7" t="inlineStr">
        <is>
          <t>Estructura</t>
        </is>
      </c>
      <c r="J189" s="7" t="inlineStr">
        <is>
          <t>estandar</t>
        </is>
      </c>
      <c r="K189" s="7" t="inlineStr">
        <is>
          <t>importado</t>
        </is>
      </c>
      <c r="L189" s="7" t="inlineStr">
        <is>
          <t>Estimado</t>
        </is>
      </c>
      <c r="M189" s="8" t="n">
        <v>0</v>
      </c>
      <c r="N189" s="9" t="n">
        <v>95</v>
      </c>
      <c r="O189" s="9" t="n">
        <v>70</v>
      </c>
      <c r="P189" s="9" t="n">
        <v>130</v>
      </c>
      <c r="Q189" s="7" t="inlineStr">
        <is>
          <t>Sí</t>
        </is>
      </c>
      <c r="R189" s="9">
        <f>IF(N189="","",IF(Q189="Sí",ROUND(N189/1.18,2),N189))</f>
        <v/>
      </c>
      <c r="S189" s="7" t="inlineStr">
        <is>
          <t>2026-09</t>
        </is>
      </c>
      <c r="T189" s="5" t="inlineStr">
        <is>
          <t>Estimación de arranque — pendiente de cotización</t>
        </is>
      </c>
    </row>
    <row r="190">
      <c r="A190" s="7" t="inlineStr">
        <is>
          <t>MAT-14-005</t>
        </is>
      </c>
      <c r="B190" s="7" t="inlineStr">
        <is>
          <t>Materiales</t>
        </is>
      </c>
      <c r="C190" s="7" t="inlineStr">
        <is>
          <t>Ferretería y fijaciones</t>
        </is>
      </c>
      <c r="D190" s="5" t="inlineStr">
        <is>
          <t>Silicón acético transparente, tubo</t>
        </is>
      </c>
      <c r="E190" s="5" t="inlineStr">
        <is>
          <t>Sellado de vidrios y sanitarios</t>
        </is>
      </c>
      <c r="F190" s="5" t="inlineStr"/>
      <c r="G190" s="5" t="inlineStr"/>
      <c r="H190" s="7" t="inlineStr">
        <is>
          <t>tubo</t>
        </is>
      </c>
      <c r="I190" s="7" t="inlineStr">
        <is>
          <t>Terminación de superficies</t>
        </is>
      </c>
      <c r="J190" s="7" t="inlineStr">
        <is>
          <t>estandar</t>
        </is>
      </c>
      <c r="K190" s="7" t="inlineStr">
        <is>
          <t>importado</t>
        </is>
      </c>
      <c r="L190" s="7" t="inlineStr">
        <is>
          <t>Estimado</t>
        </is>
      </c>
      <c r="M190" s="8" t="n">
        <v>0</v>
      </c>
      <c r="N190" s="9" t="n">
        <v>420</v>
      </c>
      <c r="O190" s="9" t="n">
        <v>320</v>
      </c>
      <c r="P190" s="9" t="n">
        <v>560</v>
      </c>
      <c r="Q190" s="7" t="inlineStr">
        <is>
          <t>Sí</t>
        </is>
      </c>
      <c r="R190" s="9">
        <f>IF(N190="","",IF(Q190="Sí",ROUND(N190/1.18,2),N190))</f>
        <v/>
      </c>
      <c r="S190" s="7" t="inlineStr">
        <is>
          <t>2026-09</t>
        </is>
      </c>
      <c r="T190" s="5" t="inlineStr">
        <is>
          <t>Estimación de arranque — pendiente de cotización</t>
        </is>
      </c>
    </row>
    <row r="191">
      <c r="A191" s="7" t="inlineStr">
        <is>
          <t>MAT-14-006</t>
        </is>
      </c>
      <c r="B191" s="7" t="inlineStr">
        <is>
          <t>Materiales</t>
        </is>
      </c>
      <c r="C191" s="7" t="inlineStr">
        <is>
          <t>Ferretería y fijaciones</t>
        </is>
      </c>
      <c r="D191" s="5" t="inlineStr">
        <is>
          <t>Sellador de poliuretano, tubo</t>
        </is>
      </c>
      <c r="E191" s="5" t="inlineStr">
        <is>
          <t>Juntas estructurales y fachadas</t>
        </is>
      </c>
      <c r="F191" s="5" t="inlineStr"/>
      <c r="G191" s="5" t="inlineStr"/>
      <c r="H191" s="7" t="inlineStr">
        <is>
          <t>tubo</t>
        </is>
      </c>
      <c r="I191" s="7" t="inlineStr">
        <is>
          <t>Terminación de superficies</t>
        </is>
      </c>
      <c r="J191" s="7" t="inlineStr">
        <is>
          <t>premium</t>
        </is>
      </c>
      <c r="K191" s="7" t="inlineStr">
        <is>
          <t>importado</t>
        </is>
      </c>
      <c r="L191" s="7" t="inlineStr">
        <is>
          <t>Estimado</t>
        </is>
      </c>
      <c r="M191" s="8" t="n">
        <v>0</v>
      </c>
      <c r="N191" s="9" t="n">
        <v>850</v>
      </c>
      <c r="O191" s="9" t="n">
        <v>650</v>
      </c>
      <c r="P191" s="9" t="n">
        <v>1150</v>
      </c>
      <c r="Q191" s="7" t="inlineStr">
        <is>
          <t>Sí</t>
        </is>
      </c>
      <c r="R191" s="9">
        <f>IF(N191="","",IF(Q191="Sí",ROUND(N191/1.18,2),N191))</f>
        <v/>
      </c>
      <c r="S191" s="7" t="inlineStr">
        <is>
          <t>2026-09</t>
        </is>
      </c>
      <c r="T191" s="5" t="inlineStr">
        <is>
          <t>Estimación de arranque — pendiente de cotización</t>
        </is>
      </c>
    </row>
    <row r="192">
      <c r="A192" s="7" t="inlineStr">
        <is>
          <t>MAT-14-007</t>
        </is>
      </c>
      <c r="B192" s="7" t="inlineStr">
        <is>
          <t>Materiales</t>
        </is>
      </c>
      <c r="C192" s="7" t="inlineStr">
        <is>
          <t>Ferretería y fijaciones</t>
        </is>
      </c>
      <c r="D192" s="5" t="inlineStr">
        <is>
          <t>Disco de corte de metal 4 1/2"</t>
        </is>
      </c>
      <c r="E192" s="5" t="inlineStr">
        <is>
          <t>Para esmeriladora angular</t>
        </is>
      </c>
      <c r="F192" s="5" t="inlineStr"/>
      <c r="G192" s="5" t="inlineStr"/>
      <c r="H192" s="7" t="inlineStr">
        <is>
          <t>unidad</t>
        </is>
      </c>
      <c r="I192" s="7" t="inlineStr">
        <is>
          <t>Estructura</t>
        </is>
      </c>
      <c r="J192" s="7" t="inlineStr">
        <is>
          <t>estandar</t>
        </is>
      </c>
      <c r="K192" s="7" t="inlineStr">
        <is>
          <t>nacional</t>
        </is>
      </c>
      <c r="L192" s="7" t="inlineStr">
        <is>
          <t>Estimado</t>
        </is>
      </c>
      <c r="M192" s="8" t="n">
        <v>0</v>
      </c>
      <c r="N192" s="9" t="n">
        <v>145</v>
      </c>
      <c r="O192" s="9" t="n">
        <v>100</v>
      </c>
      <c r="P192" s="9" t="n">
        <v>210</v>
      </c>
      <c r="Q192" s="7" t="inlineStr">
        <is>
          <t>Sí</t>
        </is>
      </c>
      <c r="R192" s="9">
        <f>IF(N192="","",IF(Q192="Sí",ROUND(N192/1.18,2),N192))</f>
        <v/>
      </c>
      <c r="S192" s="7" t="inlineStr">
        <is>
          <t>2026-09</t>
        </is>
      </c>
      <c r="T192" s="5" t="inlineStr">
        <is>
          <t>Estimación de arranque — pendiente de cotización</t>
        </is>
      </c>
    </row>
    <row r="193">
      <c r="A193" s="7" t="inlineStr">
        <is>
          <t>MAT-14-008</t>
        </is>
      </c>
      <c r="B193" s="7" t="inlineStr">
        <is>
          <t>Materiales</t>
        </is>
      </c>
      <c r="C193" s="7" t="inlineStr">
        <is>
          <t>Ferretería y fijaciones</t>
        </is>
      </c>
      <c r="D193" s="5" t="inlineStr">
        <is>
          <t>Pegamento PVC, 1/4 galón</t>
        </is>
      </c>
      <c r="E193" s="5" t="inlineStr">
        <is>
          <t>Para tubería a presión y drenaje</t>
        </is>
      </c>
      <c r="F193" s="5" t="inlineStr"/>
      <c r="G193" s="5" t="inlineStr"/>
      <c r="H193" s="7" t="inlineStr">
        <is>
          <t>unidad</t>
        </is>
      </c>
      <c r="I193" s="7" t="inlineStr">
        <is>
          <t>Instalaciones</t>
        </is>
      </c>
      <c r="J193" s="7" t="inlineStr">
        <is>
          <t>estandar</t>
        </is>
      </c>
      <c r="K193" s="7" t="inlineStr">
        <is>
          <t>nacional</t>
        </is>
      </c>
      <c r="L193" s="7" t="inlineStr">
        <is>
          <t>Estimado</t>
        </is>
      </c>
      <c r="M193" s="8" t="n">
        <v>0</v>
      </c>
      <c r="N193" s="9" t="n">
        <v>780</v>
      </c>
      <c r="O193" s="9" t="n">
        <v>600</v>
      </c>
      <c r="P193" s="9" t="n">
        <v>1050</v>
      </c>
      <c r="Q193" s="7" t="inlineStr">
        <is>
          <t>Sí</t>
        </is>
      </c>
      <c r="R193" s="9">
        <f>IF(N193="","",IF(Q193="Sí",ROUND(N193/1.18,2),N193))</f>
        <v/>
      </c>
      <c r="S193" s="7" t="inlineStr">
        <is>
          <t>2026-09</t>
        </is>
      </c>
      <c r="T193" s="5" t="inlineStr">
        <is>
          <t>Estimación de arranque — pendiente de cotización</t>
        </is>
      </c>
    </row>
    <row r="194">
      <c r="A194" s="7" t="inlineStr">
        <is>
          <t>MAT-14-009</t>
        </is>
      </c>
      <c r="B194" s="7" t="inlineStr">
        <is>
          <t>Materiales</t>
        </is>
      </c>
      <c r="C194" s="7" t="inlineStr">
        <is>
          <t>Ferretería y fijaciones</t>
        </is>
      </c>
      <c r="D194" s="5" t="inlineStr">
        <is>
          <t>Clavo corriente con cabeza</t>
        </is>
      </c>
      <c r="E194" s="5" t="inlineStr">
        <is>
          <t>De acero dulce, uso general</t>
        </is>
      </c>
      <c r="F194" s="5" t="inlineStr"/>
      <c r="G194" s="5" t="inlineStr">
        <is>
          <t>clavo común</t>
        </is>
      </c>
      <c r="H194" s="7" t="inlineStr">
        <is>
          <t>lb</t>
        </is>
      </c>
      <c r="I194" s="7" t="inlineStr">
        <is>
          <t>Estructura</t>
        </is>
      </c>
      <c r="J194" s="7" t="inlineStr">
        <is>
          <t>estandar</t>
        </is>
      </c>
      <c r="K194" s="7" t="inlineStr">
        <is>
          <t>nacional</t>
        </is>
      </c>
      <c r="L194" s="7" t="inlineStr">
        <is>
          <t>Estimado</t>
        </is>
      </c>
      <c r="M194" s="8" t="n">
        <v>0</v>
      </c>
      <c r="N194" s="9" t="n">
        <v>78</v>
      </c>
      <c r="O194" s="9" t="n">
        <v>60</v>
      </c>
      <c r="P194" s="9" t="n">
        <v>100</v>
      </c>
      <c r="Q194" s="7" t="inlineStr">
        <is>
          <t>Sí</t>
        </is>
      </c>
      <c r="R194" s="9">
        <f>IF(N194="","",IF(Q194="Sí",ROUND(N194/1.18,2),N194))</f>
        <v/>
      </c>
      <c r="S194" s="7" t="inlineStr">
        <is>
          <t>2026-09</t>
        </is>
      </c>
      <c r="T194" s="5" t="inlineStr">
        <is>
          <t>Estimación de arranque — pendiente de cotización</t>
        </is>
      </c>
    </row>
    <row r="195">
      <c r="A195" s="7" t="inlineStr">
        <is>
          <t>MAT-14-010</t>
        </is>
      </c>
      <c r="B195" s="7" t="inlineStr">
        <is>
          <t>Materiales</t>
        </is>
      </c>
      <c r="C195" s="7" t="inlineStr">
        <is>
          <t>Ferretería y fijaciones</t>
        </is>
      </c>
      <c r="D195" s="5" t="inlineStr">
        <is>
          <t>Clavo de acero</t>
        </is>
      </c>
      <c r="E195" s="5" t="inlineStr">
        <is>
          <t>Endurecido, para fijar en hormigón</t>
        </is>
      </c>
      <c r="F195" s="5" t="inlineStr"/>
      <c r="G195" s="5" t="inlineStr"/>
      <c r="H195" s="7" t="inlineStr">
        <is>
          <t>lb</t>
        </is>
      </c>
      <c r="I195" s="7" t="inlineStr">
        <is>
          <t>Estructura</t>
        </is>
      </c>
      <c r="J195" s="7" t="inlineStr">
        <is>
          <t>estandar</t>
        </is>
      </c>
      <c r="K195" s="7" t="inlineStr">
        <is>
          <t>nacional</t>
        </is>
      </c>
      <c r="L195" s="7" t="inlineStr">
        <is>
          <t>Estimado</t>
        </is>
      </c>
      <c r="M195" s="8" t="n">
        <v>0</v>
      </c>
      <c r="N195" s="9" t="n">
        <v>145</v>
      </c>
      <c r="O195" s="9" t="n">
        <v>115</v>
      </c>
      <c r="P195" s="9" t="n">
        <v>185</v>
      </c>
      <c r="Q195" s="7" t="inlineStr">
        <is>
          <t>Sí</t>
        </is>
      </c>
      <c r="R195" s="9">
        <f>IF(N195="","",IF(Q195="Sí",ROUND(N195/1.18,2),N195))</f>
        <v/>
      </c>
      <c r="S195" s="7" t="inlineStr">
        <is>
          <t>2026-09</t>
        </is>
      </c>
      <c r="T195" s="5" t="inlineStr">
        <is>
          <t>Estimación de arranque — pendiente de cotización</t>
        </is>
      </c>
    </row>
    <row r="196">
      <c r="A196" s="7" t="inlineStr">
        <is>
          <t>MAT-14-011</t>
        </is>
      </c>
      <c r="B196" s="7" t="inlineStr">
        <is>
          <t>Materiales</t>
        </is>
      </c>
      <c r="C196" s="7" t="inlineStr">
        <is>
          <t>Ferretería y fijaciones</t>
        </is>
      </c>
      <c r="D196" s="5" t="inlineStr">
        <is>
          <t>Clavo de zinc para techo</t>
        </is>
      </c>
      <c r="E196" s="5" t="inlineStr">
        <is>
          <t>Con arandela, para lámina de zinc</t>
        </is>
      </c>
      <c r="F196" s="5" t="inlineStr"/>
      <c r="G196" s="5" t="inlineStr"/>
      <c r="H196" s="7" t="inlineStr">
        <is>
          <t>lb</t>
        </is>
      </c>
      <c r="I196" s="7" t="inlineStr">
        <is>
          <t>Techos</t>
        </is>
      </c>
      <c r="J196" s="7" t="inlineStr">
        <is>
          <t>estandar</t>
        </is>
      </c>
      <c r="K196" s="7" t="inlineStr">
        <is>
          <t>nacional</t>
        </is>
      </c>
      <c r="L196" s="7" t="inlineStr">
        <is>
          <t>Estimado</t>
        </is>
      </c>
      <c r="M196" s="8" t="n">
        <v>0</v>
      </c>
      <c r="N196" s="9" t="n">
        <v>130</v>
      </c>
      <c r="O196" s="9" t="n">
        <v>100</v>
      </c>
      <c r="P196" s="9" t="n">
        <v>170</v>
      </c>
      <c r="Q196" s="7" t="inlineStr">
        <is>
          <t>Sí</t>
        </is>
      </c>
      <c r="R196" s="9">
        <f>IF(N196="","",IF(Q196="Sí",ROUND(N196/1.18,2),N196))</f>
        <v/>
      </c>
      <c r="S196" s="7" t="inlineStr">
        <is>
          <t>2026-09</t>
        </is>
      </c>
      <c r="T196" s="5" t="inlineStr">
        <is>
          <t>Estimación de arranque — pendiente de cotización</t>
        </is>
      </c>
    </row>
    <row r="197">
      <c r="A197" s="7" t="inlineStr">
        <is>
          <t>MAT-14-012</t>
        </is>
      </c>
      <c r="B197" s="7" t="inlineStr">
        <is>
          <t>Materiales</t>
        </is>
      </c>
      <c r="C197" s="7" t="inlineStr">
        <is>
          <t>Ferretería y fijaciones</t>
        </is>
      </c>
      <c r="D197" s="5" t="inlineStr">
        <is>
          <t>Soga de nylon</t>
        </is>
      </c>
      <c r="E197" s="5" t="inlineStr">
        <is>
          <t>De 1/16 a 1 pulgada de diámetro</t>
        </is>
      </c>
      <c r="F197" s="5" t="inlineStr"/>
      <c r="G197" s="5" t="inlineStr"/>
      <c r="H197" s="7" t="inlineStr">
        <is>
          <t>lb</t>
        </is>
      </c>
      <c r="I197" s="7" t="inlineStr">
        <is>
          <t>Preliminares</t>
        </is>
      </c>
      <c r="J197" s="7" t="inlineStr">
        <is>
          <t>estandar</t>
        </is>
      </c>
      <c r="K197" s="7" t="inlineStr">
        <is>
          <t>nacional</t>
        </is>
      </c>
      <c r="L197" s="7" t="inlineStr">
        <is>
          <t>Estimado</t>
        </is>
      </c>
      <c r="M197" s="8" t="n">
        <v>0</v>
      </c>
      <c r="N197" s="9" t="n">
        <v>265</v>
      </c>
      <c r="O197" s="9" t="n">
        <v>210</v>
      </c>
      <c r="P197" s="9" t="n">
        <v>340</v>
      </c>
      <c r="Q197" s="7" t="inlineStr">
        <is>
          <t>Sí</t>
        </is>
      </c>
      <c r="R197" s="9">
        <f>IF(N197="","",IF(Q197="Sí",ROUND(N197/1.18,2),N197))</f>
        <v/>
      </c>
      <c r="S197" s="7" t="inlineStr">
        <is>
          <t>2026-09</t>
        </is>
      </c>
      <c r="T197" s="5" t="inlineStr">
        <is>
          <t>Estimación de arranque — pendiente de cotización</t>
        </is>
      </c>
    </row>
    <row r="198">
      <c r="A198" s="7" t="inlineStr">
        <is>
          <t>MAT-14-013</t>
        </is>
      </c>
      <c r="B198" s="7" t="inlineStr">
        <is>
          <t>Materiales</t>
        </is>
      </c>
      <c r="C198" s="7" t="inlineStr">
        <is>
          <t>Ferretería y fijaciones</t>
        </is>
      </c>
      <c r="D198" s="5" t="inlineStr">
        <is>
          <t>Hilo de gangorra, cono</t>
        </is>
      </c>
      <c r="E198" s="5" t="inlineStr">
        <is>
          <t>Para trazado y alineación de mampostería</t>
        </is>
      </c>
      <c r="F198" s="5" t="inlineStr"/>
      <c r="G198" s="5" t="inlineStr">
        <is>
          <t>hilo de albañil, cordel</t>
        </is>
      </c>
      <c r="H198" s="7" t="inlineStr">
        <is>
          <t>unidad</t>
        </is>
      </c>
      <c r="I198" s="7" t="inlineStr">
        <is>
          <t>Mampostería</t>
        </is>
      </c>
      <c r="J198" s="7" t="inlineStr">
        <is>
          <t>estandar</t>
        </is>
      </c>
      <c r="K198" s="7" t="inlineStr">
        <is>
          <t>nacional</t>
        </is>
      </c>
      <c r="L198" s="7" t="inlineStr">
        <is>
          <t>Estimado</t>
        </is>
      </c>
      <c r="M198" s="8" t="n">
        <v>0</v>
      </c>
      <c r="N198" s="9" t="n">
        <v>185</v>
      </c>
      <c r="O198" s="9" t="n">
        <v>145</v>
      </c>
      <c r="P198" s="9" t="n">
        <v>240</v>
      </c>
      <c r="Q198" s="7" t="inlineStr">
        <is>
          <t>Sí</t>
        </is>
      </c>
      <c r="R198" s="9">
        <f>IF(N198="","",IF(Q198="Sí",ROUND(N198/1.18,2),N198))</f>
        <v/>
      </c>
      <c r="S198" s="7" t="inlineStr">
        <is>
          <t>2026-09</t>
        </is>
      </c>
      <c r="T198" s="5" t="inlineStr">
        <is>
          <t>Estimación de arranque — pendiente de cotización</t>
        </is>
      </c>
    </row>
    <row r="199">
      <c r="A199" s="7" t="inlineStr">
        <is>
          <t>MAT-14-014</t>
        </is>
      </c>
      <c r="B199" s="7" t="inlineStr">
        <is>
          <t>Materiales</t>
        </is>
      </c>
      <c r="C199" s="7" t="inlineStr">
        <is>
          <t>Ferretería y fijaciones</t>
        </is>
      </c>
      <c r="D199" s="5" t="inlineStr">
        <is>
          <t>Hoja de segueta</t>
        </is>
      </c>
      <c r="E199" s="5" t="inlineStr">
        <is>
          <t>Para corte manual de metal</t>
        </is>
      </c>
      <c r="F199" s="5" t="inlineStr"/>
      <c r="G199" s="5" t="inlineStr"/>
      <c r="H199" s="7" t="inlineStr">
        <is>
          <t>unidad</t>
        </is>
      </c>
      <c r="I199" s="7" t="inlineStr">
        <is>
          <t>Estructura</t>
        </is>
      </c>
      <c r="J199" s="7" t="inlineStr">
        <is>
          <t>estandar</t>
        </is>
      </c>
      <c r="K199" s="7" t="inlineStr">
        <is>
          <t>nacional</t>
        </is>
      </c>
      <c r="L199" s="7" t="inlineStr">
        <is>
          <t>Estimado</t>
        </is>
      </c>
      <c r="M199" s="8" t="n">
        <v>0</v>
      </c>
      <c r="N199" s="9" t="n">
        <v>68</v>
      </c>
      <c r="O199" s="9" t="n">
        <v>50</v>
      </c>
      <c r="P199" s="9" t="n">
        <v>92</v>
      </c>
      <c r="Q199" s="7" t="inlineStr">
        <is>
          <t>Sí</t>
        </is>
      </c>
      <c r="R199" s="9">
        <f>IF(N199="","",IF(Q199="Sí",ROUND(N199/1.18,2),N199))</f>
        <v/>
      </c>
      <c r="S199" s="7" t="inlineStr">
        <is>
          <t>2026-09</t>
        </is>
      </c>
      <c r="T199" s="5" t="inlineStr">
        <is>
          <t>Estimación de arranque — pendiente de cotización</t>
        </is>
      </c>
    </row>
    <row r="200">
      <c r="A200" s="7" t="inlineStr">
        <is>
          <t>MAT-14-015</t>
        </is>
      </c>
      <c r="B200" s="7" t="inlineStr">
        <is>
          <t>Materiales</t>
        </is>
      </c>
      <c r="C200" s="7" t="inlineStr">
        <is>
          <t>Ferretería y fijaciones</t>
        </is>
      </c>
      <c r="D200" s="5" t="inlineStr">
        <is>
          <t>Malla de seguridad naranja, rollo 50 m</t>
        </is>
      </c>
      <c r="E200" s="5" t="inlineStr">
        <is>
          <t>Delimitación de obra</t>
        </is>
      </c>
      <c r="F200" s="5" t="inlineStr"/>
      <c r="G200" s="5" t="inlineStr"/>
      <c r="H200" s="7" t="inlineStr">
        <is>
          <t>rollo</t>
        </is>
      </c>
      <c r="I200" s="7" t="inlineStr">
        <is>
          <t>Preliminares</t>
        </is>
      </c>
      <c r="J200" s="7" t="inlineStr">
        <is>
          <t>estandar</t>
        </is>
      </c>
      <c r="K200" s="7" t="inlineStr">
        <is>
          <t>nacional</t>
        </is>
      </c>
      <c r="L200" s="7" t="inlineStr">
        <is>
          <t>Estimado</t>
        </is>
      </c>
      <c r="M200" s="8" t="n">
        <v>0</v>
      </c>
      <c r="N200" s="9" t="n">
        <v>2400</v>
      </c>
      <c r="O200" s="9" t="n">
        <v>1850</v>
      </c>
      <c r="P200" s="9" t="n">
        <v>3200</v>
      </c>
      <c r="Q200" s="7" t="inlineStr">
        <is>
          <t>Sí</t>
        </is>
      </c>
      <c r="R200" s="9">
        <f>IF(N200="","",IF(Q200="Sí",ROUND(N200/1.18,2),N200))</f>
        <v/>
      </c>
      <c r="S200" s="7" t="inlineStr">
        <is>
          <t>2026-09</t>
        </is>
      </c>
      <c r="T200" s="5" t="inlineStr">
        <is>
          <t>Estimación de arranque — pendiente de cotización</t>
        </is>
      </c>
    </row>
    <row r="201">
      <c r="A201" s="7" t="inlineStr">
        <is>
          <t>MAT-15-001</t>
        </is>
      </c>
      <c r="B201" s="7" t="inlineStr">
        <is>
          <t>Materiales</t>
        </is>
      </c>
      <c r="C201" s="7" t="inlineStr">
        <is>
          <t>Climatización y ventilación</t>
        </is>
      </c>
      <c r="D201" s="5" t="inlineStr">
        <is>
          <t>Aire acondicionado split inverter 12,000 BTU</t>
        </is>
      </c>
      <c r="E201" s="5" t="inlineStr">
        <is>
          <t>Seer alto, incluye kit básico</t>
        </is>
      </c>
      <c r="F201" s="5" t="inlineStr"/>
      <c r="G201" s="5" t="inlineStr"/>
      <c r="H201" s="7" t="inlineStr">
        <is>
          <t>unidad</t>
        </is>
      </c>
      <c r="I201" s="7" t="inlineStr">
        <is>
          <t>Instalaciones</t>
        </is>
      </c>
      <c r="J201" s="7" t="inlineStr">
        <is>
          <t>estandar</t>
        </is>
      </c>
      <c r="K201" s="7" t="inlineStr">
        <is>
          <t>importado</t>
        </is>
      </c>
      <c r="L201" s="7" t="inlineStr">
        <is>
          <t>Estimado</t>
        </is>
      </c>
      <c r="M201" s="8" t="n">
        <v>0</v>
      </c>
      <c r="N201" s="9" t="n">
        <v>42000</v>
      </c>
      <c r="O201" s="9" t="n">
        <v>33000</v>
      </c>
      <c r="P201" s="9" t="n">
        <v>55000</v>
      </c>
      <c r="Q201" s="7" t="inlineStr">
        <is>
          <t>Sí</t>
        </is>
      </c>
      <c r="R201" s="9">
        <f>IF(N201="","",IF(Q201="Sí",ROUND(N201/1.18,2),N201))</f>
        <v/>
      </c>
      <c r="S201" s="7" t="inlineStr">
        <is>
          <t>2026-09</t>
        </is>
      </c>
      <c r="T201" s="5" t="inlineStr">
        <is>
          <t>Estimación de arranque — pendiente de cotización</t>
        </is>
      </c>
    </row>
    <row r="202">
      <c r="A202" s="7" t="inlineStr">
        <is>
          <t>MAT-15-002</t>
        </is>
      </c>
      <c r="B202" s="7" t="inlineStr">
        <is>
          <t>Materiales</t>
        </is>
      </c>
      <c r="C202" s="7" t="inlineStr">
        <is>
          <t>Climatización y ventilación</t>
        </is>
      </c>
      <c r="D202" s="5" t="inlineStr">
        <is>
          <t>Aire acondicionado split inverter 24,000 BTU</t>
        </is>
      </c>
      <c r="E202" s="5" t="inlineStr">
        <is>
          <t>Seer alto</t>
        </is>
      </c>
      <c r="F202" s="5" t="inlineStr"/>
      <c r="G202" s="5" t="inlineStr"/>
      <c r="H202" s="7" t="inlineStr">
        <is>
          <t>unidad</t>
        </is>
      </c>
      <c r="I202" s="7" t="inlineStr">
        <is>
          <t>Instalaciones</t>
        </is>
      </c>
      <c r="J202" s="7" t="inlineStr">
        <is>
          <t>estandar</t>
        </is>
      </c>
      <c r="K202" s="7" t="inlineStr">
        <is>
          <t>importado</t>
        </is>
      </c>
      <c r="L202" s="7" t="inlineStr">
        <is>
          <t>Estimado</t>
        </is>
      </c>
      <c r="M202" s="8" t="n">
        <v>0</v>
      </c>
      <c r="N202" s="9" t="n">
        <v>72000</v>
      </c>
      <c r="O202" s="9" t="n">
        <v>58000</v>
      </c>
      <c r="P202" s="9" t="n">
        <v>92000</v>
      </c>
      <c r="Q202" s="7" t="inlineStr">
        <is>
          <t>Sí</t>
        </is>
      </c>
      <c r="R202" s="9">
        <f>IF(N202="","",IF(Q202="Sí",ROUND(N202/1.18,2),N202))</f>
        <v/>
      </c>
      <c r="S202" s="7" t="inlineStr">
        <is>
          <t>2026-09</t>
        </is>
      </c>
      <c r="T202" s="5" t="inlineStr">
        <is>
          <t>Estimación de arranque — pendiente de cotización</t>
        </is>
      </c>
    </row>
    <row r="203">
      <c r="A203" s="7" t="inlineStr">
        <is>
          <t>MAT-15-003</t>
        </is>
      </c>
      <c r="B203" s="7" t="inlineStr">
        <is>
          <t>Materiales</t>
        </is>
      </c>
      <c r="C203" s="7" t="inlineStr">
        <is>
          <t>Climatización y ventilación</t>
        </is>
      </c>
      <c r="D203" s="5" t="inlineStr">
        <is>
          <t>Ducto flexible aislado 8"</t>
        </is>
      </c>
      <c r="E203" s="5" t="inlineStr">
        <is>
          <t>Con aislamiento térmico</t>
        </is>
      </c>
      <c r="F203" s="5" t="inlineStr"/>
      <c r="G203" s="5" t="inlineStr"/>
      <c r="H203" s="7" t="inlineStr">
        <is>
          <t>pie</t>
        </is>
      </c>
      <c r="I203" s="7" t="inlineStr">
        <is>
          <t>Instalaciones</t>
        </is>
      </c>
      <c r="J203" s="7" t="inlineStr">
        <is>
          <t>estandar</t>
        </is>
      </c>
      <c r="K203" s="7" t="inlineStr">
        <is>
          <t>importado</t>
        </is>
      </c>
      <c r="L203" s="7" t="inlineStr">
        <is>
          <t>Estimado</t>
        </is>
      </c>
      <c r="M203" s="8" t="n">
        <v>0</v>
      </c>
      <c r="N203" s="9" t="n">
        <v>380</v>
      </c>
      <c r="O203" s="9" t="n">
        <v>290</v>
      </c>
      <c r="P203" s="9" t="n">
        <v>500</v>
      </c>
      <c r="Q203" s="7" t="inlineStr">
        <is>
          <t>Sí</t>
        </is>
      </c>
      <c r="R203" s="9">
        <f>IF(N203="","",IF(Q203="Sí",ROUND(N203/1.18,2),N203))</f>
        <v/>
      </c>
      <c r="S203" s="7" t="inlineStr">
        <is>
          <t>2026-09</t>
        </is>
      </c>
      <c r="T203" s="5" t="inlineStr">
        <is>
          <t>Estimación de arranque — pendiente de cotización</t>
        </is>
      </c>
    </row>
    <row r="204">
      <c r="A204" s="7" t="inlineStr">
        <is>
          <t>MAT-15-004</t>
        </is>
      </c>
      <c r="B204" s="7" t="inlineStr">
        <is>
          <t>Materiales</t>
        </is>
      </c>
      <c r="C204" s="7" t="inlineStr">
        <is>
          <t>Climatización y ventilación</t>
        </is>
      </c>
      <c r="D204" s="5" t="inlineStr">
        <is>
          <t>Rejilla de retorno 20 x 20"</t>
        </is>
      </c>
      <c r="E204" s="5" t="inlineStr">
        <is>
          <t>Aluminio con filtro</t>
        </is>
      </c>
      <c r="F204" s="5" t="inlineStr"/>
      <c r="G204" s="5" t="inlineStr"/>
      <c r="H204" s="7" t="inlineStr">
        <is>
          <t>unidad</t>
        </is>
      </c>
      <c r="I204" s="7" t="inlineStr">
        <is>
          <t>Instalaciones</t>
        </is>
      </c>
      <c r="J204" s="7" t="inlineStr">
        <is>
          <t>estandar</t>
        </is>
      </c>
      <c r="K204" s="7" t="inlineStr">
        <is>
          <t>importado</t>
        </is>
      </c>
      <c r="L204" s="7" t="inlineStr">
        <is>
          <t>Estimado</t>
        </is>
      </c>
      <c r="M204" s="8" t="n">
        <v>0</v>
      </c>
      <c r="N204" s="9" t="n">
        <v>3200</v>
      </c>
      <c r="O204" s="9" t="n">
        <v>2400</v>
      </c>
      <c r="P204" s="9" t="n">
        <v>4300</v>
      </c>
      <c r="Q204" s="7" t="inlineStr">
        <is>
          <t>Sí</t>
        </is>
      </c>
      <c r="R204" s="9">
        <f>IF(N204="","",IF(Q204="Sí",ROUND(N204/1.18,2),N204))</f>
        <v/>
      </c>
      <c r="S204" s="7" t="inlineStr">
        <is>
          <t>2026-09</t>
        </is>
      </c>
      <c r="T204" s="5" t="inlineStr">
        <is>
          <t>Estimación de arranque — pendiente de cotización</t>
        </is>
      </c>
    </row>
    <row r="205">
      <c r="A205" s="7" t="inlineStr">
        <is>
          <t>MAT-15-005</t>
        </is>
      </c>
      <c r="B205" s="7" t="inlineStr">
        <is>
          <t>Materiales</t>
        </is>
      </c>
      <c r="C205" s="7" t="inlineStr">
        <is>
          <t>Climatización y ventilación</t>
        </is>
      </c>
      <c r="D205" s="5" t="inlineStr">
        <is>
          <t>Extractor de baño</t>
        </is>
      </c>
      <c r="E205" s="5" t="inlineStr">
        <is>
          <t>Con ducto de 4"</t>
        </is>
      </c>
      <c r="F205" s="5" t="inlineStr"/>
      <c r="G205" s="5" t="inlineStr"/>
      <c r="H205" s="7" t="inlineStr">
        <is>
          <t>unidad</t>
        </is>
      </c>
      <c r="I205" s="7" t="inlineStr">
        <is>
          <t>Instalaciones</t>
        </is>
      </c>
      <c r="J205" s="7" t="inlineStr">
        <is>
          <t>estandar</t>
        </is>
      </c>
      <c r="K205" s="7" t="inlineStr">
        <is>
          <t>importado</t>
        </is>
      </c>
      <c r="L205" s="7" t="inlineStr">
        <is>
          <t>Estimado</t>
        </is>
      </c>
      <c r="M205" s="8" t="n">
        <v>0</v>
      </c>
      <c r="N205" s="9" t="n">
        <v>2600</v>
      </c>
      <c r="O205" s="9" t="n">
        <v>1900</v>
      </c>
      <c r="P205" s="9" t="n">
        <v>3600</v>
      </c>
      <c r="Q205" s="7" t="inlineStr">
        <is>
          <t>Sí</t>
        </is>
      </c>
      <c r="R205" s="9">
        <f>IF(N205="","",IF(Q205="Sí",ROUND(N205/1.18,2),N205))</f>
        <v/>
      </c>
      <c r="S205" s="7" t="inlineStr">
        <is>
          <t>2026-09</t>
        </is>
      </c>
      <c r="T205" s="5" t="inlineStr">
        <is>
          <t>Estimación de arranque — pendiente de cotización</t>
        </is>
      </c>
    </row>
    <row r="206">
      <c r="A206" s="7" t="inlineStr">
        <is>
          <t>MAT-15-006</t>
        </is>
      </c>
      <c r="B206" s="7" t="inlineStr">
        <is>
          <t>Materiales</t>
        </is>
      </c>
      <c r="C206" s="7" t="inlineStr">
        <is>
          <t>Climatización y ventilación</t>
        </is>
      </c>
      <c r="D206" s="5" t="inlineStr">
        <is>
          <t>Tubería de cobre 1/4" aislada, rollo 50 pies</t>
        </is>
      </c>
      <c r="E206" s="5" t="inlineStr">
        <is>
          <t>Línea de refrigeración</t>
        </is>
      </c>
      <c r="F206" s="5" t="inlineStr"/>
      <c r="G206" s="5" t="inlineStr"/>
      <c r="H206" s="7" t="inlineStr">
        <is>
          <t>rollo</t>
        </is>
      </c>
      <c r="I206" s="7" t="inlineStr">
        <is>
          <t>Instalaciones</t>
        </is>
      </c>
      <c r="J206" s="7" t="inlineStr">
        <is>
          <t>estandar</t>
        </is>
      </c>
      <c r="K206" s="7" t="inlineStr">
        <is>
          <t>importado</t>
        </is>
      </c>
      <c r="L206" s="7" t="inlineStr">
        <is>
          <t>Estimado</t>
        </is>
      </c>
      <c r="M206" s="8" t="n">
        <v>0</v>
      </c>
      <c r="N206" s="9" t="n">
        <v>9800</v>
      </c>
      <c r="O206" s="9" t="n">
        <v>7800</v>
      </c>
      <c r="P206" s="9" t="n">
        <v>12500</v>
      </c>
      <c r="Q206" s="7" t="inlineStr">
        <is>
          <t>Sí</t>
        </is>
      </c>
      <c r="R206" s="9">
        <f>IF(N206="","",IF(Q206="Sí",ROUND(N206/1.18,2),N206))</f>
        <v/>
      </c>
      <c r="S206" s="7" t="inlineStr">
        <is>
          <t>2026-09</t>
        </is>
      </c>
      <c r="T206" s="5" t="inlineStr">
        <is>
          <t>Estimación de arranque — pendiente de cotización</t>
        </is>
      </c>
    </row>
    <row r="207">
      <c r="A207" s="7" t="inlineStr">
        <is>
          <t>MAT-16-001</t>
        </is>
      </c>
      <c r="B207" s="7" t="inlineStr">
        <is>
          <t>Materiales</t>
        </is>
      </c>
      <c r="C207" s="7" t="inlineStr">
        <is>
          <t>Cámaras y videovigilancia</t>
        </is>
      </c>
      <c r="D207" s="5" t="inlineStr">
        <is>
          <t>Cámara IP domo 4 MP</t>
        </is>
      </c>
      <c r="E207" s="5" t="inlineStr">
        <is>
          <t>PoE, visión nocturna</t>
        </is>
      </c>
      <c r="F207" s="5" t="inlineStr"/>
      <c r="G207" s="5" t="inlineStr"/>
      <c r="H207" s="7" t="inlineStr">
        <is>
          <t>unidad</t>
        </is>
      </c>
      <c r="I207" s="7" t="inlineStr">
        <is>
          <t>Instalaciones</t>
        </is>
      </c>
      <c r="J207" s="7" t="inlineStr">
        <is>
          <t>estandar</t>
        </is>
      </c>
      <c r="K207" s="7" t="inlineStr">
        <is>
          <t>importado</t>
        </is>
      </c>
      <c r="L207" s="7" t="inlineStr">
        <is>
          <t>Estimado</t>
        </is>
      </c>
      <c r="M207" s="8" t="n">
        <v>0</v>
      </c>
      <c r="N207" s="9" t="n">
        <v>4200</v>
      </c>
      <c r="O207" s="9" t="n">
        <v>3200</v>
      </c>
      <c r="P207" s="9" t="n">
        <v>5800</v>
      </c>
      <c r="Q207" s="7" t="inlineStr">
        <is>
          <t>Sí</t>
        </is>
      </c>
      <c r="R207" s="9">
        <f>IF(N207="","",IF(Q207="Sí",ROUND(N207/1.18,2),N207))</f>
        <v/>
      </c>
      <c r="S207" s="7" t="inlineStr">
        <is>
          <t>2026-09</t>
        </is>
      </c>
      <c r="T207" s="5" t="inlineStr">
        <is>
          <t>Estimación de arranque — pendiente de cotización</t>
        </is>
      </c>
    </row>
    <row r="208">
      <c r="A208" s="7" t="inlineStr">
        <is>
          <t>MAT-16-002</t>
        </is>
      </c>
      <c r="B208" s="7" t="inlineStr">
        <is>
          <t>Materiales</t>
        </is>
      </c>
      <c r="C208" s="7" t="inlineStr">
        <is>
          <t>Cámaras y videovigilancia</t>
        </is>
      </c>
      <c r="D208" s="5" t="inlineStr">
        <is>
          <t>NVR de 8 canales</t>
        </is>
      </c>
      <c r="E208" s="5" t="inlineStr">
        <is>
          <t>Sin disco duro</t>
        </is>
      </c>
      <c r="F208" s="5" t="inlineStr"/>
      <c r="G208" s="5" t="inlineStr"/>
      <c r="H208" s="7" t="inlineStr">
        <is>
          <t>unidad</t>
        </is>
      </c>
      <c r="I208" s="7" t="inlineStr">
        <is>
          <t>Instalaciones</t>
        </is>
      </c>
      <c r="J208" s="7" t="inlineStr">
        <is>
          <t>estandar</t>
        </is>
      </c>
      <c r="K208" s="7" t="inlineStr">
        <is>
          <t>importado</t>
        </is>
      </c>
      <c r="L208" s="7" t="inlineStr">
        <is>
          <t>Estimado</t>
        </is>
      </c>
      <c r="M208" s="8" t="n">
        <v>0</v>
      </c>
      <c r="N208" s="9" t="n">
        <v>12500</v>
      </c>
      <c r="O208" s="9" t="n">
        <v>9500</v>
      </c>
      <c r="P208" s="9" t="n">
        <v>17000</v>
      </c>
      <c r="Q208" s="7" t="inlineStr">
        <is>
          <t>Sí</t>
        </is>
      </c>
      <c r="R208" s="9">
        <f>IF(N208="","",IF(Q208="Sí",ROUND(N208/1.18,2),N208))</f>
        <v/>
      </c>
      <c r="S208" s="7" t="inlineStr">
        <is>
          <t>2026-09</t>
        </is>
      </c>
      <c r="T208" s="5" t="inlineStr">
        <is>
          <t>Estimación de arranque — pendiente de cotización</t>
        </is>
      </c>
    </row>
    <row r="209">
      <c r="A209" s="7" t="inlineStr">
        <is>
          <t>MAT-30-001</t>
        </is>
      </c>
      <c r="B209" s="7" t="inlineStr">
        <is>
          <t>Materiales</t>
        </is>
      </c>
      <c r="C209" s="7" t="inlineStr">
        <is>
          <t>Cableado estructurado y redes</t>
        </is>
      </c>
      <c r="D209" s="5" t="inlineStr">
        <is>
          <t>Cable UTP Cat 6, rollo 305 m</t>
        </is>
      </c>
      <c r="E209" s="5" t="inlineStr">
        <is>
          <t>Cobre puro, interior</t>
        </is>
      </c>
      <c r="F209" s="5" t="inlineStr"/>
      <c r="G209" s="5" t="inlineStr"/>
      <c r="H209" s="7" t="inlineStr">
        <is>
          <t>rollo</t>
        </is>
      </c>
      <c r="I209" s="7" t="inlineStr">
        <is>
          <t>Instalaciones</t>
        </is>
      </c>
      <c r="J209" s="7" t="inlineStr">
        <is>
          <t>estandar</t>
        </is>
      </c>
      <c r="K209" s="7" t="inlineStr">
        <is>
          <t>importado</t>
        </is>
      </c>
      <c r="L209" s="7" t="inlineStr">
        <is>
          <t>Estimado</t>
        </is>
      </c>
      <c r="M209" s="8" t="n">
        <v>0</v>
      </c>
      <c r="N209" s="9" t="n">
        <v>9500</v>
      </c>
      <c r="O209" s="9" t="n">
        <v>7500</v>
      </c>
      <c r="P209" s="9" t="n">
        <v>12500</v>
      </c>
      <c r="Q209" s="7" t="inlineStr">
        <is>
          <t>Sí</t>
        </is>
      </c>
      <c r="R209" s="9">
        <f>IF(N209="","",IF(Q209="Sí",ROUND(N209/1.18,2),N209))</f>
        <v/>
      </c>
      <c r="S209" s="7" t="inlineStr">
        <is>
          <t>2026-09</t>
        </is>
      </c>
      <c r="T209" s="5" t="inlineStr">
        <is>
          <t>Estimación de arranque — pendiente de cotización</t>
        </is>
      </c>
    </row>
    <row r="210">
      <c r="A210" s="7" t="inlineStr">
        <is>
          <t>MAT-29-001</t>
        </is>
      </c>
      <c r="B210" s="7" t="inlineStr">
        <is>
          <t>Materiales</t>
        </is>
      </c>
      <c r="C210" s="7" t="inlineStr">
        <is>
          <t>Detección de incendios</t>
        </is>
      </c>
      <c r="D210" s="5" t="inlineStr">
        <is>
          <t>Detector de humo fotoeléctrico</t>
        </is>
      </c>
      <c r="E210" s="5" t="inlineStr">
        <is>
          <t>Direccionable o convencional</t>
        </is>
      </c>
      <c r="F210" s="5" t="inlineStr"/>
      <c r="G210" s="5" t="inlineStr"/>
      <c r="H210" s="7" t="inlineStr">
        <is>
          <t>unidad</t>
        </is>
      </c>
      <c r="I210" s="7" t="inlineStr">
        <is>
          <t>Instalaciones</t>
        </is>
      </c>
      <c r="J210" s="7" t="inlineStr">
        <is>
          <t>estandar</t>
        </is>
      </c>
      <c r="K210" s="7" t="inlineStr">
        <is>
          <t>importado</t>
        </is>
      </c>
      <c r="L210" s="7" t="inlineStr">
        <is>
          <t>Estimado</t>
        </is>
      </c>
      <c r="M210" s="8" t="n">
        <v>0</v>
      </c>
      <c r="N210" s="9" t="n">
        <v>2800</v>
      </c>
      <c r="O210" s="9" t="n">
        <v>2100</v>
      </c>
      <c r="P210" s="9" t="n">
        <v>3900</v>
      </c>
      <c r="Q210" s="7" t="inlineStr">
        <is>
          <t>Sí</t>
        </is>
      </c>
      <c r="R210" s="9">
        <f>IF(N210="","",IF(Q210="Sí",ROUND(N210/1.18,2),N210))</f>
        <v/>
      </c>
      <c r="S210" s="7" t="inlineStr">
        <is>
          <t>2026-09</t>
        </is>
      </c>
      <c r="T210" s="5" t="inlineStr">
        <is>
          <t>Estimación de arranque — pendiente de cotización</t>
        </is>
      </c>
    </row>
    <row r="211">
      <c r="A211" s="7" t="inlineStr">
        <is>
          <t>MAT-29-002</t>
        </is>
      </c>
      <c r="B211" s="7" t="inlineStr">
        <is>
          <t>Materiales</t>
        </is>
      </c>
      <c r="C211" s="7" t="inlineStr">
        <is>
          <t>Detección de incendios</t>
        </is>
      </c>
      <c r="D211" s="5" t="inlineStr">
        <is>
          <t>Extintor ABC de 10 lb</t>
        </is>
      </c>
      <c r="E211" s="5" t="inlineStr">
        <is>
          <t>Con soporte y señalización</t>
        </is>
      </c>
      <c r="F211" s="5" t="inlineStr"/>
      <c r="G211" s="5" t="inlineStr"/>
      <c r="H211" s="7" t="inlineStr">
        <is>
          <t>unidad</t>
        </is>
      </c>
      <c r="I211" s="7" t="inlineStr">
        <is>
          <t>Instalaciones</t>
        </is>
      </c>
      <c r="J211" s="7" t="inlineStr">
        <is>
          <t>estandar</t>
        </is>
      </c>
      <c r="K211" s="7" t="inlineStr">
        <is>
          <t>nacional</t>
        </is>
      </c>
      <c r="L211" s="7" t="inlineStr">
        <is>
          <t>Estimado</t>
        </is>
      </c>
      <c r="M211" s="8" t="n">
        <v>0</v>
      </c>
      <c r="N211" s="9" t="n">
        <v>4200</v>
      </c>
      <c r="O211" s="9" t="n">
        <v>3200</v>
      </c>
      <c r="P211" s="9" t="n">
        <v>5600</v>
      </c>
      <c r="Q211" s="7" t="inlineStr">
        <is>
          <t>Sí</t>
        </is>
      </c>
      <c r="R211" s="9">
        <f>IF(N211="","",IF(Q211="Sí",ROUND(N211/1.18,2),N211))</f>
        <v/>
      </c>
      <c r="S211" s="7" t="inlineStr">
        <is>
          <t>2026-09</t>
        </is>
      </c>
      <c r="T211" s="5" t="inlineStr">
        <is>
          <t>Estimación de arranque — pendiente de cotización</t>
        </is>
      </c>
    </row>
    <row r="212">
      <c r="A212" s="7" t="inlineStr">
        <is>
          <t>MAT-31-001</t>
        </is>
      </c>
      <c r="B212" s="7" t="inlineStr">
        <is>
          <t>Materiales</t>
        </is>
      </c>
      <c r="C212" s="7" t="inlineStr">
        <is>
          <t>Domótica e intercomunicadores</t>
        </is>
      </c>
      <c r="D212" s="5" t="inlineStr">
        <is>
          <t>Videoportero con monitor</t>
        </is>
      </c>
      <c r="E212" s="5" t="inlineStr">
        <is>
          <t>Residencial, un monitor</t>
        </is>
      </c>
      <c r="F212" s="5" t="inlineStr"/>
      <c r="G212" s="5" t="inlineStr"/>
      <c r="H212" s="7" t="inlineStr">
        <is>
          <t>unidad</t>
        </is>
      </c>
      <c r="I212" s="7" t="inlineStr">
        <is>
          <t>Instalaciones</t>
        </is>
      </c>
      <c r="J212" s="7" t="inlineStr">
        <is>
          <t>estandar</t>
        </is>
      </c>
      <c r="K212" s="7" t="inlineStr">
        <is>
          <t>importado</t>
        </is>
      </c>
      <c r="L212" s="7" t="inlineStr">
        <is>
          <t>Estimado</t>
        </is>
      </c>
      <c r="M212" s="8" t="n">
        <v>0</v>
      </c>
      <c r="N212" s="9" t="n">
        <v>11500</v>
      </c>
      <c r="O212" s="9" t="n">
        <v>8500</v>
      </c>
      <c r="P212" s="9" t="n">
        <v>16000</v>
      </c>
      <c r="Q212" s="7" t="inlineStr">
        <is>
          <t>Sí</t>
        </is>
      </c>
      <c r="R212" s="9">
        <f>IF(N212="","",IF(Q212="Sí",ROUND(N212/1.18,2),N212))</f>
        <v/>
      </c>
      <c r="S212" s="7" t="inlineStr">
        <is>
          <t>2026-09</t>
        </is>
      </c>
      <c r="T212" s="5" t="inlineStr">
        <is>
          <t>Estimación de arranque — pendiente de cotización</t>
        </is>
      </c>
    </row>
    <row r="213">
      <c r="A213" s="7" t="inlineStr">
        <is>
          <t>MAT-17-001</t>
        </is>
      </c>
      <c r="B213" s="7" t="inlineStr">
        <is>
          <t>Materiales</t>
        </is>
      </c>
      <c r="C213" s="7" t="inlineStr">
        <is>
          <t>Seguridad industrial y señalización</t>
        </is>
      </c>
      <c r="D213" s="5" t="inlineStr">
        <is>
          <t>Casco de seguridad</t>
        </is>
      </c>
      <c r="E213" s="5" t="inlineStr">
        <is>
          <t>Clase E con suspensión</t>
        </is>
      </c>
      <c r="F213" s="5" t="inlineStr"/>
      <c r="G213" s="5" t="inlineStr"/>
      <c r="H213" s="7" t="inlineStr">
        <is>
          <t>unidad</t>
        </is>
      </c>
      <c r="I213" s="7" t="inlineStr">
        <is>
          <t>Preliminares</t>
        </is>
      </c>
      <c r="J213" s="7" t="inlineStr">
        <is>
          <t>estandar</t>
        </is>
      </c>
      <c r="K213" s="7" t="inlineStr">
        <is>
          <t>importado</t>
        </is>
      </c>
      <c r="L213" s="7" t="inlineStr">
        <is>
          <t>Estimado</t>
        </is>
      </c>
      <c r="M213" s="8" t="n">
        <v>0</v>
      </c>
      <c r="N213" s="9" t="n">
        <v>950</v>
      </c>
      <c r="O213" s="9" t="n">
        <v>700</v>
      </c>
      <c r="P213" s="9" t="n">
        <v>1350</v>
      </c>
      <c r="Q213" s="7" t="inlineStr">
        <is>
          <t>Sí</t>
        </is>
      </c>
      <c r="R213" s="9">
        <f>IF(N213="","",IF(Q213="Sí",ROUND(N213/1.18,2),N213))</f>
        <v/>
      </c>
      <c r="S213" s="7" t="inlineStr">
        <is>
          <t>2026-09</t>
        </is>
      </c>
      <c r="T213" s="5" t="inlineStr">
        <is>
          <t>Estimación de arranque — pendiente de cotización</t>
        </is>
      </c>
    </row>
    <row r="214">
      <c r="A214" s="7" t="inlineStr">
        <is>
          <t>MAT-17-002</t>
        </is>
      </c>
      <c r="B214" s="7" t="inlineStr">
        <is>
          <t>Materiales</t>
        </is>
      </c>
      <c r="C214" s="7" t="inlineStr">
        <is>
          <t>Seguridad industrial y señalización</t>
        </is>
      </c>
      <c r="D214" s="5" t="inlineStr">
        <is>
          <t>Guantes de trabajo</t>
        </is>
      </c>
      <c r="E214" s="5" t="inlineStr">
        <is>
          <t>Par, uso general</t>
        </is>
      </c>
      <c r="F214" s="5" t="inlineStr"/>
      <c r="G214" s="5" t="inlineStr"/>
      <c r="H214" s="7" t="inlineStr">
        <is>
          <t>unidad</t>
        </is>
      </c>
      <c r="I214" s="7" t="inlineStr">
        <is>
          <t>Preliminares</t>
        </is>
      </c>
      <c r="J214" s="7" t="inlineStr">
        <is>
          <t>estandar</t>
        </is>
      </c>
      <c r="K214" s="7" t="inlineStr">
        <is>
          <t>importado</t>
        </is>
      </c>
      <c r="L214" s="7" t="inlineStr">
        <is>
          <t>Estimado</t>
        </is>
      </c>
      <c r="M214" s="8" t="n">
        <v>0</v>
      </c>
      <c r="N214" s="9" t="n">
        <v>320</v>
      </c>
      <c r="O214" s="9" t="n">
        <v>220</v>
      </c>
      <c r="P214" s="9" t="n">
        <v>460</v>
      </c>
      <c r="Q214" s="7" t="inlineStr">
        <is>
          <t>Sí</t>
        </is>
      </c>
      <c r="R214" s="9">
        <f>IF(N214="","",IF(Q214="Sí",ROUND(N214/1.18,2),N214))</f>
        <v/>
      </c>
      <c r="S214" s="7" t="inlineStr">
        <is>
          <t>2026-09</t>
        </is>
      </c>
      <c r="T214" s="5" t="inlineStr">
        <is>
          <t>Estimación de arranque — pendiente de cotización</t>
        </is>
      </c>
    </row>
    <row r="215">
      <c r="A215" s="7" t="inlineStr">
        <is>
          <t>MAT-17-003</t>
        </is>
      </c>
      <c r="B215" s="7" t="inlineStr">
        <is>
          <t>Materiales</t>
        </is>
      </c>
      <c r="C215" s="7" t="inlineStr">
        <is>
          <t>Seguridad industrial y señalización</t>
        </is>
      </c>
      <c r="D215" s="5" t="inlineStr">
        <is>
          <t>Botas de seguridad con puntera</t>
        </is>
      </c>
      <c r="E215" s="5" t="inlineStr">
        <is>
          <t>Par, puntera de acero o composite</t>
        </is>
      </c>
      <c r="F215" s="5" t="inlineStr"/>
      <c r="G215" s="5" t="inlineStr"/>
      <c r="H215" s="7" t="inlineStr">
        <is>
          <t>unidad</t>
        </is>
      </c>
      <c r="I215" s="7" t="inlineStr">
        <is>
          <t>Preliminares</t>
        </is>
      </c>
      <c r="J215" s="7" t="inlineStr">
        <is>
          <t>estandar</t>
        </is>
      </c>
      <c r="K215" s="7" t="inlineStr">
        <is>
          <t>importado</t>
        </is>
      </c>
      <c r="L215" s="7" t="inlineStr">
        <is>
          <t>Estimado</t>
        </is>
      </c>
      <c r="M215" s="8" t="n">
        <v>0</v>
      </c>
      <c r="N215" s="9" t="n">
        <v>4200</v>
      </c>
      <c r="O215" s="9" t="n">
        <v>3200</v>
      </c>
      <c r="P215" s="9" t="n">
        <v>5800</v>
      </c>
      <c r="Q215" s="7" t="inlineStr">
        <is>
          <t>Sí</t>
        </is>
      </c>
      <c r="R215" s="9">
        <f>IF(N215="","",IF(Q215="Sí",ROUND(N215/1.18,2),N215))</f>
        <v/>
      </c>
      <c r="S215" s="7" t="inlineStr">
        <is>
          <t>2026-09</t>
        </is>
      </c>
      <c r="T215" s="5" t="inlineStr">
        <is>
          <t>Estimación de arranque — pendiente de cotización</t>
        </is>
      </c>
    </row>
    <row r="216">
      <c r="A216" s="7" t="inlineStr">
        <is>
          <t>MAT-17-004</t>
        </is>
      </c>
      <c r="B216" s="7" t="inlineStr">
        <is>
          <t>Materiales</t>
        </is>
      </c>
      <c r="C216" s="7" t="inlineStr">
        <is>
          <t>Seguridad industrial y señalización</t>
        </is>
      </c>
      <c r="D216" s="5" t="inlineStr">
        <is>
          <t>Chaleco reflectivo</t>
        </is>
      </c>
      <c r="E216" s="5" t="inlineStr">
        <is>
          <t>Alta visibilidad</t>
        </is>
      </c>
      <c r="F216" s="5" t="inlineStr"/>
      <c r="G216" s="5" t="inlineStr"/>
      <c r="H216" s="7" t="inlineStr">
        <is>
          <t>unidad</t>
        </is>
      </c>
      <c r="I216" s="7" t="inlineStr">
        <is>
          <t>Preliminares</t>
        </is>
      </c>
      <c r="J216" s="7" t="inlineStr">
        <is>
          <t>estandar</t>
        </is>
      </c>
      <c r="K216" s="7" t="inlineStr">
        <is>
          <t>importado</t>
        </is>
      </c>
      <c r="L216" s="7" t="inlineStr">
        <is>
          <t>Estimado</t>
        </is>
      </c>
      <c r="M216" s="8" t="n">
        <v>0</v>
      </c>
      <c r="N216" s="9" t="n">
        <v>480</v>
      </c>
      <c r="O216" s="9" t="n">
        <v>350</v>
      </c>
      <c r="P216" s="9" t="n">
        <v>680</v>
      </c>
      <c r="Q216" s="7" t="inlineStr">
        <is>
          <t>Sí</t>
        </is>
      </c>
      <c r="R216" s="9">
        <f>IF(N216="","",IF(Q216="Sí",ROUND(N216/1.18,2),N216))</f>
        <v/>
      </c>
      <c r="S216" s="7" t="inlineStr">
        <is>
          <t>2026-09</t>
        </is>
      </c>
      <c r="T216" s="5" t="inlineStr">
        <is>
          <t>Estimación de arranque — pendiente de cotización</t>
        </is>
      </c>
    </row>
    <row r="217">
      <c r="A217" s="7" t="inlineStr">
        <is>
          <t>MAT-17-005</t>
        </is>
      </c>
      <c r="B217" s="7" t="inlineStr">
        <is>
          <t>Materiales</t>
        </is>
      </c>
      <c r="C217" s="7" t="inlineStr">
        <is>
          <t>Seguridad industrial y señalización</t>
        </is>
      </c>
      <c r="D217" s="5" t="inlineStr">
        <is>
          <t>Arnés de cuerpo completo</t>
        </is>
      </c>
      <c r="E217" s="5" t="inlineStr">
        <is>
          <t>Con línea de vida y absorbedor</t>
        </is>
      </c>
      <c r="F217" s="5" t="inlineStr"/>
      <c r="G217" s="5" t="inlineStr"/>
      <c r="H217" s="7" t="inlineStr">
        <is>
          <t>unidad</t>
        </is>
      </c>
      <c r="I217" s="7" t="inlineStr">
        <is>
          <t>Preliminares</t>
        </is>
      </c>
      <c r="J217" s="7" t="inlineStr">
        <is>
          <t>premium</t>
        </is>
      </c>
      <c r="K217" s="7" t="inlineStr">
        <is>
          <t>importado</t>
        </is>
      </c>
      <c r="L217" s="7" t="inlineStr">
        <is>
          <t>Estimado</t>
        </is>
      </c>
      <c r="M217" s="8" t="n">
        <v>0</v>
      </c>
      <c r="N217" s="9" t="n">
        <v>6800</v>
      </c>
      <c r="O217" s="9" t="n">
        <v>5000</v>
      </c>
      <c r="P217" s="9" t="n">
        <v>9500</v>
      </c>
      <c r="Q217" s="7" t="inlineStr">
        <is>
          <t>Sí</t>
        </is>
      </c>
      <c r="R217" s="9">
        <f>IF(N217="","",IF(Q217="Sí",ROUND(N217/1.18,2),N217))</f>
        <v/>
      </c>
      <c r="S217" s="7" t="inlineStr">
        <is>
          <t>2026-09</t>
        </is>
      </c>
      <c r="T217" s="5" t="inlineStr">
        <is>
          <t>Estimación de arranque — pendiente de cotización</t>
        </is>
      </c>
    </row>
    <row r="218">
      <c r="A218" s="7" t="inlineStr">
        <is>
          <t>MAT-17-006</t>
        </is>
      </c>
      <c r="B218" s="7" t="inlineStr">
        <is>
          <t>Materiales</t>
        </is>
      </c>
      <c r="C218" s="7" t="inlineStr">
        <is>
          <t>Seguridad industrial y señalización</t>
        </is>
      </c>
      <c r="D218" s="5" t="inlineStr">
        <is>
          <t>Cinta de peligro, rollo 300 m</t>
        </is>
      </c>
      <c r="E218" s="5" t="inlineStr">
        <is>
          <t>Delimitación de área</t>
        </is>
      </c>
      <c r="F218" s="5" t="inlineStr"/>
      <c r="G218" s="5" t="inlineStr"/>
      <c r="H218" s="7" t="inlineStr">
        <is>
          <t>rollo</t>
        </is>
      </c>
      <c r="I218" s="7" t="inlineStr">
        <is>
          <t>Preliminares</t>
        </is>
      </c>
      <c r="J218" s="7" t="inlineStr">
        <is>
          <t>estandar</t>
        </is>
      </c>
      <c r="K218" s="7" t="inlineStr">
        <is>
          <t>nacional</t>
        </is>
      </c>
      <c r="L218" s="7" t="inlineStr">
        <is>
          <t>Estimado</t>
        </is>
      </c>
      <c r="M218" s="8" t="n">
        <v>0</v>
      </c>
      <c r="N218" s="9" t="n">
        <v>850</v>
      </c>
      <c r="O218" s="9" t="n">
        <v>620</v>
      </c>
      <c r="P218" s="9" t="n">
        <v>1200</v>
      </c>
      <c r="Q218" s="7" t="inlineStr">
        <is>
          <t>Sí</t>
        </is>
      </c>
      <c r="R218" s="9">
        <f>IF(N218="","",IF(Q218="Sí",ROUND(N218/1.18,2),N218))</f>
        <v/>
      </c>
      <c r="S218" s="7" t="inlineStr">
        <is>
          <t>2026-09</t>
        </is>
      </c>
      <c r="T218" s="5" t="inlineStr">
        <is>
          <t>Estimación de arranque — pendiente de cotización</t>
        </is>
      </c>
    </row>
    <row r="219">
      <c r="A219" s="7" t="inlineStr">
        <is>
          <t>MAT-18-001</t>
        </is>
      </c>
      <c r="B219" s="7" t="inlineStr">
        <is>
          <t>Materiales</t>
        </is>
      </c>
      <c r="C219" s="7" t="inlineStr">
        <is>
          <t>Exteriores y paisajismo</t>
        </is>
      </c>
      <c r="D219" s="5" t="inlineStr">
        <is>
          <t>Grama natural San Agustín en alfombra</t>
        </is>
      </c>
      <c r="E219" s="5" t="inlineStr">
        <is>
          <t>Suministro, sin siembra</t>
        </is>
      </c>
      <c r="F219" s="5" t="inlineStr"/>
      <c r="G219" s="5" t="inlineStr"/>
      <c r="H219" s="7" t="inlineStr">
        <is>
          <t>m²</t>
        </is>
      </c>
      <c r="I219" s="7" t="inlineStr">
        <is>
          <t>Exteriores</t>
        </is>
      </c>
      <c r="J219" s="7" t="inlineStr">
        <is>
          <t>estandar</t>
        </is>
      </c>
      <c r="K219" s="7" t="inlineStr">
        <is>
          <t>nacional</t>
        </is>
      </c>
      <c r="L219" s="7" t="inlineStr">
        <is>
          <t>Estimado</t>
        </is>
      </c>
      <c r="M219" s="8" t="n">
        <v>0</v>
      </c>
      <c r="N219" s="9" t="n">
        <v>320</v>
      </c>
      <c r="O219" s="9" t="n">
        <v>240</v>
      </c>
      <c r="P219" s="9" t="n">
        <v>450</v>
      </c>
      <c r="Q219" s="7" t="inlineStr">
        <is>
          <t>Sí</t>
        </is>
      </c>
      <c r="R219" s="9">
        <f>IF(N219="","",IF(Q219="Sí",ROUND(N219/1.18,2),N219))</f>
        <v/>
      </c>
      <c r="S219" s="7" t="inlineStr">
        <is>
          <t>2026-09</t>
        </is>
      </c>
      <c r="T219" s="5" t="inlineStr">
        <is>
          <t>Estimación de arranque — pendiente de cotización</t>
        </is>
      </c>
    </row>
    <row r="220">
      <c r="A220" s="7" t="inlineStr">
        <is>
          <t>MAT-18-002</t>
        </is>
      </c>
      <c r="B220" s="7" t="inlineStr">
        <is>
          <t>Materiales</t>
        </is>
      </c>
      <c r="C220" s="7" t="inlineStr">
        <is>
          <t>Exteriores y paisajismo</t>
        </is>
      </c>
      <c r="D220" s="5" t="inlineStr">
        <is>
          <t>Tierra negra vegetal</t>
        </is>
      </c>
      <c r="E220" s="5" t="inlineStr">
        <is>
          <t>Cribada, para jardinería</t>
        </is>
      </c>
      <c r="F220" s="5" t="inlineStr"/>
      <c r="G220" s="5" t="inlineStr"/>
      <c r="H220" s="7" t="inlineStr">
        <is>
          <t>m³</t>
        </is>
      </c>
      <c r="I220" s="7" t="inlineStr">
        <is>
          <t>Exteriores</t>
        </is>
      </c>
      <c r="J220" s="7" t="inlineStr">
        <is>
          <t>estandar</t>
        </is>
      </c>
      <c r="K220" s="7" t="inlineStr">
        <is>
          <t>nacional</t>
        </is>
      </c>
      <c r="L220" s="7" t="inlineStr">
        <is>
          <t>Estimado</t>
        </is>
      </c>
      <c r="M220" s="8" t="n">
        <v>0</v>
      </c>
      <c r="N220" s="9" t="n">
        <v>1450</v>
      </c>
      <c r="O220" s="9" t="n">
        <v>1150</v>
      </c>
      <c r="P220" s="9" t="n">
        <v>1900</v>
      </c>
      <c r="Q220" s="7" t="inlineStr">
        <is>
          <t>Sí</t>
        </is>
      </c>
      <c r="R220" s="9">
        <f>IF(N220="","",IF(Q220="Sí",ROUND(N220/1.18,2),N220))</f>
        <v/>
      </c>
      <c r="S220" s="7" t="inlineStr">
        <is>
          <t>2026-09</t>
        </is>
      </c>
      <c r="T220" s="5" t="inlineStr">
        <is>
          <t>Estimación de arranque — pendiente de cotización</t>
        </is>
      </c>
    </row>
    <row r="221">
      <c r="A221" s="7" t="inlineStr">
        <is>
          <t>MAT-18-003</t>
        </is>
      </c>
      <c r="B221" s="7" t="inlineStr">
        <is>
          <t>Materiales</t>
        </is>
      </c>
      <c r="C221" s="7" t="inlineStr">
        <is>
          <t>Exteriores y paisajismo</t>
        </is>
      </c>
      <c r="D221" s="5" t="inlineStr">
        <is>
          <t>Palma areca de 2 m</t>
        </is>
      </c>
      <c r="E221" s="5" t="inlineStr">
        <is>
          <t>En funda, lista para siembra</t>
        </is>
      </c>
      <c r="F221" s="5" t="inlineStr"/>
      <c r="G221" s="5" t="inlineStr"/>
      <c r="H221" s="7" t="inlineStr">
        <is>
          <t>unidad</t>
        </is>
      </c>
      <c r="I221" s="7" t="inlineStr">
        <is>
          <t>Exteriores</t>
        </is>
      </c>
      <c r="J221" s="7" t="inlineStr">
        <is>
          <t>estandar</t>
        </is>
      </c>
      <c r="K221" s="7" t="inlineStr">
        <is>
          <t>nacional</t>
        </is>
      </c>
      <c r="L221" s="7" t="inlineStr">
        <is>
          <t>Estimado</t>
        </is>
      </c>
      <c r="M221" s="8" t="n">
        <v>0</v>
      </c>
      <c r="N221" s="9" t="n">
        <v>2400</v>
      </c>
      <c r="O221" s="9" t="n">
        <v>1700</v>
      </c>
      <c r="P221" s="9" t="n">
        <v>3400</v>
      </c>
      <c r="Q221" s="7" t="inlineStr">
        <is>
          <t>Sí</t>
        </is>
      </c>
      <c r="R221" s="9">
        <f>IF(N221="","",IF(Q221="Sí",ROUND(N221/1.18,2),N221))</f>
        <v/>
      </c>
      <c r="S221" s="7" t="inlineStr">
        <is>
          <t>2026-09</t>
        </is>
      </c>
      <c r="T221" s="5" t="inlineStr">
        <is>
          <t>Estimación de arranque — pendiente de cotización</t>
        </is>
      </c>
    </row>
    <row r="222">
      <c r="A222" s="7" t="inlineStr">
        <is>
          <t>MAT-18-004</t>
        </is>
      </c>
      <c r="B222" s="7" t="inlineStr">
        <is>
          <t>Materiales</t>
        </is>
      </c>
      <c r="C222" s="7" t="inlineStr">
        <is>
          <t>Exteriores y paisajismo</t>
        </is>
      </c>
      <c r="D222" s="5" t="inlineStr">
        <is>
          <t>Grama artificial 40 mm</t>
        </is>
      </c>
      <c r="E222" s="5" t="inlineStr">
        <is>
          <t>Instalada, uso residencial</t>
        </is>
      </c>
      <c r="F222" s="5" t="inlineStr"/>
      <c r="G222" s="5" t="inlineStr"/>
      <c r="H222" s="7" t="inlineStr">
        <is>
          <t>m²</t>
        </is>
      </c>
      <c r="I222" s="7" t="inlineStr">
        <is>
          <t>Exteriores</t>
        </is>
      </c>
      <c r="J222" s="7" t="inlineStr">
        <is>
          <t>estandar</t>
        </is>
      </c>
      <c r="K222" s="7" t="inlineStr">
        <is>
          <t>importado</t>
        </is>
      </c>
      <c r="L222" s="7" t="inlineStr">
        <is>
          <t>Estimado</t>
        </is>
      </c>
      <c r="M222" s="8" t="n">
        <v>0</v>
      </c>
      <c r="N222" s="9" t="n">
        <v>1650</v>
      </c>
      <c r="O222" s="9" t="n">
        <v>1250</v>
      </c>
      <c r="P222" s="9" t="n">
        <v>2300</v>
      </c>
      <c r="Q222" s="7" t="inlineStr">
        <is>
          <t>Sí</t>
        </is>
      </c>
      <c r="R222" s="9">
        <f>IF(N222="","",IF(Q222="Sí",ROUND(N222/1.18,2),N222))</f>
        <v/>
      </c>
      <c r="S222" s="7" t="inlineStr">
        <is>
          <t>2026-09</t>
        </is>
      </c>
      <c r="T222" s="5" t="inlineStr">
        <is>
          <t>Estimación de arranque — pendiente de cotización</t>
        </is>
      </c>
    </row>
    <row r="223">
      <c r="A223" s="7" t="inlineStr">
        <is>
          <t>MAT-18-005</t>
        </is>
      </c>
      <c r="B223" s="7" t="inlineStr">
        <is>
          <t>Materiales</t>
        </is>
      </c>
      <c r="C223" s="7" t="inlineStr">
        <is>
          <t>Exteriores y paisajismo</t>
        </is>
      </c>
      <c r="D223" s="5" t="inlineStr">
        <is>
          <t>Sistema de riego por aspersión (kit residencial)</t>
        </is>
      </c>
      <c r="E223" s="5" t="inlineStr">
        <is>
          <t>Aspersores, válvulas y programador</t>
        </is>
      </c>
      <c r="F223" s="5" t="inlineStr"/>
      <c r="G223" s="5" t="inlineStr"/>
      <c r="H223" s="7" t="inlineStr">
        <is>
          <t>kit</t>
        </is>
      </c>
      <c r="I223" s="7" t="inlineStr">
        <is>
          <t>Exteriores</t>
        </is>
      </c>
      <c r="J223" s="7" t="inlineStr">
        <is>
          <t>estandar</t>
        </is>
      </c>
      <c r="K223" s="7" t="inlineStr">
        <is>
          <t>importado</t>
        </is>
      </c>
      <c r="L223" s="7" t="inlineStr">
        <is>
          <t>Estimado</t>
        </is>
      </c>
      <c r="M223" s="8" t="n">
        <v>0</v>
      </c>
      <c r="N223" s="9" t="n">
        <v>32000</v>
      </c>
      <c r="O223" s="9" t="n">
        <v>24000</v>
      </c>
      <c r="P223" s="9" t="n">
        <v>45000</v>
      </c>
      <c r="Q223" s="7" t="inlineStr">
        <is>
          <t>Sí</t>
        </is>
      </c>
      <c r="R223" s="9">
        <f>IF(N223="","",IF(Q223="Sí",ROUND(N223/1.18,2),N223))</f>
        <v/>
      </c>
      <c r="S223" s="7" t="inlineStr">
        <is>
          <t>2026-09</t>
        </is>
      </c>
      <c r="T223" s="5" t="inlineStr">
        <is>
          <t>Estimación de arranque — pendiente de cotización</t>
        </is>
      </c>
    </row>
    <row r="224">
      <c r="A224" s="7" t="inlineStr">
        <is>
          <t>MOS-01-001</t>
        </is>
      </c>
      <c r="B224" s="7" t="inlineStr">
        <is>
          <t>Mano de obra y servicios</t>
        </is>
      </c>
      <c r="C224" s="7" t="inlineStr">
        <is>
          <t>Mano de obra por oficio</t>
        </is>
      </c>
      <c r="D224" s="5" t="inlineStr">
        <is>
          <t>Maestro constructor</t>
        </is>
      </c>
      <c r="E224" s="5" t="inlineStr">
        <is>
          <t>Dirige el frente de obra</t>
        </is>
      </c>
      <c r="F224" s="5" t="inlineStr"/>
      <c r="G224" s="5" t="inlineStr"/>
      <c r="H224" s="7" t="inlineStr">
        <is>
          <t>día</t>
        </is>
      </c>
      <c r="I224" s="7" t="inlineStr">
        <is>
          <t>Transversal</t>
        </is>
      </c>
      <c r="J224" s="7" t="inlineStr">
        <is>
          <t>estandar</t>
        </is>
      </c>
      <c r="K224" s="7" t="inlineStr">
        <is>
          <t>nacional</t>
        </is>
      </c>
      <c r="L224" s="7" t="inlineStr">
        <is>
          <t>Estimado</t>
        </is>
      </c>
      <c r="M224" s="8" t="n">
        <v>0</v>
      </c>
      <c r="N224" s="9" t="n">
        <v>2900</v>
      </c>
      <c r="O224" s="9" t="n">
        <v>2300</v>
      </c>
      <c r="P224" s="9" t="n">
        <v>3800</v>
      </c>
      <c r="Q224" s="7" t="inlineStr">
        <is>
          <t>No</t>
        </is>
      </c>
      <c r="R224" s="9">
        <f>IF(N224="","",IF(Q224="Sí",ROUND(N224/1.18,2),N224))</f>
        <v/>
      </c>
      <c r="S224" s="7" t="inlineStr">
        <is>
          <t>2026-09</t>
        </is>
      </c>
      <c r="T224" s="5" t="inlineStr">
        <is>
          <t>Estimación de arranque — pendiente de cotización</t>
        </is>
      </c>
    </row>
    <row r="225">
      <c r="A225" s="7" t="inlineStr">
        <is>
          <t>MOS-01-002</t>
        </is>
      </c>
      <c r="B225" s="7" t="inlineStr">
        <is>
          <t>Mano de obra y servicios</t>
        </is>
      </c>
      <c r="C225" s="7" t="inlineStr">
        <is>
          <t>Mano de obra por oficio</t>
        </is>
      </c>
      <c r="D225" s="5" t="inlineStr">
        <is>
          <t>Albañil</t>
        </is>
      </c>
      <c r="E225" s="5" t="inlineStr">
        <is>
          <t>Oficial de mampostería y terminación</t>
        </is>
      </c>
      <c r="F225" s="5" t="inlineStr"/>
      <c r="G225" s="5" t="inlineStr"/>
      <c r="H225" s="7" t="inlineStr">
        <is>
          <t>día</t>
        </is>
      </c>
      <c r="I225" s="7" t="inlineStr">
        <is>
          <t>Transversal</t>
        </is>
      </c>
      <c r="J225" s="7" t="inlineStr">
        <is>
          <t>estandar</t>
        </is>
      </c>
      <c r="K225" s="7" t="inlineStr">
        <is>
          <t>nacional</t>
        </is>
      </c>
      <c r="L225" s="7" t="inlineStr">
        <is>
          <t>Estimado</t>
        </is>
      </c>
      <c r="M225" s="8" t="n">
        <v>0</v>
      </c>
      <c r="N225" s="9" t="n">
        <v>1850</v>
      </c>
      <c r="O225" s="9" t="n">
        <v>1500</v>
      </c>
      <c r="P225" s="9" t="n">
        <v>2400</v>
      </c>
      <c r="Q225" s="7" t="inlineStr">
        <is>
          <t>No</t>
        </is>
      </c>
      <c r="R225" s="9">
        <f>IF(N225="","",IF(Q225="Sí",ROUND(N225/1.18,2),N225))</f>
        <v/>
      </c>
      <c r="S225" s="7" t="inlineStr">
        <is>
          <t>2026-09</t>
        </is>
      </c>
      <c r="T225" s="5" t="inlineStr">
        <is>
          <t>Estimación de arranque — pendiente de cotización</t>
        </is>
      </c>
    </row>
    <row r="226">
      <c r="A226" s="7" t="inlineStr">
        <is>
          <t>MOS-01-003</t>
        </is>
      </c>
      <c r="B226" s="7" t="inlineStr">
        <is>
          <t>Mano de obra y servicios</t>
        </is>
      </c>
      <c r="C226" s="7" t="inlineStr">
        <is>
          <t>Mano de obra por oficio</t>
        </is>
      </c>
      <c r="D226" s="5" t="inlineStr">
        <is>
          <t>Ayudante / peón</t>
        </is>
      </c>
      <c r="E226" s="5" t="inlineStr">
        <is>
          <t>Apoyo general de obra</t>
        </is>
      </c>
      <c r="F226" s="5" t="inlineStr"/>
      <c r="G226" s="5" t="inlineStr"/>
      <c r="H226" s="7" t="inlineStr">
        <is>
          <t>día</t>
        </is>
      </c>
      <c r="I226" s="7" t="inlineStr">
        <is>
          <t>Transversal</t>
        </is>
      </c>
      <c r="J226" s="7" t="inlineStr">
        <is>
          <t>estandar</t>
        </is>
      </c>
      <c r="K226" s="7" t="inlineStr">
        <is>
          <t>nacional</t>
        </is>
      </c>
      <c r="L226" s="7" t="inlineStr">
        <is>
          <t>Estimado</t>
        </is>
      </c>
      <c r="M226" s="8" t="n">
        <v>0</v>
      </c>
      <c r="N226" s="9" t="n">
        <v>1150</v>
      </c>
      <c r="O226" s="9" t="n">
        <v>950</v>
      </c>
      <c r="P226" s="9" t="n">
        <v>1450</v>
      </c>
      <c r="Q226" s="7" t="inlineStr">
        <is>
          <t>No</t>
        </is>
      </c>
      <c r="R226" s="9">
        <f>IF(N226="","",IF(Q226="Sí",ROUND(N226/1.18,2),N226))</f>
        <v/>
      </c>
      <c r="S226" s="7" t="inlineStr">
        <is>
          <t>2026-09</t>
        </is>
      </c>
      <c r="T226" s="5" t="inlineStr">
        <is>
          <t>Estimación de arranque — pendiente de cotización</t>
        </is>
      </c>
    </row>
    <row r="227">
      <c r="A227" s="7" t="inlineStr">
        <is>
          <t>MOS-01-004</t>
        </is>
      </c>
      <c r="B227" s="7" t="inlineStr">
        <is>
          <t>Mano de obra y servicios</t>
        </is>
      </c>
      <c r="C227" s="7" t="inlineStr">
        <is>
          <t>Mano de obra por oficio</t>
        </is>
      </c>
      <c r="D227" s="5" t="inlineStr">
        <is>
          <t>Carpintero de obra (encofrador)</t>
        </is>
      </c>
      <c r="E227" s="5" t="inlineStr">
        <is>
          <t>Formaleta y apuntalamiento</t>
        </is>
      </c>
      <c r="F227" s="5" t="inlineStr"/>
      <c r="G227" s="5" t="inlineStr"/>
      <c r="H227" s="7" t="inlineStr">
        <is>
          <t>día</t>
        </is>
      </c>
      <c r="I227" s="7" t="inlineStr">
        <is>
          <t>Transversal</t>
        </is>
      </c>
      <c r="J227" s="7" t="inlineStr">
        <is>
          <t>estandar</t>
        </is>
      </c>
      <c r="K227" s="7" t="inlineStr">
        <is>
          <t>nacional</t>
        </is>
      </c>
      <c r="L227" s="7" t="inlineStr">
        <is>
          <t>Estimado</t>
        </is>
      </c>
      <c r="M227" s="8" t="n">
        <v>0</v>
      </c>
      <c r="N227" s="9" t="n">
        <v>2050</v>
      </c>
      <c r="O227" s="9" t="n">
        <v>1650</v>
      </c>
      <c r="P227" s="9" t="n">
        <v>2600</v>
      </c>
      <c r="Q227" s="7" t="inlineStr">
        <is>
          <t>No</t>
        </is>
      </c>
      <c r="R227" s="9">
        <f>IF(N227="","",IF(Q227="Sí",ROUND(N227/1.18,2),N227))</f>
        <v/>
      </c>
      <c r="S227" s="7" t="inlineStr">
        <is>
          <t>2026-09</t>
        </is>
      </c>
      <c r="T227" s="5" t="inlineStr">
        <is>
          <t>Estimación de arranque — pendiente de cotización</t>
        </is>
      </c>
    </row>
    <row r="228">
      <c r="A228" s="7" t="inlineStr">
        <is>
          <t>MOS-01-005</t>
        </is>
      </c>
      <c r="B228" s="7" t="inlineStr">
        <is>
          <t>Mano de obra y servicios</t>
        </is>
      </c>
      <c r="C228" s="7" t="inlineStr">
        <is>
          <t>Mano de obra por oficio</t>
        </is>
      </c>
      <c r="D228" s="5" t="inlineStr">
        <is>
          <t>Carpintero de terminación / ebanista</t>
        </is>
      </c>
      <c r="E228" s="5" t="inlineStr">
        <is>
          <t>Puertas, closets y muebles</t>
        </is>
      </c>
      <c r="F228" s="5" t="inlineStr"/>
      <c r="G228" s="5" t="inlineStr"/>
      <c r="H228" s="7" t="inlineStr">
        <is>
          <t>día</t>
        </is>
      </c>
      <c r="I228" s="7" t="inlineStr">
        <is>
          <t>Transversal</t>
        </is>
      </c>
      <c r="J228" s="7" t="inlineStr">
        <is>
          <t>estandar</t>
        </is>
      </c>
      <c r="K228" s="7" t="inlineStr">
        <is>
          <t>nacional</t>
        </is>
      </c>
      <c r="L228" s="7" t="inlineStr">
        <is>
          <t>Estimado</t>
        </is>
      </c>
      <c r="M228" s="8" t="n">
        <v>0</v>
      </c>
      <c r="N228" s="9" t="n">
        <v>2600</v>
      </c>
      <c r="O228" s="9" t="n">
        <v>2000</v>
      </c>
      <c r="P228" s="9" t="n">
        <v>3400</v>
      </c>
      <c r="Q228" s="7" t="inlineStr">
        <is>
          <t>No</t>
        </is>
      </c>
      <c r="R228" s="9">
        <f>IF(N228="","",IF(Q228="Sí",ROUND(N228/1.18,2),N228))</f>
        <v/>
      </c>
      <c r="S228" s="7" t="inlineStr">
        <is>
          <t>2026-09</t>
        </is>
      </c>
      <c r="T228" s="5" t="inlineStr">
        <is>
          <t>Estimación de arranque — pendiente de cotización</t>
        </is>
      </c>
    </row>
    <row r="229">
      <c r="A229" s="7" t="inlineStr">
        <is>
          <t>MOS-01-006</t>
        </is>
      </c>
      <c r="B229" s="7" t="inlineStr">
        <is>
          <t>Mano de obra y servicios</t>
        </is>
      </c>
      <c r="C229" s="7" t="inlineStr">
        <is>
          <t>Mano de obra por oficio</t>
        </is>
      </c>
      <c r="D229" s="5" t="inlineStr">
        <is>
          <t>Varillero (armador de acero)</t>
        </is>
      </c>
      <c r="E229" s="5" t="inlineStr">
        <is>
          <t>Armado y amarre de refuerzo</t>
        </is>
      </c>
      <c r="F229" s="5" t="inlineStr"/>
      <c r="G229" s="5" t="inlineStr"/>
      <c r="H229" s="7" t="inlineStr">
        <is>
          <t>día</t>
        </is>
      </c>
      <c r="I229" s="7" t="inlineStr">
        <is>
          <t>Transversal</t>
        </is>
      </c>
      <c r="J229" s="7" t="inlineStr">
        <is>
          <t>estandar</t>
        </is>
      </c>
      <c r="K229" s="7" t="inlineStr">
        <is>
          <t>nacional</t>
        </is>
      </c>
      <c r="L229" s="7" t="inlineStr">
        <is>
          <t>Estimado</t>
        </is>
      </c>
      <c r="M229" s="8" t="n">
        <v>0</v>
      </c>
      <c r="N229" s="9" t="n">
        <v>2050</v>
      </c>
      <c r="O229" s="9" t="n">
        <v>1650</v>
      </c>
      <c r="P229" s="9" t="n">
        <v>2600</v>
      </c>
      <c r="Q229" s="7" t="inlineStr">
        <is>
          <t>No</t>
        </is>
      </c>
      <c r="R229" s="9">
        <f>IF(N229="","",IF(Q229="Sí",ROUND(N229/1.18,2),N229))</f>
        <v/>
      </c>
      <c r="S229" s="7" t="inlineStr">
        <is>
          <t>2026-09</t>
        </is>
      </c>
      <c r="T229" s="5" t="inlineStr">
        <is>
          <t>Estimación de arranque — pendiente de cotización</t>
        </is>
      </c>
    </row>
    <row r="230">
      <c r="A230" s="7" t="inlineStr">
        <is>
          <t>MOS-01-007</t>
        </is>
      </c>
      <c r="B230" s="7" t="inlineStr">
        <is>
          <t>Mano de obra y servicios</t>
        </is>
      </c>
      <c r="C230" s="7" t="inlineStr">
        <is>
          <t>Mano de obra por oficio</t>
        </is>
      </c>
      <c r="D230" s="5" t="inlineStr">
        <is>
          <t>Plomero</t>
        </is>
      </c>
      <c r="E230" s="5" t="inlineStr">
        <is>
          <t>Instalación sanitaria y a presión</t>
        </is>
      </c>
      <c r="F230" s="5" t="inlineStr"/>
      <c r="G230" s="5" t="inlineStr"/>
      <c r="H230" s="7" t="inlineStr">
        <is>
          <t>día</t>
        </is>
      </c>
      <c r="I230" s="7" t="inlineStr">
        <is>
          <t>Transversal</t>
        </is>
      </c>
      <c r="J230" s="7" t="inlineStr">
        <is>
          <t>estandar</t>
        </is>
      </c>
      <c r="K230" s="7" t="inlineStr">
        <is>
          <t>nacional</t>
        </is>
      </c>
      <c r="L230" s="7" t="inlineStr">
        <is>
          <t>Estimado</t>
        </is>
      </c>
      <c r="M230" s="8" t="n">
        <v>0</v>
      </c>
      <c r="N230" s="9" t="n">
        <v>2300</v>
      </c>
      <c r="O230" s="9" t="n">
        <v>1800</v>
      </c>
      <c r="P230" s="9" t="n">
        <v>3000</v>
      </c>
      <c r="Q230" s="7" t="inlineStr">
        <is>
          <t>No</t>
        </is>
      </c>
      <c r="R230" s="9">
        <f>IF(N230="","",IF(Q230="Sí",ROUND(N230/1.18,2),N230))</f>
        <v/>
      </c>
      <c r="S230" s="7" t="inlineStr">
        <is>
          <t>2026-09</t>
        </is>
      </c>
      <c r="T230" s="5" t="inlineStr">
        <is>
          <t>Estimación de arranque — pendiente de cotización</t>
        </is>
      </c>
    </row>
    <row r="231">
      <c r="A231" s="7" t="inlineStr">
        <is>
          <t>MOS-01-008</t>
        </is>
      </c>
      <c r="B231" s="7" t="inlineStr">
        <is>
          <t>Mano de obra y servicios</t>
        </is>
      </c>
      <c r="C231" s="7" t="inlineStr">
        <is>
          <t>Mano de obra por oficio</t>
        </is>
      </c>
      <c r="D231" s="5" t="inlineStr">
        <is>
          <t>Electricista</t>
        </is>
      </c>
      <c r="E231" s="5" t="inlineStr">
        <is>
          <t>Instalación eléctrica residencial</t>
        </is>
      </c>
      <c r="F231" s="5" t="inlineStr"/>
      <c r="G231" s="5" t="inlineStr"/>
      <c r="H231" s="7" t="inlineStr">
        <is>
          <t>día</t>
        </is>
      </c>
      <c r="I231" s="7" t="inlineStr">
        <is>
          <t>Transversal</t>
        </is>
      </c>
      <c r="J231" s="7" t="inlineStr">
        <is>
          <t>estandar</t>
        </is>
      </c>
      <c r="K231" s="7" t="inlineStr">
        <is>
          <t>nacional</t>
        </is>
      </c>
      <c r="L231" s="7" t="inlineStr">
        <is>
          <t>Estimado</t>
        </is>
      </c>
      <c r="M231" s="8" t="n">
        <v>0</v>
      </c>
      <c r="N231" s="9" t="n">
        <v>2450</v>
      </c>
      <c r="O231" s="9" t="n">
        <v>1900</v>
      </c>
      <c r="P231" s="9" t="n">
        <v>3200</v>
      </c>
      <c r="Q231" s="7" t="inlineStr">
        <is>
          <t>No</t>
        </is>
      </c>
      <c r="R231" s="9">
        <f>IF(N231="","",IF(Q231="Sí",ROUND(N231/1.18,2),N231))</f>
        <v/>
      </c>
      <c r="S231" s="7" t="inlineStr">
        <is>
          <t>2026-09</t>
        </is>
      </c>
      <c r="T231" s="5" t="inlineStr">
        <is>
          <t>Estimación de arranque — pendiente de cotización</t>
        </is>
      </c>
    </row>
    <row r="232">
      <c r="A232" s="7" t="inlineStr">
        <is>
          <t>MOS-01-009</t>
        </is>
      </c>
      <c r="B232" s="7" t="inlineStr">
        <is>
          <t>Mano de obra y servicios</t>
        </is>
      </c>
      <c r="C232" s="7" t="inlineStr">
        <is>
          <t>Mano de obra por oficio</t>
        </is>
      </c>
      <c r="D232" s="5" t="inlineStr">
        <is>
          <t>Pintor</t>
        </is>
      </c>
      <c r="E232" s="5" t="inlineStr">
        <is>
          <t>Preparación y aplicación</t>
        </is>
      </c>
      <c r="F232" s="5" t="inlineStr"/>
      <c r="G232" s="5" t="inlineStr"/>
      <c r="H232" s="7" t="inlineStr">
        <is>
          <t>día</t>
        </is>
      </c>
      <c r="I232" s="7" t="inlineStr">
        <is>
          <t>Transversal</t>
        </is>
      </c>
      <c r="J232" s="7" t="inlineStr">
        <is>
          <t>estandar</t>
        </is>
      </c>
      <c r="K232" s="7" t="inlineStr">
        <is>
          <t>nacional</t>
        </is>
      </c>
      <c r="L232" s="7" t="inlineStr">
        <is>
          <t>Estimado</t>
        </is>
      </c>
      <c r="M232" s="8" t="n">
        <v>0</v>
      </c>
      <c r="N232" s="9" t="n">
        <v>1850</v>
      </c>
      <c r="O232" s="9" t="n">
        <v>1500</v>
      </c>
      <c r="P232" s="9" t="n">
        <v>2400</v>
      </c>
      <c r="Q232" s="7" t="inlineStr">
        <is>
          <t>No</t>
        </is>
      </c>
      <c r="R232" s="9">
        <f>IF(N232="","",IF(Q232="Sí",ROUND(N232/1.18,2),N232))</f>
        <v/>
      </c>
      <c r="S232" s="7" t="inlineStr">
        <is>
          <t>2026-09</t>
        </is>
      </c>
      <c r="T232" s="5" t="inlineStr">
        <is>
          <t>Estimación de arranque — pendiente de cotización</t>
        </is>
      </c>
    </row>
    <row r="233">
      <c r="A233" s="7" t="inlineStr">
        <is>
          <t>MOS-01-010</t>
        </is>
      </c>
      <c r="B233" s="7" t="inlineStr">
        <is>
          <t>Mano de obra y servicios</t>
        </is>
      </c>
      <c r="C233" s="7" t="inlineStr">
        <is>
          <t>Mano de obra por oficio</t>
        </is>
      </c>
      <c r="D233" s="5" t="inlineStr">
        <is>
          <t>Ceramiquero</t>
        </is>
      </c>
      <c r="E233" s="5" t="inlineStr">
        <is>
          <t>Colocación de piso y pared</t>
        </is>
      </c>
      <c r="F233" s="5" t="inlineStr"/>
      <c r="G233" s="5" t="inlineStr"/>
      <c r="H233" s="7" t="inlineStr">
        <is>
          <t>día</t>
        </is>
      </c>
      <c r="I233" s="7" t="inlineStr">
        <is>
          <t>Transversal</t>
        </is>
      </c>
      <c r="J233" s="7" t="inlineStr">
        <is>
          <t>estandar</t>
        </is>
      </c>
      <c r="K233" s="7" t="inlineStr">
        <is>
          <t>nacional</t>
        </is>
      </c>
      <c r="L233" s="7" t="inlineStr">
        <is>
          <t>Estimado</t>
        </is>
      </c>
      <c r="M233" s="8" t="n">
        <v>0</v>
      </c>
      <c r="N233" s="9" t="n">
        <v>2300</v>
      </c>
      <c r="O233" s="9" t="n">
        <v>1800</v>
      </c>
      <c r="P233" s="9" t="n">
        <v>3000</v>
      </c>
      <c r="Q233" s="7" t="inlineStr">
        <is>
          <t>No</t>
        </is>
      </c>
      <c r="R233" s="9">
        <f>IF(N233="","",IF(Q233="Sí",ROUND(N233/1.18,2),N233))</f>
        <v/>
      </c>
      <c r="S233" s="7" t="inlineStr">
        <is>
          <t>2026-09</t>
        </is>
      </c>
      <c r="T233" s="5" t="inlineStr">
        <is>
          <t>Estimación de arranque — pendiente de cotización</t>
        </is>
      </c>
    </row>
    <row r="234">
      <c r="A234" s="7" t="inlineStr">
        <is>
          <t>MOS-01-011</t>
        </is>
      </c>
      <c r="B234" s="7" t="inlineStr">
        <is>
          <t>Mano de obra y servicios</t>
        </is>
      </c>
      <c r="C234" s="7" t="inlineStr">
        <is>
          <t>Mano de obra por oficio</t>
        </is>
      </c>
      <c r="D234" s="5" t="inlineStr">
        <is>
          <t>Plafonero / drywallero</t>
        </is>
      </c>
      <c r="E234" s="5" t="inlineStr">
        <is>
          <t>Plafones y divisiones livianas</t>
        </is>
      </c>
      <c r="F234" s="5" t="inlineStr"/>
      <c r="G234" s="5" t="inlineStr"/>
      <c r="H234" s="7" t="inlineStr">
        <is>
          <t>día</t>
        </is>
      </c>
      <c r="I234" s="7" t="inlineStr">
        <is>
          <t>Transversal</t>
        </is>
      </c>
      <c r="J234" s="7" t="inlineStr">
        <is>
          <t>estandar</t>
        </is>
      </c>
      <c r="K234" s="7" t="inlineStr">
        <is>
          <t>nacional</t>
        </is>
      </c>
      <c r="L234" s="7" t="inlineStr">
        <is>
          <t>Estimado</t>
        </is>
      </c>
      <c r="M234" s="8" t="n">
        <v>0</v>
      </c>
      <c r="N234" s="9" t="n">
        <v>2300</v>
      </c>
      <c r="O234" s="9" t="n">
        <v>1800</v>
      </c>
      <c r="P234" s="9" t="n">
        <v>3000</v>
      </c>
      <c r="Q234" s="7" t="inlineStr">
        <is>
          <t>No</t>
        </is>
      </c>
      <c r="R234" s="9">
        <f>IF(N234="","",IF(Q234="Sí",ROUND(N234/1.18,2),N234))</f>
        <v/>
      </c>
      <c r="S234" s="7" t="inlineStr">
        <is>
          <t>2026-09</t>
        </is>
      </c>
      <c r="T234" s="5" t="inlineStr">
        <is>
          <t>Estimación de arranque — pendiente de cotización</t>
        </is>
      </c>
    </row>
    <row r="235">
      <c r="A235" s="7" t="inlineStr">
        <is>
          <t>MOS-01-012</t>
        </is>
      </c>
      <c r="B235" s="7" t="inlineStr">
        <is>
          <t>Mano de obra y servicios</t>
        </is>
      </c>
      <c r="C235" s="7" t="inlineStr">
        <is>
          <t>Mano de obra por oficio</t>
        </is>
      </c>
      <c r="D235" s="5" t="inlineStr">
        <is>
          <t>Soldador / herrero</t>
        </is>
      </c>
      <c r="E235" s="5" t="inlineStr">
        <is>
          <t>Estructuras metálicas y verjas</t>
        </is>
      </c>
      <c r="F235" s="5" t="inlineStr"/>
      <c r="G235" s="5" t="inlineStr"/>
      <c r="H235" s="7" t="inlineStr">
        <is>
          <t>día</t>
        </is>
      </c>
      <c r="I235" s="7" t="inlineStr">
        <is>
          <t>Transversal</t>
        </is>
      </c>
      <c r="J235" s="7" t="inlineStr">
        <is>
          <t>estandar</t>
        </is>
      </c>
      <c r="K235" s="7" t="inlineStr">
        <is>
          <t>nacional</t>
        </is>
      </c>
      <c r="L235" s="7" t="inlineStr">
        <is>
          <t>Estimado</t>
        </is>
      </c>
      <c r="M235" s="8" t="n">
        <v>0</v>
      </c>
      <c r="N235" s="9" t="n">
        <v>2600</v>
      </c>
      <c r="O235" s="9" t="n">
        <v>2000</v>
      </c>
      <c r="P235" s="9" t="n">
        <v>3400</v>
      </c>
      <c r="Q235" s="7" t="inlineStr">
        <is>
          <t>No</t>
        </is>
      </c>
      <c r="R235" s="9">
        <f>IF(N235="","",IF(Q235="Sí",ROUND(N235/1.18,2),N235))</f>
        <v/>
      </c>
      <c r="S235" s="7" t="inlineStr">
        <is>
          <t>2026-09</t>
        </is>
      </c>
      <c r="T235" s="5" t="inlineStr">
        <is>
          <t>Estimación de arranque — pendiente de cotización</t>
        </is>
      </c>
    </row>
    <row r="236">
      <c r="A236" s="7" t="inlineStr">
        <is>
          <t>MOS-01-013</t>
        </is>
      </c>
      <c r="B236" s="7" t="inlineStr">
        <is>
          <t>Mano de obra y servicios</t>
        </is>
      </c>
      <c r="C236" s="7" t="inlineStr">
        <is>
          <t>Mano de obra por oficio</t>
        </is>
      </c>
      <c r="D236" s="5" t="inlineStr">
        <is>
          <t>Operador de equipo pesado</t>
        </is>
      </c>
      <c r="E236" s="5" t="inlineStr">
        <is>
          <t>Retro, excavadora o rodillo</t>
        </is>
      </c>
      <c r="F236" s="5" t="inlineStr"/>
      <c r="G236" s="5" t="inlineStr"/>
      <c r="H236" s="7" t="inlineStr">
        <is>
          <t>día</t>
        </is>
      </c>
      <c r="I236" s="7" t="inlineStr">
        <is>
          <t>Transversal</t>
        </is>
      </c>
      <c r="J236" s="7" t="inlineStr">
        <is>
          <t>estandar</t>
        </is>
      </c>
      <c r="K236" s="7" t="inlineStr">
        <is>
          <t>nacional</t>
        </is>
      </c>
      <c r="L236" s="7" t="inlineStr">
        <is>
          <t>Estimado</t>
        </is>
      </c>
      <c r="M236" s="8" t="n">
        <v>0</v>
      </c>
      <c r="N236" s="9" t="n">
        <v>2900</v>
      </c>
      <c r="O236" s="9" t="n">
        <v>2300</v>
      </c>
      <c r="P236" s="9" t="n">
        <v>3800</v>
      </c>
      <c r="Q236" s="7" t="inlineStr">
        <is>
          <t>No</t>
        </is>
      </c>
      <c r="R236" s="9">
        <f>IF(N236="","",IF(Q236="Sí",ROUND(N236/1.18,2),N236))</f>
        <v/>
      </c>
      <c r="S236" s="7" t="inlineStr">
        <is>
          <t>2026-09</t>
        </is>
      </c>
      <c r="T236" s="5" t="inlineStr">
        <is>
          <t>Estimación de arranque — pendiente de cotización</t>
        </is>
      </c>
    </row>
    <row r="237">
      <c r="A237" s="7" t="inlineStr">
        <is>
          <t>MOS-02-001</t>
        </is>
      </c>
      <c r="B237" s="7" t="inlineStr">
        <is>
          <t>Mano de obra y servicios</t>
        </is>
      </c>
      <c r="C237" s="7" t="inlineStr">
        <is>
          <t>Subcontratos por partida</t>
        </is>
      </c>
      <c r="D237" s="5" t="inlineStr">
        <is>
          <t>Colocación de bloques</t>
        </is>
      </c>
      <c r="E237" s="5" t="inlineStr">
        <is>
          <t>Solo mano de obra, muro de 6"</t>
        </is>
      </c>
      <c r="F237" s="5" t="inlineStr"/>
      <c r="G237" s="5" t="inlineStr"/>
      <c r="H237" s="7" t="inlineStr">
        <is>
          <t>m²</t>
        </is>
      </c>
      <c r="I237" s="7" t="inlineStr">
        <is>
          <t>Mampostería</t>
        </is>
      </c>
      <c r="J237" s="7" t="inlineStr">
        <is>
          <t>estandar</t>
        </is>
      </c>
      <c r="K237" s="7" t="inlineStr">
        <is>
          <t>nacional</t>
        </is>
      </c>
      <c r="L237" s="7" t="inlineStr">
        <is>
          <t>Estimado</t>
        </is>
      </c>
      <c r="M237" s="8" t="n">
        <v>0</v>
      </c>
      <c r="N237" s="9" t="n">
        <v>380</v>
      </c>
      <c r="O237" s="9" t="n">
        <v>300</v>
      </c>
      <c r="P237" s="9" t="n">
        <v>500</v>
      </c>
      <c r="Q237" s="7" t="inlineStr">
        <is>
          <t>No</t>
        </is>
      </c>
      <c r="R237" s="9">
        <f>IF(N237="","",IF(Q237="Sí",ROUND(N237/1.18,2),N237))</f>
        <v/>
      </c>
      <c r="S237" s="7" t="inlineStr">
        <is>
          <t>2026-09</t>
        </is>
      </c>
      <c r="T237" s="5" t="inlineStr">
        <is>
          <t>Estimación de arranque — pendiente de cotización</t>
        </is>
      </c>
    </row>
    <row r="238">
      <c r="A238" s="7" t="inlineStr">
        <is>
          <t>MOS-02-002</t>
        </is>
      </c>
      <c r="B238" s="7" t="inlineStr">
        <is>
          <t>Mano de obra y servicios</t>
        </is>
      </c>
      <c r="C238" s="7" t="inlineStr">
        <is>
          <t>Subcontratos por partida</t>
        </is>
      </c>
      <c r="D238" s="5" t="inlineStr">
        <is>
          <t>Fraguache y pañete</t>
        </is>
      </c>
      <c r="E238" s="5" t="inlineStr">
        <is>
          <t>Solo mano de obra, ambas caras se cotizan aparte</t>
        </is>
      </c>
      <c r="F238" s="5" t="inlineStr"/>
      <c r="G238" s="5" t="inlineStr"/>
      <c r="H238" s="7" t="inlineStr">
        <is>
          <t>m²</t>
        </is>
      </c>
      <c r="I238" s="7" t="inlineStr">
        <is>
          <t>Terminación de superficies</t>
        </is>
      </c>
      <c r="J238" s="7" t="inlineStr">
        <is>
          <t>estandar</t>
        </is>
      </c>
      <c r="K238" s="7" t="inlineStr">
        <is>
          <t>nacional</t>
        </is>
      </c>
      <c r="L238" s="7" t="inlineStr">
        <is>
          <t>Estimado</t>
        </is>
      </c>
      <c r="M238" s="8" t="n">
        <v>0</v>
      </c>
      <c r="N238" s="9" t="n">
        <v>430</v>
      </c>
      <c r="O238" s="9" t="n">
        <v>340</v>
      </c>
      <c r="P238" s="9" t="n">
        <v>560</v>
      </c>
      <c r="Q238" s="7" t="inlineStr">
        <is>
          <t>No</t>
        </is>
      </c>
      <c r="R238" s="9">
        <f>IF(N238="","",IF(Q238="Sí",ROUND(N238/1.18,2),N238))</f>
        <v/>
      </c>
      <c r="S238" s="7" t="inlineStr">
        <is>
          <t>2026-09</t>
        </is>
      </c>
      <c r="T238" s="5" t="inlineStr">
        <is>
          <t>Estimación de arranque — pendiente de cotización</t>
        </is>
      </c>
    </row>
    <row r="239">
      <c r="A239" s="7" t="inlineStr">
        <is>
          <t>MOS-02-003</t>
        </is>
      </c>
      <c r="B239" s="7" t="inlineStr">
        <is>
          <t>Mano de obra y servicios</t>
        </is>
      </c>
      <c r="C239" s="7" t="inlineStr">
        <is>
          <t>Subcontratos por partida</t>
        </is>
      </c>
      <c r="D239" s="5" t="inlineStr">
        <is>
          <t>Fino de techo</t>
        </is>
      </c>
      <c r="E239" s="5" t="inlineStr">
        <is>
          <t>Solo mano de obra</t>
        </is>
      </c>
      <c r="F239" s="5" t="inlineStr"/>
      <c r="G239" s="5" t="inlineStr"/>
      <c r="H239" s="7" t="inlineStr">
        <is>
          <t>m²</t>
        </is>
      </c>
      <c r="I239" s="7" t="inlineStr">
        <is>
          <t>Terminación de superficies</t>
        </is>
      </c>
      <c r="J239" s="7" t="inlineStr">
        <is>
          <t>estandar</t>
        </is>
      </c>
      <c r="K239" s="7" t="inlineStr">
        <is>
          <t>nacional</t>
        </is>
      </c>
      <c r="L239" s="7" t="inlineStr">
        <is>
          <t>Estimado</t>
        </is>
      </c>
      <c r="M239" s="8" t="n">
        <v>0</v>
      </c>
      <c r="N239" s="9" t="n">
        <v>330</v>
      </c>
      <c r="O239" s="9" t="n">
        <v>260</v>
      </c>
      <c r="P239" s="9" t="n">
        <v>430</v>
      </c>
      <c r="Q239" s="7" t="inlineStr">
        <is>
          <t>No</t>
        </is>
      </c>
      <c r="R239" s="9">
        <f>IF(N239="","",IF(Q239="Sí",ROUND(N239/1.18,2),N239))</f>
        <v/>
      </c>
      <c r="S239" s="7" t="inlineStr">
        <is>
          <t>2026-09</t>
        </is>
      </c>
      <c r="T239" s="5" t="inlineStr">
        <is>
          <t>Estimación de arranque — pendiente de cotización</t>
        </is>
      </c>
    </row>
    <row r="240">
      <c r="A240" s="7" t="inlineStr">
        <is>
          <t>MOS-02-004</t>
        </is>
      </c>
      <c r="B240" s="7" t="inlineStr">
        <is>
          <t>Mano de obra y servicios</t>
        </is>
      </c>
      <c r="C240" s="7" t="inlineStr">
        <is>
          <t>Subcontratos por partida</t>
        </is>
      </c>
      <c r="D240" s="5" t="inlineStr">
        <is>
          <t>Cantos y mochetas</t>
        </is>
      </c>
      <c r="E240" s="5" t="inlineStr">
        <is>
          <t>Solo mano de obra</t>
        </is>
      </c>
      <c r="F240" s="5" t="inlineStr"/>
      <c r="G240" s="5" t="inlineStr"/>
      <c r="H240" s="7" t="inlineStr">
        <is>
          <t>ml</t>
        </is>
      </c>
      <c r="I240" s="7" t="inlineStr">
        <is>
          <t>Terminación de superficies</t>
        </is>
      </c>
      <c r="J240" s="7" t="inlineStr">
        <is>
          <t>estandar</t>
        </is>
      </c>
      <c r="K240" s="7" t="inlineStr">
        <is>
          <t>nacional</t>
        </is>
      </c>
      <c r="L240" s="7" t="inlineStr">
        <is>
          <t>Estimado</t>
        </is>
      </c>
      <c r="M240" s="8" t="n">
        <v>0</v>
      </c>
      <c r="N240" s="9" t="n">
        <v>190</v>
      </c>
      <c r="O240" s="9" t="n">
        <v>140</v>
      </c>
      <c r="P240" s="9" t="n">
        <v>260</v>
      </c>
      <c r="Q240" s="7" t="inlineStr">
        <is>
          <t>No</t>
        </is>
      </c>
      <c r="R240" s="9">
        <f>IF(N240="","",IF(Q240="Sí",ROUND(N240/1.18,2),N240))</f>
        <v/>
      </c>
      <c r="S240" s="7" t="inlineStr">
        <is>
          <t>2026-09</t>
        </is>
      </c>
      <c r="T240" s="5" t="inlineStr">
        <is>
          <t>Estimación de arranque — pendiente de cotización</t>
        </is>
      </c>
    </row>
    <row r="241">
      <c r="A241" s="7" t="inlineStr">
        <is>
          <t>MOS-02-005</t>
        </is>
      </c>
      <c r="B241" s="7" t="inlineStr">
        <is>
          <t>Mano de obra y servicios</t>
        </is>
      </c>
      <c r="C241" s="7" t="inlineStr">
        <is>
          <t>Subcontratos por partida</t>
        </is>
      </c>
      <c r="D241" s="5" t="inlineStr">
        <is>
          <t>Zabaleta</t>
        </is>
      </c>
      <c r="E241" s="5" t="inlineStr">
        <is>
          <t>Solo mano de obra</t>
        </is>
      </c>
      <c r="F241" s="5" t="inlineStr"/>
      <c r="G241" s="5" t="inlineStr"/>
      <c r="H241" s="7" t="inlineStr">
        <is>
          <t>ml</t>
        </is>
      </c>
      <c r="I241" s="7" t="inlineStr">
        <is>
          <t>Terminación de superficies</t>
        </is>
      </c>
      <c r="J241" s="7" t="inlineStr">
        <is>
          <t>estandar</t>
        </is>
      </c>
      <c r="K241" s="7" t="inlineStr">
        <is>
          <t>nacional</t>
        </is>
      </c>
      <c r="L241" s="7" t="inlineStr">
        <is>
          <t>Estimado</t>
        </is>
      </c>
      <c r="M241" s="8" t="n">
        <v>0</v>
      </c>
      <c r="N241" s="9" t="n">
        <v>160</v>
      </c>
      <c r="O241" s="9" t="n">
        <v>120</v>
      </c>
      <c r="P241" s="9" t="n">
        <v>220</v>
      </c>
      <c r="Q241" s="7" t="inlineStr">
        <is>
          <t>No</t>
        </is>
      </c>
      <c r="R241" s="9">
        <f>IF(N241="","",IF(Q241="Sí",ROUND(N241/1.18,2),N241))</f>
        <v/>
      </c>
      <c r="S241" s="7" t="inlineStr">
        <is>
          <t>2026-09</t>
        </is>
      </c>
      <c r="T241" s="5" t="inlineStr">
        <is>
          <t>Estimación de arranque — pendiente de cotización</t>
        </is>
      </c>
    </row>
    <row r="242">
      <c r="A242" s="7" t="inlineStr">
        <is>
          <t>MOS-02-006</t>
        </is>
      </c>
      <c r="B242" s="7" t="inlineStr">
        <is>
          <t>Mano de obra y servicios</t>
        </is>
      </c>
      <c r="C242" s="7" t="inlineStr">
        <is>
          <t>Subcontratos por partida</t>
        </is>
      </c>
      <c r="D242" s="5" t="inlineStr">
        <is>
          <t>Encofrado de losa</t>
        </is>
      </c>
      <c r="E242" s="5" t="inlineStr">
        <is>
          <t>Mano de obra de formaleta y apuntalamiento</t>
        </is>
      </c>
      <c r="F242" s="5" t="inlineStr"/>
      <c r="G242" s="5" t="inlineStr"/>
      <c r="H242" s="7" t="inlineStr">
        <is>
          <t>m²</t>
        </is>
      </c>
      <c r="I242" s="7" t="inlineStr">
        <is>
          <t>Estructura</t>
        </is>
      </c>
      <c r="J242" s="7" t="inlineStr">
        <is>
          <t>estandar</t>
        </is>
      </c>
      <c r="K242" s="7" t="inlineStr">
        <is>
          <t>nacional</t>
        </is>
      </c>
      <c r="L242" s="7" t="inlineStr">
        <is>
          <t>Estimado</t>
        </is>
      </c>
      <c r="M242" s="8" t="n">
        <v>0</v>
      </c>
      <c r="N242" s="9" t="n">
        <v>680</v>
      </c>
      <c r="O242" s="9" t="n">
        <v>520</v>
      </c>
      <c r="P242" s="9" t="n">
        <v>900</v>
      </c>
      <c r="Q242" s="7" t="inlineStr">
        <is>
          <t>No</t>
        </is>
      </c>
      <c r="R242" s="9">
        <f>IF(N242="","",IF(Q242="Sí",ROUND(N242/1.18,2),N242))</f>
        <v/>
      </c>
      <c r="S242" s="7" t="inlineStr">
        <is>
          <t>2026-09</t>
        </is>
      </c>
      <c r="T242" s="5" t="inlineStr">
        <is>
          <t>Estimación de arranque — pendiente de cotización</t>
        </is>
      </c>
    </row>
    <row r="243">
      <c r="A243" s="7" t="inlineStr">
        <is>
          <t>MOS-02-007</t>
        </is>
      </c>
      <c r="B243" s="7" t="inlineStr">
        <is>
          <t>Mano de obra y servicios</t>
        </is>
      </c>
      <c r="C243" s="7" t="inlineStr">
        <is>
          <t>Subcontratos por partida</t>
        </is>
      </c>
      <c r="D243" s="5" t="inlineStr">
        <is>
          <t>Armado de acero de refuerzo</t>
        </is>
      </c>
      <c r="E243" s="5" t="inlineStr">
        <is>
          <t>Corte, doblado y amarre</t>
        </is>
      </c>
      <c r="F243" s="5" t="inlineStr"/>
      <c r="G243" s="5" t="inlineStr"/>
      <c r="H243" s="7" t="inlineStr">
        <is>
          <t>qq</t>
        </is>
      </c>
      <c r="I243" s="7" t="inlineStr">
        <is>
          <t>Estructura</t>
        </is>
      </c>
      <c r="J243" s="7" t="inlineStr">
        <is>
          <t>estandar</t>
        </is>
      </c>
      <c r="K243" s="7" t="inlineStr">
        <is>
          <t>nacional</t>
        </is>
      </c>
      <c r="L243" s="7" t="inlineStr">
        <is>
          <t>Estimado</t>
        </is>
      </c>
      <c r="M243" s="8" t="n">
        <v>0</v>
      </c>
      <c r="N243" s="9" t="n">
        <v>1280</v>
      </c>
      <c r="O243" s="9" t="n">
        <v>980</v>
      </c>
      <c r="P243" s="9" t="n">
        <v>1700</v>
      </c>
      <c r="Q243" s="7" t="inlineStr">
        <is>
          <t>No</t>
        </is>
      </c>
      <c r="R243" s="9">
        <f>IF(N243="","",IF(Q243="Sí",ROUND(N243/1.18,2),N243))</f>
        <v/>
      </c>
      <c r="S243" s="7" t="inlineStr">
        <is>
          <t>2026-09</t>
        </is>
      </c>
      <c r="T243" s="5" t="inlineStr">
        <is>
          <t>Estimación de arranque — pendiente de cotización</t>
        </is>
      </c>
    </row>
    <row r="244">
      <c r="A244" s="7" t="inlineStr">
        <is>
          <t>MOS-02-008</t>
        </is>
      </c>
      <c r="B244" s="7" t="inlineStr">
        <is>
          <t>Mano de obra y servicios</t>
        </is>
      </c>
      <c r="C244" s="7" t="inlineStr">
        <is>
          <t>Subcontratos por partida</t>
        </is>
      </c>
      <c r="D244" s="5" t="inlineStr">
        <is>
          <t>Vaciado de hormigón</t>
        </is>
      </c>
      <c r="E244" s="5" t="inlineStr">
        <is>
          <t>Colocación, vibrado y curado</t>
        </is>
      </c>
      <c r="F244" s="5" t="inlineStr"/>
      <c r="G244" s="5" t="inlineStr"/>
      <c r="H244" s="7" t="inlineStr">
        <is>
          <t>m³</t>
        </is>
      </c>
      <c r="I244" s="7" t="inlineStr">
        <is>
          <t>Estructura</t>
        </is>
      </c>
      <c r="J244" s="7" t="inlineStr">
        <is>
          <t>estandar</t>
        </is>
      </c>
      <c r="K244" s="7" t="inlineStr">
        <is>
          <t>nacional</t>
        </is>
      </c>
      <c r="L244" s="7" t="inlineStr">
        <is>
          <t>Estimado</t>
        </is>
      </c>
      <c r="M244" s="8" t="n">
        <v>0</v>
      </c>
      <c r="N244" s="9" t="n">
        <v>950</v>
      </c>
      <c r="O244" s="9" t="n">
        <v>750</v>
      </c>
      <c r="P244" s="9" t="n">
        <v>1250</v>
      </c>
      <c r="Q244" s="7" t="inlineStr">
        <is>
          <t>No</t>
        </is>
      </c>
      <c r="R244" s="9">
        <f>IF(N244="","",IF(Q244="Sí",ROUND(N244/1.18,2),N244))</f>
        <v/>
      </c>
      <c r="S244" s="7" t="inlineStr">
        <is>
          <t>2026-09</t>
        </is>
      </c>
      <c r="T244" s="5" t="inlineStr">
        <is>
          <t>Estimación de arranque — pendiente de cotización</t>
        </is>
      </c>
    </row>
    <row r="245">
      <c r="A245" s="7" t="inlineStr">
        <is>
          <t>MOS-02-009</t>
        </is>
      </c>
      <c r="B245" s="7" t="inlineStr">
        <is>
          <t>Mano de obra y servicios</t>
        </is>
      </c>
      <c r="C245" s="7" t="inlineStr">
        <is>
          <t>Subcontratos por partida</t>
        </is>
      </c>
      <c r="D245" s="5" t="inlineStr">
        <is>
          <t>Colocación de cerámica</t>
        </is>
      </c>
      <c r="E245" s="5" t="inlineStr">
        <is>
          <t>Solo mano de obra</t>
        </is>
      </c>
      <c r="F245" s="5" t="inlineStr"/>
      <c r="G245" s="5" t="inlineStr"/>
      <c r="H245" s="7" t="inlineStr">
        <is>
          <t>m²</t>
        </is>
      </c>
      <c r="I245" s="7" t="inlineStr">
        <is>
          <t>Pisos</t>
        </is>
      </c>
      <c r="J245" s="7" t="inlineStr">
        <is>
          <t>estandar</t>
        </is>
      </c>
      <c r="K245" s="7" t="inlineStr">
        <is>
          <t>nacional</t>
        </is>
      </c>
      <c r="L245" s="7" t="inlineStr">
        <is>
          <t>Estimado</t>
        </is>
      </c>
      <c r="M245" s="8" t="n">
        <v>0</v>
      </c>
      <c r="N245" s="9" t="n">
        <v>480</v>
      </c>
      <c r="O245" s="9" t="n">
        <v>380</v>
      </c>
      <c r="P245" s="9" t="n">
        <v>620</v>
      </c>
      <c r="Q245" s="7" t="inlineStr">
        <is>
          <t>No</t>
        </is>
      </c>
      <c r="R245" s="9">
        <f>IF(N245="","",IF(Q245="Sí",ROUND(N245/1.18,2),N245))</f>
        <v/>
      </c>
      <c r="S245" s="7" t="inlineStr">
        <is>
          <t>2026-09</t>
        </is>
      </c>
      <c r="T245" s="5" t="inlineStr">
        <is>
          <t>Estimación de arranque — pendiente de cotización</t>
        </is>
      </c>
    </row>
    <row r="246">
      <c r="A246" s="7" t="inlineStr">
        <is>
          <t>MOS-02-010</t>
        </is>
      </c>
      <c r="B246" s="7" t="inlineStr">
        <is>
          <t>Mano de obra y servicios</t>
        </is>
      </c>
      <c r="C246" s="7" t="inlineStr">
        <is>
          <t>Subcontratos por partida</t>
        </is>
      </c>
      <c r="D246" s="5" t="inlineStr">
        <is>
          <t>Colocación de porcelanato gran formato</t>
        </is>
      </c>
      <c r="E246" s="5" t="inlineStr">
        <is>
          <t>Solo mano de obra, nivelación incluida</t>
        </is>
      </c>
      <c r="F246" s="5" t="inlineStr"/>
      <c r="G246" s="5" t="inlineStr"/>
      <c r="H246" s="7" t="inlineStr">
        <is>
          <t>m²</t>
        </is>
      </c>
      <c r="I246" s="7" t="inlineStr">
        <is>
          <t>Pisos</t>
        </is>
      </c>
      <c r="J246" s="7" t="inlineStr">
        <is>
          <t>estandar</t>
        </is>
      </c>
      <c r="K246" s="7" t="inlineStr">
        <is>
          <t>nacional</t>
        </is>
      </c>
      <c r="L246" s="7" t="inlineStr">
        <is>
          <t>Estimado</t>
        </is>
      </c>
      <c r="M246" s="8" t="n">
        <v>0</v>
      </c>
      <c r="N246" s="9" t="n">
        <v>780</v>
      </c>
      <c r="O246" s="9" t="n">
        <v>600</v>
      </c>
      <c r="P246" s="9" t="n">
        <v>1050</v>
      </c>
      <c r="Q246" s="7" t="inlineStr">
        <is>
          <t>No</t>
        </is>
      </c>
      <c r="R246" s="9">
        <f>IF(N246="","",IF(Q246="Sí",ROUND(N246/1.18,2),N246))</f>
        <v/>
      </c>
      <c r="S246" s="7" t="inlineStr">
        <is>
          <t>2026-09</t>
        </is>
      </c>
      <c r="T246" s="5" t="inlineStr">
        <is>
          <t>Estimación de arranque — pendiente de cotización</t>
        </is>
      </c>
    </row>
    <row r="247">
      <c r="A247" s="7" t="inlineStr">
        <is>
          <t>MOS-02-011</t>
        </is>
      </c>
      <c r="B247" s="7" t="inlineStr">
        <is>
          <t>Mano de obra y servicios</t>
        </is>
      </c>
      <c r="C247" s="7" t="inlineStr">
        <is>
          <t>Subcontratos por partida</t>
        </is>
      </c>
      <c r="D247" s="5" t="inlineStr">
        <is>
          <t>Instalación eléctrica por punto</t>
        </is>
      </c>
      <c r="E247" s="5" t="inlineStr">
        <is>
          <t>Solo mano de obra, por salida</t>
        </is>
      </c>
      <c r="F247" s="5" t="inlineStr"/>
      <c r="G247" s="5" t="inlineStr"/>
      <c r="H247" s="7" t="inlineStr">
        <is>
          <t>punto</t>
        </is>
      </c>
      <c r="I247" s="7" t="inlineStr">
        <is>
          <t>Instalaciones</t>
        </is>
      </c>
      <c r="J247" s="7" t="inlineStr">
        <is>
          <t>estandar</t>
        </is>
      </c>
      <c r="K247" s="7" t="inlineStr">
        <is>
          <t>nacional</t>
        </is>
      </c>
      <c r="L247" s="7" t="inlineStr">
        <is>
          <t>Estimado</t>
        </is>
      </c>
      <c r="M247" s="8" t="n">
        <v>0</v>
      </c>
      <c r="N247" s="9" t="n">
        <v>980</v>
      </c>
      <c r="O247" s="9" t="n">
        <v>750</v>
      </c>
      <c r="P247" s="9" t="n">
        <v>1300</v>
      </c>
      <c r="Q247" s="7" t="inlineStr">
        <is>
          <t>No</t>
        </is>
      </c>
      <c r="R247" s="9">
        <f>IF(N247="","",IF(Q247="Sí",ROUND(N247/1.18,2),N247))</f>
        <v/>
      </c>
      <c r="S247" s="7" t="inlineStr">
        <is>
          <t>2026-09</t>
        </is>
      </c>
      <c r="T247" s="5" t="inlineStr">
        <is>
          <t>Estimación de arranque — pendiente de cotización</t>
        </is>
      </c>
    </row>
    <row r="248">
      <c r="A248" s="7" t="inlineStr">
        <is>
          <t>MOS-02-012</t>
        </is>
      </c>
      <c r="B248" s="7" t="inlineStr">
        <is>
          <t>Mano de obra y servicios</t>
        </is>
      </c>
      <c r="C248" s="7" t="inlineStr">
        <is>
          <t>Subcontratos por partida</t>
        </is>
      </c>
      <c r="D248" s="5" t="inlineStr">
        <is>
          <t>Instalación sanitaria por punto</t>
        </is>
      </c>
      <c r="E248" s="5" t="inlineStr">
        <is>
          <t>Solo mano de obra, por salida</t>
        </is>
      </c>
      <c r="F248" s="5" t="inlineStr"/>
      <c r="G248" s="5" t="inlineStr"/>
      <c r="H248" s="7" t="inlineStr">
        <is>
          <t>punto</t>
        </is>
      </c>
      <c r="I248" s="7" t="inlineStr">
        <is>
          <t>Instalaciones</t>
        </is>
      </c>
      <c r="J248" s="7" t="inlineStr">
        <is>
          <t>estandar</t>
        </is>
      </c>
      <c r="K248" s="7" t="inlineStr">
        <is>
          <t>nacional</t>
        </is>
      </c>
      <c r="L248" s="7" t="inlineStr">
        <is>
          <t>Estimado</t>
        </is>
      </c>
      <c r="M248" s="8" t="n">
        <v>0</v>
      </c>
      <c r="N248" s="9" t="n">
        <v>1650</v>
      </c>
      <c r="O248" s="9" t="n">
        <v>1250</v>
      </c>
      <c r="P248" s="9" t="n">
        <v>2200</v>
      </c>
      <c r="Q248" s="7" t="inlineStr">
        <is>
          <t>No</t>
        </is>
      </c>
      <c r="R248" s="9">
        <f>IF(N248="","",IF(Q248="Sí",ROUND(N248/1.18,2),N248))</f>
        <v/>
      </c>
      <c r="S248" s="7" t="inlineStr">
        <is>
          <t>2026-09</t>
        </is>
      </c>
      <c r="T248" s="5" t="inlineStr">
        <is>
          <t>Estimación de arranque — pendiente de cotización</t>
        </is>
      </c>
    </row>
    <row r="249">
      <c r="A249" s="7" t="inlineStr">
        <is>
          <t>MOS-02-013</t>
        </is>
      </c>
      <c r="B249" s="7" t="inlineStr">
        <is>
          <t>Mano de obra y servicios</t>
        </is>
      </c>
      <c r="C249" s="7" t="inlineStr">
        <is>
          <t>Subcontratos por partida</t>
        </is>
      </c>
      <c r="D249" s="5" t="inlineStr">
        <is>
          <t>Pintura (dos manos + sellador)</t>
        </is>
      </c>
      <c r="E249" s="5" t="inlineStr">
        <is>
          <t>Solo mano de obra</t>
        </is>
      </c>
      <c r="F249" s="5" t="inlineStr"/>
      <c r="G249" s="5" t="inlineStr"/>
      <c r="H249" s="7" t="inlineStr">
        <is>
          <t>m²</t>
        </is>
      </c>
      <c r="I249" s="7" t="inlineStr">
        <is>
          <t>Pintura</t>
        </is>
      </c>
      <c r="J249" s="7" t="inlineStr">
        <is>
          <t>estandar</t>
        </is>
      </c>
      <c r="K249" s="7" t="inlineStr">
        <is>
          <t>nacional</t>
        </is>
      </c>
      <c r="L249" s="7" t="inlineStr">
        <is>
          <t>Estimado</t>
        </is>
      </c>
      <c r="M249" s="8" t="n">
        <v>0</v>
      </c>
      <c r="N249" s="9" t="n">
        <v>240</v>
      </c>
      <c r="O249" s="9" t="n">
        <v>180</v>
      </c>
      <c r="P249" s="9" t="n">
        <v>320</v>
      </c>
      <c r="Q249" s="7" t="inlineStr">
        <is>
          <t>No</t>
        </is>
      </c>
      <c r="R249" s="9">
        <f>IF(N249="","",IF(Q249="Sí",ROUND(N249/1.18,2),N249))</f>
        <v/>
      </c>
      <c r="S249" s="7" t="inlineStr">
        <is>
          <t>2026-09</t>
        </is>
      </c>
      <c r="T249" s="5" t="inlineStr">
        <is>
          <t>Estimación de arranque — pendiente de cotización</t>
        </is>
      </c>
    </row>
    <row r="250">
      <c r="A250" s="7" t="inlineStr">
        <is>
          <t>MOS-02-014</t>
        </is>
      </c>
      <c r="B250" s="7" t="inlineStr">
        <is>
          <t>Mano de obra y servicios</t>
        </is>
      </c>
      <c r="C250" s="7" t="inlineStr">
        <is>
          <t>Subcontratos por partida</t>
        </is>
      </c>
      <c r="D250" s="5" t="inlineStr">
        <is>
          <t>Instalación de plafón / drywall</t>
        </is>
      </c>
      <c r="E250" s="5" t="inlineStr">
        <is>
          <t>Solo mano de obra, incluye masillado</t>
        </is>
      </c>
      <c r="F250" s="5" t="inlineStr"/>
      <c r="G250" s="5" t="inlineStr"/>
      <c r="H250" s="7" t="inlineStr">
        <is>
          <t>m²</t>
        </is>
      </c>
      <c r="I250" s="7" t="inlineStr">
        <is>
          <t>Terminación de superficies</t>
        </is>
      </c>
      <c r="J250" s="7" t="inlineStr">
        <is>
          <t>estandar</t>
        </is>
      </c>
      <c r="K250" s="7" t="inlineStr">
        <is>
          <t>nacional</t>
        </is>
      </c>
      <c r="L250" s="7" t="inlineStr">
        <is>
          <t>Estimado</t>
        </is>
      </c>
      <c r="M250" s="8" t="n">
        <v>0</v>
      </c>
      <c r="N250" s="9" t="n">
        <v>880</v>
      </c>
      <c r="O250" s="9" t="n">
        <v>680</v>
      </c>
      <c r="P250" s="9" t="n">
        <v>1150</v>
      </c>
      <c r="Q250" s="7" t="inlineStr">
        <is>
          <t>No</t>
        </is>
      </c>
      <c r="R250" s="9">
        <f>IF(N250="","",IF(Q250="Sí",ROUND(N250/1.18,2),N250))</f>
        <v/>
      </c>
      <c r="S250" s="7" t="inlineStr">
        <is>
          <t>2026-09</t>
        </is>
      </c>
      <c r="T250" s="5" t="inlineStr">
        <is>
          <t>Estimación de arranque — pendiente de cotización</t>
        </is>
      </c>
    </row>
    <row r="251">
      <c r="A251" s="7" t="inlineStr">
        <is>
          <t>MOS-02-015</t>
        </is>
      </c>
      <c r="B251" s="7" t="inlineStr">
        <is>
          <t>Mano de obra y servicios</t>
        </is>
      </c>
      <c r="C251" s="7" t="inlineStr">
        <is>
          <t>Subcontratos por partida</t>
        </is>
      </c>
      <c r="D251" s="5" t="inlineStr">
        <is>
          <t>Instalación de puertas</t>
        </is>
      </c>
      <c r="E251" s="5" t="inlineStr">
        <is>
          <t>Marco, hoja y herrajes</t>
        </is>
      </c>
      <c r="F251" s="5" t="inlineStr"/>
      <c r="G251" s="5" t="inlineStr"/>
      <c r="H251" s="7" t="inlineStr">
        <is>
          <t>unidad</t>
        </is>
      </c>
      <c r="I251" s="7" t="inlineStr">
        <is>
          <t>Puertas y ventanas</t>
        </is>
      </c>
      <c r="J251" s="7" t="inlineStr">
        <is>
          <t>estandar</t>
        </is>
      </c>
      <c r="K251" s="7" t="inlineStr">
        <is>
          <t>nacional</t>
        </is>
      </c>
      <c r="L251" s="7" t="inlineStr">
        <is>
          <t>Estimado</t>
        </is>
      </c>
      <c r="M251" s="8" t="n">
        <v>0</v>
      </c>
      <c r="N251" s="9" t="n">
        <v>1900</v>
      </c>
      <c r="O251" s="9" t="n">
        <v>1400</v>
      </c>
      <c r="P251" s="9" t="n">
        <v>2600</v>
      </c>
      <c r="Q251" s="7" t="inlineStr">
        <is>
          <t>No</t>
        </is>
      </c>
      <c r="R251" s="9">
        <f>IF(N251="","",IF(Q251="Sí",ROUND(N251/1.18,2),N251))</f>
        <v/>
      </c>
      <c r="S251" s="7" t="inlineStr">
        <is>
          <t>2026-09</t>
        </is>
      </c>
      <c r="T251" s="5" t="inlineStr">
        <is>
          <t>Estimación de arranque — pendiente de cotización</t>
        </is>
      </c>
    </row>
    <row r="252">
      <c r="A252" s="7" t="inlineStr">
        <is>
          <t>MOS-02-016</t>
        </is>
      </c>
      <c r="B252" s="7" t="inlineStr">
        <is>
          <t>Mano de obra y servicios</t>
        </is>
      </c>
      <c r="C252" s="7" t="inlineStr">
        <is>
          <t>Subcontratos por partida</t>
        </is>
      </c>
      <c r="D252" s="5" t="inlineStr">
        <is>
          <t>Techado: estructura y cubierta</t>
        </is>
      </c>
      <c r="E252" s="5" t="inlineStr">
        <is>
          <t>Solo mano de obra, cubierta metálica</t>
        </is>
      </c>
      <c r="F252" s="5" t="inlineStr"/>
      <c r="G252" s="5" t="inlineStr"/>
      <c r="H252" s="7" t="inlineStr">
        <is>
          <t>m²</t>
        </is>
      </c>
      <c r="I252" s="7" t="inlineStr">
        <is>
          <t>Techos</t>
        </is>
      </c>
      <c r="J252" s="7" t="inlineStr">
        <is>
          <t>estandar</t>
        </is>
      </c>
      <c r="K252" s="7" t="inlineStr">
        <is>
          <t>nacional</t>
        </is>
      </c>
      <c r="L252" s="7" t="inlineStr">
        <is>
          <t>Estimado</t>
        </is>
      </c>
      <c r="M252" s="8" t="n">
        <v>0</v>
      </c>
      <c r="N252" s="9" t="n">
        <v>1650</v>
      </c>
      <c r="O252" s="9" t="n">
        <v>1250</v>
      </c>
      <c r="P252" s="9" t="n">
        <v>2200</v>
      </c>
      <c r="Q252" s="7" t="inlineStr">
        <is>
          <t>No</t>
        </is>
      </c>
      <c r="R252" s="9">
        <f>IF(N252="","",IF(Q252="Sí",ROUND(N252/1.18,2),N252))</f>
        <v/>
      </c>
      <c r="S252" s="7" t="inlineStr">
        <is>
          <t>2026-09</t>
        </is>
      </c>
      <c r="T252" s="5" t="inlineStr">
        <is>
          <t>Estimación de arranque — pendiente de cotización</t>
        </is>
      </c>
    </row>
    <row r="253">
      <c r="A253" s="7" t="inlineStr">
        <is>
          <t>MOS-02-017</t>
        </is>
      </c>
      <c r="B253" s="7" t="inlineStr">
        <is>
          <t>Mano de obra y servicios</t>
        </is>
      </c>
      <c r="C253" s="7" t="inlineStr">
        <is>
          <t>Subcontratos por partida</t>
        </is>
      </c>
      <c r="D253" s="5" t="inlineStr">
        <is>
          <t>Impermeabilización de techo</t>
        </is>
      </c>
      <c r="E253" s="5" t="inlineStr">
        <is>
          <t>Solo mano de obra, sistema líquido</t>
        </is>
      </c>
      <c r="F253" s="5" t="inlineStr"/>
      <c r="G253" s="5" t="inlineStr"/>
      <c r="H253" s="7" t="inlineStr">
        <is>
          <t>m²</t>
        </is>
      </c>
      <c r="I253" s="7" t="inlineStr">
        <is>
          <t>Techos</t>
        </is>
      </c>
      <c r="J253" s="7" t="inlineStr">
        <is>
          <t>estandar</t>
        </is>
      </c>
      <c r="K253" s="7" t="inlineStr">
        <is>
          <t>nacional</t>
        </is>
      </c>
      <c r="L253" s="7" t="inlineStr">
        <is>
          <t>Estimado</t>
        </is>
      </c>
      <c r="M253" s="8" t="n">
        <v>0</v>
      </c>
      <c r="N253" s="9" t="n">
        <v>780</v>
      </c>
      <c r="O253" s="9" t="n">
        <v>600</v>
      </c>
      <c r="P253" s="9" t="n">
        <v>1050</v>
      </c>
      <c r="Q253" s="7" t="inlineStr">
        <is>
          <t>No</t>
        </is>
      </c>
      <c r="R253" s="9">
        <f>IF(N253="","",IF(Q253="Sí",ROUND(N253/1.18,2),N253))</f>
        <v/>
      </c>
      <c r="S253" s="7" t="inlineStr">
        <is>
          <t>2026-09</t>
        </is>
      </c>
      <c r="T253" s="5" t="inlineStr">
        <is>
          <t>Estimación de arranque — pendiente de cotización</t>
        </is>
      </c>
    </row>
    <row r="254">
      <c r="A254" s="7" t="inlineStr">
        <is>
          <t>MOS-03-001</t>
        </is>
      </c>
      <c r="B254" s="7" t="inlineStr">
        <is>
          <t>Mano de obra y servicios</t>
        </is>
      </c>
      <c r="C254" s="7" t="inlineStr">
        <is>
          <t>Servicios profesionales</t>
        </is>
      </c>
      <c r="D254" s="5" t="inlineStr">
        <is>
          <t>Diseño arquitectónico</t>
        </is>
      </c>
      <c r="E254" s="5" t="inlineStr">
        <is>
          <t>Anteproyecto y planos constructivos</t>
        </is>
      </c>
      <c r="F254" s="5" t="inlineStr"/>
      <c r="G254" s="5" t="inlineStr"/>
      <c r="H254" s="7" t="inlineStr">
        <is>
          <t>m²</t>
        </is>
      </c>
      <c r="I254" s="7" t="inlineStr">
        <is>
          <t>Preliminares</t>
        </is>
      </c>
      <c r="J254" s="7" t="inlineStr">
        <is>
          <t>estandar</t>
        </is>
      </c>
      <c r="K254" s="7" t="inlineStr">
        <is>
          <t>nacional</t>
        </is>
      </c>
      <c r="L254" s="7" t="inlineStr">
        <is>
          <t>Estimado</t>
        </is>
      </c>
      <c r="M254" s="8" t="n">
        <v>0</v>
      </c>
      <c r="N254" s="9" t="n">
        <v>1150</v>
      </c>
      <c r="O254" s="9" t="n">
        <v>800</v>
      </c>
      <c r="P254" s="9" t="n">
        <v>1800</v>
      </c>
      <c r="Q254" s="7" t="inlineStr">
        <is>
          <t>No</t>
        </is>
      </c>
      <c r="R254" s="9">
        <f>IF(N254="","",IF(Q254="Sí",ROUND(N254/1.18,2),N254))</f>
        <v/>
      </c>
      <c r="S254" s="7" t="inlineStr">
        <is>
          <t>2026-09</t>
        </is>
      </c>
      <c r="T254" s="5" t="inlineStr">
        <is>
          <t>Estimación de arranque — pendiente de cotización</t>
        </is>
      </c>
    </row>
    <row r="255">
      <c r="A255" s="7" t="inlineStr">
        <is>
          <t>MOS-03-002</t>
        </is>
      </c>
      <c r="B255" s="7" t="inlineStr">
        <is>
          <t>Mano de obra y servicios</t>
        </is>
      </c>
      <c r="C255" s="7" t="inlineStr">
        <is>
          <t>Servicios profesionales</t>
        </is>
      </c>
      <c r="D255" s="5" t="inlineStr">
        <is>
          <t>Cálculo estructural</t>
        </is>
      </c>
      <c r="E255" s="5" t="inlineStr">
        <is>
          <t>Memoria y planos estructurales</t>
        </is>
      </c>
      <c r="F255" s="5" t="inlineStr"/>
      <c r="G255" s="5" t="inlineStr"/>
      <c r="H255" s="7" t="inlineStr">
        <is>
          <t>m²</t>
        </is>
      </c>
      <c r="I255" s="7" t="inlineStr">
        <is>
          <t>Preliminares</t>
        </is>
      </c>
      <c r="J255" s="7" t="inlineStr">
        <is>
          <t>estandar</t>
        </is>
      </c>
      <c r="K255" s="7" t="inlineStr">
        <is>
          <t>nacional</t>
        </is>
      </c>
      <c r="L255" s="7" t="inlineStr">
        <is>
          <t>Estimado</t>
        </is>
      </c>
      <c r="M255" s="8" t="n">
        <v>0</v>
      </c>
      <c r="N255" s="9" t="n">
        <v>480</v>
      </c>
      <c r="O255" s="9" t="n">
        <v>350</v>
      </c>
      <c r="P255" s="9" t="n">
        <v>700</v>
      </c>
      <c r="Q255" s="7" t="inlineStr">
        <is>
          <t>No</t>
        </is>
      </c>
      <c r="R255" s="9">
        <f>IF(N255="","",IF(Q255="Sí",ROUND(N255/1.18,2),N255))</f>
        <v/>
      </c>
      <c r="S255" s="7" t="inlineStr">
        <is>
          <t>2026-09</t>
        </is>
      </c>
      <c r="T255" s="5" t="inlineStr">
        <is>
          <t>Estimación de arranque — pendiente de cotización</t>
        </is>
      </c>
    </row>
    <row r="256">
      <c r="A256" s="7" t="inlineStr">
        <is>
          <t>MOS-03-003</t>
        </is>
      </c>
      <c r="B256" s="7" t="inlineStr">
        <is>
          <t>Mano de obra y servicios</t>
        </is>
      </c>
      <c r="C256" s="7" t="inlineStr">
        <is>
          <t>Servicios profesionales</t>
        </is>
      </c>
      <c r="D256" s="5" t="inlineStr">
        <is>
          <t>Diseño eléctrico y sanitario</t>
        </is>
      </c>
      <c r="E256" s="5" t="inlineStr">
        <is>
          <t>Planos de instalaciones</t>
        </is>
      </c>
      <c r="F256" s="5" t="inlineStr"/>
      <c r="G256" s="5" t="inlineStr"/>
      <c r="H256" s="7" t="inlineStr">
        <is>
          <t>m²</t>
        </is>
      </c>
      <c r="I256" s="7" t="inlineStr">
        <is>
          <t>Preliminares</t>
        </is>
      </c>
      <c r="J256" s="7" t="inlineStr">
        <is>
          <t>estandar</t>
        </is>
      </c>
      <c r="K256" s="7" t="inlineStr">
        <is>
          <t>nacional</t>
        </is>
      </c>
      <c r="L256" s="7" t="inlineStr">
        <is>
          <t>Estimado</t>
        </is>
      </c>
      <c r="M256" s="8" t="n">
        <v>0</v>
      </c>
      <c r="N256" s="9" t="n">
        <v>420</v>
      </c>
      <c r="O256" s="9" t="n">
        <v>300</v>
      </c>
      <c r="P256" s="9" t="n">
        <v>620</v>
      </c>
      <c r="Q256" s="7" t="inlineStr">
        <is>
          <t>No</t>
        </is>
      </c>
      <c r="R256" s="9">
        <f>IF(N256="","",IF(Q256="Sí",ROUND(N256/1.18,2),N256))</f>
        <v/>
      </c>
      <c r="S256" s="7" t="inlineStr">
        <is>
          <t>2026-09</t>
        </is>
      </c>
      <c r="T256" s="5" t="inlineStr">
        <is>
          <t>Estimación de arranque — pendiente de cotización</t>
        </is>
      </c>
    </row>
    <row r="257">
      <c r="A257" s="7" t="inlineStr">
        <is>
          <t>MOS-03-004</t>
        </is>
      </c>
      <c r="B257" s="7" t="inlineStr">
        <is>
          <t>Mano de obra y servicios</t>
        </is>
      </c>
      <c r="C257" s="7" t="inlineStr">
        <is>
          <t>Servicios profesionales</t>
        </is>
      </c>
      <c r="D257" s="5" t="inlineStr">
        <is>
          <t>Topografía y deslinde de solar</t>
        </is>
      </c>
      <c r="E257" s="5" t="inlineStr">
        <is>
          <t>Varía fuerte por superficie y ubicación</t>
        </is>
      </c>
      <c r="F257" s="5" t="inlineStr"/>
      <c r="G257" s="5" t="inlineStr"/>
      <c r="H257" s="7" t="inlineStr">
        <is>
          <t>ajuste</t>
        </is>
      </c>
      <c r="I257" s="7" t="inlineStr">
        <is>
          <t>Preliminares</t>
        </is>
      </c>
      <c r="J257" s="7" t="inlineStr">
        <is>
          <t>estandar</t>
        </is>
      </c>
      <c r="K257" s="7" t="inlineStr">
        <is>
          <t>nacional</t>
        </is>
      </c>
      <c r="L257" s="7" t="inlineStr">
        <is>
          <t>Estimado</t>
        </is>
      </c>
      <c r="M257" s="8" t="n">
        <v>0</v>
      </c>
      <c r="N257" s="9" t="n">
        <v>45000</v>
      </c>
      <c r="O257" s="9" t="n">
        <v>30000</v>
      </c>
      <c r="P257" s="9" t="n">
        <v>75000</v>
      </c>
      <c r="Q257" s="7" t="inlineStr">
        <is>
          <t>No</t>
        </is>
      </c>
      <c r="R257" s="9">
        <f>IF(N257="","",IF(Q257="Sí",ROUND(N257/1.18,2),N257))</f>
        <v/>
      </c>
      <c r="S257" s="7" t="inlineStr">
        <is>
          <t>2026-09</t>
        </is>
      </c>
      <c r="T257" s="5" t="inlineStr">
        <is>
          <t>Estimación de arranque — pendiente de cotización</t>
        </is>
      </c>
    </row>
    <row r="258">
      <c r="A258" s="7" t="inlineStr">
        <is>
          <t>MOS-03-005</t>
        </is>
      </c>
      <c r="B258" s="7" t="inlineStr">
        <is>
          <t>Mano de obra y servicios</t>
        </is>
      </c>
      <c r="C258" s="7" t="inlineStr">
        <is>
          <t>Servicios profesionales</t>
        </is>
      </c>
      <c r="D258" s="5" t="inlineStr">
        <is>
          <t>Estudio de suelo (por perforación)</t>
        </is>
      </c>
      <c r="E258" s="5" t="inlineStr">
        <is>
          <t>Sondeo SPT; mínimo suele ser 2-3 perforaciones</t>
        </is>
      </c>
      <c r="F258" s="5" t="inlineStr"/>
      <c r="G258" s="5" t="inlineStr"/>
      <c r="H258" s="7" t="inlineStr">
        <is>
          <t>ajuste</t>
        </is>
      </c>
      <c r="I258" s="7" t="inlineStr">
        <is>
          <t>Preliminares</t>
        </is>
      </c>
      <c r="J258" s="7" t="inlineStr">
        <is>
          <t>estandar</t>
        </is>
      </c>
      <c r="K258" s="7" t="inlineStr">
        <is>
          <t>nacional</t>
        </is>
      </c>
      <c r="L258" s="7" t="inlineStr">
        <is>
          <t>Estimado</t>
        </is>
      </c>
      <c r="M258" s="8" t="n">
        <v>0</v>
      </c>
      <c r="N258" s="9" t="n">
        <v>32000</v>
      </c>
      <c r="O258" s="9" t="n">
        <v>22000</v>
      </c>
      <c r="P258" s="9" t="n">
        <v>48000</v>
      </c>
      <c r="Q258" s="7" t="inlineStr">
        <is>
          <t>No</t>
        </is>
      </c>
      <c r="R258" s="9">
        <f>IF(N258="","",IF(Q258="Sí",ROUND(N258/1.18,2),N258))</f>
        <v/>
      </c>
      <c r="S258" s="7" t="inlineStr">
        <is>
          <t>2026-09</t>
        </is>
      </c>
      <c r="T258" s="5" t="inlineStr">
        <is>
          <t>Estimación de arranque — pendiente de cotización</t>
        </is>
      </c>
    </row>
    <row r="259">
      <c r="A259" s="7" t="inlineStr">
        <is>
          <t>MOS-03-006</t>
        </is>
      </c>
      <c r="B259" s="7" t="inlineStr">
        <is>
          <t>Mano de obra y servicios</t>
        </is>
      </c>
      <c r="C259" s="7" t="inlineStr">
        <is>
          <t>Servicios profesionales</t>
        </is>
      </c>
      <c r="D259" s="5" t="inlineStr">
        <is>
          <t>Supervisión y gerencia de obra</t>
        </is>
      </c>
      <c r="E259" s="5" t="inlineStr">
        <is>
          <t>Porcentaje del presupuesto de obra</t>
        </is>
      </c>
      <c r="F259" s="5" t="inlineStr"/>
      <c r="G259" s="5" t="inlineStr"/>
      <c r="H259" s="7" t="inlineStr">
        <is>
          <t>%</t>
        </is>
      </c>
      <c r="I259" s="7" t="inlineStr">
        <is>
          <t>Preliminares</t>
        </is>
      </c>
      <c r="J259" s="7" t="inlineStr">
        <is>
          <t>estandar</t>
        </is>
      </c>
      <c r="K259" s="7" t="inlineStr">
        <is>
          <t>nacional</t>
        </is>
      </c>
      <c r="L259" s="7" t="inlineStr">
        <is>
          <t>Estimado</t>
        </is>
      </c>
      <c r="M259" s="8" t="n">
        <v>0</v>
      </c>
      <c r="N259" s="9" t="n">
        <v>7</v>
      </c>
      <c r="O259" s="9" t="n">
        <v>5</v>
      </c>
      <c r="P259" s="9" t="n">
        <v>12</v>
      </c>
      <c r="Q259" s="7" t="inlineStr">
        <is>
          <t>No</t>
        </is>
      </c>
      <c r="R259" s="9">
        <f>IF(N259="","",IF(Q259="Sí",ROUND(N259/1.18,2),N259))</f>
        <v/>
      </c>
      <c r="S259" s="7" t="inlineStr">
        <is>
          <t>2026-09</t>
        </is>
      </c>
      <c r="T259" s="5" t="inlineStr">
        <is>
          <t>Estimación de arranque — pendiente de cotización</t>
        </is>
      </c>
    </row>
    <row r="260">
      <c r="A260" s="7" t="inlineStr">
        <is>
          <t>MOS-03-007</t>
        </is>
      </c>
      <c r="B260" s="7" t="inlineStr">
        <is>
          <t>Mano de obra y servicios</t>
        </is>
      </c>
      <c r="C260" s="7" t="inlineStr">
        <is>
          <t>Servicios profesionales</t>
        </is>
      </c>
      <c r="D260" s="5" t="inlineStr">
        <is>
          <t>Presupuesto y cubicación</t>
        </is>
      </c>
      <c r="E260" s="5" t="inlineStr">
        <is>
          <t>Análisis de costos unitarios por partida</t>
        </is>
      </c>
      <c r="F260" s="5" t="inlineStr"/>
      <c r="G260" s="5" t="inlineStr"/>
      <c r="H260" s="7" t="inlineStr">
        <is>
          <t>ajuste</t>
        </is>
      </c>
      <c r="I260" s="7" t="inlineStr">
        <is>
          <t>Preliminares</t>
        </is>
      </c>
      <c r="J260" s="7" t="inlineStr">
        <is>
          <t>estandar</t>
        </is>
      </c>
      <c r="K260" s="7" t="inlineStr">
        <is>
          <t>nacional</t>
        </is>
      </c>
      <c r="L260" s="7" t="inlineStr">
        <is>
          <t>Estimado</t>
        </is>
      </c>
      <c r="M260" s="8" t="n">
        <v>0</v>
      </c>
      <c r="N260" s="9" t="n">
        <v>35000</v>
      </c>
      <c r="O260" s="9" t="n">
        <v>20000</v>
      </c>
      <c r="P260" s="9" t="n">
        <v>60000</v>
      </c>
      <c r="Q260" s="7" t="inlineStr">
        <is>
          <t>No</t>
        </is>
      </c>
      <c r="R260" s="9">
        <f>IF(N260="","",IF(Q260="Sí",ROUND(N260/1.18,2),N260))</f>
        <v/>
      </c>
      <c r="S260" s="7" t="inlineStr">
        <is>
          <t>2026-09</t>
        </is>
      </c>
      <c r="T260" s="5" t="inlineStr">
        <is>
          <t>Estimación de arranque — pendiente de cotización</t>
        </is>
      </c>
    </row>
    <row r="261">
      <c r="A261" s="7" t="inlineStr">
        <is>
          <t>MOS-03-008</t>
        </is>
      </c>
      <c r="B261" s="7" t="inlineStr">
        <is>
          <t>Mano de obra y servicios</t>
        </is>
      </c>
      <c r="C261" s="7" t="inlineStr">
        <is>
          <t>Servicios profesionales</t>
        </is>
      </c>
      <c r="D261" s="5" t="inlineStr">
        <is>
          <t>Tasación de inmueble</t>
        </is>
      </c>
      <c r="E261" s="5" t="inlineStr">
        <is>
          <t>Informe de tasación</t>
        </is>
      </c>
      <c r="F261" s="5" t="inlineStr"/>
      <c r="G261" s="5" t="inlineStr"/>
      <c r="H261" s="7" t="inlineStr">
        <is>
          <t>ajuste</t>
        </is>
      </c>
      <c r="I261" s="7" t="inlineStr">
        <is>
          <t>Preliminares</t>
        </is>
      </c>
      <c r="J261" s="7" t="inlineStr">
        <is>
          <t>estandar</t>
        </is>
      </c>
      <c r="K261" s="7" t="inlineStr">
        <is>
          <t>nacional</t>
        </is>
      </c>
      <c r="L261" s="7" t="inlineStr">
        <is>
          <t>Estimado</t>
        </is>
      </c>
      <c r="M261" s="8" t="n">
        <v>0</v>
      </c>
      <c r="N261" s="9" t="n">
        <v>18000</v>
      </c>
      <c r="O261" s="9" t="n">
        <v>12000</v>
      </c>
      <c r="P261" s="9" t="n">
        <v>30000</v>
      </c>
      <c r="Q261" s="7" t="inlineStr">
        <is>
          <t>No</t>
        </is>
      </c>
      <c r="R261" s="9">
        <f>IF(N261="","",IF(Q261="Sí",ROUND(N261/1.18,2),N261))</f>
        <v/>
      </c>
      <c r="S261" s="7" t="inlineStr">
        <is>
          <t>2026-09</t>
        </is>
      </c>
      <c r="T261" s="5" t="inlineStr">
        <is>
          <t>Estimación de arranque — pendiente de cotización</t>
        </is>
      </c>
    </row>
    <row r="262">
      <c r="A262" s="7" t="inlineStr">
        <is>
          <t>MOS-04-001</t>
        </is>
      </c>
      <c r="B262" s="7" t="inlineStr">
        <is>
          <t>Mano de obra y servicios</t>
        </is>
      </c>
      <c r="C262" s="7" t="inlineStr">
        <is>
          <t>Trámites y permisos</t>
        </is>
      </c>
      <c r="D262" s="5" t="inlineStr">
        <is>
          <t>Licencia de construcción (MOPC)</t>
        </is>
      </c>
      <c r="E262" s="5" t="inlineStr">
        <is>
          <t>Se liquida según el tarifario oficial vigente y el costo de la obra</t>
        </is>
      </c>
      <c r="F262" s="5" t="inlineStr"/>
      <c r="G262" s="5" t="inlineStr"/>
      <c r="H262" s="7" t="inlineStr">
        <is>
          <t>ajuste</t>
        </is>
      </c>
      <c r="I262" s="7" t="inlineStr">
        <is>
          <t>Preliminares</t>
        </is>
      </c>
      <c r="J262" s="7" t="inlineStr">
        <is>
          <t>estandar</t>
        </is>
      </c>
      <c r="K262" s="7" t="inlineStr">
        <is>
          <t>nacional</t>
        </is>
      </c>
      <c r="L262" s="7" t="inlineStr">
        <is>
          <t>Tarifario oficial</t>
        </is>
      </c>
      <c r="M262" s="8" t="n">
        <v>0</v>
      </c>
      <c r="N262" s="9" t="n"/>
      <c r="O262" s="9" t="n"/>
      <c r="P262" s="9" t="n"/>
      <c r="Q262" s="7" t="inlineStr">
        <is>
          <t>No</t>
        </is>
      </c>
      <c r="R262" s="9">
        <f>IF(N262="","",IF(Q262="Sí",ROUND(N262/1.18,2),N262))</f>
        <v/>
      </c>
      <c r="S262" s="7" t="inlineStr">
        <is>
          <t>2026-09</t>
        </is>
      </c>
      <c r="T262" s="5" t="inlineStr">
        <is>
          <t>Tarifario oficial MOPC</t>
        </is>
      </c>
    </row>
    <row r="263">
      <c r="A263" s="7" t="inlineStr">
        <is>
          <t>MOS-04-002</t>
        </is>
      </c>
      <c r="B263" s="7" t="inlineStr">
        <is>
          <t>Mano de obra y servicios</t>
        </is>
      </c>
      <c r="C263" s="7" t="inlineStr">
        <is>
          <t>Trámites y permisos</t>
        </is>
      </c>
      <c r="D263" s="5" t="inlineStr">
        <is>
          <t>Permiso municipal / uso de suelo</t>
        </is>
      </c>
      <c r="E263" s="5" t="inlineStr">
        <is>
          <t>Según ayuntamiento correspondiente</t>
        </is>
      </c>
      <c r="F263" s="5" t="inlineStr"/>
      <c r="G263" s="5" t="inlineStr"/>
      <c r="H263" s="7" t="inlineStr">
        <is>
          <t>ajuste</t>
        </is>
      </c>
      <c r="I263" s="7" t="inlineStr">
        <is>
          <t>Preliminares</t>
        </is>
      </c>
      <c r="J263" s="7" t="inlineStr">
        <is>
          <t>estandar</t>
        </is>
      </c>
      <c r="K263" s="7" t="inlineStr">
        <is>
          <t>nacional</t>
        </is>
      </c>
      <c r="L263" s="7" t="inlineStr">
        <is>
          <t>Tarifario oficial</t>
        </is>
      </c>
      <c r="M263" s="8" t="n">
        <v>0</v>
      </c>
      <c r="N263" s="9" t="n"/>
      <c r="O263" s="9" t="n"/>
      <c r="P263" s="9" t="n"/>
      <c r="Q263" s="7" t="inlineStr">
        <is>
          <t>No</t>
        </is>
      </c>
      <c r="R263" s="9">
        <f>IF(N263="","",IF(Q263="Sí",ROUND(N263/1.18,2),N263))</f>
        <v/>
      </c>
      <c r="S263" s="7" t="inlineStr">
        <is>
          <t>2026-09</t>
        </is>
      </c>
      <c r="T263" s="5" t="inlineStr">
        <is>
          <t>Tarifario del ayuntamiento</t>
        </is>
      </c>
    </row>
    <row r="264">
      <c r="A264" s="7" t="inlineStr">
        <is>
          <t>MOS-04-003</t>
        </is>
      </c>
      <c r="B264" s="7" t="inlineStr">
        <is>
          <t>Mano de obra y servicios</t>
        </is>
      </c>
      <c r="C264" s="7" t="inlineStr">
        <is>
          <t>Trámites y permisos</t>
        </is>
      </c>
      <c r="D264" s="5" t="inlineStr">
        <is>
          <t>No objeción de Medio Ambiente</t>
        </is>
      </c>
      <c r="E264" s="5" t="inlineStr">
        <is>
          <t>Aplica según tipo y escala del proyecto</t>
        </is>
      </c>
      <c r="F264" s="5" t="inlineStr"/>
      <c r="G264" s="5" t="inlineStr"/>
      <c r="H264" s="7" t="inlineStr">
        <is>
          <t>ajuste</t>
        </is>
      </c>
      <c r="I264" s="7" t="inlineStr">
        <is>
          <t>Preliminares</t>
        </is>
      </c>
      <c r="J264" s="7" t="inlineStr">
        <is>
          <t>estandar</t>
        </is>
      </c>
      <c r="K264" s="7" t="inlineStr">
        <is>
          <t>nacional</t>
        </is>
      </c>
      <c r="L264" s="7" t="inlineStr">
        <is>
          <t>Tarifario oficial</t>
        </is>
      </c>
      <c r="M264" s="8" t="n">
        <v>0</v>
      </c>
      <c r="N264" s="9" t="n"/>
      <c r="O264" s="9" t="n"/>
      <c r="P264" s="9" t="n"/>
      <c r="Q264" s="7" t="inlineStr">
        <is>
          <t>No</t>
        </is>
      </c>
      <c r="R264" s="9">
        <f>IF(N264="","",IF(Q264="Sí",ROUND(N264/1.18,2),N264))</f>
        <v/>
      </c>
      <c r="S264" s="7" t="inlineStr">
        <is>
          <t>2026-09</t>
        </is>
      </c>
      <c r="T264" s="5" t="inlineStr">
        <is>
          <t>Tarifario Ministerio de Medio Ambiente</t>
        </is>
      </c>
    </row>
    <row r="265">
      <c r="A265" s="7" t="inlineStr">
        <is>
          <t>MOS-04-004</t>
        </is>
      </c>
      <c r="B265" s="7" t="inlineStr">
        <is>
          <t>Mano de obra y servicios</t>
        </is>
      </c>
      <c r="C265" s="7" t="inlineStr">
        <is>
          <t>Trámites y permisos</t>
        </is>
      </c>
      <c r="D265" s="5" t="inlineStr">
        <is>
          <t>Conexión de agua (CAASD / INAPA)</t>
        </is>
      </c>
      <c r="E265" s="5" t="inlineStr">
        <is>
          <t>Según diámetro de acometida y zona</t>
        </is>
      </c>
      <c r="F265" s="5" t="inlineStr"/>
      <c r="G265" s="5" t="inlineStr"/>
      <c r="H265" s="7" t="inlineStr">
        <is>
          <t>ajuste</t>
        </is>
      </c>
      <c r="I265" s="7" t="inlineStr">
        <is>
          <t>Instalaciones</t>
        </is>
      </c>
      <c r="J265" s="7" t="inlineStr">
        <is>
          <t>estandar</t>
        </is>
      </c>
      <c r="K265" s="7" t="inlineStr">
        <is>
          <t>nacional</t>
        </is>
      </c>
      <c r="L265" s="7" t="inlineStr">
        <is>
          <t>Tarifario oficial</t>
        </is>
      </c>
      <c r="M265" s="8" t="n">
        <v>0</v>
      </c>
      <c r="N265" s="9" t="n"/>
      <c r="O265" s="9" t="n"/>
      <c r="P265" s="9" t="n"/>
      <c r="Q265" s="7" t="inlineStr">
        <is>
          <t>No</t>
        </is>
      </c>
      <c r="R265" s="9">
        <f>IF(N265="","",IF(Q265="Sí",ROUND(N265/1.18,2),N265))</f>
        <v/>
      </c>
      <c r="S265" s="7" t="inlineStr">
        <is>
          <t>2026-09</t>
        </is>
      </c>
      <c r="T265" s="5" t="inlineStr">
        <is>
          <t>Tarifario de la prestadora</t>
        </is>
      </c>
    </row>
    <row r="266">
      <c r="A266" s="7" t="inlineStr">
        <is>
          <t>MOS-04-005</t>
        </is>
      </c>
      <c r="B266" s="7" t="inlineStr">
        <is>
          <t>Mano de obra y servicios</t>
        </is>
      </c>
      <c r="C266" s="7" t="inlineStr">
        <is>
          <t>Trámites y permisos</t>
        </is>
      </c>
      <c r="D266" s="5" t="inlineStr">
        <is>
          <t>Conexión eléctrica (distribuidora)</t>
        </is>
      </c>
      <c r="E266" s="5" t="inlineStr">
        <is>
          <t>Según carga contratada</t>
        </is>
      </c>
      <c r="F266" s="5" t="inlineStr"/>
      <c r="G266" s="5" t="inlineStr"/>
      <c r="H266" s="7" t="inlineStr">
        <is>
          <t>ajuste</t>
        </is>
      </c>
      <c r="I266" s="7" t="inlineStr">
        <is>
          <t>Instalaciones</t>
        </is>
      </c>
      <c r="J266" s="7" t="inlineStr">
        <is>
          <t>estandar</t>
        </is>
      </c>
      <c r="K266" s="7" t="inlineStr">
        <is>
          <t>nacional</t>
        </is>
      </c>
      <c r="L266" s="7" t="inlineStr">
        <is>
          <t>Tarifario oficial</t>
        </is>
      </c>
      <c r="M266" s="8" t="n">
        <v>0</v>
      </c>
      <c r="N266" s="9" t="n"/>
      <c r="O266" s="9" t="n"/>
      <c r="P266" s="9" t="n"/>
      <c r="Q266" s="7" t="inlineStr">
        <is>
          <t>No</t>
        </is>
      </c>
      <c r="R266" s="9">
        <f>IF(N266="","",IF(Q266="Sí",ROUND(N266/1.18,2),N266))</f>
        <v/>
      </c>
      <c r="S266" s="7" t="inlineStr">
        <is>
          <t>2026-09</t>
        </is>
      </c>
      <c r="T266" s="5" t="inlineStr">
        <is>
          <t>Tarifario de la distribuidora</t>
        </is>
      </c>
    </row>
    <row r="267">
      <c r="A267" s="7" t="inlineStr">
        <is>
          <t>MOS-04-006</t>
        </is>
      </c>
      <c r="B267" s="7" t="inlineStr">
        <is>
          <t>Mano de obra y servicios</t>
        </is>
      </c>
      <c r="C267" s="7" t="inlineStr">
        <is>
          <t>Trámites y permisos</t>
        </is>
      </c>
      <c r="D267" s="5" t="inlineStr">
        <is>
          <t>Aprobación del Cuerpo de Bomberos</t>
        </is>
      </c>
      <c r="E267" s="5" t="inlineStr">
        <is>
          <t>Sistemas de detección y extinción</t>
        </is>
      </c>
      <c r="F267" s="5" t="inlineStr"/>
      <c r="G267" s="5" t="inlineStr"/>
      <c r="H267" s="7" t="inlineStr">
        <is>
          <t>ajuste</t>
        </is>
      </c>
      <c r="I267" s="7" t="inlineStr">
        <is>
          <t>Preliminares</t>
        </is>
      </c>
      <c r="J267" s="7" t="inlineStr">
        <is>
          <t>estandar</t>
        </is>
      </c>
      <c r="K267" s="7" t="inlineStr">
        <is>
          <t>nacional</t>
        </is>
      </c>
      <c r="L267" s="7" t="inlineStr">
        <is>
          <t>Tarifario oficial</t>
        </is>
      </c>
      <c r="M267" s="8" t="n">
        <v>0</v>
      </c>
      <c r="N267" s="9" t="n"/>
      <c r="O267" s="9" t="n"/>
      <c r="P267" s="9" t="n"/>
      <c r="Q267" s="7" t="inlineStr">
        <is>
          <t>No</t>
        </is>
      </c>
      <c r="R267" s="9">
        <f>IF(N267="","",IF(Q267="Sí",ROUND(N267/1.18,2),N267))</f>
        <v/>
      </c>
      <c r="S267" s="7" t="inlineStr">
        <is>
          <t>2026-09</t>
        </is>
      </c>
      <c r="T267" s="5" t="inlineStr">
        <is>
          <t>Tarifario del Cuerpo de Bomberos</t>
        </is>
      </c>
    </row>
    <row r="268">
      <c r="A268" s="7" t="inlineStr">
        <is>
          <t>MOS-05-001</t>
        </is>
      </c>
      <c r="B268" s="7" t="inlineStr">
        <is>
          <t>Mano de obra y servicios</t>
        </is>
      </c>
      <c r="C268" s="7" t="inlineStr">
        <is>
          <t>Servicios de obra y logística</t>
        </is>
      </c>
      <c r="D268" s="5" t="inlineStr">
        <is>
          <t>Demolición de mampostería</t>
        </is>
      </c>
      <c r="E268" s="5" t="inlineStr">
        <is>
          <t>Incluye acopio, no incluye bote</t>
        </is>
      </c>
      <c r="F268" s="5" t="inlineStr"/>
      <c r="G268" s="5" t="inlineStr"/>
      <c r="H268" s="7" t="inlineStr">
        <is>
          <t>m²</t>
        </is>
      </c>
      <c r="I268" s="7" t="inlineStr">
        <is>
          <t>Preliminares</t>
        </is>
      </c>
      <c r="J268" s="7" t="inlineStr">
        <is>
          <t>estandar</t>
        </is>
      </c>
      <c r="K268" s="7" t="inlineStr">
        <is>
          <t>nacional</t>
        </is>
      </c>
      <c r="L268" s="7" t="inlineStr">
        <is>
          <t>Estimado</t>
        </is>
      </c>
      <c r="M268" s="8" t="n">
        <v>0</v>
      </c>
      <c r="N268" s="9" t="n">
        <v>850</v>
      </c>
      <c r="O268" s="9" t="n">
        <v>600</v>
      </c>
      <c r="P268" s="9" t="n">
        <v>1200</v>
      </c>
      <c r="Q268" s="7" t="inlineStr">
        <is>
          <t>No</t>
        </is>
      </c>
      <c r="R268" s="9">
        <f>IF(N268="","",IF(Q268="Sí",ROUND(N268/1.18,2),N268))</f>
        <v/>
      </c>
      <c r="S268" s="7" t="inlineStr">
        <is>
          <t>2026-09</t>
        </is>
      </c>
      <c r="T268" s="5" t="inlineStr">
        <is>
          <t>Estimación de arranque — pendiente de cotización</t>
        </is>
      </c>
    </row>
    <row r="269">
      <c r="A269" s="7" t="inlineStr">
        <is>
          <t>MOS-05-002</t>
        </is>
      </c>
      <c r="B269" s="7" t="inlineStr">
        <is>
          <t>Mano de obra y servicios</t>
        </is>
      </c>
      <c r="C269" s="7" t="inlineStr">
        <is>
          <t>Servicios de obra y logística</t>
        </is>
      </c>
      <c r="D269" s="5" t="inlineStr">
        <is>
          <t>Movimiento de tierra (corte y nivelación)</t>
        </is>
      </c>
      <c r="E269" s="5" t="inlineStr">
        <is>
          <t>Con equipo, en sitio</t>
        </is>
      </c>
      <c r="F269" s="5" t="inlineStr"/>
      <c r="G269" s="5" t="inlineStr"/>
      <c r="H269" s="7" t="inlineStr">
        <is>
          <t>m³</t>
        </is>
      </c>
      <c r="I269" s="7" t="inlineStr">
        <is>
          <t>Movimiento de tierra</t>
        </is>
      </c>
      <c r="J269" s="7" t="inlineStr">
        <is>
          <t>estandar</t>
        </is>
      </c>
      <c r="K269" s="7" t="inlineStr">
        <is>
          <t>nacional</t>
        </is>
      </c>
      <c r="L269" s="7" t="inlineStr">
        <is>
          <t>Estimado</t>
        </is>
      </c>
      <c r="M269" s="8" t="n">
        <v>0</v>
      </c>
      <c r="N269" s="9" t="n">
        <v>480</v>
      </c>
      <c r="O269" s="9" t="n">
        <v>350</v>
      </c>
      <c r="P269" s="9" t="n">
        <v>700</v>
      </c>
      <c r="Q269" s="7" t="inlineStr">
        <is>
          <t>No</t>
        </is>
      </c>
      <c r="R269" s="9">
        <f>IF(N269="","",IF(Q269="Sí",ROUND(N269/1.18,2),N269))</f>
        <v/>
      </c>
      <c r="S269" s="7" t="inlineStr">
        <is>
          <t>2026-09</t>
        </is>
      </c>
      <c r="T269" s="5" t="inlineStr">
        <is>
          <t>Estimación de arranque — pendiente de cotización</t>
        </is>
      </c>
    </row>
    <row r="270">
      <c r="A270" s="7" t="inlineStr">
        <is>
          <t>MOS-05-003</t>
        </is>
      </c>
      <c r="B270" s="7" t="inlineStr">
        <is>
          <t>Mano de obra y servicios</t>
        </is>
      </c>
      <c r="C270" s="7" t="inlineStr">
        <is>
          <t>Servicios de obra y logística</t>
        </is>
      </c>
      <c r="D270" s="5" t="inlineStr">
        <is>
          <t>Bote de escombros con carga a mano, camión de 6 m³</t>
        </is>
      </c>
      <c r="E270" s="5" t="inlineStr">
        <is>
          <t>Incluye cargar a mano, transportar y depositar en vertedero autorizado</t>
        </is>
      </c>
      <c r="F270" s="5" t="inlineStr">
        <is>
          <t>Carga + transporte + disposición</t>
        </is>
      </c>
      <c r="G270" s="5" t="inlineStr"/>
      <c r="H270" s="7" t="inlineStr">
        <is>
          <t>viaje</t>
        </is>
      </c>
      <c r="I270" s="7" t="inlineStr">
        <is>
          <t>Preliminares</t>
        </is>
      </c>
      <c r="J270" s="7" t="inlineStr">
        <is>
          <t>estandar</t>
        </is>
      </c>
      <c r="K270" s="7" t="inlineStr">
        <is>
          <t>nacional</t>
        </is>
      </c>
      <c r="L270" s="7" t="inlineStr">
        <is>
          <t>Estimado</t>
        </is>
      </c>
      <c r="M270" s="8" t="n">
        <v>0</v>
      </c>
      <c r="N270" s="9" t="n">
        <v>7800</v>
      </c>
      <c r="O270" s="9" t="n">
        <v>5800</v>
      </c>
      <c r="P270" s="9" t="n">
        <v>10500</v>
      </c>
      <c r="Q270" s="7" t="inlineStr">
        <is>
          <t>No</t>
        </is>
      </c>
      <c r="R270" s="9">
        <f>IF(N270="","",IF(Q270="Sí",ROUND(N270/1.18,2),N270))</f>
        <v/>
      </c>
      <c r="S270" s="7" t="inlineStr">
        <is>
          <t>2026-09</t>
        </is>
      </c>
      <c r="T270" s="5" t="inlineStr">
        <is>
          <t>Estimación de arranque — pendiente de cotización</t>
        </is>
      </c>
    </row>
    <row r="271">
      <c r="A271" s="7" t="inlineStr">
        <is>
          <t>MOS-05-004</t>
        </is>
      </c>
      <c r="B271" s="7" t="inlineStr">
        <is>
          <t>Mano de obra y servicios</t>
        </is>
      </c>
      <c r="C271" s="7" t="inlineStr">
        <is>
          <t>Servicios de obra y logística</t>
        </is>
      </c>
      <c r="D271" s="5" t="inlineStr">
        <is>
          <t>Bote de escombros sin carga, camión de 6 m³</t>
        </is>
      </c>
      <c r="E271" s="5" t="inlineStr">
        <is>
          <t>El material ya viene cargado; incluye vertedero autorizado</t>
        </is>
      </c>
      <c r="F271" s="5" t="inlineStr">
        <is>
          <t>Transporte + disposición</t>
        </is>
      </c>
      <c r="G271" s="5" t="inlineStr"/>
      <c r="H271" s="7" t="inlineStr">
        <is>
          <t>viaje</t>
        </is>
      </c>
      <c r="I271" s="7" t="inlineStr">
        <is>
          <t>Preliminares</t>
        </is>
      </c>
      <c r="J271" s="7" t="inlineStr">
        <is>
          <t>estandar</t>
        </is>
      </c>
      <c r="K271" s="7" t="inlineStr">
        <is>
          <t>nacional</t>
        </is>
      </c>
      <c r="L271" s="7" t="inlineStr">
        <is>
          <t>Estimado</t>
        </is>
      </c>
      <c r="M271" s="8" t="n">
        <v>0</v>
      </c>
      <c r="N271" s="9" t="n">
        <v>6500</v>
      </c>
      <c r="O271" s="9" t="n">
        <v>4800</v>
      </c>
      <c r="P271" s="9" t="n">
        <v>9000</v>
      </c>
      <c r="Q271" s="7" t="inlineStr">
        <is>
          <t>No</t>
        </is>
      </c>
      <c r="R271" s="9">
        <f>IF(N271="","",IF(Q271="Sí",ROUND(N271/1.18,2),N271))</f>
        <v/>
      </c>
      <c r="S271" s="7" t="inlineStr">
        <is>
          <t>2026-09</t>
        </is>
      </c>
      <c r="T271" s="5" t="inlineStr">
        <is>
          <t>Estimación de arranque — pendiente de cotización</t>
        </is>
      </c>
    </row>
    <row r="272">
      <c r="A272" s="7" t="inlineStr">
        <is>
          <t>MOS-05-005</t>
        </is>
      </c>
      <c r="B272" s="7" t="inlineStr">
        <is>
          <t>Mano de obra y servicios</t>
        </is>
      </c>
      <c r="C272" s="7" t="inlineStr">
        <is>
          <t>Servicios de obra y logística</t>
        </is>
      </c>
      <c r="D272" s="5" t="inlineStr">
        <is>
          <t>Carga de material con equipo</t>
        </is>
      </c>
      <c r="E272" s="5" t="inlineStr">
        <is>
          <t>Solo cargar al camión, con retro o minicargador</t>
        </is>
      </c>
      <c r="F272" s="5" t="inlineStr">
        <is>
          <t>Solo carga</t>
        </is>
      </c>
      <c r="G272" s="5" t="inlineStr"/>
      <c r="H272" s="7" t="inlineStr">
        <is>
          <t>m³ esponjado</t>
        </is>
      </c>
      <c r="I272" s="7" t="inlineStr">
        <is>
          <t>Movimiento de tierra</t>
        </is>
      </c>
      <c r="J272" s="7" t="inlineStr">
        <is>
          <t>estandar</t>
        </is>
      </c>
      <c r="K272" s="7" t="inlineStr">
        <is>
          <t>nacional</t>
        </is>
      </c>
      <c r="L272" s="7" t="inlineStr">
        <is>
          <t>Estimado</t>
        </is>
      </c>
      <c r="M272" s="8" t="n">
        <v>0</v>
      </c>
      <c r="N272" s="9" t="n">
        <v>320</v>
      </c>
      <c r="O272" s="9" t="n">
        <v>230</v>
      </c>
      <c r="P272" s="9" t="n">
        <v>450</v>
      </c>
      <c r="Q272" s="7" t="inlineStr">
        <is>
          <t>No</t>
        </is>
      </c>
      <c r="R272" s="9">
        <f>IF(N272="","",IF(Q272="Sí",ROUND(N272/1.18,2),N272))</f>
        <v/>
      </c>
      <c r="S272" s="7" t="inlineStr">
        <is>
          <t>2026-09</t>
        </is>
      </c>
      <c r="T272" s="5" t="inlineStr">
        <is>
          <t>Estimación de arranque — pendiente de cotización</t>
        </is>
      </c>
    </row>
    <row r="273">
      <c r="A273" s="7" t="inlineStr">
        <is>
          <t>MOS-05-006</t>
        </is>
      </c>
      <c r="B273" s="7" t="inlineStr">
        <is>
          <t>Mano de obra y servicios</t>
        </is>
      </c>
      <c r="C273" s="7" t="inlineStr">
        <is>
          <t>Servicios de obra y logística</t>
        </is>
      </c>
      <c r="D273" s="5" t="inlineStr">
        <is>
          <t>Transporte en volquete, arranque de 0 a 5 km</t>
        </is>
      </c>
      <c r="E273" s="5" t="inlineStr">
        <is>
          <t>Tarifa base del viaje corto; solo transporte</t>
        </is>
      </c>
      <c r="F273" s="5" t="inlineStr">
        <is>
          <t>Solo transporte</t>
        </is>
      </c>
      <c r="G273" s="5" t="inlineStr">
        <is>
          <t>flete corto, acarreo</t>
        </is>
      </c>
      <c r="H273" s="7" t="inlineStr">
        <is>
          <t>m³ esponjado</t>
        </is>
      </c>
      <c r="I273" s="7" t="inlineStr">
        <is>
          <t>Movimiento de tierra</t>
        </is>
      </c>
      <c r="J273" s="7" t="inlineStr">
        <is>
          <t>estandar</t>
        </is>
      </c>
      <c r="K273" s="7" t="inlineStr">
        <is>
          <t>nacional</t>
        </is>
      </c>
      <c r="L273" s="7" t="inlineStr">
        <is>
          <t>Estimado</t>
        </is>
      </c>
      <c r="M273" s="8" t="n">
        <v>0</v>
      </c>
      <c r="N273" s="9" t="n">
        <v>420</v>
      </c>
      <c r="O273" s="9" t="n">
        <v>300</v>
      </c>
      <c r="P273" s="9" t="n">
        <v>600</v>
      </c>
      <c r="Q273" s="7" t="inlineStr">
        <is>
          <t>No</t>
        </is>
      </c>
      <c r="R273" s="9">
        <f>IF(N273="","",IF(Q273="Sí",ROUND(N273/1.18,2),N273))</f>
        <v/>
      </c>
      <c r="S273" s="7" t="inlineStr">
        <is>
          <t>2026-09</t>
        </is>
      </c>
      <c r="T273" s="5" t="inlineStr">
        <is>
          <t>Estimación de arranque — pendiente de cotización</t>
        </is>
      </c>
    </row>
    <row r="274">
      <c r="A274" s="7" t="inlineStr">
        <is>
          <t>MOS-05-007</t>
        </is>
      </c>
      <c r="B274" s="7" t="inlineStr">
        <is>
          <t>Mano de obra y servicios</t>
        </is>
      </c>
      <c r="C274" s="7" t="inlineStr">
        <is>
          <t>Servicios de obra y logística</t>
        </is>
      </c>
      <c r="D274" s="5" t="inlineStr">
        <is>
          <t>Transporte en volquete, por kilómetro adicional</t>
        </is>
      </c>
      <c r="E274" s="5" t="inlineStr">
        <is>
          <t>A partir del quinto kilómetro; solo transporte</t>
        </is>
      </c>
      <c r="F274" s="5" t="inlineStr">
        <is>
          <t>Solo transporte</t>
        </is>
      </c>
      <c r="G274" s="5" t="inlineStr"/>
      <c r="H274" s="7" t="inlineStr">
        <is>
          <t>m³·km</t>
        </is>
      </c>
      <c r="I274" s="7" t="inlineStr">
        <is>
          <t>Movimiento de tierra</t>
        </is>
      </c>
      <c r="J274" s="7" t="inlineStr">
        <is>
          <t>estandar</t>
        </is>
      </c>
      <c r="K274" s="7" t="inlineStr">
        <is>
          <t>nacional</t>
        </is>
      </c>
      <c r="L274" s="7" t="inlineStr">
        <is>
          <t>Estimado</t>
        </is>
      </c>
      <c r="M274" s="8" t="n">
        <v>0</v>
      </c>
      <c r="N274" s="9" t="n">
        <v>38</v>
      </c>
      <c r="O274" s="9" t="n">
        <v>26</v>
      </c>
      <c r="P274" s="9" t="n">
        <v>55</v>
      </c>
      <c r="Q274" s="7" t="inlineStr">
        <is>
          <t>No</t>
        </is>
      </c>
      <c r="R274" s="9">
        <f>IF(N274="","",IF(Q274="Sí",ROUND(N274/1.18,2),N274))</f>
        <v/>
      </c>
      <c r="S274" s="7" t="inlineStr">
        <is>
          <t>2026-09</t>
        </is>
      </c>
      <c r="T274" s="5" t="inlineStr">
        <is>
          <t>Estimación de arranque — pendiente de cotización</t>
        </is>
      </c>
    </row>
    <row r="275">
      <c r="A275" s="7" t="inlineStr">
        <is>
          <t>MOS-05-008</t>
        </is>
      </c>
      <c r="B275" s="7" t="inlineStr">
        <is>
          <t>Mano de obra y servicios</t>
        </is>
      </c>
      <c r="C275" s="7" t="inlineStr">
        <is>
          <t>Servicios de obra y logística</t>
        </is>
      </c>
      <c r="D275" s="5" t="inlineStr">
        <is>
          <t>Flete de materiales dentro del Gran Santo Domingo</t>
        </is>
      </c>
      <c r="E275" s="5" t="inlineStr">
        <is>
          <t>Camión mediano</t>
        </is>
      </c>
      <c r="F275" s="5" t="inlineStr">
        <is>
          <t>Solo transporte</t>
        </is>
      </c>
      <c r="G275" s="5" t="inlineStr"/>
      <c r="H275" s="7" t="inlineStr">
        <is>
          <t>viaje</t>
        </is>
      </c>
      <c r="I275" s="7" t="inlineStr">
        <is>
          <t>Preliminares</t>
        </is>
      </c>
      <c r="J275" s="7" t="inlineStr">
        <is>
          <t>estandar</t>
        </is>
      </c>
      <c r="K275" s="7" t="inlineStr">
        <is>
          <t>nacional</t>
        </is>
      </c>
      <c r="L275" s="7" t="inlineStr">
        <is>
          <t>Estimado</t>
        </is>
      </c>
      <c r="M275" s="8" t="n">
        <v>0</v>
      </c>
      <c r="N275" s="9" t="n">
        <v>4800</v>
      </c>
      <c r="O275" s="9" t="n">
        <v>3500</v>
      </c>
      <c r="P275" s="9" t="n">
        <v>7000</v>
      </c>
      <c r="Q275" s="7" t="inlineStr">
        <is>
          <t>No</t>
        </is>
      </c>
      <c r="R275" s="9">
        <f>IF(N275="","",IF(Q275="Sí",ROUND(N275/1.18,2),N275))</f>
        <v/>
      </c>
      <c r="S275" s="7" t="inlineStr">
        <is>
          <t>2026-09</t>
        </is>
      </c>
      <c r="T275" s="5" t="inlineStr">
        <is>
          <t>Estimación de arranque — pendiente de cotización</t>
        </is>
      </c>
    </row>
    <row r="276">
      <c r="A276" s="7" t="inlineStr">
        <is>
          <t>MOS-05-009</t>
        </is>
      </c>
      <c r="B276" s="7" t="inlineStr">
        <is>
          <t>Mano de obra y servicios</t>
        </is>
      </c>
      <c r="C276" s="7" t="inlineStr">
        <is>
          <t>Servicios de obra y logística</t>
        </is>
      </c>
      <c r="D276" s="5" t="inlineStr">
        <is>
          <t>Fumigación y control de termitas</t>
        </is>
      </c>
      <c r="E276" s="5" t="inlineStr">
        <is>
          <t>Tratamiento de suelo previo al vaciado</t>
        </is>
      </c>
      <c r="F276" s="5" t="inlineStr"/>
      <c r="G276" s="5" t="inlineStr"/>
      <c r="H276" s="7" t="inlineStr">
        <is>
          <t>m²</t>
        </is>
      </c>
      <c r="I276" s="7" t="inlineStr">
        <is>
          <t>Preliminares</t>
        </is>
      </c>
      <c r="J276" s="7" t="inlineStr">
        <is>
          <t>estandar</t>
        </is>
      </c>
      <c r="K276" s="7" t="inlineStr">
        <is>
          <t>nacional</t>
        </is>
      </c>
      <c r="L276" s="7" t="inlineStr">
        <is>
          <t>Estimado</t>
        </is>
      </c>
      <c r="M276" s="8" t="n">
        <v>0</v>
      </c>
      <c r="N276" s="9" t="n">
        <v>180</v>
      </c>
      <c r="O276" s="9" t="n">
        <v>130</v>
      </c>
      <c r="P276" s="9" t="n">
        <v>260</v>
      </c>
      <c r="Q276" s="7" t="inlineStr">
        <is>
          <t>No</t>
        </is>
      </c>
      <c r="R276" s="9">
        <f>IF(N276="","",IF(Q276="Sí",ROUND(N276/1.18,2),N276))</f>
        <v/>
      </c>
      <c r="S276" s="7" t="inlineStr">
        <is>
          <t>2026-09</t>
        </is>
      </c>
      <c r="T276" s="5" t="inlineStr">
        <is>
          <t>Estimación de arranque — pendiente de cotización</t>
        </is>
      </c>
    </row>
    <row r="277">
      <c r="A277" s="7" t="inlineStr">
        <is>
          <t>MOS-05-010</t>
        </is>
      </c>
      <c r="B277" s="7" t="inlineStr">
        <is>
          <t>Mano de obra y servicios</t>
        </is>
      </c>
      <c r="C277" s="7" t="inlineStr">
        <is>
          <t>Servicios de obra y logística</t>
        </is>
      </c>
      <c r="D277" s="5" t="inlineStr">
        <is>
          <t>Limpieza final de obra</t>
        </is>
      </c>
      <c r="E277" s="5" t="inlineStr">
        <is>
          <t>Entrega lista para habitar</t>
        </is>
      </c>
      <c r="F277" s="5" t="inlineStr"/>
      <c r="G277" s="5" t="inlineStr"/>
      <c r="H277" s="7" t="inlineStr">
        <is>
          <t>m²</t>
        </is>
      </c>
      <c r="I277" s="7" t="inlineStr">
        <is>
          <t>Limpieza</t>
        </is>
      </c>
      <c r="J277" s="7" t="inlineStr">
        <is>
          <t>estandar</t>
        </is>
      </c>
      <c r="K277" s="7" t="inlineStr">
        <is>
          <t>nacional</t>
        </is>
      </c>
      <c r="L277" s="7" t="inlineStr">
        <is>
          <t>Estimado</t>
        </is>
      </c>
      <c r="M277" s="8" t="n">
        <v>0</v>
      </c>
      <c r="N277" s="9" t="n">
        <v>220</v>
      </c>
      <c r="O277" s="9" t="n">
        <v>160</v>
      </c>
      <c r="P277" s="9" t="n">
        <v>320</v>
      </c>
      <c r="Q277" s="7" t="inlineStr">
        <is>
          <t>No</t>
        </is>
      </c>
      <c r="R277" s="9">
        <f>IF(N277="","",IF(Q277="Sí",ROUND(N277/1.18,2),N277))</f>
        <v/>
      </c>
      <c r="S277" s="7" t="inlineStr">
        <is>
          <t>2026-09</t>
        </is>
      </c>
      <c r="T277" s="5" t="inlineStr">
        <is>
          <t>Estimación de arranque — pendiente de cotización</t>
        </is>
      </c>
    </row>
    <row r="278">
      <c r="A278" s="7" t="inlineStr">
        <is>
          <t>MOS-05-011</t>
        </is>
      </c>
      <c r="B278" s="7" t="inlineStr">
        <is>
          <t>Mano de obra y servicios</t>
        </is>
      </c>
      <c r="C278" s="7" t="inlineStr">
        <is>
          <t>Servicios de obra y logística</t>
        </is>
      </c>
      <c r="D278" s="5" t="inlineStr">
        <is>
          <t>Letrero de obra: arte, impresión y colocación de vinil</t>
        </is>
      </c>
      <c r="E278" s="5" t="inlineStr">
        <is>
          <t>Diseño, impresión y montaje del vinil</t>
        </is>
      </c>
      <c r="F278" s="5" t="inlineStr">
        <is>
          <t>Solo el vinil, sin estructura</t>
        </is>
      </c>
      <c r="G278" s="5" t="inlineStr"/>
      <c r="H278" s="7" t="inlineStr">
        <is>
          <t>unidad</t>
        </is>
      </c>
      <c r="I278" s="7" t="inlineStr">
        <is>
          <t>Preliminares</t>
        </is>
      </c>
      <c r="J278" s="7" t="inlineStr">
        <is>
          <t>estandar</t>
        </is>
      </c>
      <c r="K278" s="7" t="inlineStr">
        <is>
          <t>nacional</t>
        </is>
      </c>
      <c r="L278" s="7" t="inlineStr">
        <is>
          <t>Estimado</t>
        </is>
      </c>
      <c r="M278" s="8" t="n">
        <v>0</v>
      </c>
      <c r="N278" s="9" t="n">
        <v>9500</v>
      </c>
      <c r="O278" s="9" t="n">
        <v>7000</v>
      </c>
      <c r="P278" s="9" t="n">
        <v>13500</v>
      </c>
      <c r="Q278" s="7" t="inlineStr">
        <is>
          <t>No</t>
        </is>
      </c>
      <c r="R278" s="9">
        <f>IF(N278="","",IF(Q278="Sí",ROUND(N278/1.18,2),N278))</f>
        <v/>
      </c>
      <c r="S278" s="7" t="inlineStr">
        <is>
          <t>2026-09</t>
        </is>
      </c>
      <c r="T278" s="5" t="inlineStr">
        <is>
          <t>Estimación de arranque — pendiente de cotización</t>
        </is>
      </c>
    </row>
    <row r="279">
      <c r="A279" s="7" t="inlineStr">
        <is>
          <t>MOS-05-012</t>
        </is>
      </c>
      <c r="B279" s="7" t="inlineStr">
        <is>
          <t>Mano de obra y servicios</t>
        </is>
      </c>
      <c r="C279" s="7" t="inlineStr">
        <is>
          <t>Servicios de obra y logística</t>
        </is>
      </c>
      <c r="D279" s="5" t="inlineStr">
        <is>
          <t>Letrero de obra: estructura metálica</t>
        </is>
      </c>
      <c r="E279" s="5" t="inlineStr">
        <is>
          <t>Bastidor y anclaje del letrero</t>
        </is>
      </c>
      <c r="F279" s="5" t="inlineStr">
        <is>
          <t>Solo la estructura, sin el vinil</t>
        </is>
      </c>
      <c r="G279" s="5" t="inlineStr"/>
      <c r="H279" s="7" t="inlineStr">
        <is>
          <t>unidad</t>
        </is>
      </c>
      <c r="I279" s="7" t="inlineStr">
        <is>
          <t>Preliminares</t>
        </is>
      </c>
      <c r="J279" s="7" t="inlineStr">
        <is>
          <t>estandar</t>
        </is>
      </c>
      <c r="K279" s="7" t="inlineStr">
        <is>
          <t>nacional</t>
        </is>
      </c>
      <c r="L279" s="7" t="inlineStr">
        <is>
          <t>Estimado</t>
        </is>
      </c>
      <c r="M279" s="8" t="n">
        <v>0</v>
      </c>
      <c r="N279" s="9" t="n">
        <v>16500</v>
      </c>
      <c r="O279" s="9" t="n">
        <v>12000</v>
      </c>
      <c r="P279" s="9" t="n">
        <v>23000</v>
      </c>
      <c r="Q279" s="7" t="inlineStr">
        <is>
          <t>No</t>
        </is>
      </c>
      <c r="R279" s="9">
        <f>IF(N279="","",IF(Q279="Sí",ROUND(N279/1.18,2),N279))</f>
        <v/>
      </c>
      <c r="S279" s="7" t="inlineStr">
        <is>
          <t>2026-09</t>
        </is>
      </c>
      <c r="T279" s="5" t="inlineStr">
        <is>
          <t>Estimación de arranque — pendiente de cotización</t>
        </is>
      </c>
    </row>
    <row r="280">
      <c r="A280" s="7" t="inlineStr">
        <is>
          <t>MOS-05-013</t>
        </is>
      </c>
      <c r="B280" s="7" t="inlineStr">
        <is>
          <t>Mano de obra y servicios</t>
        </is>
      </c>
      <c r="C280" s="7" t="inlineStr">
        <is>
          <t>Servicios de obra y logística</t>
        </is>
      </c>
      <c r="D280" s="5" t="inlineStr">
        <is>
          <t>Fumigación de excavaciones y fundaciones</t>
        </is>
      </c>
      <c r="E280" s="5" t="inlineStr">
        <is>
          <t>Tratamiento del terreno antes de vaciar</t>
        </is>
      </c>
      <c r="F280" s="5" t="inlineStr"/>
      <c r="G280" s="5" t="inlineStr"/>
      <c r="H280" s="7" t="inlineStr">
        <is>
          <t>m²</t>
        </is>
      </c>
      <c r="I280" s="7" t="inlineStr">
        <is>
          <t>Cimentación</t>
        </is>
      </c>
      <c r="J280" s="7" t="inlineStr">
        <is>
          <t>estandar</t>
        </is>
      </c>
      <c r="K280" s="7" t="inlineStr">
        <is>
          <t>nacional</t>
        </is>
      </c>
      <c r="L280" s="7" t="inlineStr">
        <is>
          <t>Estimado</t>
        </is>
      </c>
      <c r="M280" s="8" t="n">
        <v>0</v>
      </c>
      <c r="N280" s="9" t="n">
        <v>165</v>
      </c>
      <c r="O280" s="9" t="n">
        <v>120</v>
      </c>
      <c r="P280" s="9" t="n">
        <v>240</v>
      </c>
      <c r="Q280" s="7" t="inlineStr">
        <is>
          <t>No</t>
        </is>
      </c>
      <c r="R280" s="9">
        <f>IF(N280="","",IF(Q280="Sí",ROUND(N280/1.18,2),N280))</f>
        <v/>
      </c>
      <c r="S280" s="7" t="inlineStr">
        <is>
          <t>2026-09</t>
        </is>
      </c>
      <c r="T280" s="5" t="inlineStr">
        <is>
          <t>Estimación de arranque — pendiente de cotización</t>
        </is>
      </c>
    </row>
    <row r="281">
      <c r="A281" s="7" t="inlineStr">
        <is>
          <t>MOS-05-014</t>
        </is>
      </c>
      <c r="B281" s="7" t="inlineStr">
        <is>
          <t>Mano de obra y servicios</t>
        </is>
      </c>
      <c r="C281" s="7" t="inlineStr">
        <is>
          <t>Servicios de obra y logística</t>
        </is>
      </c>
      <c r="D281" s="5" t="inlineStr">
        <is>
          <t>Vigilancia de obra</t>
        </is>
      </c>
      <c r="E281" s="5" t="inlineStr">
        <is>
          <t>Un puesto de 12 horas</t>
        </is>
      </c>
      <c r="F281" s="5" t="inlineStr"/>
      <c r="G281" s="5" t="inlineStr"/>
      <c r="H281" s="7" t="inlineStr">
        <is>
          <t>mes</t>
        </is>
      </c>
      <c r="I281" s="7" t="inlineStr">
        <is>
          <t>Preliminares</t>
        </is>
      </c>
      <c r="J281" s="7" t="inlineStr">
        <is>
          <t>estandar</t>
        </is>
      </c>
      <c r="K281" s="7" t="inlineStr">
        <is>
          <t>nacional</t>
        </is>
      </c>
      <c r="L281" s="7" t="inlineStr">
        <is>
          <t>Estimado</t>
        </is>
      </c>
      <c r="M281" s="8" t="n">
        <v>0</v>
      </c>
      <c r="N281" s="9" t="n">
        <v>32000</v>
      </c>
      <c r="O281" s="9" t="n">
        <v>25000</v>
      </c>
      <c r="P281" s="9" t="n">
        <v>45000</v>
      </c>
      <c r="Q281" s="7" t="inlineStr">
        <is>
          <t>No</t>
        </is>
      </c>
      <c r="R281" s="9">
        <f>IF(N281="","",IF(Q281="Sí",ROUND(N281/1.18,2),N281))</f>
        <v/>
      </c>
      <c r="S281" s="7" t="inlineStr">
        <is>
          <t>2026-09</t>
        </is>
      </c>
      <c r="T281" s="5" t="inlineStr">
        <is>
          <t>Estimación de arranque — pendiente de cotización</t>
        </is>
      </c>
    </row>
    <row r="282">
      <c r="A282" s="7" t="inlineStr">
        <is>
          <t>MOS-05-015</t>
        </is>
      </c>
      <c r="B282" s="7" t="inlineStr">
        <is>
          <t>Mano de obra y servicios</t>
        </is>
      </c>
      <c r="C282" s="7" t="inlineStr">
        <is>
          <t>Servicios de obra y logística</t>
        </is>
      </c>
      <c r="D282" s="5" t="inlineStr">
        <is>
          <t>Alquiler de baño portátil</t>
        </is>
      </c>
      <c r="E282" s="5" t="inlineStr">
        <is>
          <t>Incluye mantenimiento semanal</t>
        </is>
      </c>
      <c r="F282" s="5" t="inlineStr"/>
      <c r="G282" s="5" t="inlineStr"/>
      <c r="H282" s="7" t="inlineStr">
        <is>
          <t>mes</t>
        </is>
      </c>
      <c r="I282" s="7" t="inlineStr">
        <is>
          <t>Preliminares</t>
        </is>
      </c>
      <c r="J282" s="7" t="inlineStr">
        <is>
          <t>estandar</t>
        </is>
      </c>
      <c r="K282" s="7" t="inlineStr">
        <is>
          <t>nacional</t>
        </is>
      </c>
      <c r="L282" s="7" t="inlineStr">
        <is>
          <t>Estimado</t>
        </is>
      </c>
      <c r="M282" s="8" t="n">
        <v>0</v>
      </c>
      <c r="N282" s="9" t="n">
        <v>9500</v>
      </c>
      <c r="O282" s="9" t="n">
        <v>7000</v>
      </c>
      <c r="P282" s="9" t="n">
        <v>13000</v>
      </c>
      <c r="Q282" s="7" t="inlineStr">
        <is>
          <t>No</t>
        </is>
      </c>
      <c r="R282" s="9">
        <f>IF(N282="","",IF(Q282="Sí",ROUND(N282/1.18,2),N282))</f>
        <v/>
      </c>
      <c r="S282" s="7" t="inlineStr">
        <is>
          <t>2026-09</t>
        </is>
      </c>
      <c r="T282" s="5" t="inlineStr">
        <is>
          <t>Estimación de arranque — pendiente de cotización</t>
        </is>
      </c>
    </row>
    <row r="283">
      <c r="A283" s="7" t="inlineStr">
        <is>
          <t>EQU-01-001</t>
        </is>
      </c>
      <c r="B283" s="7" t="inlineStr">
        <is>
          <t>Equipos y maquinaria</t>
        </is>
      </c>
      <c r="C283" s="7" t="inlineStr">
        <is>
          <t>Maquinaria pesada</t>
        </is>
      </c>
      <c r="D283" s="5" t="inlineStr">
        <is>
          <t>Retroexcavadora (retropala)</t>
        </is>
      </c>
      <c r="E283" s="5" t="inlineStr">
        <is>
          <t>Con operador; combustible suele ir aparte</t>
        </is>
      </c>
      <c r="F283" s="5" t="inlineStr"/>
      <c r="G283" s="5" t="inlineStr"/>
      <c r="H283" s="7" t="inlineStr">
        <is>
          <t>día</t>
        </is>
      </c>
      <c r="I283" s="7" t="inlineStr">
        <is>
          <t>Movimiento de tierra</t>
        </is>
      </c>
      <c r="J283" s="7" t="inlineStr">
        <is>
          <t>estandar</t>
        </is>
      </c>
      <c r="K283" s="7" t="inlineStr">
        <is>
          <t>nacional</t>
        </is>
      </c>
      <c r="L283" s="7" t="inlineStr">
        <is>
          <t>Estimado</t>
        </is>
      </c>
      <c r="M283" s="8" t="n">
        <v>0</v>
      </c>
      <c r="N283" s="9" t="n">
        <v>13500</v>
      </c>
      <c r="O283" s="9" t="n">
        <v>10000</v>
      </c>
      <c r="P283" s="9" t="n">
        <v>18000</v>
      </c>
      <c r="Q283" s="7" t="inlineStr">
        <is>
          <t>No</t>
        </is>
      </c>
      <c r="R283" s="9">
        <f>IF(N283="","",IF(Q283="Sí",ROUND(N283/1.18,2),N283))</f>
        <v/>
      </c>
      <c r="S283" s="7" t="inlineStr">
        <is>
          <t>2026-09</t>
        </is>
      </c>
      <c r="T283" s="5" t="inlineStr">
        <is>
          <t>Estimación de arranque — pendiente de cotización</t>
        </is>
      </c>
    </row>
    <row r="284">
      <c r="A284" s="7" t="inlineStr">
        <is>
          <t>EQU-01-002</t>
        </is>
      </c>
      <c r="B284" s="7" t="inlineStr">
        <is>
          <t>Equipos y maquinaria</t>
        </is>
      </c>
      <c r="C284" s="7" t="inlineStr">
        <is>
          <t>Maquinaria pesada</t>
        </is>
      </c>
      <c r="D284" s="5" t="inlineStr">
        <is>
          <t>Excavadora de oruga 20 t</t>
        </is>
      </c>
      <c r="E284" s="5" t="inlineStr">
        <is>
          <t>Con operador</t>
        </is>
      </c>
      <c r="F284" s="5" t="inlineStr"/>
      <c r="G284" s="5" t="inlineStr"/>
      <c r="H284" s="7" t="inlineStr">
        <is>
          <t>día</t>
        </is>
      </c>
      <c r="I284" s="7" t="inlineStr">
        <is>
          <t>Movimiento de tierra</t>
        </is>
      </c>
      <c r="J284" s="7" t="inlineStr">
        <is>
          <t>estandar</t>
        </is>
      </c>
      <c r="K284" s="7" t="inlineStr">
        <is>
          <t>nacional</t>
        </is>
      </c>
      <c r="L284" s="7" t="inlineStr">
        <is>
          <t>Estimado</t>
        </is>
      </c>
      <c r="M284" s="8" t="n">
        <v>0</v>
      </c>
      <c r="N284" s="9" t="n">
        <v>24000</v>
      </c>
      <c r="O284" s="9" t="n">
        <v>18000</v>
      </c>
      <c r="P284" s="9" t="n">
        <v>32000</v>
      </c>
      <c r="Q284" s="7" t="inlineStr">
        <is>
          <t>No</t>
        </is>
      </c>
      <c r="R284" s="9">
        <f>IF(N284="","",IF(Q284="Sí",ROUND(N284/1.18,2),N284))</f>
        <v/>
      </c>
      <c r="S284" s="7" t="inlineStr">
        <is>
          <t>2026-09</t>
        </is>
      </c>
      <c r="T284" s="5" t="inlineStr">
        <is>
          <t>Estimación de arranque — pendiente de cotización</t>
        </is>
      </c>
    </row>
    <row r="285">
      <c r="A285" s="7" t="inlineStr">
        <is>
          <t>EQU-01-003</t>
        </is>
      </c>
      <c r="B285" s="7" t="inlineStr">
        <is>
          <t>Equipos y maquinaria</t>
        </is>
      </c>
      <c r="C285" s="7" t="inlineStr">
        <is>
          <t>Maquinaria pesada</t>
        </is>
      </c>
      <c r="D285" s="5" t="inlineStr">
        <is>
          <t>Minicargador (Bobcat)</t>
        </is>
      </c>
      <c r="E285" s="5" t="inlineStr">
        <is>
          <t>Con operador</t>
        </is>
      </c>
      <c r="F285" s="5" t="inlineStr"/>
      <c r="G285" s="5" t="inlineStr"/>
      <c r="H285" s="7" t="inlineStr">
        <is>
          <t>día</t>
        </is>
      </c>
      <c r="I285" s="7" t="inlineStr">
        <is>
          <t>Movimiento de tierra</t>
        </is>
      </c>
      <c r="J285" s="7" t="inlineStr">
        <is>
          <t>estandar</t>
        </is>
      </c>
      <c r="K285" s="7" t="inlineStr">
        <is>
          <t>nacional</t>
        </is>
      </c>
      <c r="L285" s="7" t="inlineStr">
        <is>
          <t>Estimado</t>
        </is>
      </c>
      <c r="M285" s="8" t="n">
        <v>0</v>
      </c>
      <c r="N285" s="9" t="n">
        <v>11500</v>
      </c>
      <c r="O285" s="9" t="n">
        <v>8500</v>
      </c>
      <c r="P285" s="9" t="n">
        <v>15500</v>
      </c>
      <c r="Q285" s="7" t="inlineStr">
        <is>
          <t>No</t>
        </is>
      </c>
      <c r="R285" s="9">
        <f>IF(N285="","",IF(Q285="Sí",ROUND(N285/1.18,2),N285))</f>
        <v/>
      </c>
      <c r="S285" s="7" t="inlineStr">
        <is>
          <t>2026-09</t>
        </is>
      </c>
      <c r="T285" s="5" t="inlineStr">
        <is>
          <t>Estimación de arranque — pendiente de cotización</t>
        </is>
      </c>
    </row>
    <row r="286">
      <c r="A286" s="7" t="inlineStr">
        <is>
          <t>EQU-01-004</t>
        </is>
      </c>
      <c r="B286" s="7" t="inlineStr">
        <is>
          <t>Equipos y maquinaria</t>
        </is>
      </c>
      <c r="C286" s="7" t="inlineStr">
        <is>
          <t>Maquinaria pesada</t>
        </is>
      </c>
      <c r="D286" s="5" t="inlineStr">
        <is>
          <t>Motoniveladora</t>
        </is>
      </c>
      <c r="E286" s="5" t="inlineStr">
        <is>
          <t>Con operador</t>
        </is>
      </c>
      <c r="F286" s="5" t="inlineStr"/>
      <c r="G286" s="5" t="inlineStr"/>
      <c r="H286" s="7" t="inlineStr">
        <is>
          <t>día</t>
        </is>
      </c>
      <c r="I286" s="7" t="inlineStr">
        <is>
          <t>Movimiento de tierra</t>
        </is>
      </c>
      <c r="J286" s="7" t="inlineStr">
        <is>
          <t>estandar</t>
        </is>
      </c>
      <c r="K286" s="7" t="inlineStr">
        <is>
          <t>nacional</t>
        </is>
      </c>
      <c r="L286" s="7" t="inlineStr">
        <is>
          <t>Estimado</t>
        </is>
      </c>
      <c r="M286" s="8" t="n">
        <v>0</v>
      </c>
      <c r="N286" s="9" t="n">
        <v>26000</v>
      </c>
      <c r="O286" s="9" t="n">
        <v>19000</v>
      </c>
      <c r="P286" s="9" t="n">
        <v>35000</v>
      </c>
      <c r="Q286" s="7" t="inlineStr">
        <is>
          <t>No</t>
        </is>
      </c>
      <c r="R286" s="9">
        <f>IF(N286="","",IF(Q286="Sí",ROUND(N286/1.18,2),N286))</f>
        <v/>
      </c>
      <c r="S286" s="7" t="inlineStr">
        <is>
          <t>2026-09</t>
        </is>
      </c>
      <c r="T286" s="5" t="inlineStr">
        <is>
          <t>Estimación de arranque — pendiente de cotización</t>
        </is>
      </c>
    </row>
    <row r="287">
      <c r="A287" s="7" t="inlineStr">
        <is>
          <t>EQU-01-005</t>
        </is>
      </c>
      <c r="B287" s="7" t="inlineStr">
        <is>
          <t>Equipos y maquinaria</t>
        </is>
      </c>
      <c r="C287" s="7" t="inlineStr">
        <is>
          <t>Maquinaria pesada</t>
        </is>
      </c>
      <c r="D287" s="5" t="inlineStr">
        <is>
          <t>Rodillo compactador vibratorio</t>
        </is>
      </c>
      <c r="E287" s="5" t="inlineStr">
        <is>
          <t>Con operador</t>
        </is>
      </c>
      <c r="F287" s="5" t="inlineStr"/>
      <c r="G287" s="5" t="inlineStr"/>
      <c r="H287" s="7" t="inlineStr">
        <is>
          <t>día</t>
        </is>
      </c>
      <c r="I287" s="7" t="inlineStr">
        <is>
          <t>Movimiento de tierra</t>
        </is>
      </c>
      <c r="J287" s="7" t="inlineStr">
        <is>
          <t>estandar</t>
        </is>
      </c>
      <c r="K287" s="7" t="inlineStr">
        <is>
          <t>nacional</t>
        </is>
      </c>
      <c r="L287" s="7" t="inlineStr">
        <is>
          <t>Estimado</t>
        </is>
      </c>
      <c r="M287" s="8" t="n">
        <v>0</v>
      </c>
      <c r="N287" s="9" t="n">
        <v>14500</v>
      </c>
      <c r="O287" s="9" t="n">
        <v>11000</v>
      </c>
      <c r="P287" s="9" t="n">
        <v>19500</v>
      </c>
      <c r="Q287" s="7" t="inlineStr">
        <is>
          <t>No</t>
        </is>
      </c>
      <c r="R287" s="9">
        <f>IF(N287="","",IF(Q287="Sí",ROUND(N287/1.18,2),N287))</f>
        <v/>
      </c>
      <c r="S287" s="7" t="inlineStr">
        <is>
          <t>2026-09</t>
        </is>
      </c>
      <c r="T287" s="5" t="inlineStr">
        <is>
          <t>Estimación de arranque — pendiente de cotización</t>
        </is>
      </c>
    </row>
    <row r="288">
      <c r="A288" s="7" t="inlineStr">
        <is>
          <t>EQU-01-006</t>
        </is>
      </c>
      <c r="B288" s="7" t="inlineStr">
        <is>
          <t>Equipos y maquinaria</t>
        </is>
      </c>
      <c r="C288" s="7" t="inlineStr">
        <is>
          <t>Maquinaria pesada</t>
        </is>
      </c>
      <c r="D288" s="5" t="inlineStr">
        <is>
          <t>Camión volteo</t>
        </is>
      </c>
      <c r="E288" s="5" t="inlineStr">
        <is>
          <t>Con chofer; también se contrata por viaje</t>
        </is>
      </c>
      <c r="F288" s="5" t="inlineStr"/>
      <c r="G288" s="5" t="inlineStr"/>
      <c r="H288" s="7" t="inlineStr">
        <is>
          <t>día</t>
        </is>
      </c>
      <c r="I288" s="7" t="inlineStr">
        <is>
          <t>Movimiento de tierra</t>
        </is>
      </c>
      <c r="J288" s="7" t="inlineStr">
        <is>
          <t>estandar</t>
        </is>
      </c>
      <c r="K288" s="7" t="inlineStr">
        <is>
          <t>nacional</t>
        </is>
      </c>
      <c r="L288" s="7" t="inlineStr">
        <is>
          <t>Estimado</t>
        </is>
      </c>
      <c r="M288" s="8" t="n">
        <v>0</v>
      </c>
      <c r="N288" s="9" t="n">
        <v>15500</v>
      </c>
      <c r="O288" s="9" t="n">
        <v>11500</v>
      </c>
      <c r="P288" s="9" t="n">
        <v>21000</v>
      </c>
      <c r="Q288" s="7" t="inlineStr">
        <is>
          <t>No</t>
        </is>
      </c>
      <c r="R288" s="9">
        <f>IF(N288="","",IF(Q288="Sí",ROUND(N288/1.18,2),N288))</f>
        <v/>
      </c>
      <c r="S288" s="7" t="inlineStr">
        <is>
          <t>2026-09</t>
        </is>
      </c>
      <c r="T288" s="5" t="inlineStr">
        <is>
          <t>Estimación de arranque — pendiente de cotización</t>
        </is>
      </c>
    </row>
    <row r="289">
      <c r="A289" s="7" t="inlineStr">
        <is>
          <t>EQU-01-007</t>
        </is>
      </c>
      <c r="B289" s="7" t="inlineStr">
        <is>
          <t>Equipos y maquinaria</t>
        </is>
      </c>
      <c r="C289" s="7" t="inlineStr">
        <is>
          <t>Maquinaria pesada</t>
        </is>
      </c>
      <c r="D289" s="5" t="inlineStr">
        <is>
          <t>Camión grúa</t>
        </is>
      </c>
      <c r="E289" s="5" t="inlineStr">
        <is>
          <t>Con operador</t>
        </is>
      </c>
      <c r="F289" s="5" t="inlineStr"/>
      <c r="G289" s="5" t="inlineStr"/>
      <c r="H289" s="7" t="inlineStr">
        <is>
          <t>día</t>
        </is>
      </c>
      <c r="I289" s="7" t="inlineStr">
        <is>
          <t>Estructura</t>
        </is>
      </c>
      <c r="J289" s="7" t="inlineStr">
        <is>
          <t>estandar</t>
        </is>
      </c>
      <c r="K289" s="7" t="inlineStr">
        <is>
          <t>nacional</t>
        </is>
      </c>
      <c r="L289" s="7" t="inlineStr">
        <is>
          <t>Estimado</t>
        </is>
      </c>
      <c r="M289" s="8" t="n">
        <v>0</v>
      </c>
      <c r="N289" s="9" t="n">
        <v>22000</v>
      </c>
      <c r="O289" s="9" t="n">
        <v>16000</v>
      </c>
      <c r="P289" s="9" t="n">
        <v>30000</v>
      </c>
      <c r="Q289" s="7" t="inlineStr">
        <is>
          <t>No</t>
        </is>
      </c>
      <c r="R289" s="9">
        <f>IF(N289="","",IF(Q289="Sí",ROUND(N289/1.18,2),N289))</f>
        <v/>
      </c>
      <c r="S289" s="7" t="inlineStr">
        <is>
          <t>2026-09</t>
        </is>
      </c>
      <c r="T289" s="5" t="inlineStr">
        <is>
          <t>Estimación de arranque — pendiente de cotización</t>
        </is>
      </c>
    </row>
    <row r="290">
      <c r="A290" s="7" t="inlineStr">
        <is>
          <t>EQU-01-008</t>
        </is>
      </c>
      <c r="B290" s="7" t="inlineStr">
        <is>
          <t>Equipos y maquinaria</t>
        </is>
      </c>
      <c r="C290" s="7" t="inlineStr">
        <is>
          <t>Maquinaria pesada</t>
        </is>
      </c>
      <c r="D290" s="5" t="inlineStr">
        <is>
          <t>Telehandler (manipulador telescópico)</t>
        </is>
      </c>
      <c r="E290" s="5" t="inlineStr">
        <is>
          <t>Con operador</t>
        </is>
      </c>
      <c r="F290" s="5" t="inlineStr"/>
      <c r="G290" s="5" t="inlineStr"/>
      <c r="H290" s="7" t="inlineStr">
        <is>
          <t>día</t>
        </is>
      </c>
      <c r="I290" s="7" t="inlineStr">
        <is>
          <t>Estructura</t>
        </is>
      </c>
      <c r="J290" s="7" t="inlineStr">
        <is>
          <t>estandar</t>
        </is>
      </c>
      <c r="K290" s="7" t="inlineStr">
        <is>
          <t>nacional</t>
        </is>
      </c>
      <c r="L290" s="7" t="inlineStr">
        <is>
          <t>Estimado</t>
        </is>
      </c>
      <c r="M290" s="8" t="n">
        <v>0</v>
      </c>
      <c r="N290" s="9" t="n">
        <v>19000</v>
      </c>
      <c r="O290" s="9" t="n">
        <v>14000</v>
      </c>
      <c r="P290" s="9" t="n">
        <v>26000</v>
      </c>
      <c r="Q290" s="7" t="inlineStr">
        <is>
          <t>No</t>
        </is>
      </c>
      <c r="R290" s="9">
        <f>IF(N290="","",IF(Q290="Sí",ROUND(N290/1.18,2),N290))</f>
        <v/>
      </c>
      <c r="S290" s="7" t="inlineStr">
        <is>
          <t>2026-09</t>
        </is>
      </c>
      <c r="T290" s="5" t="inlineStr">
        <is>
          <t>Estimación de arranque — pendiente de cotización</t>
        </is>
      </c>
    </row>
    <row r="291">
      <c r="A291" s="7" t="inlineStr">
        <is>
          <t>EQU-01-009</t>
        </is>
      </c>
      <c r="B291" s="7" t="inlineStr">
        <is>
          <t>Equipos y maquinaria</t>
        </is>
      </c>
      <c r="C291" s="7" t="inlineStr">
        <is>
          <t>Maquinaria pesada</t>
        </is>
      </c>
      <c r="D291" s="5" t="inlineStr">
        <is>
          <t>Camión cisterna de agua</t>
        </is>
      </c>
      <c r="E291" s="5" t="inlineStr">
        <is>
          <t>Suministro de agua a obra</t>
        </is>
      </c>
      <c r="F291" s="5" t="inlineStr"/>
      <c r="G291" s="5" t="inlineStr"/>
      <c r="H291" s="7" t="inlineStr">
        <is>
          <t>viaje</t>
        </is>
      </c>
      <c r="I291" s="7" t="inlineStr">
        <is>
          <t>Preliminares</t>
        </is>
      </c>
      <c r="J291" s="7" t="inlineStr">
        <is>
          <t>estandar</t>
        </is>
      </c>
      <c r="K291" s="7" t="inlineStr">
        <is>
          <t>nacional</t>
        </is>
      </c>
      <c r="L291" s="7" t="inlineStr">
        <is>
          <t>Estimado</t>
        </is>
      </c>
      <c r="M291" s="8" t="n">
        <v>0</v>
      </c>
      <c r="N291" s="9" t="n">
        <v>5200</v>
      </c>
      <c r="O291" s="9" t="n">
        <v>3800</v>
      </c>
      <c r="P291" s="9" t="n">
        <v>7500</v>
      </c>
      <c r="Q291" s="7" t="inlineStr">
        <is>
          <t>No</t>
        </is>
      </c>
      <c r="R291" s="9">
        <f>IF(N291="","",IF(Q291="Sí",ROUND(N291/1.18,2),N291))</f>
        <v/>
      </c>
      <c r="S291" s="7" t="inlineStr">
        <is>
          <t>2026-09</t>
        </is>
      </c>
      <c r="T291" s="5" t="inlineStr">
        <is>
          <t>Estimación de arranque — pendiente de cotización</t>
        </is>
      </c>
    </row>
    <row r="292">
      <c r="A292" s="7" t="inlineStr">
        <is>
          <t>EQU-02-001</t>
        </is>
      </c>
      <c r="B292" s="7" t="inlineStr">
        <is>
          <t>Equipos y maquinaria</t>
        </is>
      </c>
      <c r="C292" s="7" t="inlineStr">
        <is>
          <t>Equipos de construcción</t>
        </is>
      </c>
      <c r="D292" s="5" t="inlineStr">
        <is>
          <t>Mezcladora de concreto (trompo), alquiler</t>
        </is>
      </c>
      <c r="E292" s="5" t="inlineStr">
        <is>
          <t>1 saco, eléctrica o de gasolina</t>
        </is>
      </c>
      <c r="F292" s="5" t="inlineStr"/>
      <c r="G292" s="5" t="inlineStr"/>
      <c r="H292" s="7" t="inlineStr">
        <is>
          <t>día</t>
        </is>
      </c>
      <c r="I292" s="7" t="inlineStr">
        <is>
          <t>Estructura</t>
        </is>
      </c>
      <c r="J292" s="7" t="inlineStr">
        <is>
          <t>estandar</t>
        </is>
      </c>
      <c r="K292" s="7" t="inlineStr">
        <is>
          <t>nacional</t>
        </is>
      </c>
      <c r="L292" s="7" t="inlineStr">
        <is>
          <t>Estimado</t>
        </is>
      </c>
      <c r="M292" s="8" t="n">
        <v>0</v>
      </c>
      <c r="N292" s="9" t="n">
        <v>1650</v>
      </c>
      <c r="O292" s="9" t="n">
        <v>1200</v>
      </c>
      <c r="P292" s="9" t="n">
        <v>2300</v>
      </c>
      <c r="Q292" s="7" t="inlineStr">
        <is>
          <t>No</t>
        </is>
      </c>
      <c r="R292" s="9">
        <f>IF(N292="","",IF(Q292="Sí",ROUND(N292/1.18,2),N292))</f>
        <v/>
      </c>
      <c r="S292" s="7" t="inlineStr">
        <is>
          <t>2026-09</t>
        </is>
      </c>
      <c r="T292" s="5" t="inlineStr">
        <is>
          <t>Estimación de arranque — pendiente de cotización</t>
        </is>
      </c>
    </row>
    <row r="293">
      <c r="A293" s="7" t="inlineStr">
        <is>
          <t>EQU-02-002</t>
        </is>
      </c>
      <c r="B293" s="7" t="inlineStr">
        <is>
          <t>Equipos y maquinaria</t>
        </is>
      </c>
      <c r="C293" s="7" t="inlineStr">
        <is>
          <t>Equipos de construcción</t>
        </is>
      </c>
      <c r="D293" s="5" t="inlineStr">
        <is>
          <t>Vibrador de hormigón, alquiler</t>
        </is>
      </c>
      <c r="E293" s="5" t="inlineStr">
        <is>
          <t>Con manguera</t>
        </is>
      </c>
      <c r="F293" s="5" t="inlineStr"/>
      <c r="G293" s="5" t="inlineStr"/>
      <c r="H293" s="7" t="inlineStr">
        <is>
          <t>día</t>
        </is>
      </c>
      <c r="I293" s="7" t="inlineStr">
        <is>
          <t>Estructura</t>
        </is>
      </c>
      <c r="J293" s="7" t="inlineStr">
        <is>
          <t>estandar</t>
        </is>
      </c>
      <c r="K293" s="7" t="inlineStr">
        <is>
          <t>nacional</t>
        </is>
      </c>
      <c r="L293" s="7" t="inlineStr">
        <is>
          <t>Estimado</t>
        </is>
      </c>
      <c r="M293" s="8" t="n">
        <v>0</v>
      </c>
      <c r="N293" s="9" t="n">
        <v>1450</v>
      </c>
      <c r="O293" s="9" t="n">
        <v>1000</v>
      </c>
      <c r="P293" s="9" t="n">
        <v>2100</v>
      </c>
      <c r="Q293" s="7" t="inlineStr">
        <is>
          <t>No</t>
        </is>
      </c>
      <c r="R293" s="9">
        <f>IF(N293="","",IF(Q293="Sí",ROUND(N293/1.18,2),N293))</f>
        <v/>
      </c>
      <c r="S293" s="7" t="inlineStr">
        <is>
          <t>2026-09</t>
        </is>
      </c>
      <c r="T293" s="5" t="inlineStr">
        <is>
          <t>Estimación de arranque — pendiente de cotización</t>
        </is>
      </c>
    </row>
    <row r="294">
      <c r="A294" s="7" t="inlineStr">
        <is>
          <t>EQU-02-003</t>
        </is>
      </c>
      <c r="B294" s="7" t="inlineStr">
        <is>
          <t>Equipos y maquinaria</t>
        </is>
      </c>
      <c r="C294" s="7" t="inlineStr">
        <is>
          <t>Equipos de construcción</t>
        </is>
      </c>
      <c r="D294" s="5" t="inlineStr">
        <is>
          <t>Compactadora tipo rana, alquiler</t>
        </is>
      </c>
      <c r="E294" s="5" t="inlineStr">
        <is>
          <t>Compactación de zanjas</t>
        </is>
      </c>
      <c r="F294" s="5" t="inlineStr"/>
      <c r="G294" s="5" t="inlineStr"/>
      <c r="H294" s="7" t="inlineStr">
        <is>
          <t>día</t>
        </is>
      </c>
      <c r="I294" s="7" t="inlineStr">
        <is>
          <t>Movimiento de tierra</t>
        </is>
      </c>
      <c r="J294" s="7" t="inlineStr">
        <is>
          <t>estandar</t>
        </is>
      </c>
      <c r="K294" s="7" t="inlineStr">
        <is>
          <t>nacional</t>
        </is>
      </c>
      <c r="L294" s="7" t="inlineStr">
        <is>
          <t>Estimado</t>
        </is>
      </c>
      <c r="M294" s="8" t="n">
        <v>0</v>
      </c>
      <c r="N294" s="9" t="n">
        <v>2300</v>
      </c>
      <c r="O294" s="9" t="n">
        <v>1700</v>
      </c>
      <c r="P294" s="9" t="n">
        <v>3200</v>
      </c>
      <c r="Q294" s="7" t="inlineStr">
        <is>
          <t>No</t>
        </is>
      </c>
      <c r="R294" s="9">
        <f>IF(N294="","",IF(Q294="Sí",ROUND(N294/1.18,2),N294))</f>
        <v/>
      </c>
      <c r="S294" s="7" t="inlineStr">
        <is>
          <t>2026-09</t>
        </is>
      </c>
      <c r="T294" s="5" t="inlineStr">
        <is>
          <t>Estimación de arranque — pendiente de cotización</t>
        </is>
      </c>
    </row>
    <row r="295">
      <c r="A295" s="7" t="inlineStr">
        <is>
          <t>EQU-02-004</t>
        </is>
      </c>
      <c r="B295" s="7" t="inlineStr">
        <is>
          <t>Equipos y maquinaria</t>
        </is>
      </c>
      <c r="C295" s="7" t="inlineStr">
        <is>
          <t>Equipos de construcción</t>
        </is>
      </c>
      <c r="D295" s="5" t="inlineStr">
        <is>
          <t>Cortadora de pisos, alquiler</t>
        </is>
      </c>
      <c r="E295" s="5" t="inlineStr">
        <is>
          <t>Con disco diamantado aparte</t>
        </is>
      </c>
      <c r="F295" s="5" t="inlineStr"/>
      <c r="G295" s="5" t="inlineStr"/>
      <c r="H295" s="7" t="inlineStr">
        <is>
          <t>día</t>
        </is>
      </c>
      <c r="I295" s="7" t="inlineStr">
        <is>
          <t>Pisos</t>
        </is>
      </c>
      <c r="J295" s="7" t="inlineStr">
        <is>
          <t>estandar</t>
        </is>
      </c>
      <c r="K295" s="7" t="inlineStr">
        <is>
          <t>nacional</t>
        </is>
      </c>
      <c r="L295" s="7" t="inlineStr">
        <is>
          <t>Estimado</t>
        </is>
      </c>
      <c r="M295" s="8" t="n">
        <v>0</v>
      </c>
      <c r="N295" s="9" t="n">
        <v>2800</v>
      </c>
      <c r="O295" s="9" t="n">
        <v>2000</v>
      </c>
      <c r="P295" s="9" t="n">
        <v>3900</v>
      </c>
      <c r="Q295" s="7" t="inlineStr">
        <is>
          <t>No</t>
        </is>
      </c>
      <c r="R295" s="9">
        <f>IF(N295="","",IF(Q295="Sí",ROUND(N295/1.18,2),N295))</f>
        <v/>
      </c>
      <c r="S295" s="7" t="inlineStr">
        <is>
          <t>2026-09</t>
        </is>
      </c>
      <c r="T295" s="5" t="inlineStr">
        <is>
          <t>Estimación de arranque — pendiente de cotización</t>
        </is>
      </c>
    </row>
    <row r="296">
      <c r="A296" s="7" t="inlineStr">
        <is>
          <t>EQU-02-005</t>
        </is>
      </c>
      <c r="B296" s="7" t="inlineStr">
        <is>
          <t>Equipos y maquinaria</t>
        </is>
      </c>
      <c r="C296" s="7" t="inlineStr">
        <is>
          <t>Equipos de construcción</t>
        </is>
      </c>
      <c r="D296" s="5" t="inlineStr">
        <is>
          <t>Martillo demoledor, alquiler</t>
        </is>
      </c>
      <c r="E296" s="5" t="inlineStr">
        <is>
          <t>Eléctrico, con puntas</t>
        </is>
      </c>
      <c r="F296" s="5" t="inlineStr"/>
      <c r="G296" s="5" t="inlineStr"/>
      <c r="H296" s="7" t="inlineStr">
        <is>
          <t>día</t>
        </is>
      </c>
      <c r="I296" s="7" t="inlineStr">
        <is>
          <t>Preliminares</t>
        </is>
      </c>
      <c r="J296" s="7" t="inlineStr">
        <is>
          <t>estandar</t>
        </is>
      </c>
      <c r="K296" s="7" t="inlineStr">
        <is>
          <t>nacional</t>
        </is>
      </c>
      <c r="L296" s="7" t="inlineStr">
        <is>
          <t>Estimado</t>
        </is>
      </c>
      <c r="M296" s="8" t="n">
        <v>0</v>
      </c>
      <c r="N296" s="9" t="n">
        <v>3200</v>
      </c>
      <c r="O296" s="9" t="n">
        <v>2400</v>
      </c>
      <c r="P296" s="9" t="n">
        <v>4500</v>
      </c>
      <c r="Q296" s="7" t="inlineStr">
        <is>
          <t>No</t>
        </is>
      </c>
      <c r="R296" s="9">
        <f>IF(N296="","",IF(Q296="Sí",ROUND(N296/1.18,2),N296))</f>
        <v/>
      </c>
      <c r="S296" s="7" t="inlineStr">
        <is>
          <t>2026-09</t>
        </is>
      </c>
      <c r="T296" s="5" t="inlineStr">
        <is>
          <t>Estimación de arranque — pendiente de cotización</t>
        </is>
      </c>
    </row>
    <row r="297">
      <c r="A297" s="7" t="inlineStr">
        <is>
          <t>EQU-02-006</t>
        </is>
      </c>
      <c r="B297" s="7" t="inlineStr">
        <is>
          <t>Equipos y maquinaria</t>
        </is>
      </c>
      <c r="C297" s="7" t="inlineStr">
        <is>
          <t>Equipos de construcción</t>
        </is>
      </c>
      <c r="D297" s="5" t="inlineStr">
        <is>
          <t>Hidrolavadora, alquiler</t>
        </is>
      </c>
      <c r="E297" s="5" t="inlineStr">
        <is>
          <t>Limpieza de superficies</t>
        </is>
      </c>
      <c r="F297" s="5" t="inlineStr"/>
      <c r="G297" s="5" t="inlineStr"/>
      <c r="H297" s="7" t="inlineStr">
        <is>
          <t>día</t>
        </is>
      </c>
      <c r="I297" s="7" t="inlineStr">
        <is>
          <t>Limpieza</t>
        </is>
      </c>
      <c r="J297" s="7" t="inlineStr">
        <is>
          <t>estandar</t>
        </is>
      </c>
      <c r="K297" s="7" t="inlineStr">
        <is>
          <t>nacional</t>
        </is>
      </c>
      <c r="L297" s="7" t="inlineStr">
        <is>
          <t>Estimado</t>
        </is>
      </c>
      <c r="M297" s="8" t="n">
        <v>0</v>
      </c>
      <c r="N297" s="9" t="n">
        <v>2400</v>
      </c>
      <c r="O297" s="9" t="n">
        <v>1700</v>
      </c>
      <c r="P297" s="9" t="n">
        <v>3400</v>
      </c>
      <c r="Q297" s="7" t="inlineStr">
        <is>
          <t>No</t>
        </is>
      </c>
      <c r="R297" s="9">
        <f>IF(N297="","",IF(Q297="Sí",ROUND(N297/1.18,2),N297))</f>
        <v/>
      </c>
      <c r="S297" s="7" t="inlineStr">
        <is>
          <t>2026-09</t>
        </is>
      </c>
      <c r="T297" s="5" t="inlineStr">
        <is>
          <t>Estimación de arranque — pendiente de cotización</t>
        </is>
      </c>
    </row>
    <row r="298">
      <c r="A298" s="7" t="inlineStr">
        <is>
          <t>EQU-02-007</t>
        </is>
      </c>
      <c r="B298" s="7" t="inlineStr">
        <is>
          <t>Equipos y maquinaria</t>
        </is>
      </c>
      <c r="C298" s="7" t="inlineStr">
        <is>
          <t>Equipos de construcción</t>
        </is>
      </c>
      <c r="D298" s="5" t="inlineStr">
        <is>
          <t>Planta eléctrica portátil, alquiler</t>
        </is>
      </c>
      <c r="E298" s="5" t="inlineStr">
        <is>
          <t>5-8 kVA, sin combustible</t>
        </is>
      </c>
      <c r="F298" s="5" t="inlineStr"/>
      <c r="G298" s="5" t="inlineStr"/>
      <c r="H298" s="7" t="inlineStr">
        <is>
          <t>día</t>
        </is>
      </c>
      <c r="I298" s="7" t="inlineStr">
        <is>
          <t>Preliminares</t>
        </is>
      </c>
      <c r="J298" s="7" t="inlineStr">
        <is>
          <t>estandar</t>
        </is>
      </c>
      <c r="K298" s="7" t="inlineStr">
        <is>
          <t>nacional</t>
        </is>
      </c>
      <c r="L298" s="7" t="inlineStr">
        <is>
          <t>Estimado</t>
        </is>
      </c>
      <c r="M298" s="8" t="n">
        <v>0</v>
      </c>
      <c r="N298" s="9" t="n">
        <v>4200</v>
      </c>
      <c r="O298" s="9" t="n">
        <v>3000</v>
      </c>
      <c r="P298" s="9" t="n">
        <v>6000</v>
      </c>
      <c r="Q298" s="7" t="inlineStr">
        <is>
          <t>No</t>
        </is>
      </c>
      <c r="R298" s="9">
        <f>IF(N298="","",IF(Q298="Sí",ROUND(N298/1.18,2),N298))</f>
        <v/>
      </c>
      <c r="S298" s="7" t="inlineStr">
        <is>
          <t>2026-09</t>
        </is>
      </c>
      <c r="T298" s="5" t="inlineStr">
        <is>
          <t>Estimación de arranque — pendiente de cotización</t>
        </is>
      </c>
    </row>
    <row r="299">
      <c r="A299" s="7" t="inlineStr">
        <is>
          <t>EQU-02-008</t>
        </is>
      </c>
      <c r="B299" s="7" t="inlineStr">
        <is>
          <t>Equipos y maquinaria</t>
        </is>
      </c>
      <c r="C299" s="7" t="inlineStr">
        <is>
          <t>Equipos de construcción</t>
        </is>
      </c>
      <c r="D299" s="5" t="inlineStr">
        <is>
          <t>Soldadora, alquiler</t>
        </is>
      </c>
      <c r="E299" s="5" t="inlineStr">
        <is>
          <t>Sin electrodos</t>
        </is>
      </c>
      <c r="F299" s="5" t="inlineStr"/>
      <c r="G299" s="5" t="inlineStr"/>
      <c r="H299" s="7" t="inlineStr">
        <is>
          <t>día</t>
        </is>
      </c>
      <c r="I299" s="7" t="inlineStr">
        <is>
          <t>Estructura</t>
        </is>
      </c>
      <c r="J299" s="7" t="inlineStr">
        <is>
          <t>estandar</t>
        </is>
      </c>
      <c r="K299" s="7" t="inlineStr">
        <is>
          <t>nacional</t>
        </is>
      </c>
      <c r="L299" s="7" t="inlineStr">
        <is>
          <t>Estimado</t>
        </is>
      </c>
      <c r="M299" s="8" t="n">
        <v>0</v>
      </c>
      <c r="N299" s="9" t="n">
        <v>2600</v>
      </c>
      <c r="O299" s="9" t="n">
        <v>1900</v>
      </c>
      <c r="P299" s="9" t="n">
        <v>3600</v>
      </c>
      <c r="Q299" s="7" t="inlineStr">
        <is>
          <t>No</t>
        </is>
      </c>
      <c r="R299" s="9">
        <f>IF(N299="","",IF(Q299="Sí",ROUND(N299/1.18,2),N299))</f>
        <v/>
      </c>
      <c r="S299" s="7" t="inlineStr">
        <is>
          <t>2026-09</t>
        </is>
      </c>
      <c r="T299" s="5" t="inlineStr">
        <is>
          <t>Estimación de arranque — pendiente de cotización</t>
        </is>
      </c>
    </row>
    <row r="300">
      <c r="A300" s="7" t="inlineStr">
        <is>
          <t>EQU-02-009</t>
        </is>
      </c>
      <c r="B300" s="7" t="inlineStr">
        <is>
          <t>Equipos y maquinaria</t>
        </is>
      </c>
      <c r="C300" s="7" t="inlineStr">
        <is>
          <t>Equipos de construcción</t>
        </is>
      </c>
      <c r="D300" s="5" t="inlineStr">
        <is>
          <t>Bomba de achique, alquiler</t>
        </is>
      </c>
      <c r="E300" s="5" t="inlineStr">
        <is>
          <t>Sumergible, drenaje de excavaciones</t>
        </is>
      </c>
      <c r="F300" s="5" t="inlineStr"/>
      <c r="G300" s="5" t="inlineStr"/>
      <c r="H300" s="7" t="inlineStr">
        <is>
          <t>día</t>
        </is>
      </c>
      <c r="I300" s="7" t="inlineStr">
        <is>
          <t>Cimentación</t>
        </is>
      </c>
      <c r="J300" s="7" t="inlineStr">
        <is>
          <t>estandar</t>
        </is>
      </c>
      <c r="K300" s="7" t="inlineStr">
        <is>
          <t>nacional</t>
        </is>
      </c>
      <c r="L300" s="7" t="inlineStr">
        <is>
          <t>Estimado</t>
        </is>
      </c>
      <c r="M300" s="8" t="n">
        <v>0</v>
      </c>
      <c r="N300" s="9" t="n">
        <v>2200</v>
      </c>
      <c r="O300" s="9" t="n">
        <v>1600</v>
      </c>
      <c r="P300" s="9" t="n">
        <v>3100</v>
      </c>
      <c r="Q300" s="7" t="inlineStr">
        <is>
          <t>No</t>
        </is>
      </c>
      <c r="R300" s="9">
        <f>IF(N300="","",IF(Q300="Sí",ROUND(N300/1.18,2),N300))</f>
        <v/>
      </c>
      <c r="S300" s="7" t="inlineStr">
        <is>
          <t>2026-09</t>
        </is>
      </c>
      <c r="T300" s="5" t="inlineStr">
        <is>
          <t>Estimación de arranque — pendiente de cotización</t>
        </is>
      </c>
    </row>
    <row r="301">
      <c r="A301" s="7" t="inlineStr">
        <is>
          <t>EQU-03-001</t>
        </is>
      </c>
      <c r="B301" s="7" t="inlineStr">
        <is>
          <t>Equipos y maquinaria</t>
        </is>
      </c>
      <c r="C301" s="7" t="inlineStr">
        <is>
          <t>Andamiaje y formaleta</t>
        </is>
      </c>
      <c r="D301" s="5" t="inlineStr">
        <is>
          <t>Sección de andamio (marco + cruceta), alquiler</t>
        </is>
      </c>
      <c r="E301" s="5" t="inlineStr">
        <is>
          <t>Por sección, no incluye transporte</t>
        </is>
      </c>
      <c r="F301" s="5" t="inlineStr"/>
      <c r="G301" s="5" t="inlineStr"/>
      <c r="H301" s="7" t="inlineStr">
        <is>
          <t>mes</t>
        </is>
      </c>
      <c r="I301" s="7" t="inlineStr">
        <is>
          <t>Estructura</t>
        </is>
      </c>
      <c r="J301" s="7" t="inlineStr">
        <is>
          <t>estandar</t>
        </is>
      </c>
      <c r="K301" s="7" t="inlineStr">
        <is>
          <t>nacional</t>
        </is>
      </c>
      <c r="L301" s="7" t="inlineStr">
        <is>
          <t>Estimado</t>
        </is>
      </c>
      <c r="M301" s="8" t="n">
        <v>0</v>
      </c>
      <c r="N301" s="9" t="n">
        <v>950</v>
      </c>
      <c r="O301" s="9" t="n">
        <v>700</v>
      </c>
      <c r="P301" s="9" t="n">
        <v>1350</v>
      </c>
      <c r="Q301" s="7" t="inlineStr">
        <is>
          <t>No</t>
        </is>
      </c>
      <c r="R301" s="9">
        <f>IF(N301="","",IF(Q301="Sí",ROUND(N301/1.18,2),N301))</f>
        <v/>
      </c>
      <c r="S301" s="7" t="inlineStr">
        <is>
          <t>2026-09</t>
        </is>
      </c>
      <c r="T301" s="5" t="inlineStr">
        <is>
          <t>Estimación de arranque — pendiente de cotización</t>
        </is>
      </c>
    </row>
    <row r="302">
      <c r="A302" s="7" t="inlineStr">
        <is>
          <t>EQU-03-002</t>
        </is>
      </c>
      <c r="B302" s="7" t="inlineStr">
        <is>
          <t>Equipos y maquinaria</t>
        </is>
      </c>
      <c r="C302" s="7" t="inlineStr">
        <is>
          <t>Andamiaje y formaleta</t>
        </is>
      </c>
      <c r="D302" s="5" t="inlineStr">
        <is>
          <t>Puntal metálico telescópico, alquiler</t>
        </is>
      </c>
      <c r="E302" s="5" t="inlineStr">
        <is>
          <t>Por unidad, 1.80-3.20 m</t>
        </is>
      </c>
      <c r="F302" s="5" t="inlineStr"/>
      <c r="G302" s="5" t="inlineStr"/>
      <c r="H302" s="7" t="inlineStr">
        <is>
          <t>mes</t>
        </is>
      </c>
      <c r="I302" s="7" t="inlineStr">
        <is>
          <t>Estructura</t>
        </is>
      </c>
      <c r="J302" s="7" t="inlineStr">
        <is>
          <t>estandar</t>
        </is>
      </c>
      <c r="K302" s="7" t="inlineStr">
        <is>
          <t>nacional</t>
        </is>
      </c>
      <c r="L302" s="7" t="inlineStr">
        <is>
          <t>Estimado</t>
        </is>
      </c>
      <c r="M302" s="8" t="n">
        <v>0</v>
      </c>
      <c r="N302" s="9" t="n">
        <v>320</v>
      </c>
      <c r="O302" s="9" t="n">
        <v>230</v>
      </c>
      <c r="P302" s="9" t="n">
        <v>450</v>
      </c>
      <c r="Q302" s="7" t="inlineStr">
        <is>
          <t>No</t>
        </is>
      </c>
      <c r="R302" s="9">
        <f>IF(N302="","",IF(Q302="Sí",ROUND(N302/1.18,2),N302))</f>
        <v/>
      </c>
      <c r="S302" s="7" t="inlineStr">
        <is>
          <t>2026-09</t>
        </is>
      </c>
      <c r="T302" s="5" t="inlineStr">
        <is>
          <t>Estimación de arranque — pendiente de cotización</t>
        </is>
      </c>
    </row>
    <row r="303">
      <c r="A303" s="7" t="inlineStr">
        <is>
          <t>EQU-03-003</t>
        </is>
      </c>
      <c r="B303" s="7" t="inlineStr">
        <is>
          <t>Equipos y maquinaria</t>
        </is>
      </c>
      <c r="C303" s="7" t="inlineStr">
        <is>
          <t>Andamiaje y formaleta</t>
        </is>
      </c>
      <c r="D303" s="5" t="inlineStr">
        <is>
          <t>Formaleta metálica de muro, alquiler</t>
        </is>
      </c>
      <c r="E303" s="5" t="inlineStr">
        <is>
          <t>Por m² por mes</t>
        </is>
      </c>
      <c r="F303" s="5" t="inlineStr"/>
      <c r="G303" s="5" t="inlineStr"/>
      <c r="H303" s="7" t="inlineStr">
        <is>
          <t>m²</t>
        </is>
      </c>
      <c r="I303" s="7" t="inlineStr">
        <is>
          <t>Estructura</t>
        </is>
      </c>
      <c r="J303" s="7" t="inlineStr">
        <is>
          <t>estandar</t>
        </is>
      </c>
      <c r="K303" s="7" t="inlineStr">
        <is>
          <t>nacional</t>
        </is>
      </c>
      <c r="L303" s="7" t="inlineStr">
        <is>
          <t>Estimado</t>
        </is>
      </c>
      <c r="M303" s="8" t="n">
        <v>0</v>
      </c>
      <c r="N303" s="9" t="n">
        <v>750</v>
      </c>
      <c r="O303" s="9" t="n">
        <v>550</v>
      </c>
      <c r="P303" s="9" t="n">
        <v>1050</v>
      </c>
      <c r="Q303" s="7" t="inlineStr">
        <is>
          <t>No</t>
        </is>
      </c>
      <c r="R303" s="9">
        <f>IF(N303="","",IF(Q303="Sí",ROUND(N303/1.18,2),N303))</f>
        <v/>
      </c>
      <c r="S303" s="7" t="inlineStr">
        <is>
          <t>2026-09</t>
        </is>
      </c>
      <c r="T303" s="5" t="inlineStr">
        <is>
          <t>Estimación de arranque — pendiente de cotización</t>
        </is>
      </c>
    </row>
    <row r="304">
      <c r="A304" s="7" t="inlineStr">
        <is>
          <t>EQU-03-004</t>
        </is>
      </c>
      <c r="B304" s="7" t="inlineStr">
        <is>
          <t>Equipos y maquinaria</t>
        </is>
      </c>
      <c r="C304" s="7" t="inlineStr">
        <is>
          <t>Andamiaje y formaleta</t>
        </is>
      </c>
      <c r="D304" s="5" t="inlineStr">
        <is>
          <t>Escalera de andamio, alquiler</t>
        </is>
      </c>
      <c r="E304" s="5" t="inlineStr">
        <is>
          <t>Acceso vertical</t>
        </is>
      </c>
      <c r="F304" s="5" t="inlineStr"/>
      <c r="G304" s="5" t="inlineStr"/>
      <c r="H304" s="7" t="inlineStr">
        <is>
          <t>mes</t>
        </is>
      </c>
      <c r="I304" s="7" t="inlineStr">
        <is>
          <t>Estructura</t>
        </is>
      </c>
      <c r="J304" s="7" t="inlineStr">
        <is>
          <t>estandar</t>
        </is>
      </c>
      <c r="K304" s="7" t="inlineStr">
        <is>
          <t>nacional</t>
        </is>
      </c>
      <c r="L304" s="7" t="inlineStr">
        <is>
          <t>Estimado</t>
        </is>
      </c>
      <c r="M304" s="8" t="n">
        <v>0</v>
      </c>
      <c r="N304" s="9" t="n">
        <v>850</v>
      </c>
      <c r="O304" s="9" t="n">
        <v>600</v>
      </c>
      <c r="P304" s="9" t="n">
        <v>1200</v>
      </c>
      <c r="Q304" s="7" t="inlineStr">
        <is>
          <t>No</t>
        </is>
      </c>
      <c r="R304" s="9">
        <f>IF(N304="","",IF(Q304="Sí",ROUND(N304/1.18,2),N304))</f>
        <v/>
      </c>
      <c r="S304" s="7" t="inlineStr">
        <is>
          <t>2026-09</t>
        </is>
      </c>
      <c r="T304" s="5" t="inlineStr">
        <is>
          <t>Estimación de arranque — pendiente de cotización</t>
        </is>
      </c>
    </row>
    <row r="305">
      <c r="A305" s="7" t="inlineStr">
        <is>
          <t>EQU-04-001</t>
        </is>
      </c>
      <c r="B305" s="7" t="inlineStr">
        <is>
          <t>Equipos y maquinaria</t>
        </is>
      </c>
      <c r="C305" s="7" t="inlineStr">
        <is>
          <t>Herramientas y equipo menor</t>
        </is>
      </c>
      <c r="D305" s="5" t="inlineStr">
        <is>
          <t>Carretilla de obra</t>
        </is>
      </c>
      <c r="E305" s="5" t="inlineStr">
        <is>
          <t>Bandeja metálica, goma neumática</t>
        </is>
      </c>
      <c r="F305" s="5" t="inlineStr"/>
      <c r="G305" s="5" t="inlineStr"/>
      <c r="H305" s="7" t="inlineStr">
        <is>
          <t>unidad</t>
        </is>
      </c>
      <c r="I305" s="7" t="inlineStr">
        <is>
          <t>Preliminares</t>
        </is>
      </c>
      <c r="J305" s="7" t="inlineStr">
        <is>
          <t>estandar</t>
        </is>
      </c>
      <c r="K305" s="7" t="inlineStr">
        <is>
          <t>nacional</t>
        </is>
      </c>
      <c r="L305" s="7" t="inlineStr">
        <is>
          <t>Estimado</t>
        </is>
      </c>
      <c r="M305" s="8" t="n">
        <v>0</v>
      </c>
      <c r="N305" s="9" t="n">
        <v>3400</v>
      </c>
      <c r="O305" s="9" t="n">
        <v>2600</v>
      </c>
      <c r="P305" s="9" t="n">
        <v>4600</v>
      </c>
      <c r="Q305" s="7" t="inlineStr">
        <is>
          <t>Sí</t>
        </is>
      </c>
      <c r="R305" s="9">
        <f>IF(N305="","",IF(Q305="Sí",ROUND(N305/1.18,2),N305))</f>
        <v/>
      </c>
      <c r="S305" s="7" t="inlineStr">
        <is>
          <t>2026-09</t>
        </is>
      </c>
      <c r="T305" s="5" t="inlineStr">
        <is>
          <t>Estimación de arranque — pendiente de cotización</t>
        </is>
      </c>
    </row>
    <row r="306">
      <c r="A306" s="7" t="inlineStr">
        <is>
          <t>EQU-04-002</t>
        </is>
      </c>
      <c r="B306" s="7" t="inlineStr">
        <is>
          <t>Equipos y maquinaria</t>
        </is>
      </c>
      <c r="C306" s="7" t="inlineStr">
        <is>
          <t>Herramientas y equipo menor</t>
        </is>
      </c>
      <c r="D306" s="5" t="inlineStr">
        <is>
          <t>Pala cuadrada</t>
        </is>
      </c>
      <c r="E306" s="5" t="inlineStr">
        <is>
          <t>Con cabo de madera</t>
        </is>
      </c>
      <c r="F306" s="5" t="inlineStr"/>
      <c r="G306" s="5" t="inlineStr"/>
      <c r="H306" s="7" t="inlineStr">
        <is>
          <t>unidad</t>
        </is>
      </c>
      <c r="I306" s="7" t="inlineStr">
        <is>
          <t>Preliminares</t>
        </is>
      </c>
      <c r="J306" s="7" t="inlineStr">
        <is>
          <t>estandar</t>
        </is>
      </c>
      <c r="K306" s="7" t="inlineStr">
        <is>
          <t>nacional</t>
        </is>
      </c>
      <c r="L306" s="7" t="inlineStr">
        <is>
          <t>Estimado</t>
        </is>
      </c>
      <c r="M306" s="8" t="n">
        <v>0</v>
      </c>
      <c r="N306" s="9" t="n">
        <v>780</v>
      </c>
      <c r="O306" s="9" t="n">
        <v>580</v>
      </c>
      <c r="P306" s="9" t="n">
        <v>1080</v>
      </c>
      <c r="Q306" s="7" t="inlineStr">
        <is>
          <t>Sí</t>
        </is>
      </c>
      <c r="R306" s="9">
        <f>IF(N306="","",IF(Q306="Sí",ROUND(N306/1.18,2),N306))</f>
        <v/>
      </c>
      <c r="S306" s="7" t="inlineStr">
        <is>
          <t>2026-09</t>
        </is>
      </c>
      <c r="T306" s="5" t="inlineStr">
        <is>
          <t>Estimación de arranque — pendiente de cotización</t>
        </is>
      </c>
    </row>
    <row r="307">
      <c r="A307" s="7" t="inlineStr">
        <is>
          <t>EQU-04-003</t>
        </is>
      </c>
      <c r="B307" s="7" t="inlineStr">
        <is>
          <t>Equipos y maquinaria</t>
        </is>
      </c>
      <c r="C307" s="7" t="inlineStr">
        <is>
          <t>Herramientas y equipo menor</t>
        </is>
      </c>
      <c r="D307" s="5" t="inlineStr">
        <is>
          <t>Pico</t>
        </is>
      </c>
      <c r="E307" s="5" t="inlineStr">
        <is>
          <t>Con cabo</t>
        </is>
      </c>
      <c r="F307" s="5" t="inlineStr"/>
      <c r="G307" s="5" t="inlineStr"/>
      <c r="H307" s="7" t="inlineStr">
        <is>
          <t>unidad</t>
        </is>
      </c>
      <c r="I307" s="7" t="inlineStr">
        <is>
          <t>Preliminares</t>
        </is>
      </c>
      <c r="J307" s="7" t="inlineStr">
        <is>
          <t>estandar</t>
        </is>
      </c>
      <c r="K307" s="7" t="inlineStr">
        <is>
          <t>nacional</t>
        </is>
      </c>
      <c r="L307" s="7" t="inlineStr">
        <is>
          <t>Estimado</t>
        </is>
      </c>
      <c r="M307" s="8" t="n">
        <v>0</v>
      </c>
      <c r="N307" s="9" t="n">
        <v>950</v>
      </c>
      <c r="O307" s="9" t="n">
        <v>700</v>
      </c>
      <c r="P307" s="9" t="n">
        <v>1300</v>
      </c>
      <c r="Q307" s="7" t="inlineStr">
        <is>
          <t>Sí</t>
        </is>
      </c>
      <c r="R307" s="9">
        <f>IF(N307="","",IF(Q307="Sí",ROUND(N307/1.18,2),N307))</f>
        <v/>
      </c>
      <c r="S307" s="7" t="inlineStr">
        <is>
          <t>2026-09</t>
        </is>
      </c>
      <c r="T307" s="5" t="inlineStr">
        <is>
          <t>Estimación de arranque — pendiente de cotización</t>
        </is>
      </c>
    </row>
    <row r="308">
      <c r="A308" s="7" t="inlineStr">
        <is>
          <t>EQU-04-004</t>
        </is>
      </c>
      <c r="B308" s="7" t="inlineStr">
        <is>
          <t>Equipos y maquinaria</t>
        </is>
      </c>
      <c r="C308" s="7" t="inlineStr">
        <is>
          <t>Herramientas y equipo menor</t>
        </is>
      </c>
      <c r="D308" s="5" t="inlineStr">
        <is>
          <t>Nivel láser autonivelante</t>
        </is>
      </c>
      <c r="E308" s="5" t="inlineStr">
        <is>
          <t>Líneas cruzadas, alcance interior</t>
        </is>
      </c>
      <c r="F308" s="5" t="inlineStr"/>
      <c r="G308" s="5" t="inlineStr"/>
      <c r="H308" s="7" t="inlineStr">
        <is>
          <t>unidad</t>
        </is>
      </c>
      <c r="I308" s="7" t="inlineStr">
        <is>
          <t>Preliminares</t>
        </is>
      </c>
      <c r="J308" s="7" t="inlineStr">
        <is>
          <t>estandar</t>
        </is>
      </c>
      <c r="K308" s="7" t="inlineStr">
        <is>
          <t>importado</t>
        </is>
      </c>
      <c r="L308" s="7" t="inlineStr">
        <is>
          <t>Estimado</t>
        </is>
      </c>
      <c r="M308" s="8" t="n">
        <v>0</v>
      </c>
      <c r="N308" s="9" t="n">
        <v>12500</v>
      </c>
      <c r="O308" s="9" t="n">
        <v>8500</v>
      </c>
      <c r="P308" s="9" t="n">
        <v>18000</v>
      </c>
      <c r="Q308" s="7" t="inlineStr">
        <is>
          <t>Sí</t>
        </is>
      </c>
      <c r="R308" s="9">
        <f>IF(N308="","",IF(Q308="Sí",ROUND(N308/1.18,2),N308))</f>
        <v/>
      </c>
      <c r="S308" s="7" t="inlineStr">
        <is>
          <t>2026-09</t>
        </is>
      </c>
      <c r="T308" s="5" t="inlineStr">
        <is>
          <t>Estimación de arranque — pendiente de cotización</t>
        </is>
      </c>
    </row>
    <row r="309">
      <c r="A309" s="7" t="inlineStr">
        <is>
          <t>EQU-04-005</t>
        </is>
      </c>
      <c r="B309" s="7" t="inlineStr">
        <is>
          <t>Equipos y maquinaria</t>
        </is>
      </c>
      <c r="C309" s="7" t="inlineStr">
        <is>
          <t>Herramientas y equipo menor</t>
        </is>
      </c>
      <c r="D309" s="5" t="inlineStr">
        <is>
          <t>Cinta métrica 8 m</t>
        </is>
      </c>
      <c r="E309" s="5" t="inlineStr">
        <is>
          <t>Con freno y clip</t>
        </is>
      </c>
      <c r="F309" s="5" t="inlineStr"/>
      <c r="G309" s="5" t="inlineStr"/>
      <c r="H309" s="7" t="inlineStr">
        <is>
          <t>unidad</t>
        </is>
      </c>
      <c r="I309" s="7" t="inlineStr">
        <is>
          <t>Preliminares</t>
        </is>
      </c>
      <c r="J309" s="7" t="inlineStr">
        <is>
          <t>estandar</t>
        </is>
      </c>
      <c r="K309" s="7" t="inlineStr">
        <is>
          <t>importado</t>
        </is>
      </c>
      <c r="L309" s="7" t="inlineStr">
        <is>
          <t>Estimado</t>
        </is>
      </c>
      <c r="M309" s="8" t="n">
        <v>0</v>
      </c>
      <c r="N309" s="9" t="n">
        <v>620</v>
      </c>
      <c r="O309" s="9" t="n">
        <v>450</v>
      </c>
      <c r="P309" s="9" t="n">
        <v>880</v>
      </c>
      <c r="Q309" s="7" t="inlineStr">
        <is>
          <t>Sí</t>
        </is>
      </c>
      <c r="R309" s="9">
        <f>IF(N309="","",IF(Q309="Sí",ROUND(N309/1.18,2),N309))</f>
        <v/>
      </c>
      <c r="S309" s="7" t="inlineStr">
        <is>
          <t>2026-09</t>
        </is>
      </c>
      <c r="T309" s="5" t="inlineStr">
        <is>
          <t>Estimación de arranque — pendiente de cotización</t>
        </is>
      </c>
    </row>
    <row r="310">
      <c r="A310" s="7" t="inlineStr">
        <is>
          <t>EQU-04-006</t>
        </is>
      </c>
      <c r="B310" s="7" t="inlineStr">
        <is>
          <t>Equipos y maquinaria</t>
        </is>
      </c>
      <c r="C310" s="7" t="inlineStr">
        <is>
          <t>Herramientas y equipo menor</t>
        </is>
      </c>
      <c r="D310" s="5" t="inlineStr">
        <is>
          <t>Herramienta de terminación de cableado</t>
        </is>
      </c>
      <c r="E310" s="5" t="inlineStr">
        <is>
          <t>Ponchadora de impacto para jacks y patch panels</t>
        </is>
      </c>
      <c r="F310" s="5" t="inlineStr">
        <is>
          <t>Material retirado en almacén</t>
        </is>
      </c>
      <c r="G310" s="5" t="inlineStr">
        <is>
          <t>ponchadora, herramienta de impacto</t>
        </is>
      </c>
      <c r="H310" s="7" t="inlineStr">
        <is>
          <t>unidad</t>
        </is>
      </c>
      <c r="I310" s="7" t="inlineStr">
        <is>
          <t>Instalaciones</t>
        </is>
      </c>
      <c r="J310" s="7" t="inlineStr">
        <is>
          <t>estandar</t>
        </is>
      </c>
      <c r="K310" s="7" t="inlineStr">
        <is>
          <t>importado</t>
        </is>
      </c>
      <c r="L310" s="7" t="inlineStr">
        <is>
          <t>Verificado</t>
        </is>
      </c>
      <c r="M310" s="8" t="n">
        <v>1</v>
      </c>
      <c r="N310" s="9" t="n">
        <v>480.68</v>
      </c>
      <c r="O310" s="9" t="n">
        <v>448.43</v>
      </c>
      <c r="P310" s="9" t="n">
        <v>6682.26</v>
      </c>
      <c r="Q310" s="7" t="inlineStr">
        <is>
          <t>Sí</t>
        </is>
      </c>
      <c r="R310" s="9">
        <f>IF(N310="","",IF(Q310="Sí",ROUND(N310/1.18,2),N310))</f>
        <v/>
      </c>
      <c r="S310" s="7" t="inlineStr">
        <is>
          <t>2026-09-09</t>
        </is>
      </c>
      <c r="T310" s="5" t="inlineStr">
        <is>
          <t>3 cotizaciones de proveedores</t>
        </is>
      </c>
    </row>
    <row r="311">
      <c r="A311" s="7" t="inlineStr">
        <is>
          <t>MAT-01-020</t>
        </is>
      </c>
      <c r="B311" s="7" t="inlineStr">
        <is>
          <t>Materiales</t>
        </is>
      </c>
      <c r="C311" s="7" t="inlineStr">
        <is>
          <t>Agregados y áridos</t>
        </is>
      </c>
      <c r="D311" s="5" t="inlineStr">
        <is>
          <t>Grava 3/4" en funda de 50 libras</t>
        </is>
      </c>
      <c r="E311" s="5" t="inlineStr">
        <is>
          <t>Agregado ensacado para obra menor y reparaciones · granulometría 3/4" · funda de 50 libras</t>
        </is>
      </c>
      <c r="F311" s="5" t="inlineStr">
        <is>
          <t>Material retirado en almacén</t>
        </is>
      </c>
      <c r="G311" s="5" t="inlineStr">
        <is>
          <t>funda de arena, funda de grava, agregado ensacado</t>
        </is>
      </c>
      <c r="H311" s="7" t="inlineStr">
        <is>
          <t>funda</t>
        </is>
      </c>
      <c r="I311" s="7" t="inlineStr">
        <is>
          <t>Estructura</t>
        </is>
      </c>
      <c r="J311" s="7" t="inlineStr">
        <is>
          <t>estandar</t>
        </is>
      </c>
      <c r="K311" s="7" t="inlineStr">
        <is>
          <t>nacional</t>
        </is>
      </c>
      <c r="L311" s="7" t="inlineStr">
        <is>
          <t>Verificado</t>
        </is>
      </c>
      <c r="M311" s="8" t="n">
        <v>1</v>
      </c>
      <c r="N311" s="9" t="n">
        <v>151.87</v>
      </c>
      <c r="O311" s="9" t="n">
        <v>151.87</v>
      </c>
      <c r="P311" s="9" t="n">
        <v>151.87</v>
      </c>
      <c r="Q311" s="7" t="inlineStr">
        <is>
          <t>Sí</t>
        </is>
      </c>
      <c r="R311" s="9">
        <f>IF(N311="","",IF(Q311="Sí",ROUND(N311/1.18,2),N311))</f>
        <v/>
      </c>
      <c r="S311" s="7" t="inlineStr">
        <is>
          <t>2026-09-09</t>
        </is>
      </c>
      <c r="T311" s="5" t="inlineStr">
        <is>
          <t>1 cotización de proveedores</t>
        </is>
      </c>
    </row>
    <row r="312">
      <c r="A312" s="7" t="inlineStr">
        <is>
          <t>MAT-01-021</t>
        </is>
      </c>
      <c r="B312" s="7" t="inlineStr">
        <is>
          <t>Materiales</t>
        </is>
      </c>
      <c r="C312" s="7" t="inlineStr">
        <is>
          <t>Agregados y áridos</t>
        </is>
      </c>
      <c r="D312" s="5" t="inlineStr">
        <is>
          <t>Grava blanca en funda de 50 libras</t>
        </is>
      </c>
      <c r="E312" s="5" t="inlineStr">
        <is>
          <t>Agregado ensacado para obra menor y reparaciones · funda de 50 libras</t>
        </is>
      </c>
      <c r="F312" s="5" t="inlineStr">
        <is>
          <t>Material retirado en almacén</t>
        </is>
      </c>
      <c r="G312" s="5" t="inlineStr">
        <is>
          <t>funda de arena, funda de grava, agregado ensacado</t>
        </is>
      </c>
      <c r="H312" s="7" t="inlineStr">
        <is>
          <t>funda</t>
        </is>
      </c>
      <c r="I312" s="7" t="inlineStr">
        <is>
          <t>Estructura</t>
        </is>
      </c>
      <c r="J312" s="7" t="inlineStr">
        <is>
          <t>estandar</t>
        </is>
      </c>
      <c r="K312" s="7" t="inlineStr">
        <is>
          <t>nacional</t>
        </is>
      </c>
      <c r="L312" s="7" t="inlineStr">
        <is>
          <t>Verificado</t>
        </is>
      </c>
      <c r="M312" s="8" t="n">
        <v>1</v>
      </c>
      <c r="N312" s="9" t="n">
        <v>448.34</v>
      </c>
      <c r="O312" s="9" t="n">
        <v>448.34</v>
      </c>
      <c r="P312" s="9" t="n">
        <v>448.34</v>
      </c>
      <c r="Q312" s="7" t="inlineStr">
        <is>
          <t>Sí</t>
        </is>
      </c>
      <c r="R312" s="9">
        <f>IF(N312="","",IF(Q312="Sí",ROUND(N312/1.18,2),N312))</f>
        <v/>
      </c>
      <c r="S312" s="7" t="inlineStr">
        <is>
          <t>2026-09-09</t>
        </is>
      </c>
      <c r="T312" s="5" t="inlineStr">
        <is>
          <t>1 cotización de proveedores</t>
        </is>
      </c>
    </row>
    <row r="313">
      <c r="A313" s="7" t="inlineStr">
        <is>
          <t>MAT-01-022</t>
        </is>
      </c>
      <c r="B313" s="7" t="inlineStr">
        <is>
          <t>Materiales</t>
        </is>
      </c>
      <c r="C313" s="7" t="inlineStr">
        <is>
          <t>Agregados y áridos</t>
        </is>
      </c>
      <c r="D313" s="5" t="inlineStr">
        <is>
          <t>Arena 3/16" en funda de 55 libras</t>
        </is>
      </c>
      <c r="E313" s="5" t="inlineStr">
        <is>
          <t>Agregado ensacado para obra menor y reparaciones · granulometría 3/16" · funda de 55 libras</t>
        </is>
      </c>
      <c r="F313" s="5" t="inlineStr">
        <is>
          <t>Material retirado en almacén</t>
        </is>
      </c>
      <c r="G313" s="5" t="inlineStr">
        <is>
          <t>funda de arena, funda de grava, agregado ensacado</t>
        </is>
      </c>
      <c r="H313" s="7" t="inlineStr">
        <is>
          <t>funda</t>
        </is>
      </c>
      <c r="I313" s="7" t="inlineStr">
        <is>
          <t>Estructura</t>
        </is>
      </c>
      <c r="J313" s="7" t="inlineStr">
        <is>
          <t>estandar</t>
        </is>
      </c>
      <c r="K313" s="7" t="inlineStr">
        <is>
          <t>nacional</t>
        </is>
      </c>
      <c r="L313" s="7" t="inlineStr">
        <is>
          <t>Verificado</t>
        </is>
      </c>
      <c r="M313" s="8" t="n">
        <v>1</v>
      </c>
      <c r="N313" s="9" t="n">
        <v>151.87</v>
      </c>
      <c r="O313" s="9" t="n">
        <v>151.87</v>
      </c>
      <c r="P313" s="9" t="n">
        <v>151.87</v>
      </c>
      <c r="Q313" s="7" t="inlineStr">
        <is>
          <t>Sí</t>
        </is>
      </c>
      <c r="R313" s="9">
        <f>IF(N313="","",IF(Q313="Sí",ROUND(N313/1.18,2),N313))</f>
        <v/>
      </c>
      <c r="S313" s="7" t="inlineStr">
        <is>
          <t>2026-09-09</t>
        </is>
      </c>
      <c r="T313" s="5" t="inlineStr">
        <is>
          <t>1 cotización de proveedores</t>
        </is>
      </c>
    </row>
    <row r="314">
      <c r="A314" s="7" t="inlineStr">
        <is>
          <t>MAT-02-017</t>
        </is>
      </c>
      <c r="B314" s="7" t="inlineStr">
        <is>
          <t>Materiales</t>
        </is>
      </c>
      <c r="C314" s="7" t="inlineStr">
        <is>
          <t>Cemento, morteros y aditivos</t>
        </is>
      </c>
      <c r="D314" s="5" t="inlineStr">
        <is>
          <t>Aditivo para hormigón, 1 galón</t>
        </is>
      </c>
      <c r="E314" s="5" t="inlineStr"/>
      <c r="F314" s="5" t="inlineStr">
        <is>
          <t>Material retirado en almacén</t>
        </is>
      </c>
      <c r="G314" s="5" t="inlineStr">
        <is>
          <t>aditivo, impermeabilizante de mezcla</t>
        </is>
      </c>
      <c r="H314" s="7" t="inlineStr">
        <is>
          <t>unidad</t>
        </is>
      </c>
      <c r="I314" s="7" t="inlineStr">
        <is>
          <t>Estructura</t>
        </is>
      </c>
      <c r="J314" s="7" t="inlineStr">
        <is>
          <t>estandar</t>
        </is>
      </c>
      <c r="K314" s="7" t="inlineStr">
        <is>
          <t>importado</t>
        </is>
      </c>
      <c r="L314" s="7" t="inlineStr">
        <is>
          <t>Verificado</t>
        </is>
      </c>
      <c r="M314" s="8" t="n">
        <v>1</v>
      </c>
      <c r="N314" s="9" t="n">
        <v>1460</v>
      </c>
      <c r="O314" s="9" t="n">
        <v>1460</v>
      </c>
      <c r="P314" s="9" t="n">
        <v>1460</v>
      </c>
      <c r="Q314" s="7" t="inlineStr">
        <is>
          <t>Sí</t>
        </is>
      </c>
      <c r="R314" s="9">
        <f>IF(N314="","",IF(Q314="Sí",ROUND(N314/1.18,2),N314))</f>
        <v/>
      </c>
      <c r="S314" s="7" t="inlineStr">
        <is>
          <t>2026-09-09</t>
        </is>
      </c>
      <c r="T314" s="5" t="inlineStr">
        <is>
          <t>1 cotización de proveedores</t>
        </is>
      </c>
      <c r="AF314" s="4" t="n">
        <v>1</v>
      </c>
    </row>
    <row r="315">
      <c r="A315" s="7" t="inlineStr">
        <is>
          <t>MAT-02-018</t>
        </is>
      </c>
      <c r="B315" s="7" t="inlineStr">
        <is>
          <t>Materiales</t>
        </is>
      </c>
      <c r="C315" s="7" t="inlineStr">
        <is>
          <t>Cemento, morteros y aditivos</t>
        </is>
      </c>
      <c r="D315" s="5" t="inlineStr">
        <is>
          <t>Aditivo para hormigón, 5 galón</t>
        </is>
      </c>
      <c r="E315" s="5" t="inlineStr"/>
      <c r="F315" s="5" t="inlineStr">
        <is>
          <t>Material retirado en almacén</t>
        </is>
      </c>
      <c r="G315" s="5" t="inlineStr">
        <is>
          <t>aditivo, impermeabilizante de mezcla</t>
        </is>
      </c>
      <c r="H315" s="7" t="inlineStr">
        <is>
          <t>unidad</t>
        </is>
      </c>
      <c r="I315" s="7" t="inlineStr">
        <is>
          <t>Estructura</t>
        </is>
      </c>
      <c r="J315" s="7" t="inlineStr">
        <is>
          <t>estandar</t>
        </is>
      </c>
      <c r="K315" s="7" t="inlineStr">
        <is>
          <t>importado</t>
        </is>
      </c>
      <c r="L315" s="7" t="inlineStr">
        <is>
          <t>Verificado</t>
        </is>
      </c>
      <c r="M315" s="8" t="n">
        <v>1</v>
      </c>
      <c r="N315" s="9" t="n">
        <v>6055</v>
      </c>
      <c r="O315" s="9" t="n">
        <v>6055</v>
      </c>
      <c r="P315" s="9" t="n">
        <v>6055</v>
      </c>
      <c r="Q315" s="7" t="inlineStr">
        <is>
          <t>Sí</t>
        </is>
      </c>
      <c r="R315" s="9">
        <f>IF(N315="","",IF(Q315="Sí",ROUND(N315/1.18,2),N315))</f>
        <v/>
      </c>
      <c r="S315" s="7" t="inlineStr">
        <is>
          <t>2026-09-09</t>
        </is>
      </c>
      <c r="T315" s="5" t="inlineStr">
        <is>
          <t>1 cotización de proveedores</t>
        </is>
      </c>
      <c r="AF315" s="4" t="n">
        <v>5</v>
      </c>
    </row>
    <row r="316">
      <c r="A316" s="7" t="inlineStr">
        <is>
          <t>MAT-02-019</t>
        </is>
      </c>
      <c r="B316" s="7" t="inlineStr">
        <is>
          <t>Materiales</t>
        </is>
      </c>
      <c r="C316" s="7" t="inlineStr">
        <is>
          <t>Cemento, morteros y aditivos</t>
        </is>
      </c>
      <c r="D316" s="5" t="inlineStr">
        <is>
          <t>Aditivo para hormigón fibra de refuerzo, 0.6 kg</t>
        </is>
      </c>
      <c r="E316" s="5" t="inlineStr"/>
      <c r="F316" s="5" t="inlineStr">
        <is>
          <t>Material retirado en almacén</t>
        </is>
      </c>
      <c r="G316" s="5" t="inlineStr">
        <is>
          <t>aditivo, impermeabilizante de mezcla</t>
        </is>
      </c>
      <c r="H316" s="7" t="inlineStr">
        <is>
          <t>unidad</t>
        </is>
      </c>
      <c r="I316" s="7" t="inlineStr">
        <is>
          <t>Estructura</t>
        </is>
      </c>
      <c r="J316" s="7" t="inlineStr">
        <is>
          <t>estandar</t>
        </is>
      </c>
      <c r="K316" s="7" t="inlineStr">
        <is>
          <t>importado</t>
        </is>
      </c>
      <c r="L316" s="7" t="inlineStr">
        <is>
          <t>Verificado</t>
        </is>
      </c>
      <c r="M316" s="8" t="n">
        <v>1</v>
      </c>
      <c r="N316" s="9" t="n">
        <v>454.75</v>
      </c>
      <c r="O316" s="9" t="n">
        <v>454.75</v>
      </c>
      <c r="P316" s="9" t="n">
        <v>454.75</v>
      </c>
      <c r="Q316" s="7" t="inlineStr">
        <is>
          <t>Sí</t>
        </is>
      </c>
      <c r="R316" s="9">
        <f>IF(N316="","",IF(Q316="Sí",ROUND(N316/1.18,2),N316))</f>
        <v/>
      </c>
      <c r="S316" s="7" t="inlineStr">
        <is>
          <t>2026-09-09</t>
        </is>
      </c>
      <c r="T316" s="5" t="inlineStr">
        <is>
          <t>1 cotización de proveedores</t>
        </is>
      </c>
      <c r="AI316" s="4" t="inlineStr">
        <is>
          <t>fibra de refuerzo</t>
        </is>
      </c>
      <c r="AJ316" s="5" t="inlineStr">
        <is>
          <t>Peso (kg): 0.6</t>
        </is>
      </c>
    </row>
    <row r="317">
      <c r="A317" s="7" t="inlineStr">
        <is>
          <t>MAT-02-020</t>
        </is>
      </c>
      <c r="B317" s="7" t="inlineStr">
        <is>
          <t>Materiales</t>
        </is>
      </c>
      <c r="C317" s="7" t="inlineStr">
        <is>
          <t>Cemento, morteros y aditivos</t>
        </is>
      </c>
      <c r="D317" s="5" t="inlineStr">
        <is>
          <t>Aditivo para hormigón impermeabilizante, 1/2 galón</t>
        </is>
      </c>
      <c r="E317" s="5" t="inlineStr"/>
      <c r="F317" s="5" t="inlineStr">
        <is>
          <t>Material retirado en almacén</t>
        </is>
      </c>
      <c r="G317" s="5" t="inlineStr">
        <is>
          <t>aditivo, impermeabilizante de mezcla</t>
        </is>
      </c>
      <c r="H317" s="7" t="inlineStr">
        <is>
          <t>unidad</t>
        </is>
      </c>
      <c r="I317" s="7" t="inlineStr">
        <is>
          <t>Estructura</t>
        </is>
      </c>
      <c r="J317" s="7" t="inlineStr">
        <is>
          <t>estandar</t>
        </is>
      </c>
      <c r="K317" s="7" t="inlineStr">
        <is>
          <t>importado</t>
        </is>
      </c>
      <c r="L317" s="7" t="inlineStr">
        <is>
          <t>Verificado</t>
        </is>
      </c>
      <c r="M317" s="8" t="n">
        <v>1</v>
      </c>
      <c r="N317" s="9" t="n">
        <v>535</v>
      </c>
      <c r="O317" s="9" t="n">
        <v>465</v>
      </c>
      <c r="P317" s="9" t="n">
        <v>570</v>
      </c>
      <c r="Q317" s="7" t="inlineStr">
        <is>
          <t>Sí</t>
        </is>
      </c>
      <c r="R317" s="9">
        <f>IF(N317="","",IF(Q317="Sí",ROUND(N317/1.18,2),N317))</f>
        <v/>
      </c>
      <c r="S317" s="7" t="inlineStr">
        <is>
          <t>2026-09-09</t>
        </is>
      </c>
      <c r="T317" s="5" t="inlineStr">
        <is>
          <t>3 cotizaciones de proveedores</t>
        </is>
      </c>
      <c r="AF317" s="4" t="n">
        <v>0.5</v>
      </c>
      <c r="AI317" s="4" t="inlineStr">
        <is>
          <t>impermeabilizante</t>
        </is>
      </c>
    </row>
    <row r="318">
      <c r="A318" s="7" t="inlineStr">
        <is>
          <t>MAT-02-021</t>
        </is>
      </c>
      <c r="B318" s="7" t="inlineStr">
        <is>
          <t>Materiales</t>
        </is>
      </c>
      <c r="C318" s="7" t="inlineStr">
        <is>
          <t>Cemento, morteros y aditivos</t>
        </is>
      </c>
      <c r="D318" s="5" t="inlineStr">
        <is>
          <t>Aditivo para hormigón impermeabilizante, 1/4 galón</t>
        </is>
      </c>
      <c r="E318" s="5" t="inlineStr"/>
      <c r="F318" s="5" t="inlineStr">
        <is>
          <t>Material retirado en almacén</t>
        </is>
      </c>
      <c r="G318" s="5" t="inlineStr">
        <is>
          <t>aditivo, impermeabilizante de mezcla</t>
        </is>
      </c>
      <c r="H318" s="7" t="inlineStr">
        <is>
          <t>unidad</t>
        </is>
      </c>
      <c r="I318" s="7" t="inlineStr">
        <is>
          <t>Estructura</t>
        </is>
      </c>
      <c r="J318" s="7" t="inlineStr">
        <is>
          <t>estandar</t>
        </is>
      </c>
      <c r="K318" s="7" t="inlineStr">
        <is>
          <t>importado</t>
        </is>
      </c>
      <c r="L318" s="7" t="inlineStr">
        <is>
          <t>Verificado</t>
        </is>
      </c>
      <c r="M318" s="8" t="n">
        <v>1</v>
      </c>
      <c r="N318" s="9" t="n">
        <v>395</v>
      </c>
      <c r="O318" s="9" t="n">
        <v>395</v>
      </c>
      <c r="P318" s="9" t="n">
        <v>395</v>
      </c>
      <c r="Q318" s="7" t="inlineStr">
        <is>
          <t>Sí</t>
        </is>
      </c>
      <c r="R318" s="9">
        <f>IF(N318="","",IF(Q318="Sí",ROUND(N318/1.18,2),N318))</f>
        <v/>
      </c>
      <c r="S318" s="7" t="inlineStr">
        <is>
          <t>2026-09-09</t>
        </is>
      </c>
      <c r="T318" s="5" t="inlineStr">
        <is>
          <t>1 cotización de proveedores</t>
        </is>
      </c>
      <c r="AF318" s="4" t="n">
        <v>0.25</v>
      </c>
      <c r="AI318" s="4" t="inlineStr">
        <is>
          <t>impermeabilizante</t>
        </is>
      </c>
    </row>
    <row r="319">
      <c r="A319" s="7" t="inlineStr">
        <is>
          <t>MAT-02-022</t>
        </is>
      </c>
      <c r="B319" s="7" t="inlineStr">
        <is>
          <t>Materiales</t>
        </is>
      </c>
      <c r="C319" s="7" t="inlineStr">
        <is>
          <t>Cemento, morteros y aditivos</t>
        </is>
      </c>
      <c r="D319" s="5" t="inlineStr">
        <is>
          <t>Aditivo para hormigón impermeabilizante, 1 galón</t>
        </is>
      </c>
      <c r="E319" s="5" t="inlineStr"/>
      <c r="F319" s="5" t="inlineStr">
        <is>
          <t>Material retirado en almacén</t>
        </is>
      </c>
      <c r="G319" s="5" t="inlineStr">
        <is>
          <t>aditivo, impermeabilizante de mezcla</t>
        </is>
      </c>
      <c r="H319" s="7" t="inlineStr">
        <is>
          <t>unidad</t>
        </is>
      </c>
      <c r="I319" s="7" t="inlineStr">
        <is>
          <t>Estructura</t>
        </is>
      </c>
      <c r="J319" s="7" t="inlineStr">
        <is>
          <t>estandar</t>
        </is>
      </c>
      <c r="K319" s="7" t="inlineStr">
        <is>
          <t>importado</t>
        </is>
      </c>
      <c r="L319" s="7" t="inlineStr">
        <is>
          <t>Verificado</t>
        </is>
      </c>
      <c r="M319" s="8" t="n">
        <v>1</v>
      </c>
      <c r="N319" s="9" t="n">
        <v>1072.5</v>
      </c>
      <c r="O319" s="9" t="n">
        <v>959</v>
      </c>
      <c r="P319" s="9" t="n">
        <v>1185</v>
      </c>
      <c r="Q319" s="7" t="inlineStr">
        <is>
          <t>Sí</t>
        </is>
      </c>
      <c r="R319" s="9">
        <f>IF(N319="","",IF(Q319="Sí",ROUND(N319/1.18,2),N319))</f>
        <v/>
      </c>
      <c r="S319" s="7" t="inlineStr">
        <is>
          <t>2026-09-09</t>
        </is>
      </c>
      <c r="T319" s="5" t="inlineStr">
        <is>
          <t>4 cotizaciones de proveedores</t>
        </is>
      </c>
      <c r="AF319" s="4" t="n">
        <v>1</v>
      </c>
      <c r="AI319" s="4" t="inlineStr">
        <is>
          <t>impermeabilizante</t>
        </is>
      </c>
    </row>
    <row r="320">
      <c r="A320" s="7" t="inlineStr">
        <is>
          <t>MAT-02-023</t>
        </is>
      </c>
      <c r="B320" s="7" t="inlineStr">
        <is>
          <t>Materiales</t>
        </is>
      </c>
      <c r="C320" s="7" t="inlineStr">
        <is>
          <t>Cemento, morteros y aditivos</t>
        </is>
      </c>
      <c r="D320" s="5" t="inlineStr">
        <is>
          <t>Aditivo para hormigón impermeabilizante, 32 oz</t>
        </is>
      </c>
      <c r="E320" s="5" t="inlineStr"/>
      <c r="F320" s="5" t="inlineStr">
        <is>
          <t>Material retirado en almacén</t>
        </is>
      </c>
      <c r="G320" s="5" t="inlineStr">
        <is>
          <t>aditivo, impermeabilizante de mezcla</t>
        </is>
      </c>
      <c r="H320" s="7" t="inlineStr">
        <is>
          <t>unidad</t>
        </is>
      </c>
      <c r="I320" s="7" t="inlineStr">
        <is>
          <t>Estructura</t>
        </is>
      </c>
      <c r="J320" s="7" t="inlineStr">
        <is>
          <t>estandar</t>
        </is>
      </c>
      <c r="K320" s="7" t="inlineStr">
        <is>
          <t>importado</t>
        </is>
      </c>
      <c r="L320" s="7" t="inlineStr">
        <is>
          <t>Verificado</t>
        </is>
      </c>
      <c r="M320" s="8" t="n">
        <v>1</v>
      </c>
      <c r="N320" s="9" t="n">
        <v>285</v>
      </c>
      <c r="O320" s="9" t="n">
        <v>265</v>
      </c>
      <c r="P320" s="9" t="n">
        <v>305</v>
      </c>
      <c r="Q320" s="7" t="inlineStr">
        <is>
          <t>Sí</t>
        </is>
      </c>
      <c r="R320" s="9">
        <f>IF(N320="","",IF(Q320="Sí",ROUND(N320/1.18,2),N320))</f>
        <v/>
      </c>
      <c r="S320" s="7" t="inlineStr">
        <is>
          <t>2026-09-09</t>
        </is>
      </c>
      <c r="T320" s="5" t="inlineStr">
        <is>
          <t>2 cotizaciones de proveedores</t>
        </is>
      </c>
      <c r="AI320" s="4" t="inlineStr">
        <is>
          <t>impermeabilizante</t>
        </is>
      </c>
      <c r="AJ320" s="5" t="inlineStr">
        <is>
          <t>Capacidad (oz): 32</t>
        </is>
      </c>
    </row>
    <row r="321">
      <c r="A321" s="7" t="inlineStr">
        <is>
          <t>MAT-02-024</t>
        </is>
      </c>
      <c r="B321" s="7" t="inlineStr">
        <is>
          <t>Materiales</t>
        </is>
      </c>
      <c r="C321" s="7" t="inlineStr">
        <is>
          <t>Cemento, morteros y aditivos</t>
        </is>
      </c>
      <c r="D321" s="5" t="inlineStr">
        <is>
          <t>Aditivo para hormigón impermeabilizante, 5 galón</t>
        </is>
      </c>
      <c r="E321" s="5" t="inlineStr"/>
      <c r="F321" s="5" t="inlineStr">
        <is>
          <t>Material retirado en almacén</t>
        </is>
      </c>
      <c r="G321" s="5" t="inlineStr">
        <is>
          <t>aditivo, impermeabilizante de mezcla</t>
        </is>
      </c>
      <c r="H321" s="7" t="inlineStr">
        <is>
          <t>unidad</t>
        </is>
      </c>
      <c r="I321" s="7" t="inlineStr">
        <is>
          <t>Estructura</t>
        </is>
      </c>
      <c r="J321" s="7" t="inlineStr">
        <is>
          <t>estandar</t>
        </is>
      </c>
      <c r="K321" s="7" t="inlineStr">
        <is>
          <t>importado</t>
        </is>
      </c>
      <c r="L321" s="7" t="inlineStr">
        <is>
          <t>Verificado</t>
        </is>
      </c>
      <c r="M321" s="8" t="n">
        <v>1</v>
      </c>
      <c r="N321" s="9" t="n">
        <v>8617.5</v>
      </c>
      <c r="O321" s="9" t="n">
        <v>6300</v>
      </c>
      <c r="P321" s="9" t="n">
        <v>10935</v>
      </c>
      <c r="Q321" s="7" t="inlineStr">
        <is>
          <t>Sí</t>
        </is>
      </c>
      <c r="R321" s="9">
        <f>IF(N321="","",IF(Q321="Sí",ROUND(N321/1.18,2),N321))</f>
        <v/>
      </c>
      <c r="S321" s="7" t="inlineStr">
        <is>
          <t>2026-09-09</t>
        </is>
      </c>
      <c r="T321" s="5" t="inlineStr">
        <is>
          <t>2 cotizaciones de proveedores</t>
        </is>
      </c>
      <c r="AF321" s="4" t="n">
        <v>5</v>
      </c>
      <c r="AI321" s="4" t="inlineStr">
        <is>
          <t>impermeabilizante</t>
        </is>
      </c>
    </row>
    <row r="322">
      <c r="A322" s="7" t="inlineStr">
        <is>
          <t>MAT-02-025</t>
        </is>
      </c>
      <c r="B322" s="7" t="inlineStr">
        <is>
          <t>Materiales</t>
        </is>
      </c>
      <c r="C322" s="7" t="inlineStr">
        <is>
          <t>Cemento, morteros y aditivos</t>
        </is>
      </c>
      <c r="D322" s="5" t="inlineStr">
        <is>
          <t>Aditivo para hormigón primer epóxico, 1 kg</t>
        </is>
      </c>
      <c r="E322" s="5" t="inlineStr"/>
      <c r="F322" s="5" t="inlineStr">
        <is>
          <t>Material retirado en almacén</t>
        </is>
      </c>
      <c r="G322" s="5" t="inlineStr">
        <is>
          <t>aditivo, impermeabilizante de mezcla</t>
        </is>
      </c>
      <c r="H322" s="7" t="inlineStr">
        <is>
          <t>unidad</t>
        </is>
      </c>
      <c r="I322" s="7" t="inlineStr">
        <is>
          <t>Estructura</t>
        </is>
      </c>
      <c r="J322" s="7" t="inlineStr">
        <is>
          <t>estandar</t>
        </is>
      </c>
      <c r="K322" s="7" t="inlineStr">
        <is>
          <t>importado</t>
        </is>
      </c>
      <c r="L322" s="7" t="inlineStr">
        <is>
          <t>Verificado</t>
        </is>
      </c>
      <c r="M322" s="8" t="n">
        <v>1</v>
      </c>
      <c r="N322" s="9" t="n">
        <v>1610.75</v>
      </c>
      <c r="O322" s="9" t="n">
        <v>1610.75</v>
      </c>
      <c r="P322" s="9" t="n">
        <v>1610.75</v>
      </c>
      <c r="Q322" s="7" t="inlineStr">
        <is>
          <t>Sí</t>
        </is>
      </c>
      <c r="R322" s="9">
        <f>IF(N322="","",IF(Q322="Sí",ROUND(N322/1.18,2),N322))</f>
        <v/>
      </c>
      <c r="S322" s="7" t="inlineStr">
        <is>
          <t>2026-09-09</t>
        </is>
      </c>
      <c r="T322" s="5" t="inlineStr">
        <is>
          <t>1 cotización de proveedores</t>
        </is>
      </c>
      <c r="AI322" s="4" t="inlineStr">
        <is>
          <t>primer epóxico</t>
        </is>
      </c>
      <c r="AJ322" s="5" t="inlineStr">
        <is>
          <t>Peso (kg): 1</t>
        </is>
      </c>
    </row>
    <row r="323">
      <c r="A323" s="7" t="inlineStr">
        <is>
          <t>MAT-02-026</t>
        </is>
      </c>
      <c r="B323" s="7" t="inlineStr">
        <is>
          <t>Materiales</t>
        </is>
      </c>
      <c r="C323" s="7" t="inlineStr">
        <is>
          <t>Cemento, morteros y aditivos</t>
        </is>
      </c>
      <c r="D323" s="5" t="inlineStr">
        <is>
          <t>Aditivo para hormigón texturizado, 1 galón</t>
        </is>
      </c>
      <c r="E323" s="5" t="inlineStr"/>
      <c r="F323" s="5" t="inlineStr">
        <is>
          <t>Material retirado en almacén</t>
        </is>
      </c>
      <c r="G323" s="5" t="inlineStr">
        <is>
          <t>aditivo, impermeabilizante de mezcla</t>
        </is>
      </c>
      <c r="H323" s="7" t="inlineStr">
        <is>
          <t>unidad</t>
        </is>
      </c>
      <c r="I323" s="7" t="inlineStr">
        <is>
          <t>Estructura</t>
        </is>
      </c>
      <c r="J323" s="7" t="inlineStr">
        <is>
          <t>estandar</t>
        </is>
      </c>
      <c r="K323" s="7" t="inlineStr">
        <is>
          <t>importado</t>
        </is>
      </c>
      <c r="L323" s="7" t="inlineStr">
        <is>
          <t>Verificado</t>
        </is>
      </c>
      <c r="M323" s="8" t="n">
        <v>1</v>
      </c>
      <c r="N323" s="9" t="n">
        <v>2005</v>
      </c>
      <c r="O323" s="9" t="n">
        <v>2005</v>
      </c>
      <c r="P323" s="9" t="n">
        <v>2005</v>
      </c>
      <c r="Q323" s="7" t="inlineStr">
        <is>
          <t>Sí</t>
        </is>
      </c>
      <c r="R323" s="9">
        <f>IF(N323="","",IF(Q323="Sí",ROUND(N323/1.18,2),N323))</f>
        <v/>
      </c>
      <c r="S323" s="7" t="inlineStr">
        <is>
          <t>2026-09-09</t>
        </is>
      </c>
      <c r="T323" s="5" t="inlineStr">
        <is>
          <t>1 cotización de proveedores</t>
        </is>
      </c>
      <c r="AF323" s="4" t="n">
        <v>1</v>
      </c>
      <c r="AI323" s="4" t="inlineStr">
        <is>
          <t>texturizado</t>
        </is>
      </c>
    </row>
    <row r="324">
      <c r="A324" s="7" t="inlineStr">
        <is>
          <t>MAT-02-027</t>
        </is>
      </c>
      <c r="B324" s="7" t="inlineStr">
        <is>
          <t>Materiales</t>
        </is>
      </c>
      <c r="C324" s="7" t="inlineStr">
        <is>
          <t>Cemento, morteros y aditivos</t>
        </is>
      </c>
      <c r="D324" s="5" t="inlineStr">
        <is>
          <t>Cemento autonivelante, 40 lb</t>
        </is>
      </c>
      <c r="E324" s="5" t="inlineStr"/>
      <c r="F324" s="5" t="inlineStr">
        <is>
          <t>Material retirado en almacén</t>
        </is>
      </c>
      <c r="G324" s="5" t="inlineStr">
        <is>
          <t>cemento</t>
        </is>
      </c>
      <c r="H324" s="7" t="inlineStr">
        <is>
          <t>unidad</t>
        </is>
      </c>
      <c r="I324" s="7" t="inlineStr">
        <is>
          <t>Estructura</t>
        </is>
      </c>
      <c r="J324" s="7" t="inlineStr">
        <is>
          <t>estandar</t>
        </is>
      </c>
      <c r="K324" s="7" t="inlineStr">
        <is>
          <t>importado</t>
        </is>
      </c>
      <c r="L324" s="7" t="inlineStr">
        <is>
          <t>Verificado</t>
        </is>
      </c>
      <c r="M324" s="8" t="n">
        <v>1</v>
      </c>
      <c r="N324" s="9" t="n">
        <v>3952.5</v>
      </c>
      <c r="O324" s="9" t="n">
        <v>3952.5</v>
      </c>
      <c r="P324" s="9" t="n">
        <v>3952.5</v>
      </c>
      <c r="Q324" s="7" t="inlineStr">
        <is>
          <t>Sí</t>
        </is>
      </c>
      <c r="R324" s="9">
        <f>IF(N324="","",IF(Q324="Sí",ROUND(N324/1.18,2),N324))</f>
        <v/>
      </c>
      <c r="S324" s="7" t="inlineStr">
        <is>
          <t>2026-09-09</t>
        </is>
      </c>
      <c r="T324" s="5" t="inlineStr">
        <is>
          <t>1 cotización de proveedores</t>
        </is>
      </c>
      <c r="AG324" s="4" t="n">
        <v>40</v>
      </c>
      <c r="AI324" s="4" t="inlineStr">
        <is>
          <t>autonivelante</t>
        </is>
      </c>
    </row>
    <row r="325">
      <c r="A325" s="7" t="inlineStr">
        <is>
          <t>MAT-02-028</t>
        </is>
      </c>
      <c r="B325" s="7" t="inlineStr">
        <is>
          <t>Materiales</t>
        </is>
      </c>
      <c r="C325" s="7" t="inlineStr">
        <is>
          <t>Cemento, morteros y aditivos</t>
        </is>
      </c>
      <c r="D325" s="5" t="inlineStr">
        <is>
          <t>Cemento blanco, 10 lb</t>
        </is>
      </c>
      <c r="E325" s="5" t="inlineStr"/>
      <c r="F325" s="5" t="inlineStr">
        <is>
          <t>Material retirado en almacén</t>
        </is>
      </c>
      <c r="G325" s="5" t="inlineStr">
        <is>
          <t>cemento</t>
        </is>
      </c>
      <c r="H325" s="7" t="inlineStr">
        <is>
          <t>funda</t>
        </is>
      </c>
      <c r="I325" s="7" t="inlineStr">
        <is>
          <t>Estructura</t>
        </is>
      </c>
      <c r="J325" s="7" t="inlineStr">
        <is>
          <t>estandar</t>
        </is>
      </c>
      <c r="K325" s="7" t="inlineStr">
        <is>
          <t>importado</t>
        </is>
      </c>
      <c r="L325" s="7" t="inlineStr">
        <is>
          <t>Verificado</t>
        </is>
      </c>
      <c r="M325" s="8" t="n">
        <v>1</v>
      </c>
      <c r="N325" s="9" t="n">
        <v>533.8</v>
      </c>
      <c r="O325" s="9" t="n">
        <v>533.8</v>
      </c>
      <c r="P325" s="9" t="n">
        <v>533.8</v>
      </c>
      <c r="Q325" s="7" t="inlineStr">
        <is>
          <t>Sí</t>
        </is>
      </c>
      <c r="R325" s="9">
        <f>IF(N325="","",IF(Q325="Sí",ROUND(N325/1.18,2),N325))</f>
        <v/>
      </c>
      <c r="S325" s="7" t="inlineStr">
        <is>
          <t>2026-09-09</t>
        </is>
      </c>
      <c r="T325" s="5" t="inlineStr">
        <is>
          <t>1 cotización de proveedores</t>
        </is>
      </c>
      <c r="AG325" s="4" t="n">
        <v>10</v>
      </c>
      <c r="AI325" s="4" t="inlineStr">
        <is>
          <t>blanco</t>
        </is>
      </c>
    </row>
    <row r="326">
      <c r="A326" s="7" t="inlineStr">
        <is>
          <t>MAT-02-029</t>
        </is>
      </c>
      <c r="B326" s="7" t="inlineStr">
        <is>
          <t>Materiales</t>
        </is>
      </c>
      <c r="C326" s="7" t="inlineStr">
        <is>
          <t>Cemento, morteros y aditivos</t>
        </is>
      </c>
      <c r="D326" s="5" t="inlineStr">
        <is>
          <t>Cemento gris, 10 lb</t>
        </is>
      </c>
      <c r="E326" s="5" t="inlineStr"/>
      <c r="F326" s="5" t="inlineStr">
        <is>
          <t>Material retirado en almacén</t>
        </is>
      </c>
      <c r="G326" s="5" t="inlineStr">
        <is>
          <t>cemento</t>
        </is>
      </c>
      <c r="H326" s="7" t="inlineStr">
        <is>
          <t>unidad</t>
        </is>
      </c>
      <c r="I326" s="7" t="inlineStr">
        <is>
          <t>Estructura</t>
        </is>
      </c>
      <c r="J326" s="7" t="inlineStr">
        <is>
          <t>estandar</t>
        </is>
      </c>
      <c r="K326" s="7" t="inlineStr">
        <is>
          <t>importado</t>
        </is>
      </c>
      <c r="L326" s="7" t="inlineStr">
        <is>
          <t>Verificado</t>
        </is>
      </c>
      <c r="M326" s="8" t="n">
        <v>1</v>
      </c>
      <c r="N326" s="9" t="n">
        <v>377.4</v>
      </c>
      <c r="O326" s="9" t="n">
        <v>377.4</v>
      </c>
      <c r="P326" s="9" t="n">
        <v>377.4</v>
      </c>
      <c r="Q326" s="7" t="inlineStr">
        <is>
          <t>Sí</t>
        </is>
      </c>
      <c r="R326" s="9">
        <f>IF(N326="","",IF(Q326="Sí",ROUND(N326/1.18,2),N326))</f>
        <v/>
      </c>
      <c r="S326" s="7" t="inlineStr">
        <is>
          <t>2026-09-09</t>
        </is>
      </c>
      <c r="T326" s="5" t="inlineStr">
        <is>
          <t>1 cotización de proveedores</t>
        </is>
      </c>
      <c r="AG326" s="4" t="n">
        <v>10</v>
      </c>
      <c r="AI326" s="4" t="inlineStr">
        <is>
          <t>gris</t>
        </is>
      </c>
    </row>
    <row r="327">
      <c r="A327" s="7" t="inlineStr">
        <is>
          <t>MAT-02-030</t>
        </is>
      </c>
      <c r="B327" s="7" t="inlineStr">
        <is>
          <t>Materiales</t>
        </is>
      </c>
      <c r="C327" s="7" t="inlineStr">
        <is>
          <t>Cemento, morteros y aditivos</t>
        </is>
      </c>
      <c r="D327" s="5" t="inlineStr">
        <is>
          <t>Cemento hidráulico, 1 galón</t>
        </is>
      </c>
      <c r="E327" s="5" t="inlineStr"/>
      <c r="F327" s="5" t="inlineStr">
        <is>
          <t>Material retirado en almacén</t>
        </is>
      </c>
      <c r="G327" s="5" t="inlineStr">
        <is>
          <t>cemento</t>
        </is>
      </c>
      <c r="H327" s="7" t="inlineStr">
        <is>
          <t>unidad</t>
        </is>
      </c>
      <c r="I327" s="7" t="inlineStr">
        <is>
          <t>Estructura</t>
        </is>
      </c>
      <c r="J327" s="7" t="inlineStr">
        <is>
          <t>estandar</t>
        </is>
      </c>
      <c r="K327" s="7" t="inlineStr">
        <is>
          <t>importado</t>
        </is>
      </c>
      <c r="L327" s="7" t="inlineStr">
        <is>
          <t>Verificado</t>
        </is>
      </c>
      <c r="M327" s="8" t="n">
        <v>1</v>
      </c>
      <c r="N327" s="9" t="n">
        <v>949.45</v>
      </c>
      <c r="O327" s="9" t="n">
        <v>949.45</v>
      </c>
      <c r="P327" s="9" t="n">
        <v>949.45</v>
      </c>
      <c r="Q327" s="7" t="inlineStr">
        <is>
          <t>Sí</t>
        </is>
      </c>
      <c r="R327" s="9">
        <f>IF(N327="","",IF(Q327="Sí",ROUND(N327/1.18,2),N327))</f>
        <v/>
      </c>
      <c r="S327" s="7" t="inlineStr">
        <is>
          <t>2026-09-09</t>
        </is>
      </c>
      <c r="T327" s="5" t="inlineStr">
        <is>
          <t>1 cotización de proveedores</t>
        </is>
      </c>
      <c r="AF327" s="4" t="n">
        <v>1</v>
      </c>
      <c r="AI327" s="4" t="inlineStr">
        <is>
          <t>hidráulico</t>
        </is>
      </c>
    </row>
    <row r="328">
      <c r="A328" s="7" t="inlineStr">
        <is>
          <t>MAT-02-031</t>
        </is>
      </c>
      <c r="B328" s="7" t="inlineStr">
        <is>
          <t>Materiales</t>
        </is>
      </c>
      <c r="C328" s="7" t="inlineStr">
        <is>
          <t>Cemento, morteros y aditivos</t>
        </is>
      </c>
      <c r="D328" s="5" t="inlineStr">
        <is>
          <t>Cemento hidráulico, 40 lb</t>
        </is>
      </c>
      <c r="E328" s="5" t="inlineStr"/>
      <c r="F328" s="5" t="inlineStr">
        <is>
          <t>Material retirado en almacén</t>
        </is>
      </c>
      <c r="G328" s="5" t="inlineStr">
        <is>
          <t>cemento</t>
        </is>
      </c>
      <c r="H328" s="7" t="inlineStr">
        <is>
          <t>unidad</t>
        </is>
      </c>
      <c r="I328" s="7" t="inlineStr">
        <is>
          <t>Estructura</t>
        </is>
      </c>
      <c r="J328" s="7" t="inlineStr">
        <is>
          <t>estandar</t>
        </is>
      </c>
      <c r="K328" s="7" t="inlineStr">
        <is>
          <t>importado</t>
        </is>
      </c>
      <c r="L328" s="7" t="inlineStr">
        <is>
          <t>Verificado</t>
        </is>
      </c>
      <c r="M328" s="8" t="n">
        <v>1</v>
      </c>
      <c r="N328" s="9" t="n">
        <v>2817.75</v>
      </c>
      <c r="O328" s="9" t="n">
        <v>2817.75</v>
      </c>
      <c r="P328" s="9" t="n">
        <v>2817.75</v>
      </c>
      <c r="Q328" s="7" t="inlineStr">
        <is>
          <t>Sí</t>
        </is>
      </c>
      <c r="R328" s="9">
        <f>IF(N328="","",IF(Q328="Sí",ROUND(N328/1.18,2),N328))</f>
        <v/>
      </c>
      <c r="S328" s="7" t="inlineStr">
        <is>
          <t>2026-09-09</t>
        </is>
      </c>
      <c r="T328" s="5" t="inlineStr">
        <is>
          <t>1 cotización de proveedores</t>
        </is>
      </c>
      <c r="AG328" s="4" t="n">
        <v>40</v>
      </c>
      <c r="AI328" s="4" t="inlineStr">
        <is>
          <t>hidráulico</t>
        </is>
      </c>
    </row>
    <row r="329">
      <c r="A329" s="7" t="inlineStr">
        <is>
          <t>MAT-02-032</t>
        </is>
      </c>
      <c r="B329" s="7" t="inlineStr">
        <is>
          <t>Materiales</t>
        </is>
      </c>
      <c r="C329" s="7" t="inlineStr">
        <is>
          <t>Cemento, morteros y aditivos</t>
        </is>
      </c>
      <c r="D329" s="5" t="inlineStr">
        <is>
          <t>Derretido para cerámica, 10 lb</t>
        </is>
      </c>
      <c r="E329" s="5" t="inlineStr"/>
      <c r="F329" s="5" t="inlineStr">
        <is>
          <t>Material retirado en almacén</t>
        </is>
      </c>
      <c r="G329" s="5" t="inlineStr">
        <is>
          <t>derretido, grout, fragua</t>
        </is>
      </c>
      <c r="H329" s="7" t="inlineStr">
        <is>
          <t>unidad</t>
        </is>
      </c>
      <c r="I329" s="7" t="inlineStr">
        <is>
          <t>Pisos</t>
        </is>
      </c>
      <c r="J329" s="7" t="inlineStr">
        <is>
          <t>estandar</t>
        </is>
      </c>
      <c r="K329" s="7" t="inlineStr">
        <is>
          <t>importado</t>
        </is>
      </c>
      <c r="L329" s="7" t="inlineStr">
        <is>
          <t>Verificado</t>
        </is>
      </c>
      <c r="M329" s="8" t="n">
        <v>1</v>
      </c>
      <c r="N329" s="9" t="n">
        <v>712</v>
      </c>
      <c r="O329" s="9" t="n">
        <v>712</v>
      </c>
      <c r="P329" s="9" t="n">
        <v>712</v>
      </c>
      <c r="Q329" s="7" t="inlineStr">
        <is>
          <t>Sí</t>
        </is>
      </c>
      <c r="R329" s="9">
        <f>IF(N329="","",IF(Q329="Sí",ROUND(N329/1.18,2),N329))</f>
        <v/>
      </c>
      <c r="S329" s="7" t="inlineStr">
        <is>
          <t>2026-09-09</t>
        </is>
      </c>
      <c r="T329" s="5" t="inlineStr">
        <is>
          <t>1 cotización de proveedores</t>
        </is>
      </c>
      <c r="AG329" s="4" t="n">
        <v>10</v>
      </c>
    </row>
    <row r="330">
      <c r="A330" s="7" t="inlineStr">
        <is>
          <t>MAT-02-033</t>
        </is>
      </c>
      <c r="B330" s="7" t="inlineStr">
        <is>
          <t>Materiales</t>
        </is>
      </c>
      <c r="C330" s="7" t="inlineStr">
        <is>
          <t>Cemento, morteros y aditivos</t>
        </is>
      </c>
      <c r="D330" s="5" t="inlineStr">
        <is>
          <t>Derretido para cerámica blanco, 10 lb</t>
        </is>
      </c>
      <c r="E330" s="5" t="inlineStr"/>
      <c r="F330" s="5" t="inlineStr">
        <is>
          <t>Material retirado en almacén</t>
        </is>
      </c>
      <c r="G330" s="5" t="inlineStr">
        <is>
          <t>derretido, grout, fragua</t>
        </is>
      </c>
      <c r="H330" s="7" t="inlineStr">
        <is>
          <t>unidad</t>
        </is>
      </c>
      <c r="I330" s="7" t="inlineStr">
        <is>
          <t>Pisos</t>
        </is>
      </c>
      <c r="J330" s="7" t="inlineStr">
        <is>
          <t>estandar</t>
        </is>
      </c>
      <c r="K330" s="7" t="inlineStr">
        <is>
          <t>importado</t>
        </is>
      </c>
      <c r="L330" s="7" t="inlineStr">
        <is>
          <t>Verificado</t>
        </is>
      </c>
      <c r="M330" s="8" t="n">
        <v>1</v>
      </c>
      <c r="N330" s="9" t="n">
        <v>328</v>
      </c>
      <c r="O330" s="9" t="n">
        <v>328</v>
      </c>
      <c r="P330" s="9" t="n">
        <v>328</v>
      </c>
      <c r="Q330" s="7" t="inlineStr">
        <is>
          <t>Sí</t>
        </is>
      </c>
      <c r="R330" s="9">
        <f>IF(N330="","",IF(Q330="Sí",ROUND(N330/1.18,2),N330))</f>
        <v/>
      </c>
      <c r="S330" s="7" t="inlineStr">
        <is>
          <t>2026-09-09</t>
        </is>
      </c>
      <c r="T330" s="5" t="inlineStr">
        <is>
          <t>1 cotización de proveedores</t>
        </is>
      </c>
      <c r="AG330" s="4" t="n">
        <v>10</v>
      </c>
      <c r="AI330" s="4" t="inlineStr">
        <is>
          <t>blanco</t>
        </is>
      </c>
    </row>
    <row r="331">
      <c r="A331" s="7" t="inlineStr">
        <is>
          <t>MAT-02-034</t>
        </is>
      </c>
      <c r="B331" s="7" t="inlineStr">
        <is>
          <t>Materiales</t>
        </is>
      </c>
      <c r="C331" s="7" t="inlineStr">
        <is>
          <t>Cemento, morteros y aditivos</t>
        </is>
      </c>
      <c r="D331" s="5" t="inlineStr">
        <is>
          <t>Derretido para cerámica, 10 lb</t>
        </is>
      </c>
      <c r="E331" s="5" t="inlineStr"/>
      <c r="F331" s="5" t="inlineStr">
        <is>
          <t>Material retirado en almacén</t>
        </is>
      </c>
      <c r="G331" s="5" t="inlineStr">
        <is>
          <t>derretido, grout, fragua</t>
        </is>
      </c>
      <c r="H331" s="7" t="inlineStr">
        <is>
          <t>unidad</t>
        </is>
      </c>
      <c r="I331" s="7" t="inlineStr">
        <is>
          <t>Pisos</t>
        </is>
      </c>
      <c r="J331" s="7" t="inlineStr">
        <is>
          <t>estandar</t>
        </is>
      </c>
      <c r="K331" s="7" t="inlineStr">
        <is>
          <t>importado</t>
        </is>
      </c>
      <c r="L331" s="7" t="inlineStr">
        <is>
          <t>Verificado</t>
        </is>
      </c>
      <c r="M331" s="8" t="n">
        <v>1</v>
      </c>
      <c r="N331" s="9" t="n">
        <v>555.05</v>
      </c>
      <c r="O331" s="9" t="n">
        <v>543.15</v>
      </c>
      <c r="P331" s="9" t="n">
        <v>786.25</v>
      </c>
      <c r="Q331" s="7" t="inlineStr">
        <is>
          <t>Sí</t>
        </is>
      </c>
      <c r="R331" s="9">
        <f>IF(N331="","",IF(Q331="Sí",ROUND(N331/1.18,2),N331))</f>
        <v/>
      </c>
      <c r="S331" s="7" t="inlineStr">
        <is>
          <t>2026-09-09</t>
        </is>
      </c>
      <c r="T331" s="5" t="inlineStr">
        <is>
          <t>12 cotizaciones de proveedores</t>
        </is>
      </c>
      <c r="AG331" s="4" t="n">
        <v>10</v>
      </c>
      <c r="AI331" s="4" t="inlineStr">
        <is>
          <t>para cerámica</t>
        </is>
      </c>
    </row>
    <row r="332">
      <c r="A332" s="7" t="inlineStr">
        <is>
          <t>MAT-02-035</t>
        </is>
      </c>
      <c r="B332" s="7" t="inlineStr">
        <is>
          <t>Materiales</t>
        </is>
      </c>
      <c r="C332" s="7" t="inlineStr">
        <is>
          <t>Cemento, morteros y aditivos</t>
        </is>
      </c>
      <c r="D332" s="5" t="inlineStr">
        <is>
          <t>Derretido para cerámica, 50 lb</t>
        </is>
      </c>
      <c r="E332" s="5" t="inlineStr"/>
      <c r="F332" s="5" t="inlineStr">
        <is>
          <t>Material retirado en almacén</t>
        </is>
      </c>
      <c r="G332" s="5" t="inlineStr">
        <is>
          <t>derretido, grout, fragua</t>
        </is>
      </c>
      <c r="H332" s="7" t="inlineStr">
        <is>
          <t>unidad</t>
        </is>
      </c>
      <c r="I332" s="7" t="inlineStr">
        <is>
          <t>Pisos</t>
        </is>
      </c>
      <c r="J332" s="7" t="inlineStr">
        <is>
          <t>estandar</t>
        </is>
      </c>
      <c r="K332" s="7" t="inlineStr">
        <is>
          <t>importado</t>
        </is>
      </c>
      <c r="L332" s="7" t="inlineStr">
        <is>
          <t>Verificado</t>
        </is>
      </c>
      <c r="M332" s="8" t="n">
        <v>1</v>
      </c>
      <c r="N332" s="9" t="n">
        <v>1365.1</v>
      </c>
      <c r="O332" s="9" t="n">
        <v>1365.1</v>
      </c>
      <c r="P332" s="9" t="n">
        <v>1365.1</v>
      </c>
      <c r="Q332" s="7" t="inlineStr">
        <is>
          <t>Sí</t>
        </is>
      </c>
      <c r="R332" s="9">
        <f>IF(N332="","",IF(Q332="Sí",ROUND(N332/1.18,2),N332))</f>
        <v/>
      </c>
      <c r="S332" s="7" t="inlineStr">
        <is>
          <t>2026-09-09</t>
        </is>
      </c>
      <c r="T332" s="5" t="inlineStr">
        <is>
          <t>1 cotización de proveedores</t>
        </is>
      </c>
      <c r="AG332" s="4" t="n">
        <v>50</v>
      </c>
      <c r="AI332" s="4" t="inlineStr">
        <is>
          <t>para cerámica</t>
        </is>
      </c>
    </row>
    <row r="333">
      <c r="A333" s="7" t="inlineStr">
        <is>
          <t>MAT-02-036</t>
        </is>
      </c>
      <c r="B333" s="7" t="inlineStr">
        <is>
          <t>Materiales</t>
        </is>
      </c>
      <c r="C333" s="7" t="inlineStr">
        <is>
          <t>Cemento, morteros y aditivos</t>
        </is>
      </c>
      <c r="D333" s="5" t="inlineStr">
        <is>
          <t>Mortero de anclaje, 22 kg</t>
        </is>
      </c>
      <c r="E333" s="5" t="inlineStr"/>
      <c r="F333" s="5" t="inlineStr">
        <is>
          <t>Material retirado en almacén</t>
        </is>
      </c>
      <c r="G333" s="5" t="inlineStr">
        <is>
          <t>mortero, mezcla</t>
        </is>
      </c>
      <c r="H333" s="7" t="inlineStr">
        <is>
          <t>unidad</t>
        </is>
      </c>
      <c r="I333" s="7" t="inlineStr">
        <is>
          <t>Terminación de superficies</t>
        </is>
      </c>
      <c r="J333" s="7" t="inlineStr">
        <is>
          <t>estandar</t>
        </is>
      </c>
      <c r="K333" s="7" t="inlineStr">
        <is>
          <t>importado</t>
        </is>
      </c>
      <c r="L333" s="7" t="inlineStr">
        <is>
          <t>Verificado</t>
        </is>
      </c>
      <c r="M333" s="8" t="n">
        <v>1</v>
      </c>
      <c r="N333" s="9" t="n">
        <v>1270.75</v>
      </c>
      <c r="O333" s="9" t="n">
        <v>1270.75</v>
      </c>
      <c r="P333" s="9" t="n">
        <v>1270.75</v>
      </c>
      <c r="Q333" s="7" t="inlineStr">
        <is>
          <t>Sí</t>
        </is>
      </c>
      <c r="R333" s="9">
        <f>IF(N333="","",IF(Q333="Sí",ROUND(N333/1.18,2),N333))</f>
        <v/>
      </c>
      <c r="S333" s="7" t="inlineStr">
        <is>
          <t>2026-09-09</t>
        </is>
      </c>
      <c r="T333" s="5" t="inlineStr">
        <is>
          <t>1 cotización de proveedores</t>
        </is>
      </c>
      <c r="AI333" s="4" t="inlineStr">
        <is>
          <t>de anclaje</t>
        </is>
      </c>
      <c r="AJ333" s="5" t="inlineStr">
        <is>
          <t>Peso (kg): 22</t>
        </is>
      </c>
    </row>
    <row r="334">
      <c r="A334" s="7" t="inlineStr">
        <is>
          <t>MAT-02-037</t>
        </is>
      </c>
      <c r="B334" s="7" t="inlineStr">
        <is>
          <t>Materiales</t>
        </is>
      </c>
      <c r="C334" s="7" t="inlineStr">
        <is>
          <t>Cemento, morteros y aditivos</t>
        </is>
      </c>
      <c r="D334" s="5" t="inlineStr">
        <is>
          <t>Mortero de pañete, 10 lb</t>
        </is>
      </c>
      <c r="E334" s="5" t="inlineStr"/>
      <c r="F334" s="5" t="inlineStr">
        <is>
          <t>Material retirado en almacén</t>
        </is>
      </c>
      <c r="G334" s="5" t="inlineStr">
        <is>
          <t>mortero, mezcla</t>
        </is>
      </c>
      <c r="H334" s="7" t="inlineStr">
        <is>
          <t>unidad</t>
        </is>
      </c>
      <c r="I334" s="7" t="inlineStr">
        <is>
          <t>Terminación de superficies</t>
        </is>
      </c>
      <c r="J334" s="7" t="inlineStr">
        <is>
          <t>estandar</t>
        </is>
      </c>
      <c r="K334" s="7" t="inlineStr">
        <is>
          <t>importado</t>
        </is>
      </c>
      <c r="L334" s="7" t="inlineStr">
        <is>
          <t>Verificado</t>
        </is>
      </c>
      <c r="M334" s="8" t="n">
        <v>1</v>
      </c>
      <c r="N334" s="9" t="n">
        <v>135</v>
      </c>
      <c r="O334" s="9" t="n">
        <v>135</v>
      </c>
      <c r="P334" s="9" t="n">
        <v>135</v>
      </c>
      <c r="Q334" s="7" t="inlineStr">
        <is>
          <t>Sí</t>
        </is>
      </c>
      <c r="R334" s="9">
        <f>IF(N334="","",IF(Q334="Sí",ROUND(N334/1.18,2),N334))</f>
        <v/>
      </c>
      <c r="S334" s="7" t="inlineStr">
        <is>
          <t>2026-09-09</t>
        </is>
      </c>
      <c r="T334" s="5" t="inlineStr">
        <is>
          <t>1 cotización de proveedores</t>
        </is>
      </c>
      <c r="AG334" s="4" t="n">
        <v>10</v>
      </c>
      <c r="AI334" s="4" t="inlineStr">
        <is>
          <t>de pañete</t>
        </is>
      </c>
    </row>
    <row r="335">
      <c r="A335" s="7" t="inlineStr">
        <is>
          <t>MAT-02-038</t>
        </is>
      </c>
      <c r="B335" s="7" t="inlineStr">
        <is>
          <t>Materiales</t>
        </is>
      </c>
      <c r="C335" s="7" t="inlineStr">
        <is>
          <t>Cemento, morteros y aditivos</t>
        </is>
      </c>
      <c r="D335" s="5" t="inlineStr">
        <is>
          <t>Mortero gris, 50 lb</t>
        </is>
      </c>
      <c r="E335" s="5" t="inlineStr"/>
      <c r="F335" s="5" t="inlineStr">
        <is>
          <t>Material retirado en almacén</t>
        </is>
      </c>
      <c r="G335" s="5" t="inlineStr">
        <is>
          <t>mortero, mezcla</t>
        </is>
      </c>
      <c r="H335" s="7" t="inlineStr">
        <is>
          <t>unidad</t>
        </is>
      </c>
      <c r="I335" s="7" t="inlineStr">
        <is>
          <t>Terminación de superficies</t>
        </is>
      </c>
      <c r="J335" s="7" t="inlineStr">
        <is>
          <t>estandar</t>
        </is>
      </c>
      <c r="K335" s="7" t="inlineStr">
        <is>
          <t>importado</t>
        </is>
      </c>
      <c r="L335" s="7" t="inlineStr">
        <is>
          <t>Verificado</t>
        </is>
      </c>
      <c r="M335" s="8" t="n">
        <v>1</v>
      </c>
      <c r="N335" s="9" t="n">
        <v>1308</v>
      </c>
      <c r="O335" s="9" t="n">
        <v>1308</v>
      </c>
      <c r="P335" s="9" t="n">
        <v>1308</v>
      </c>
      <c r="Q335" s="7" t="inlineStr">
        <is>
          <t>Sí</t>
        </is>
      </c>
      <c r="R335" s="9">
        <f>IF(N335="","",IF(Q335="Sí",ROUND(N335/1.18,2),N335))</f>
        <v/>
      </c>
      <c r="S335" s="7" t="inlineStr">
        <is>
          <t>2026-09-09</t>
        </is>
      </c>
      <c r="T335" s="5" t="inlineStr">
        <is>
          <t>1 cotización de proveedores</t>
        </is>
      </c>
      <c r="AG335" s="4" t="n">
        <v>50</v>
      </c>
      <c r="AI335" s="4" t="inlineStr">
        <is>
          <t>gris</t>
        </is>
      </c>
    </row>
    <row r="336">
      <c r="A336" s="7" t="inlineStr">
        <is>
          <t>MAT-02-039</t>
        </is>
      </c>
      <c r="B336" s="7" t="inlineStr">
        <is>
          <t>Materiales</t>
        </is>
      </c>
      <c r="C336" s="7" t="inlineStr">
        <is>
          <t>Cemento, morteros y aditivos</t>
        </is>
      </c>
      <c r="D336" s="5" t="inlineStr">
        <is>
          <t>Mortero impermeabilizante, 25 kg</t>
        </is>
      </c>
      <c r="E336" s="5" t="inlineStr"/>
      <c r="F336" s="5" t="inlineStr">
        <is>
          <t>Material retirado en almacén</t>
        </is>
      </c>
      <c r="G336" s="5" t="inlineStr">
        <is>
          <t>mortero, mezcla</t>
        </is>
      </c>
      <c r="H336" s="7" t="inlineStr">
        <is>
          <t>unidad</t>
        </is>
      </c>
      <c r="I336" s="7" t="inlineStr">
        <is>
          <t>Terminación de superficies</t>
        </is>
      </c>
      <c r="J336" s="7" t="inlineStr">
        <is>
          <t>estandar</t>
        </is>
      </c>
      <c r="K336" s="7" t="inlineStr">
        <is>
          <t>importado</t>
        </is>
      </c>
      <c r="L336" s="7" t="inlineStr">
        <is>
          <t>Verificado</t>
        </is>
      </c>
      <c r="M336" s="8" t="n">
        <v>1</v>
      </c>
      <c r="N336" s="9" t="n">
        <v>2715.75</v>
      </c>
      <c r="O336" s="9" t="n">
        <v>2715.75</v>
      </c>
      <c r="P336" s="9" t="n">
        <v>2715.75</v>
      </c>
      <c r="Q336" s="7" t="inlineStr">
        <is>
          <t>Sí</t>
        </is>
      </c>
      <c r="R336" s="9">
        <f>IF(N336="","",IF(Q336="Sí",ROUND(N336/1.18,2),N336))</f>
        <v/>
      </c>
      <c r="S336" s="7" t="inlineStr">
        <is>
          <t>2026-09-09</t>
        </is>
      </c>
      <c r="T336" s="5" t="inlineStr">
        <is>
          <t>1 cotización de proveedores</t>
        </is>
      </c>
      <c r="AI336" s="4" t="inlineStr">
        <is>
          <t>impermeabilizante</t>
        </is>
      </c>
      <c r="AJ336" s="5" t="inlineStr">
        <is>
          <t>Peso (kg): 25</t>
        </is>
      </c>
    </row>
    <row r="337">
      <c r="A337" s="7" t="inlineStr">
        <is>
          <t>MAT-02-040</t>
        </is>
      </c>
      <c r="B337" s="7" t="inlineStr">
        <is>
          <t>Materiales</t>
        </is>
      </c>
      <c r="C337" s="7" t="inlineStr">
        <is>
          <t>Cemento, morteros y aditivos</t>
        </is>
      </c>
      <c r="D337" s="5" t="inlineStr">
        <is>
          <t>Mortero para cerámica, 50 lb</t>
        </is>
      </c>
      <c r="E337" s="5" t="inlineStr"/>
      <c r="F337" s="5" t="inlineStr">
        <is>
          <t>Material retirado en almacén</t>
        </is>
      </c>
      <c r="G337" s="5" t="inlineStr">
        <is>
          <t>mortero, mezcla</t>
        </is>
      </c>
      <c r="H337" s="7" t="inlineStr">
        <is>
          <t>unidad</t>
        </is>
      </c>
      <c r="I337" s="7" t="inlineStr">
        <is>
          <t>Terminación de superficies</t>
        </is>
      </c>
      <c r="J337" s="7" t="inlineStr">
        <is>
          <t>estandar</t>
        </is>
      </c>
      <c r="K337" s="7" t="inlineStr">
        <is>
          <t>importado</t>
        </is>
      </c>
      <c r="L337" s="7" t="inlineStr">
        <is>
          <t>Verificado</t>
        </is>
      </c>
      <c r="M337" s="8" t="n">
        <v>1</v>
      </c>
      <c r="N337" s="9" t="n">
        <v>2396</v>
      </c>
      <c r="O337" s="9" t="n">
        <v>2396</v>
      </c>
      <c r="P337" s="9" t="n">
        <v>2396</v>
      </c>
      <c r="Q337" s="7" t="inlineStr">
        <is>
          <t>Sí</t>
        </is>
      </c>
      <c r="R337" s="9">
        <f>IF(N337="","",IF(Q337="Sí",ROUND(N337/1.18,2),N337))</f>
        <v/>
      </c>
      <c r="S337" s="7" t="inlineStr">
        <is>
          <t>2026-09-09</t>
        </is>
      </c>
      <c r="T337" s="5" t="inlineStr">
        <is>
          <t>1 cotización de proveedores</t>
        </is>
      </c>
      <c r="AG337" s="4" t="n">
        <v>50</v>
      </c>
      <c r="AI337" s="4" t="inlineStr">
        <is>
          <t>para cerámica</t>
        </is>
      </c>
    </row>
    <row r="338">
      <c r="A338" s="7" t="inlineStr">
        <is>
          <t>MAT-02-041</t>
        </is>
      </c>
      <c r="B338" s="7" t="inlineStr">
        <is>
          <t>Materiales</t>
        </is>
      </c>
      <c r="C338" s="7" t="inlineStr">
        <is>
          <t>Cemento, morteros y aditivos</t>
        </is>
      </c>
      <c r="D338" s="5" t="inlineStr">
        <is>
          <t>Pegamento de cerámica para cerámica, 1/4 galón</t>
        </is>
      </c>
      <c r="E338" s="5" t="inlineStr"/>
      <c r="F338" s="5" t="inlineStr">
        <is>
          <t>Material retirado en almacén</t>
        </is>
      </c>
      <c r="G338" s="5" t="inlineStr">
        <is>
          <t>pegamento de cerámica, mortero cola</t>
        </is>
      </c>
      <c r="H338" s="7" t="inlineStr">
        <is>
          <t>unidad</t>
        </is>
      </c>
      <c r="I338" s="7" t="inlineStr">
        <is>
          <t>Pisos</t>
        </is>
      </c>
      <c r="J338" s="7" t="inlineStr">
        <is>
          <t>estandar</t>
        </is>
      </c>
      <c r="K338" s="7" t="inlineStr">
        <is>
          <t>importado</t>
        </is>
      </c>
      <c r="L338" s="7" t="inlineStr">
        <is>
          <t>Verificado</t>
        </is>
      </c>
      <c r="M338" s="8" t="n">
        <v>1</v>
      </c>
      <c r="N338" s="9" t="n">
        <v>625</v>
      </c>
      <c r="O338" s="9" t="n">
        <v>625</v>
      </c>
      <c r="P338" s="9" t="n">
        <v>625</v>
      </c>
      <c r="Q338" s="7" t="inlineStr">
        <is>
          <t>Sí</t>
        </is>
      </c>
      <c r="R338" s="9">
        <f>IF(N338="","",IF(Q338="Sí",ROUND(N338/1.18,2),N338))</f>
        <v/>
      </c>
      <c r="S338" s="7" t="inlineStr">
        <is>
          <t>2026-09-09</t>
        </is>
      </c>
      <c r="T338" s="5" t="inlineStr">
        <is>
          <t>1 cotización de proveedores</t>
        </is>
      </c>
      <c r="AF338" s="4" t="n">
        <v>0.25</v>
      </c>
      <c r="AI338" s="4" t="inlineStr">
        <is>
          <t>para cerámica</t>
        </is>
      </c>
    </row>
    <row r="339">
      <c r="A339" s="7" t="inlineStr">
        <is>
          <t>MAT-02-042</t>
        </is>
      </c>
      <c r="B339" s="7" t="inlineStr">
        <is>
          <t>Materiales</t>
        </is>
      </c>
      <c r="C339" s="7" t="inlineStr">
        <is>
          <t>Cemento, morteros y aditivos</t>
        </is>
      </c>
      <c r="D339" s="5" t="inlineStr">
        <is>
          <t>Pegamento de cerámica para cerámica, 1 galón</t>
        </is>
      </c>
      <c r="E339" s="5" t="inlineStr"/>
      <c r="F339" s="5" t="inlineStr">
        <is>
          <t>Material retirado en almacén</t>
        </is>
      </c>
      <c r="G339" s="5" t="inlineStr">
        <is>
          <t>pegamento de cerámica, mortero cola</t>
        </is>
      </c>
      <c r="H339" s="7" t="inlineStr">
        <is>
          <t>unidad</t>
        </is>
      </c>
      <c r="I339" s="7" t="inlineStr">
        <is>
          <t>Pisos</t>
        </is>
      </c>
      <c r="J339" s="7" t="inlineStr">
        <is>
          <t>estandar</t>
        </is>
      </c>
      <c r="K339" s="7" t="inlineStr">
        <is>
          <t>importado</t>
        </is>
      </c>
      <c r="L339" s="7" t="inlineStr">
        <is>
          <t>Verificado</t>
        </is>
      </c>
      <c r="M339" s="8" t="n">
        <v>1</v>
      </c>
      <c r="N339" s="9" t="n">
        <v>1845</v>
      </c>
      <c r="O339" s="9" t="n">
        <v>1845</v>
      </c>
      <c r="P339" s="9" t="n">
        <v>1845</v>
      </c>
      <c r="Q339" s="7" t="inlineStr">
        <is>
          <t>Sí</t>
        </is>
      </c>
      <c r="R339" s="9">
        <f>IF(N339="","",IF(Q339="Sí",ROUND(N339/1.18,2),N339))</f>
        <v/>
      </c>
      <c r="S339" s="7" t="inlineStr">
        <is>
          <t>2026-09-09</t>
        </is>
      </c>
      <c r="T339" s="5" t="inlineStr">
        <is>
          <t>1 cotización de proveedores</t>
        </is>
      </c>
      <c r="AF339" s="4" t="n">
        <v>1</v>
      </c>
      <c r="AI339" s="4" t="inlineStr">
        <is>
          <t>para cerámica</t>
        </is>
      </c>
    </row>
    <row r="340">
      <c r="A340" s="7" t="inlineStr">
        <is>
          <t>MAT-02-043</t>
        </is>
      </c>
      <c r="B340" s="7" t="inlineStr">
        <is>
          <t>Materiales</t>
        </is>
      </c>
      <c r="C340" s="7" t="inlineStr">
        <is>
          <t>Cemento, morteros y aditivos</t>
        </is>
      </c>
      <c r="D340" s="5" t="inlineStr">
        <is>
          <t>Pegamento de cerámica para cerámica, 10 lb</t>
        </is>
      </c>
      <c r="E340" s="5" t="inlineStr"/>
      <c r="F340" s="5" t="inlineStr">
        <is>
          <t>Material retirado en almacén</t>
        </is>
      </c>
      <c r="G340" s="5" t="inlineStr">
        <is>
          <t>pegamento de cerámica, mortero cola</t>
        </is>
      </c>
      <c r="H340" s="7" t="inlineStr">
        <is>
          <t>unidad</t>
        </is>
      </c>
      <c r="I340" s="7" t="inlineStr">
        <is>
          <t>Pisos</t>
        </is>
      </c>
      <c r="J340" s="7" t="inlineStr">
        <is>
          <t>estandar</t>
        </is>
      </c>
      <c r="K340" s="7" t="inlineStr">
        <is>
          <t>importado</t>
        </is>
      </c>
      <c r="L340" s="7" t="inlineStr">
        <is>
          <t>Verificado</t>
        </is>
      </c>
      <c r="M340" s="8" t="n">
        <v>1</v>
      </c>
      <c r="N340" s="9" t="n">
        <v>569.5</v>
      </c>
      <c r="O340" s="9" t="n">
        <v>437.75</v>
      </c>
      <c r="P340" s="9" t="n">
        <v>610.3</v>
      </c>
      <c r="Q340" s="7" t="inlineStr">
        <is>
          <t>Sí</t>
        </is>
      </c>
      <c r="R340" s="9">
        <f>IF(N340="","",IF(Q340="Sí",ROUND(N340/1.18,2),N340))</f>
        <v/>
      </c>
      <c r="S340" s="7" t="inlineStr">
        <is>
          <t>2026-09-09</t>
        </is>
      </c>
      <c r="T340" s="5" t="inlineStr">
        <is>
          <t>3 cotizaciones de proveedores</t>
        </is>
      </c>
      <c r="AG340" s="4" t="n">
        <v>10</v>
      </c>
      <c r="AI340" s="4" t="inlineStr">
        <is>
          <t>para cerámica</t>
        </is>
      </c>
    </row>
    <row r="341">
      <c r="A341" s="7" t="inlineStr">
        <is>
          <t>MAT-02-044</t>
        </is>
      </c>
      <c r="B341" s="7" t="inlineStr">
        <is>
          <t>Materiales</t>
        </is>
      </c>
      <c r="C341" s="7" t="inlineStr">
        <is>
          <t>Cemento, morteros y aditivos</t>
        </is>
      </c>
      <c r="D341" s="5" t="inlineStr">
        <is>
          <t>Pegamento de cerámica para cerámica, 50 lb</t>
        </is>
      </c>
      <c r="E341" s="5" t="inlineStr"/>
      <c r="F341" s="5" t="inlineStr">
        <is>
          <t>Material retirado en almacén</t>
        </is>
      </c>
      <c r="G341" s="5" t="inlineStr">
        <is>
          <t>pegamento de cerámica, mortero cola</t>
        </is>
      </c>
      <c r="H341" s="7" t="inlineStr">
        <is>
          <t>unidad</t>
        </is>
      </c>
      <c r="I341" s="7" t="inlineStr">
        <is>
          <t>Pisos</t>
        </is>
      </c>
      <c r="J341" s="7" t="inlineStr">
        <is>
          <t>estandar</t>
        </is>
      </c>
      <c r="K341" s="7" t="inlineStr">
        <is>
          <t>importado</t>
        </is>
      </c>
      <c r="L341" s="7" t="inlineStr">
        <is>
          <t>Verificado</t>
        </is>
      </c>
      <c r="M341" s="8" t="n">
        <v>1</v>
      </c>
      <c r="N341" s="9" t="n">
        <v>330.5</v>
      </c>
      <c r="O341" s="9" t="n">
        <v>325</v>
      </c>
      <c r="P341" s="9" t="n">
        <v>336</v>
      </c>
      <c r="Q341" s="7" t="inlineStr">
        <is>
          <t>Sí</t>
        </is>
      </c>
      <c r="R341" s="9">
        <f>IF(N341="","",IF(Q341="Sí",ROUND(N341/1.18,2),N341))</f>
        <v/>
      </c>
      <c r="S341" s="7" t="inlineStr">
        <is>
          <t>2026-09-09</t>
        </is>
      </c>
      <c r="T341" s="5" t="inlineStr">
        <is>
          <t>2 cotizaciones de proveedores</t>
        </is>
      </c>
      <c r="AG341" s="4" t="n">
        <v>50</v>
      </c>
      <c r="AI341" s="4" t="inlineStr">
        <is>
          <t>para cerámica</t>
        </is>
      </c>
    </row>
    <row r="342">
      <c r="A342" s="7" t="inlineStr">
        <is>
          <t>MAT-02-045</t>
        </is>
      </c>
      <c r="B342" s="7" t="inlineStr">
        <is>
          <t>Materiales</t>
        </is>
      </c>
      <c r="C342" s="7" t="inlineStr">
        <is>
          <t>Cemento, morteros y aditivos</t>
        </is>
      </c>
      <c r="D342" s="5" t="inlineStr">
        <is>
          <t>Yeso en polvo blanco, 10 lb</t>
        </is>
      </c>
      <c r="E342" s="5" t="inlineStr"/>
      <c r="F342" s="5" t="inlineStr">
        <is>
          <t>Material retirado en almacén</t>
        </is>
      </c>
      <c r="G342" s="5" t="inlineStr">
        <is>
          <t>yeso</t>
        </is>
      </c>
      <c r="H342" s="7" t="inlineStr">
        <is>
          <t>unidad</t>
        </is>
      </c>
      <c r="I342" s="7" t="inlineStr">
        <is>
          <t>Terminación de superficies</t>
        </is>
      </c>
      <c r="J342" s="7" t="inlineStr">
        <is>
          <t>estandar</t>
        </is>
      </c>
      <c r="K342" s="7" t="inlineStr">
        <is>
          <t>importado</t>
        </is>
      </c>
      <c r="L342" s="7" t="inlineStr">
        <is>
          <t>Verificado</t>
        </is>
      </c>
      <c r="M342" s="8" t="n">
        <v>1</v>
      </c>
      <c r="N342" s="9" t="n">
        <v>167</v>
      </c>
      <c r="O342" s="9" t="n">
        <v>167</v>
      </c>
      <c r="P342" s="9" t="n">
        <v>167</v>
      </c>
      <c r="Q342" s="7" t="inlineStr">
        <is>
          <t>Sí</t>
        </is>
      </c>
      <c r="R342" s="9">
        <f>IF(N342="","",IF(Q342="Sí",ROUND(N342/1.18,2),N342))</f>
        <v/>
      </c>
      <c r="S342" s="7" t="inlineStr">
        <is>
          <t>2026-09-09</t>
        </is>
      </c>
      <c r="T342" s="5" t="inlineStr">
        <is>
          <t>1 cotización de proveedores</t>
        </is>
      </c>
      <c r="AG342" s="4" t="n">
        <v>10</v>
      </c>
      <c r="AI342" s="4" t="inlineStr">
        <is>
          <t>blanco</t>
        </is>
      </c>
    </row>
    <row r="343">
      <c r="A343" s="7" t="inlineStr">
        <is>
          <t>MAT-02-046</t>
        </is>
      </c>
      <c r="B343" s="7" t="inlineStr">
        <is>
          <t>Materiales</t>
        </is>
      </c>
      <c r="C343" s="7" t="inlineStr">
        <is>
          <t>Cemento, morteros y aditivos</t>
        </is>
      </c>
      <c r="D343" s="5" t="inlineStr">
        <is>
          <t>Yeso en polvo blanco, 2 lb</t>
        </is>
      </c>
      <c r="E343" s="5" t="inlineStr"/>
      <c r="F343" s="5" t="inlineStr">
        <is>
          <t>Material retirado en almacén</t>
        </is>
      </c>
      <c r="G343" s="5" t="inlineStr">
        <is>
          <t>yeso</t>
        </is>
      </c>
      <c r="H343" s="7" t="inlineStr">
        <is>
          <t>unidad</t>
        </is>
      </c>
      <c r="I343" s="7" t="inlineStr">
        <is>
          <t>Terminación de superficies</t>
        </is>
      </c>
      <c r="J343" s="7" t="inlineStr">
        <is>
          <t>estandar</t>
        </is>
      </c>
      <c r="K343" s="7" t="inlineStr">
        <is>
          <t>importado</t>
        </is>
      </c>
      <c r="L343" s="7" t="inlineStr">
        <is>
          <t>Verificado</t>
        </is>
      </c>
      <c r="M343" s="8" t="n">
        <v>1</v>
      </c>
      <c r="N343" s="9" t="n">
        <v>28</v>
      </c>
      <c r="O343" s="9" t="n">
        <v>28</v>
      </c>
      <c r="P343" s="9" t="n">
        <v>28</v>
      </c>
      <c r="Q343" s="7" t="inlineStr">
        <is>
          <t>Sí</t>
        </is>
      </c>
      <c r="R343" s="9">
        <f>IF(N343="","",IF(Q343="Sí",ROUND(N343/1.18,2),N343))</f>
        <v/>
      </c>
      <c r="S343" s="7" t="inlineStr">
        <is>
          <t>2026-09-09</t>
        </is>
      </c>
      <c r="T343" s="5" t="inlineStr">
        <is>
          <t>1 cotización de proveedores</t>
        </is>
      </c>
      <c r="AG343" s="4" t="n">
        <v>2</v>
      </c>
      <c r="AI343" s="4" t="inlineStr">
        <is>
          <t>blanco</t>
        </is>
      </c>
    </row>
    <row r="344">
      <c r="A344" s="7" t="inlineStr">
        <is>
          <t>MAT-02-047</t>
        </is>
      </c>
      <c r="B344" s="7" t="inlineStr">
        <is>
          <t>Materiales</t>
        </is>
      </c>
      <c r="C344" s="7" t="inlineStr">
        <is>
          <t>Cemento, morteros y aditivos</t>
        </is>
      </c>
      <c r="D344" s="5" t="inlineStr">
        <is>
          <t>Cemento gris, funda de 5 libras</t>
        </is>
      </c>
      <c r="E344" s="5" t="inlineStr">
        <is>
          <t>Cemento gris en presentación menuda, para reparaciones · 5 libras</t>
        </is>
      </c>
      <c r="F344" s="5" t="inlineStr">
        <is>
          <t>Material retirado en almacén</t>
        </is>
      </c>
      <c r="G344" s="5" t="inlineStr">
        <is>
          <t>cemento gris, funda pequeña de cemento</t>
        </is>
      </c>
      <c r="H344" s="7" t="inlineStr">
        <is>
          <t>funda</t>
        </is>
      </c>
      <c r="I344" s="7" t="inlineStr">
        <is>
          <t>Terminación de superficies</t>
        </is>
      </c>
      <c r="J344" s="7" t="inlineStr">
        <is>
          <t>estandar</t>
        </is>
      </c>
      <c r="K344" s="7" t="inlineStr">
        <is>
          <t>nacional</t>
        </is>
      </c>
      <c r="L344" s="7" t="inlineStr">
        <is>
          <t>Verificado</t>
        </is>
      </c>
      <c r="M344" s="8" t="n">
        <v>1</v>
      </c>
      <c r="N344" s="9" t="n">
        <v>34.36</v>
      </c>
      <c r="O344" s="9" t="n">
        <v>34.36</v>
      </c>
      <c r="P344" s="9" t="n">
        <v>34.36</v>
      </c>
      <c r="Q344" s="7" t="inlineStr">
        <is>
          <t>Sí</t>
        </is>
      </c>
      <c r="R344" s="9">
        <f>IF(N344="","",IF(Q344="Sí",ROUND(N344/1.18,2),N344))</f>
        <v/>
      </c>
      <c r="S344" s="7" t="inlineStr">
        <is>
          <t>2026-09-09</t>
        </is>
      </c>
      <c r="T344" s="5" t="inlineStr">
        <is>
          <t>1 cotización de proveedores</t>
        </is>
      </c>
    </row>
    <row r="345">
      <c r="A345" s="7" t="inlineStr">
        <is>
          <t>MAT-02-048</t>
        </is>
      </c>
      <c r="B345" s="7" t="inlineStr">
        <is>
          <t>Materiales</t>
        </is>
      </c>
      <c r="C345" s="7" t="inlineStr">
        <is>
          <t>Cemento, morteros y aditivos</t>
        </is>
      </c>
      <c r="D345" s="5" t="inlineStr">
        <is>
          <t>Cemento gris, funda de 10 libras</t>
        </is>
      </c>
      <c r="E345" s="5" t="inlineStr">
        <is>
          <t>Cemento gris en presentación menuda, para reparaciones · 10 libras</t>
        </is>
      </c>
      <c r="F345" s="5" t="inlineStr">
        <is>
          <t>Material retirado en almacén</t>
        </is>
      </c>
      <c r="G345" s="5" t="inlineStr">
        <is>
          <t>cemento gris, funda pequeña de cemento</t>
        </is>
      </c>
      <c r="H345" s="7" t="inlineStr">
        <is>
          <t>funda</t>
        </is>
      </c>
      <c r="I345" s="7" t="inlineStr">
        <is>
          <t>Terminación de superficies</t>
        </is>
      </c>
      <c r="J345" s="7" t="inlineStr">
        <is>
          <t>estandar</t>
        </is>
      </c>
      <c r="K345" s="7" t="inlineStr">
        <is>
          <t>nacional</t>
        </is>
      </c>
      <c r="L345" s="7" t="inlineStr">
        <is>
          <t>Verificado</t>
        </is>
      </c>
      <c r="M345" s="8" t="n">
        <v>2</v>
      </c>
      <c r="N345" s="9" t="n">
        <v>119.48</v>
      </c>
      <c r="O345" s="9" t="n">
        <v>65.95999999999999</v>
      </c>
      <c r="P345" s="9" t="n">
        <v>173</v>
      </c>
      <c r="Q345" s="7" t="inlineStr">
        <is>
          <t>Sí</t>
        </is>
      </c>
      <c r="R345" s="9">
        <f>IF(N345="","",IF(Q345="Sí",ROUND(N345/1.18,2),N345))</f>
        <v/>
      </c>
      <c r="S345" s="7" t="inlineStr">
        <is>
          <t>2026-09-09</t>
        </is>
      </c>
      <c r="T345" s="5" t="inlineStr">
        <is>
          <t>2 cotizaciones de proveedores</t>
        </is>
      </c>
    </row>
    <row r="346">
      <c r="A346" s="7" t="inlineStr">
        <is>
          <t>MAT-02-049</t>
        </is>
      </c>
      <c r="B346" s="7" t="inlineStr">
        <is>
          <t>Materiales</t>
        </is>
      </c>
      <c r="C346" s="7" t="inlineStr">
        <is>
          <t>Cemento, morteros y aditivos</t>
        </is>
      </c>
      <c r="D346" s="5" t="inlineStr">
        <is>
          <t>Cemento blanco, funda de 2 libras</t>
        </is>
      </c>
      <c r="E346" s="5" t="inlineStr">
        <is>
          <t>Cemento blanco en presentación menuda, para detalles y reparaciones · 2 libras</t>
        </is>
      </c>
      <c r="F346" s="5" t="inlineStr">
        <is>
          <t>Material retirado en almacén</t>
        </is>
      </c>
      <c r="G346" s="5" t="inlineStr">
        <is>
          <t>cemento blanco</t>
        </is>
      </c>
      <c r="H346" s="7" t="inlineStr">
        <is>
          <t>funda</t>
        </is>
      </c>
      <c r="I346" s="7" t="inlineStr">
        <is>
          <t>Terminación de superficies</t>
        </is>
      </c>
      <c r="J346" s="7" t="inlineStr">
        <is>
          <t>estandar</t>
        </is>
      </c>
      <c r="K346" s="7" t="inlineStr">
        <is>
          <t>importado</t>
        </is>
      </c>
      <c r="L346" s="7" t="inlineStr">
        <is>
          <t>Verificado</t>
        </is>
      </c>
      <c r="M346" s="8" t="n">
        <v>2</v>
      </c>
      <c r="N346" s="9" t="n">
        <v>53.49</v>
      </c>
      <c r="O346" s="9" t="n">
        <v>49.97</v>
      </c>
      <c r="P346" s="9" t="n">
        <v>57</v>
      </c>
      <c r="Q346" s="7" t="inlineStr">
        <is>
          <t>Sí</t>
        </is>
      </c>
      <c r="R346" s="9">
        <f>IF(N346="","",IF(Q346="Sí",ROUND(N346/1.18,2),N346))</f>
        <v/>
      </c>
      <c r="S346" s="7" t="inlineStr">
        <is>
          <t>2026-09-09</t>
        </is>
      </c>
      <c r="T346" s="5" t="inlineStr">
        <is>
          <t>2 cotizaciones de proveedores</t>
        </is>
      </c>
    </row>
    <row r="347">
      <c r="A347" s="7" t="inlineStr">
        <is>
          <t>MAT-02-050</t>
        </is>
      </c>
      <c r="B347" s="7" t="inlineStr">
        <is>
          <t>Materiales</t>
        </is>
      </c>
      <c r="C347" s="7" t="inlineStr">
        <is>
          <t>Cemento, morteros y aditivos</t>
        </is>
      </c>
      <c r="D347" s="5" t="inlineStr">
        <is>
          <t>Cemento blanco, funda de 5 libras</t>
        </is>
      </c>
      <c r="E347" s="5" t="inlineStr">
        <is>
          <t>Cemento blanco en presentación menuda, para detalles y reparaciones · 5 libras</t>
        </is>
      </c>
      <c r="F347" s="5" t="inlineStr">
        <is>
          <t>Material retirado en almacén</t>
        </is>
      </c>
      <c r="G347" s="5" t="inlineStr">
        <is>
          <t>cemento blanco</t>
        </is>
      </c>
      <c r="H347" s="7" t="inlineStr">
        <is>
          <t>funda</t>
        </is>
      </c>
      <c r="I347" s="7" t="inlineStr">
        <is>
          <t>Terminación de superficies</t>
        </is>
      </c>
      <c r="J347" s="7" t="inlineStr">
        <is>
          <t>estandar</t>
        </is>
      </c>
      <c r="K347" s="7" t="inlineStr">
        <is>
          <t>importado</t>
        </is>
      </c>
      <c r="L347" s="7" t="inlineStr">
        <is>
          <t>Verificado</t>
        </is>
      </c>
      <c r="M347" s="8" t="n">
        <v>2</v>
      </c>
      <c r="N347" s="9" t="n">
        <v>120.97</v>
      </c>
      <c r="O347" s="9" t="n">
        <v>109.93</v>
      </c>
      <c r="P347" s="9" t="n">
        <v>132</v>
      </c>
      <c r="Q347" s="7" t="inlineStr">
        <is>
          <t>Sí</t>
        </is>
      </c>
      <c r="R347" s="9">
        <f>IF(N347="","",IF(Q347="Sí",ROUND(N347/1.18,2),N347))</f>
        <v/>
      </c>
      <c r="S347" s="7" t="inlineStr">
        <is>
          <t>2026-09-09</t>
        </is>
      </c>
      <c r="T347" s="5" t="inlineStr">
        <is>
          <t>2 cotizaciones de proveedores</t>
        </is>
      </c>
    </row>
    <row r="348">
      <c r="A348" s="7" t="inlineStr">
        <is>
          <t>MAT-02-051</t>
        </is>
      </c>
      <c r="B348" s="7" t="inlineStr">
        <is>
          <t>Materiales</t>
        </is>
      </c>
      <c r="C348" s="7" t="inlineStr">
        <is>
          <t>Cemento, morteros y aditivos</t>
        </is>
      </c>
      <c r="D348" s="5" t="inlineStr">
        <is>
          <t>Cemento blanco, funda de 10 libras</t>
        </is>
      </c>
      <c r="E348" s="5" t="inlineStr">
        <is>
          <t>Cemento blanco en presentación menuda, para detalles y reparaciones · 10 libras</t>
        </is>
      </c>
      <c r="F348" s="5" t="inlineStr">
        <is>
          <t>Material retirado en almacén</t>
        </is>
      </c>
      <c r="G348" s="5" t="inlineStr">
        <is>
          <t>cemento blanco</t>
        </is>
      </c>
      <c r="H348" s="7" t="inlineStr">
        <is>
          <t>funda</t>
        </is>
      </c>
      <c r="I348" s="7" t="inlineStr">
        <is>
          <t>Terminación de superficies</t>
        </is>
      </c>
      <c r="J348" s="7" t="inlineStr">
        <is>
          <t>estandar</t>
        </is>
      </c>
      <c r="K348" s="7" t="inlineStr">
        <is>
          <t>importado</t>
        </is>
      </c>
      <c r="L348" s="7" t="inlineStr">
        <is>
          <t>Verificado</t>
        </is>
      </c>
      <c r="M348" s="8" t="n">
        <v>1</v>
      </c>
      <c r="N348" s="9" t="n">
        <v>159.1</v>
      </c>
      <c r="O348" s="9" t="n">
        <v>159.1</v>
      </c>
      <c r="P348" s="9" t="n">
        <v>159.1</v>
      </c>
      <c r="Q348" s="7" t="inlineStr">
        <is>
          <t>Sí</t>
        </is>
      </c>
      <c r="R348" s="9">
        <f>IF(N348="","",IF(Q348="Sí",ROUND(N348/1.18,2),N348))</f>
        <v/>
      </c>
      <c r="S348" s="7" t="inlineStr">
        <is>
          <t>2026-09-09</t>
        </is>
      </c>
      <c r="T348" s="5" t="inlineStr">
        <is>
          <t>1 cotización de proveedores</t>
        </is>
      </c>
    </row>
    <row r="349">
      <c r="A349" s="7" t="inlineStr">
        <is>
          <t>MAT-02-052</t>
        </is>
      </c>
      <c r="B349" s="7" t="inlineStr">
        <is>
          <t>Materiales</t>
        </is>
      </c>
      <c r="C349" s="7" t="inlineStr">
        <is>
          <t>Cemento, morteros y aditivos</t>
        </is>
      </c>
      <c r="D349" s="5" t="inlineStr">
        <is>
          <t>Yeso en polvo, por libra</t>
        </is>
      </c>
      <c r="E349" s="5" t="inlineStr">
        <is>
          <t>Yeso de construcción a granel, despachado por libra</t>
        </is>
      </c>
      <c r="F349" s="5" t="inlineStr">
        <is>
          <t>Material retirado en almacén</t>
        </is>
      </c>
      <c r="G349" s="5" t="inlineStr">
        <is>
          <t>yeso en polvo, yeso de obra</t>
        </is>
      </c>
      <c r="H349" s="7" t="inlineStr">
        <is>
          <t>lb</t>
        </is>
      </c>
      <c r="I349" s="7" t="inlineStr">
        <is>
          <t>Terminación de superficies</t>
        </is>
      </c>
      <c r="J349" s="7" t="inlineStr">
        <is>
          <t>estandar</t>
        </is>
      </c>
      <c r="K349" s="7" t="inlineStr">
        <is>
          <t>nacional</t>
        </is>
      </c>
      <c r="L349" s="7" t="inlineStr">
        <is>
          <t>Verificado</t>
        </is>
      </c>
      <c r="M349" s="8" t="n">
        <v>1</v>
      </c>
      <c r="N349" s="9" t="n">
        <v>4.8</v>
      </c>
      <c r="O349" s="9" t="n">
        <v>4.8</v>
      </c>
      <c r="P349" s="9" t="n">
        <v>4.8</v>
      </c>
      <c r="Q349" s="7" t="inlineStr">
        <is>
          <t>Sí</t>
        </is>
      </c>
      <c r="R349" s="9">
        <f>IF(N349="","",IF(Q349="Sí",ROUND(N349/1.18,2),N349))</f>
        <v/>
      </c>
      <c r="S349" s="7" t="inlineStr">
        <is>
          <t>2026-09-09</t>
        </is>
      </c>
      <c r="T349" s="5" t="inlineStr">
        <is>
          <t>1 cotización de proveedores</t>
        </is>
      </c>
    </row>
    <row r="350">
      <c r="A350" s="7" t="inlineStr">
        <is>
          <t>MAT-02-053</t>
        </is>
      </c>
      <c r="B350" s="7" t="inlineStr">
        <is>
          <t>Materiales</t>
        </is>
      </c>
      <c r="C350" s="7" t="inlineStr">
        <is>
          <t>Cemento, morteros y aditivos</t>
        </is>
      </c>
      <c r="D350" s="5" t="inlineStr">
        <is>
          <t>Yeso en polvo, funda de 5 libras</t>
        </is>
      </c>
      <c r="E350" s="5" t="inlineStr">
        <is>
          <t>Yeso de construcción para plafones y terminación · funda de 5 libras</t>
        </is>
      </c>
      <c r="F350" s="5" t="inlineStr">
        <is>
          <t>Material retirado en almacén</t>
        </is>
      </c>
      <c r="G350" s="5" t="inlineStr">
        <is>
          <t>yeso en polvo, yeso de obra</t>
        </is>
      </c>
      <c r="H350" s="7" t="inlineStr">
        <is>
          <t>funda</t>
        </is>
      </c>
      <c r="I350" s="7" t="inlineStr">
        <is>
          <t>Terminación de superficies</t>
        </is>
      </c>
      <c r="J350" s="7" t="inlineStr">
        <is>
          <t>estandar</t>
        </is>
      </c>
      <c r="K350" s="7" t="inlineStr">
        <is>
          <t>nacional</t>
        </is>
      </c>
      <c r="L350" s="7" t="inlineStr">
        <is>
          <t>Verificado</t>
        </is>
      </c>
      <c r="M350" s="8" t="n">
        <v>1</v>
      </c>
      <c r="N350" s="9" t="n">
        <v>37.93</v>
      </c>
      <c r="O350" s="9" t="n">
        <v>37.93</v>
      </c>
      <c r="P350" s="9" t="n">
        <v>37.93</v>
      </c>
      <c r="Q350" s="7" t="inlineStr">
        <is>
          <t>Sí</t>
        </is>
      </c>
      <c r="R350" s="9">
        <f>IF(N350="","",IF(Q350="Sí",ROUND(N350/1.18,2),N350))</f>
        <v/>
      </c>
      <c r="S350" s="7" t="inlineStr">
        <is>
          <t>2026-09-09</t>
        </is>
      </c>
      <c r="T350" s="5" t="inlineStr">
        <is>
          <t>1 cotización de proveedores</t>
        </is>
      </c>
    </row>
    <row r="351">
      <c r="A351" s="7" t="inlineStr">
        <is>
          <t>MAT-02-054</t>
        </is>
      </c>
      <c r="B351" s="7" t="inlineStr">
        <is>
          <t>Materiales</t>
        </is>
      </c>
      <c r="C351" s="7" t="inlineStr">
        <is>
          <t>Cemento, morteros y aditivos</t>
        </is>
      </c>
      <c r="D351" s="5" t="inlineStr">
        <is>
          <t>Yeso en polvo Paloma, funda de 65 libras</t>
        </is>
      </c>
      <c r="E351" s="5" t="inlineStr">
        <is>
          <t>Yeso de construcción para plafones y terminación · funda de 65 libras</t>
        </is>
      </c>
      <c r="F351" s="5" t="inlineStr">
        <is>
          <t>Material retirado en almacén</t>
        </is>
      </c>
      <c r="G351" s="5" t="inlineStr">
        <is>
          <t>yeso en polvo, yeso de obra</t>
        </is>
      </c>
      <c r="H351" s="7" t="inlineStr">
        <is>
          <t>funda</t>
        </is>
      </c>
      <c r="I351" s="7" t="inlineStr">
        <is>
          <t>Terminación de superficies</t>
        </is>
      </c>
      <c r="J351" s="7" t="inlineStr">
        <is>
          <t>estandar</t>
        </is>
      </c>
      <c r="K351" s="7" t="inlineStr">
        <is>
          <t>nacional</t>
        </is>
      </c>
      <c r="L351" s="7" t="inlineStr">
        <is>
          <t>Verificado</t>
        </is>
      </c>
      <c r="M351" s="8" t="n">
        <v>1</v>
      </c>
      <c r="N351" s="9" t="n">
        <v>373.64</v>
      </c>
      <c r="O351" s="9" t="n">
        <v>373.64</v>
      </c>
      <c r="P351" s="9" t="n">
        <v>373.64</v>
      </c>
      <c r="Q351" s="7" t="inlineStr">
        <is>
          <t>Sí</t>
        </is>
      </c>
      <c r="R351" s="9">
        <f>IF(N351="","",IF(Q351="Sí",ROUND(N351/1.18,2),N351))</f>
        <v/>
      </c>
      <c r="S351" s="7" t="inlineStr">
        <is>
          <t>2026-09-09</t>
        </is>
      </c>
      <c r="T351" s="5" t="inlineStr">
        <is>
          <t>1 cotización de proveedores</t>
        </is>
      </c>
    </row>
    <row r="352">
      <c r="A352" s="7" t="inlineStr">
        <is>
          <t>MAT-02-055</t>
        </is>
      </c>
      <c r="B352" s="7" t="inlineStr">
        <is>
          <t>Materiales</t>
        </is>
      </c>
      <c r="C352" s="7" t="inlineStr">
        <is>
          <t>Cemento, morteros y aditivos</t>
        </is>
      </c>
      <c r="D352" s="5" t="inlineStr">
        <is>
          <t>Fibra de acero para hormigón, funda de 5.3 kg</t>
        </is>
      </c>
      <c r="E352" s="5" t="inlineStr">
        <is>
          <t>Refuerzo disperso para losas y pisos industriales · funda de 5.3 kg</t>
        </is>
      </c>
      <c r="F352" s="5" t="inlineStr">
        <is>
          <t>Material retirado en almacén</t>
        </is>
      </c>
      <c r="G352" s="5" t="inlineStr">
        <is>
          <t>fibra metálica para hormigón</t>
        </is>
      </c>
      <c r="H352" s="7" t="inlineStr">
        <is>
          <t>funda</t>
        </is>
      </c>
      <c r="I352" s="7" t="inlineStr">
        <is>
          <t>Estructura</t>
        </is>
      </c>
      <c r="J352" s="7" t="inlineStr">
        <is>
          <t>estandar</t>
        </is>
      </c>
      <c r="K352" s="7" t="inlineStr">
        <is>
          <t>importado</t>
        </is>
      </c>
      <c r="L352" s="7" t="inlineStr">
        <is>
          <t>Verificado</t>
        </is>
      </c>
      <c r="M352" s="8" t="n">
        <v>1</v>
      </c>
      <c r="N352" s="9" t="n">
        <v>1295.68</v>
      </c>
      <c r="O352" s="9" t="n">
        <v>1295.68</v>
      </c>
      <c r="P352" s="9" t="n">
        <v>1295.68</v>
      </c>
      <c r="Q352" s="7" t="inlineStr">
        <is>
          <t>Sí</t>
        </is>
      </c>
      <c r="R352" s="9">
        <f>IF(N352="","",IF(Q352="Sí",ROUND(N352/1.18,2),N352))</f>
        <v/>
      </c>
      <c r="S352" s="7" t="inlineStr">
        <is>
          <t>2026-09-09</t>
        </is>
      </c>
      <c r="T352" s="5" t="inlineStr">
        <is>
          <t>1 cotización de proveedores</t>
        </is>
      </c>
    </row>
    <row r="353">
      <c r="A353" s="7" t="inlineStr">
        <is>
          <t>MAT-02-056</t>
        </is>
      </c>
      <c r="B353" s="7" t="inlineStr">
        <is>
          <t>Materiales</t>
        </is>
      </c>
      <c r="C353" s="7" t="inlineStr">
        <is>
          <t>Cemento, morteros y aditivos</t>
        </is>
      </c>
      <c r="D353" s="5" t="inlineStr">
        <is>
          <t>Macrofibra sintética para hormigón, funda de 1.5 kg</t>
        </is>
      </c>
      <c r="E353" s="5" t="inlineStr">
        <is>
          <t>Refuerzo disperso para losas y pisos industriales · funda de 1.5 kg</t>
        </is>
      </c>
      <c r="F353" s="5" t="inlineStr">
        <is>
          <t>Material retirado en almacén</t>
        </is>
      </c>
      <c r="G353" s="5" t="inlineStr">
        <is>
          <t>fibra sintética, macrofibra</t>
        </is>
      </c>
      <c r="H353" s="7" t="inlineStr">
        <is>
          <t>funda</t>
        </is>
      </c>
      <c r="I353" s="7" t="inlineStr">
        <is>
          <t>Estructura</t>
        </is>
      </c>
      <c r="J353" s="7" t="inlineStr">
        <is>
          <t>estandar</t>
        </is>
      </c>
      <c r="K353" s="7" t="inlineStr">
        <is>
          <t>importado</t>
        </is>
      </c>
      <c r="L353" s="7" t="inlineStr">
        <is>
          <t>Verificado</t>
        </is>
      </c>
      <c r="M353" s="8" t="n">
        <v>1</v>
      </c>
      <c r="N353" s="9" t="n">
        <v>807.79</v>
      </c>
      <c r="O353" s="9" t="n">
        <v>807.79</v>
      </c>
      <c r="P353" s="9" t="n">
        <v>807.79</v>
      </c>
      <c r="Q353" s="7" t="inlineStr">
        <is>
          <t>Sí</t>
        </is>
      </c>
      <c r="R353" s="9">
        <f>IF(N353="","",IF(Q353="Sí",ROUND(N353/1.18,2),N353))</f>
        <v/>
      </c>
      <c r="S353" s="7" t="inlineStr">
        <is>
          <t>2026-09-09</t>
        </is>
      </c>
      <c r="T353" s="5" t="inlineStr">
        <is>
          <t>1 cotización de proveedores</t>
        </is>
      </c>
    </row>
    <row r="354">
      <c r="A354" s="7" t="inlineStr">
        <is>
          <t>MAT-04-027</t>
        </is>
      </c>
      <c r="B354" s="7" t="inlineStr">
        <is>
          <t>Materiales</t>
        </is>
      </c>
      <c r="C354" s="7" t="inlineStr">
        <is>
          <t>Acero de refuerzo y metales</t>
        </is>
      </c>
      <c r="D354" s="5" t="inlineStr">
        <is>
          <t>Alambre liso galvanizado calibre 10</t>
        </is>
      </c>
      <c r="E354" s="5" t="inlineStr">
        <is>
          <t>Acero al carbono con acabado galvanizado · calibre 10</t>
        </is>
      </c>
      <c r="F354" s="5" t="inlineStr">
        <is>
          <t>Material retirado en almacén</t>
        </is>
      </c>
      <c r="G354" s="5" t="inlineStr">
        <is>
          <t>alambre galvanizado, alambre de amarre</t>
        </is>
      </c>
      <c r="H354" s="7" t="inlineStr">
        <is>
          <t>lb</t>
        </is>
      </c>
      <c r="I354" s="7" t="inlineStr">
        <is>
          <t>Estructura</t>
        </is>
      </c>
      <c r="J354" s="7" t="inlineStr">
        <is>
          <t>estandar</t>
        </is>
      </c>
      <c r="K354" s="7" t="inlineStr">
        <is>
          <t>nacional</t>
        </is>
      </c>
      <c r="L354" s="7" t="inlineStr">
        <is>
          <t>Verificado</t>
        </is>
      </c>
      <c r="M354" s="8" t="n">
        <v>1</v>
      </c>
      <c r="N354" s="9" t="n">
        <v>61.12</v>
      </c>
      <c r="O354" s="9" t="n">
        <v>61.12</v>
      </c>
      <c r="P354" s="9" t="n">
        <v>61.12</v>
      </c>
      <c r="Q354" s="7" t="inlineStr">
        <is>
          <t>Sí</t>
        </is>
      </c>
      <c r="R354" s="9">
        <f>IF(N354="","",IF(Q354="Sí",ROUND(N354/1.18,2),N354))</f>
        <v/>
      </c>
      <c r="S354" s="7" t="inlineStr">
        <is>
          <t>2026-09-09</t>
        </is>
      </c>
      <c r="T354" s="5" t="inlineStr">
        <is>
          <t>1 cotización de proveedores</t>
        </is>
      </c>
    </row>
    <row r="355">
      <c r="A355" s="7" t="inlineStr">
        <is>
          <t>MAT-04-028</t>
        </is>
      </c>
      <c r="B355" s="7" t="inlineStr">
        <is>
          <t>Materiales</t>
        </is>
      </c>
      <c r="C355" s="7" t="inlineStr">
        <is>
          <t>Acero de refuerzo y metales</t>
        </is>
      </c>
      <c r="D355" s="5" t="inlineStr">
        <is>
          <t>Alambre liso galvanizado calibre 12</t>
        </is>
      </c>
      <c r="E355" s="5" t="inlineStr">
        <is>
          <t>Acero al carbono con acabado galvanizado · calibre 12</t>
        </is>
      </c>
      <c r="F355" s="5" t="inlineStr">
        <is>
          <t>Material retirado en almacén</t>
        </is>
      </c>
      <c r="G355" s="5" t="inlineStr">
        <is>
          <t>alambre galvanizado, alambre de amarre</t>
        </is>
      </c>
      <c r="H355" s="7" t="inlineStr">
        <is>
          <t>lb</t>
        </is>
      </c>
      <c r="I355" s="7" t="inlineStr">
        <is>
          <t>Estructura</t>
        </is>
      </c>
      <c r="J355" s="7" t="inlineStr">
        <is>
          <t>estandar</t>
        </is>
      </c>
      <c r="K355" s="7" t="inlineStr">
        <is>
          <t>nacional</t>
        </is>
      </c>
      <c r="L355" s="7" t="inlineStr">
        <is>
          <t>Verificado</t>
        </is>
      </c>
      <c r="M355" s="8" t="n">
        <v>1</v>
      </c>
      <c r="N355" s="9" t="n">
        <v>61.12</v>
      </c>
      <c r="O355" s="9" t="n">
        <v>61.12</v>
      </c>
      <c r="P355" s="9" t="n">
        <v>61.12</v>
      </c>
      <c r="Q355" s="7" t="inlineStr">
        <is>
          <t>Sí</t>
        </is>
      </c>
      <c r="R355" s="9">
        <f>IF(N355="","",IF(Q355="Sí",ROUND(N355/1.18,2),N355))</f>
        <v/>
      </c>
      <c r="S355" s="7" t="inlineStr">
        <is>
          <t>2026-09-09</t>
        </is>
      </c>
      <c r="T355" s="5" t="inlineStr">
        <is>
          <t>1 cotización de proveedores</t>
        </is>
      </c>
    </row>
    <row r="356">
      <c r="A356" s="7" t="inlineStr">
        <is>
          <t>MAT-04-029</t>
        </is>
      </c>
      <c r="B356" s="7" t="inlineStr">
        <is>
          <t>Materiales</t>
        </is>
      </c>
      <c r="C356" s="7" t="inlineStr">
        <is>
          <t>Acero de refuerzo y metales</t>
        </is>
      </c>
      <c r="D356" s="5" t="inlineStr">
        <is>
          <t>Alambre liso galvanizado calibre 16</t>
        </is>
      </c>
      <c r="E356" s="5" t="inlineStr">
        <is>
          <t>Acero al carbono con acabado galvanizado · calibre 16</t>
        </is>
      </c>
      <c r="F356" s="5" t="inlineStr">
        <is>
          <t>Material retirado en almacén</t>
        </is>
      </c>
      <c r="G356" s="5" t="inlineStr">
        <is>
          <t>alambre galvanizado, alambre de amarre</t>
        </is>
      </c>
      <c r="H356" s="7" t="inlineStr">
        <is>
          <t>lb</t>
        </is>
      </c>
      <c r="I356" s="7" t="inlineStr">
        <is>
          <t>Estructura</t>
        </is>
      </c>
      <c r="J356" s="7" t="inlineStr">
        <is>
          <t>estandar</t>
        </is>
      </c>
      <c r="K356" s="7" t="inlineStr">
        <is>
          <t>nacional</t>
        </is>
      </c>
      <c r="L356" s="7" t="inlineStr">
        <is>
          <t>Verificado</t>
        </is>
      </c>
      <c r="M356" s="8" t="n">
        <v>1</v>
      </c>
      <c r="N356" s="9" t="n">
        <v>56.59</v>
      </c>
      <c r="O356" s="9" t="n">
        <v>56.59</v>
      </c>
      <c r="P356" s="9" t="n">
        <v>56.59</v>
      </c>
      <c r="Q356" s="7" t="inlineStr">
        <is>
          <t>Sí</t>
        </is>
      </c>
      <c r="R356" s="9">
        <f>IF(N356="","",IF(Q356="Sí",ROUND(N356/1.18,2),N356))</f>
        <v/>
      </c>
      <c r="S356" s="7" t="inlineStr">
        <is>
          <t>2026-09-09</t>
        </is>
      </c>
      <c r="T356" s="5" t="inlineStr">
        <is>
          <t>1 cotización de proveedores</t>
        </is>
      </c>
    </row>
    <row r="357">
      <c r="A357" s="7" t="inlineStr">
        <is>
          <t>MAT-04-030</t>
        </is>
      </c>
      <c r="B357" s="7" t="inlineStr">
        <is>
          <t>Materiales</t>
        </is>
      </c>
      <c r="C357" s="7" t="inlineStr">
        <is>
          <t>Acero de refuerzo y metales</t>
        </is>
      </c>
      <c r="D357" s="5" t="inlineStr">
        <is>
          <t>Separador plástico para varilla 3/8"</t>
        </is>
      </c>
      <c r="E357" s="5" t="inlineStr">
        <is>
          <t>Silleta plástica para mantener el recubrimiento del acero · 3/8"</t>
        </is>
      </c>
      <c r="F357" s="5" t="inlineStr">
        <is>
          <t>Material retirado en almacén</t>
        </is>
      </c>
      <c r="G357" s="5" t="inlineStr">
        <is>
          <t>silleta, separador de varilla, galleta</t>
        </is>
      </c>
      <c r="H357" s="7" t="inlineStr">
        <is>
          <t>unidad</t>
        </is>
      </c>
      <c r="I357" s="7" t="inlineStr">
        <is>
          <t>Estructura</t>
        </is>
      </c>
      <c r="J357" s="7" t="inlineStr">
        <is>
          <t>estandar</t>
        </is>
      </c>
      <c r="K357" s="7" t="inlineStr">
        <is>
          <t>importado</t>
        </is>
      </c>
      <c r="L357" s="7" t="inlineStr">
        <is>
          <t>Verificado</t>
        </is>
      </c>
      <c r="M357" s="8" t="n">
        <v>1</v>
      </c>
      <c r="N357" s="9" t="n">
        <v>30.48</v>
      </c>
      <c r="O357" s="9" t="n">
        <v>30.48</v>
      </c>
      <c r="P357" s="9" t="n">
        <v>30.48</v>
      </c>
      <c r="Q357" s="7" t="inlineStr">
        <is>
          <t>Sí</t>
        </is>
      </c>
      <c r="R357" s="9">
        <f>IF(N357="","",IF(Q357="Sí",ROUND(N357/1.18,2),N357))</f>
        <v/>
      </c>
      <c r="S357" s="7" t="inlineStr">
        <is>
          <t>2026-09-09</t>
        </is>
      </c>
      <c r="T357" s="5" t="inlineStr">
        <is>
          <t>1 cotización de proveedores</t>
        </is>
      </c>
    </row>
    <row r="358">
      <c r="A358" s="7" t="inlineStr">
        <is>
          <t>MAT-04-031</t>
        </is>
      </c>
      <c r="B358" s="7" t="inlineStr">
        <is>
          <t>Materiales</t>
        </is>
      </c>
      <c r="C358" s="7" t="inlineStr">
        <is>
          <t>Acero de refuerzo y metales</t>
        </is>
      </c>
      <c r="D358" s="5" t="inlineStr">
        <is>
          <t>Separador plástico para varilla 1/2"</t>
        </is>
      </c>
      <c r="E358" s="5" t="inlineStr">
        <is>
          <t>Silleta plástica para mantener el recubrimiento del acero · 1/2"</t>
        </is>
      </c>
      <c r="F358" s="5" t="inlineStr">
        <is>
          <t>Material retirado en almacén</t>
        </is>
      </c>
      <c r="G358" s="5" t="inlineStr">
        <is>
          <t>silleta, separador de varilla, galleta</t>
        </is>
      </c>
      <c r="H358" s="7" t="inlineStr">
        <is>
          <t>unidad</t>
        </is>
      </c>
      <c r="I358" s="7" t="inlineStr">
        <is>
          <t>Estructura</t>
        </is>
      </c>
      <c r="J358" s="7" t="inlineStr">
        <is>
          <t>estandar</t>
        </is>
      </c>
      <c r="K358" s="7" t="inlineStr">
        <is>
          <t>importado</t>
        </is>
      </c>
      <c r="L358" s="7" t="inlineStr">
        <is>
          <t>Verificado</t>
        </is>
      </c>
      <c r="M358" s="8" t="n">
        <v>1</v>
      </c>
      <c r="N358" s="9" t="n">
        <v>45.71</v>
      </c>
      <c r="O358" s="9" t="n">
        <v>45.71</v>
      </c>
      <c r="P358" s="9" t="n">
        <v>45.71</v>
      </c>
      <c r="Q358" s="7" t="inlineStr">
        <is>
          <t>Sí</t>
        </is>
      </c>
      <c r="R358" s="9">
        <f>IF(N358="","",IF(Q358="Sí",ROUND(N358/1.18,2),N358))</f>
        <v/>
      </c>
      <c r="S358" s="7" t="inlineStr">
        <is>
          <t>2026-09-09</t>
        </is>
      </c>
      <c r="T358" s="5" t="inlineStr">
        <is>
          <t>1 cotización de proveedores</t>
        </is>
      </c>
    </row>
    <row r="359">
      <c r="A359" s="7" t="inlineStr">
        <is>
          <t>MAT-04-032</t>
        </is>
      </c>
      <c r="B359" s="7" t="inlineStr">
        <is>
          <t>Materiales</t>
        </is>
      </c>
      <c r="C359" s="7" t="inlineStr">
        <is>
          <t>Acero de refuerzo y metales</t>
        </is>
      </c>
      <c r="D359" s="5" t="inlineStr">
        <is>
          <t>Separador plástico para varilla 5/8"</t>
        </is>
      </c>
      <c r="E359" s="5" t="inlineStr">
        <is>
          <t>Silleta plástica para mantener el recubrimiento del acero · 5/8"</t>
        </is>
      </c>
      <c r="F359" s="5" t="inlineStr">
        <is>
          <t>Material retirado en almacén</t>
        </is>
      </c>
      <c r="G359" s="5" t="inlineStr">
        <is>
          <t>silleta, separador de varilla, galleta</t>
        </is>
      </c>
      <c r="H359" s="7" t="inlineStr">
        <is>
          <t>unidad</t>
        </is>
      </c>
      <c r="I359" s="7" t="inlineStr">
        <is>
          <t>Estructura</t>
        </is>
      </c>
      <c r="J359" s="7" t="inlineStr">
        <is>
          <t>estandar</t>
        </is>
      </c>
      <c r="K359" s="7" t="inlineStr">
        <is>
          <t>importado</t>
        </is>
      </c>
      <c r="L359" s="7" t="inlineStr">
        <is>
          <t>Verificado</t>
        </is>
      </c>
      <c r="M359" s="8" t="n">
        <v>1</v>
      </c>
      <c r="N359" s="9" t="n">
        <v>54.43</v>
      </c>
      <c r="O359" s="9" t="n">
        <v>54.43</v>
      </c>
      <c r="P359" s="9" t="n">
        <v>54.43</v>
      </c>
      <c r="Q359" s="7" t="inlineStr">
        <is>
          <t>Sí</t>
        </is>
      </c>
      <c r="R359" s="9">
        <f>IF(N359="","",IF(Q359="Sí",ROUND(N359/1.18,2),N359))</f>
        <v/>
      </c>
      <c r="S359" s="7" t="inlineStr">
        <is>
          <t>2026-09-09</t>
        </is>
      </c>
      <c r="T359" s="5" t="inlineStr">
        <is>
          <t>1 cotización de proveedores</t>
        </is>
      </c>
    </row>
    <row r="360">
      <c r="A360" s="7" t="inlineStr">
        <is>
          <t>MAT-04-033</t>
        </is>
      </c>
      <c r="B360" s="7" t="inlineStr">
        <is>
          <t>Materiales</t>
        </is>
      </c>
      <c r="C360" s="7" t="inlineStr">
        <is>
          <t>Acero de refuerzo y metales</t>
        </is>
      </c>
      <c r="D360" s="5" t="inlineStr">
        <is>
          <t>Separador plástico para varilla 3/4"</t>
        </is>
      </c>
      <c r="E360" s="5" t="inlineStr">
        <is>
          <t>Silleta plástica para mantener el recubrimiento del acero · 3/4"</t>
        </is>
      </c>
      <c r="F360" s="5" t="inlineStr">
        <is>
          <t>Material retirado en almacén</t>
        </is>
      </c>
      <c r="G360" s="5" t="inlineStr">
        <is>
          <t>silleta, separador de varilla, galleta</t>
        </is>
      </c>
      <c r="H360" s="7" t="inlineStr">
        <is>
          <t>unidad</t>
        </is>
      </c>
      <c r="I360" s="7" t="inlineStr">
        <is>
          <t>Estructura</t>
        </is>
      </c>
      <c r="J360" s="7" t="inlineStr">
        <is>
          <t>estandar</t>
        </is>
      </c>
      <c r="K360" s="7" t="inlineStr">
        <is>
          <t>importado</t>
        </is>
      </c>
      <c r="L360" s="7" t="inlineStr">
        <is>
          <t>Verificado</t>
        </is>
      </c>
      <c r="M360" s="8" t="n">
        <v>1</v>
      </c>
      <c r="N360" s="9" t="n">
        <v>63.13</v>
      </c>
      <c r="O360" s="9" t="n">
        <v>63.13</v>
      </c>
      <c r="P360" s="9" t="n">
        <v>63.13</v>
      </c>
      <c r="Q360" s="7" t="inlineStr">
        <is>
          <t>Sí</t>
        </is>
      </c>
      <c r="R360" s="9">
        <f>IF(N360="","",IF(Q360="Sí",ROUND(N360/1.18,2),N360))</f>
        <v/>
      </c>
      <c r="S360" s="7" t="inlineStr">
        <is>
          <t>2026-09-09</t>
        </is>
      </c>
      <c r="T360" s="5" t="inlineStr">
        <is>
          <t>1 cotización de proveedores</t>
        </is>
      </c>
    </row>
    <row r="361">
      <c r="A361" s="7" t="inlineStr">
        <is>
          <t>MAT-04-034</t>
        </is>
      </c>
      <c r="B361" s="7" t="inlineStr">
        <is>
          <t>Materiales</t>
        </is>
      </c>
      <c r="C361" s="7" t="inlineStr">
        <is>
          <t>Acero de refuerzo y metales</t>
        </is>
      </c>
      <c r="D361" s="5" t="inlineStr">
        <is>
          <t>Separador plástico para varilla 1"</t>
        </is>
      </c>
      <c r="E361" s="5" t="inlineStr">
        <is>
          <t>Silleta plástica para mantener el recubrimiento del acero · 1"</t>
        </is>
      </c>
      <c r="F361" s="5" t="inlineStr">
        <is>
          <t>Material retirado en almacén</t>
        </is>
      </c>
      <c r="G361" s="5" t="inlineStr">
        <is>
          <t>silleta, separador de varilla, galleta</t>
        </is>
      </c>
      <c r="H361" s="7" t="inlineStr">
        <is>
          <t>unidad</t>
        </is>
      </c>
      <c r="I361" s="7" t="inlineStr">
        <is>
          <t>Estructura</t>
        </is>
      </c>
      <c r="J361" s="7" t="inlineStr">
        <is>
          <t>estandar</t>
        </is>
      </c>
      <c r="K361" s="7" t="inlineStr">
        <is>
          <t>importado</t>
        </is>
      </c>
      <c r="L361" s="7" t="inlineStr">
        <is>
          <t>Verificado</t>
        </is>
      </c>
      <c r="M361" s="8" t="n">
        <v>1</v>
      </c>
      <c r="N361" s="9" t="n">
        <v>70.75</v>
      </c>
      <c r="O361" s="9" t="n">
        <v>70.75</v>
      </c>
      <c r="P361" s="9" t="n">
        <v>70.75</v>
      </c>
      <c r="Q361" s="7" t="inlineStr">
        <is>
          <t>Sí</t>
        </is>
      </c>
      <c r="R361" s="9">
        <f>IF(N361="","",IF(Q361="Sí",ROUND(N361/1.18,2),N361))</f>
        <v/>
      </c>
      <c r="S361" s="7" t="inlineStr">
        <is>
          <t>2026-09-09</t>
        </is>
      </c>
      <c r="T361" s="5" t="inlineStr">
        <is>
          <t>1 cotización de proveedores</t>
        </is>
      </c>
    </row>
    <row r="362">
      <c r="A362" s="7" t="inlineStr">
        <is>
          <t>MAT-04-035</t>
        </is>
      </c>
      <c r="B362" s="7" t="inlineStr">
        <is>
          <t>Materiales</t>
        </is>
      </c>
      <c r="C362" s="7" t="inlineStr">
        <is>
          <t>Acero de refuerzo y metales</t>
        </is>
      </c>
      <c r="D362" s="5" t="inlineStr">
        <is>
          <t>Separador plástico para varilla 1 1/4"</t>
        </is>
      </c>
      <c r="E362" s="5" t="inlineStr">
        <is>
          <t>Silleta plástica para mantener el recubrimiento del acero · 1 1/4"</t>
        </is>
      </c>
      <c r="F362" s="5" t="inlineStr">
        <is>
          <t>Material retirado en almacén</t>
        </is>
      </c>
      <c r="G362" s="5" t="inlineStr">
        <is>
          <t>silleta, separador de varilla, galleta</t>
        </is>
      </c>
      <c r="H362" s="7" t="inlineStr">
        <is>
          <t>unidad</t>
        </is>
      </c>
      <c r="I362" s="7" t="inlineStr">
        <is>
          <t>Estructura</t>
        </is>
      </c>
      <c r="J362" s="7" t="inlineStr">
        <is>
          <t>estandar</t>
        </is>
      </c>
      <c r="K362" s="7" t="inlineStr">
        <is>
          <t>importado</t>
        </is>
      </c>
      <c r="L362" s="7" t="inlineStr">
        <is>
          <t>Verificado</t>
        </is>
      </c>
      <c r="M362" s="8" t="n">
        <v>1</v>
      </c>
      <c r="N362" s="9" t="n">
        <v>78.36</v>
      </c>
      <c r="O362" s="9" t="n">
        <v>78.36</v>
      </c>
      <c r="P362" s="9" t="n">
        <v>78.36</v>
      </c>
      <c r="Q362" s="7" t="inlineStr">
        <is>
          <t>Sí</t>
        </is>
      </c>
      <c r="R362" s="9">
        <f>IF(N362="","",IF(Q362="Sí",ROUND(N362/1.18,2),N362))</f>
        <v/>
      </c>
      <c r="S362" s="7" t="inlineStr">
        <is>
          <t>2026-09-09</t>
        </is>
      </c>
      <c r="T362" s="5" t="inlineStr">
        <is>
          <t>1 cotización de proveedores</t>
        </is>
      </c>
    </row>
    <row r="363">
      <c r="A363" s="7" t="inlineStr">
        <is>
          <t>MAT-04-036</t>
        </is>
      </c>
      <c r="B363" s="7" t="inlineStr">
        <is>
          <t>Materiales</t>
        </is>
      </c>
      <c r="C363" s="7" t="inlineStr">
        <is>
          <t>Acero de refuerzo y metales</t>
        </is>
      </c>
      <c r="D363" s="5" t="inlineStr">
        <is>
          <t>Coupler mecánico para varilla 3/4"</t>
        </is>
      </c>
      <c r="E363" s="5" t="inlineStr">
        <is>
          <t>Empalme mecánico roscado para varilla de refuerzo · 3/4" · serie Q19 (19 mm)</t>
        </is>
      </c>
      <c r="F363" s="5" t="inlineStr">
        <is>
          <t>Material retirado en almacén</t>
        </is>
      </c>
      <c r="G363" s="5" t="inlineStr">
        <is>
          <t>coupler, empalme mecánico de varilla</t>
        </is>
      </c>
      <c r="H363" s="7" t="inlineStr">
        <is>
          <t>unidad</t>
        </is>
      </c>
      <c r="I363" s="7" t="inlineStr">
        <is>
          <t>Estructura</t>
        </is>
      </c>
      <c r="J363" s="7" t="inlineStr">
        <is>
          <t>estandar</t>
        </is>
      </c>
      <c r="K363" s="7" t="inlineStr">
        <is>
          <t>importado</t>
        </is>
      </c>
      <c r="L363" s="7" t="inlineStr">
        <is>
          <t>Verificado</t>
        </is>
      </c>
      <c r="M363" s="8" t="n">
        <v>1</v>
      </c>
      <c r="N363" s="9" t="n">
        <v>228.57</v>
      </c>
      <c r="O363" s="9" t="n">
        <v>228.57</v>
      </c>
      <c r="P363" s="9" t="n">
        <v>228.57</v>
      </c>
      <c r="Q363" s="7" t="inlineStr">
        <is>
          <t>Sí</t>
        </is>
      </c>
      <c r="R363" s="9">
        <f>IF(N363="","",IF(Q363="Sí",ROUND(N363/1.18,2),N363))</f>
        <v/>
      </c>
      <c r="S363" s="7" t="inlineStr">
        <is>
          <t>2026-09-09</t>
        </is>
      </c>
      <c r="T363" s="5" t="inlineStr">
        <is>
          <t>1 cotización de proveedores</t>
        </is>
      </c>
    </row>
    <row r="364">
      <c r="A364" s="7" t="inlineStr">
        <is>
          <t>MAT-04-037</t>
        </is>
      </c>
      <c r="B364" s="7" t="inlineStr">
        <is>
          <t>Materiales</t>
        </is>
      </c>
      <c r="C364" s="7" t="inlineStr">
        <is>
          <t>Acero de refuerzo y metales</t>
        </is>
      </c>
      <c r="D364" s="5" t="inlineStr">
        <is>
          <t>Coupler mecánico para varilla 1"</t>
        </is>
      </c>
      <c r="E364" s="5" t="inlineStr">
        <is>
          <t>Empalme mecánico roscado para varilla de refuerzo · 1" · serie Q25 (25 mm)</t>
        </is>
      </c>
      <c r="F364" s="5" t="inlineStr">
        <is>
          <t>Material retirado en almacén</t>
        </is>
      </c>
      <c r="G364" s="5" t="inlineStr">
        <is>
          <t>coupler, empalme mecánico de varilla</t>
        </is>
      </c>
      <c r="H364" s="7" t="inlineStr">
        <is>
          <t>unidad</t>
        </is>
      </c>
      <c r="I364" s="7" t="inlineStr">
        <is>
          <t>Estructura</t>
        </is>
      </c>
      <c r="J364" s="7" t="inlineStr">
        <is>
          <t>estandar</t>
        </is>
      </c>
      <c r="K364" s="7" t="inlineStr">
        <is>
          <t>importado</t>
        </is>
      </c>
      <c r="L364" s="7" t="inlineStr">
        <is>
          <t>Verificado</t>
        </is>
      </c>
      <c r="M364" s="8" t="n">
        <v>1</v>
      </c>
      <c r="N364" s="9" t="n">
        <v>434.26</v>
      </c>
      <c r="O364" s="9" t="n">
        <v>434.26</v>
      </c>
      <c r="P364" s="9" t="n">
        <v>434.26</v>
      </c>
      <c r="Q364" s="7" t="inlineStr">
        <is>
          <t>Sí</t>
        </is>
      </c>
      <c r="R364" s="9">
        <f>IF(N364="","",IF(Q364="Sí",ROUND(N364/1.18,2),N364))</f>
        <v/>
      </c>
      <c r="S364" s="7" t="inlineStr">
        <is>
          <t>2026-09-09</t>
        </is>
      </c>
      <c r="T364" s="5" t="inlineStr">
        <is>
          <t>1 cotización de proveedores</t>
        </is>
      </c>
    </row>
    <row r="365">
      <c r="A365" s="7" t="inlineStr">
        <is>
          <t>MAT-04-038</t>
        </is>
      </c>
      <c r="B365" s="7" t="inlineStr">
        <is>
          <t>Materiales</t>
        </is>
      </c>
      <c r="C365" s="7" t="inlineStr">
        <is>
          <t>Acero de refuerzo y metales</t>
        </is>
      </c>
      <c r="D365" s="5" t="inlineStr">
        <is>
          <t>Coupler mecánico para varilla 1 1/8"</t>
        </is>
      </c>
      <c r="E365" s="5" t="inlineStr">
        <is>
          <t>Empalme mecánico roscado para varilla de refuerzo · 1 1/8" · serie Q28 (28 mm)</t>
        </is>
      </c>
      <c r="F365" s="5" t="inlineStr">
        <is>
          <t>Material retirado en almacén</t>
        </is>
      </c>
      <c r="G365" s="5" t="inlineStr">
        <is>
          <t>coupler, empalme mecánico de varilla</t>
        </is>
      </c>
      <c r="H365" s="7" t="inlineStr">
        <is>
          <t>unidad</t>
        </is>
      </c>
      <c r="I365" s="7" t="inlineStr">
        <is>
          <t>Estructura</t>
        </is>
      </c>
      <c r="J365" s="7" t="inlineStr">
        <is>
          <t>estandar</t>
        </is>
      </c>
      <c r="K365" s="7" t="inlineStr">
        <is>
          <t>importado</t>
        </is>
      </c>
      <c r="L365" s="7" t="inlineStr">
        <is>
          <t>Verificado</t>
        </is>
      </c>
      <c r="M365" s="8" t="n">
        <v>1</v>
      </c>
      <c r="N365" s="9" t="n">
        <v>697.6799999999999</v>
      </c>
      <c r="O365" s="9" t="n">
        <v>697.6799999999999</v>
      </c>
      <c r="P365" s="9" t="n">
        <v>697.6799999999999</v>
      </c>
      <c r="Q365" s="7" t="inlineStr">
        <is>
          <t>Sí</t>
        </is>
      </c>
      <c r="R365" s="9">
        <f>IF(N365="","",IF(Q365="Sí",ROUND(N365/1.18,2),N365))</f>
        <v/>
      </c>
      <c r="S365" s="7" t="inlineStr">
        <is>
          <t>2026-09-09</t>
        </is>
      </c>
      <c r="T365" s="5" t="inlineStr">
        <is>
          <t>1 cotización de proveedores</t>
        </is>
      </c>
    </row>
    <row r="366">
      <c r="A366" s="7" t="inlineStr">
        <is>
          <t>MAT-04-039</t>
        </is>
      </c>
      <c r="B366" s="7" t="inlineStr">
        <is>
          <t>Materiales</t>
        </is>
      </c>
      <c r="C366" s="7" t="inlineStr">
        <is>
          <t>Acero de refuerzo y metales</t>
        </is>
      </c>
      <c r="D366" s="5" t="inlineStr">
        <is>
          <t>Coupler mecánico para varilla 1 1/4"</t>
        </is>
      </c>
      <c r="E366" s="5" t="inlineStr">
        <is>
          <t>Empalme mecánico roscado para varilla de refuerzo · 1 1/4" · serie Q32 (32 mm)</t>
        </is>
      </c>
      <c r="F366" s="5" t="inlineStr">
        <is>
          <t>Material retirado en almacén</t>
        </is>
      </c>
      <c r="G366" s="5" t="inlineStr">
        <is>
          <t>coupler, empalme mecánico de varilla</t>
        </is>
      </c>
      <c r="H366" s="7" t="inlineStr">
        <is>
          <t>unidad</t>
        </is>
      </c>
      <c r="I366" s="7" t="inlineStr">
        <is>
          <t>Estructura</t>
        </is>
      </c>
      <c r="J366" s="7" t="inlineStr">
        <is>
          <t>estandar</t>
        </is>
      </c>
      <c r="K366" s="7" t="inlineStr">
        <is>
          <t>importado</t>
        </is>
      </c>
      <c r="L366" s="7" t="inlineStr">
        <is>
          <t>Verificado</t>
        </is>
      </c>
      <c r="M366" s="8" t="n">
        <v>1</v>
      </c>
      <c r="N366" s="9" t="n">
        <v>854.4</v>
      </c>
      <c r="O366" s="9" t="n">
        <v>854.4</v>
      </c>
      <c r="P366" s="9" t="n">
        <v>854.4</v>
      </c>
      <c r="Q366" s="7" t="inlineStr">
        <is>
          <t>Sí</t>
        </is>
      </c>
      <c r="R366" s="9">
        <f>IF(N366="","",IF(Q366="Sí",ROUND(N366/1.18,2),N366))</f>
        <v/>
      </c>
      <c r="S366" s="7" t="inlineStr">
        <is>
          <t>2026-09-09</t>
        </is>
      </c>
      <c r="T366" s="5" t="inlineStr">
        <is>
          <t>1 cotización de proveedores</t>
        </is>
      </c>
    </row>
    <row r="367">
      <c r="A367" s="7" t="inlineStr">
        <is>
          <t>MAT-04-040</t>
        </is>
      </c>
      <c r="B367" s="7" t="inlineStr">
        <is>
          <t>Materiales</t>
        </is>
      </c>
      <c r="C367" s="7" t="inlineStr">
        <is>
          <t>Acero de refuerzo y metales</t>
        </is>
      </c>
      <c r="D367" s="5" t="inlineStr">
        <is>
          <t>Coupler mecánico para varilla 1 3/8"</t>
        </is>
      </c>
      <c r="E367" s="5" t="inlineStr">
        <is>
          <t>Empalme mecánico roscado para varilla de refuerzo · 1 3/8" · serie Q35 (35 mm)</t>
        </is>
      </c>
      <c r="F367" s="5" t="inlineStr">
        <is>
          <t>Material retirado en almacén</t>
        </is>
      </c>
      <c r="G367" s="5" t="inlineStr">
        <is>
          <t>coupler, empalme mecánico de varilla</t>
        </is>
      </c>
      <c r="H367" s="7" t="inlineStr">
        <is>
          <t>unidad</t>
        </is>
      </c>
      <c r="I367" s="7" t="inlineStr">
        <is>
          <t>Estructura</t>
        </is>
      </c>
      <c r="J367" s="7" t="inlineStr">
        <is>
          <t>estandar</t>
        </is>
      </c>
      <c r="K367" s="7" t="inlineStr">
        <is>
          <t>importado</t>
        </is>
      </c>
      <c r="L367" s="7" t="inlineStr">
        <is>
          <t>Verificado</t>
        </is>
      </c>
      <c r="M367" s="8" t="n">
        <v>1</v>
      </c>
      <c r="N367" s="9" t="n">
        <v>1066.64</v>
      </c>
      <c r="O367" s="9" t="n">
        <v>1066.64</v>
      </c>
      <c r="P367" s="9" t="n">
        <v>1066.64</v>
      </c>
      <c r="Q367" s="7" t="inlineStr">
        <is>
          <t>Sí</t>
        </is>
      </c>
      <c r="R367" s="9">
        <f>IF(N367="","",IF(Q367="Sí",ROUND(N367/1.18,2),N367))</f>
        <v/>
      </c>
      <c r="S367" s="7" t="inlineStr">
        <is>
          <t>2026-09-09</t>
        </is>
      </c>
      <c r="T367" s="5" t="inlineStr">
        <is>
          <t>1 cotización de proveedores</t>
        </is>
      </c>
    </row>
    <row r="368">
      <c r="A368" s="7" t="inlineStr">
        <is>
          <t>MAT-04-041</t>
        </is>
      </c>
      <c r="B368" s="7" t="inlineStr">
        <is>
          <t>Materiales</t>
        </is>
      </c>
      <c r="C368" s="7" t="inlineStr">
        <is>
          <t>Acero de refuerzo y metales</t>
        </is>
      </c>
      <c r="D368" s="5" t="inlineStr">
        <is>
          <t>Alambre galvanizado picado, caja de 50 lb</t>
        </is>
      </c>
      <c r="E368" s="5" t="inlineStr">
        <is>
          <t>Alambre galvanizado cortado a medida para amarre · caja de 50 libras</t>
        </is>
      </c>
      <c r="F368" s="5" t="inlineStr">
        <is>
          <t>Material retirado en almacén</t>
        </is>
      </c>
      <c r="G368" s="5" t="inlineStr">
        <is>
          <t>alambre picado, alambre cortado de amarre</t>
        </is>
      </c>
      <c r="H368" s="7" t="inlineStr">
        <is>
          <t>caja</t>
        </is>
      </c>
      <c r="I368" s="7" t="inlineStr">
        <is>
          <t>Estructura</t>
        </is>
      </c>
      <c r="J368" s="7" t="inlineStr">
        <is>
          <t>estandar</t>
        </is>
      </c>
      <c r="K368" s="7" t="inlineStr">
        <is>
          <t>importado</t>
        </is>
      </c>
      <c r="L368" s="7" t="inlineStr">
        <is>
          <t>Verificado</t>
        </is>
      </c>
      <c r="M368" s="8" t="n">
        <v>1</v>
      </c>
      <c r="N368" s="9" t="n">
        <v>2488.96</v>
      </c>
      <c r="O368" s="9" t="n">
        <v>2488.96</v>
      </c>
      <c r="P368" s="9" t="n">
        <v>2488.96</v>
      </c>
      <c r="Q368" s="7" t="inlineStr">
        <is>
          <t>Sí</t>
        </is>
      </c>
      <c r="R368" s="9">
        <f>IF(N368="","",IF(Q368="Sí",ROUND(N368/1.18,2),N368))</f>
        <v/>
      </c>
      <c r="S368" s="7" t="inlineStr">
        <is>
          <t>2026-09-09</t>
        </is>
      </c>
      <c r="T368" s="5" t="inlineStr">
        <is>
          <t>1 cotización de proveedores</t>
        </is>
      </c>
    </row>
    <row r="369">
      <c r="A369" s="7" t="inlineStr">
        <is>
          <t>MAT-04-042</t>
        </is>
      </c>
      <c r="B369" s="7" t="inlineStr">
        <is>
          <t>Materiales</t>
        </is>
      </c>
      <c r="C369" s="7" t="inlineStr">
        <is>
          <t>Acero de refuerzo y metales</t>
        </is>
      </c>
      <c r="D369" s="5" t="inlineStr">
        <is>
          <t>Alambre liso galvanizado picado calibre 16, paquete de 10 lb</t>
        </is>
      </c>
      <c r="E369" s="5" t="inlineStr">
        <is>
          <t>Alambre liso galvanizado cortado para amarre · calibre 16 · paquete de 10 libras</t>
        </is>
      </c>
      <c r="F369" s="5" t="inlineStr">
        <is>
          <t>Material retirado en almacén</t>
        </is>
      </c>
      <c r="G369" s="5" t="inlineStr">
        <is>
          <t>alambre picado, alambre de amarre cortado</t>
        </is>
      </c>
      <c r="H369" s="7" t="inlineStr">
        <is>
          <t>paquete</t>
        </is>
      </c>
      <c r="I369" s="7" t="inlineStr">
        <is>
          <t>Estructura</t>
        </is>
      </c>
      <c r="J369" s="7" t="inlineStr">
        <is>
          <t>estandar</t>
        </is>
      </c>
      <c r="K369" s="7" t="inlineStr">
        <is>
          <t>importado</t>
        </is>
      </c>
      <c r="L369" s="7" t="inlineStr">
        <is>
          <t>Verificado</t>
        </is>
      </c>
      <c r="M369" s="8" t="n">
        <v>1</v>
      </c>
      <c r="N369" s="9" t="n">
        <v>619.63</v>
      </c>
      <c r="O369" s="9" t="n">
        <v>619.63</v>
      </c>
      <c r="P369" s="9" t="n">
        <v>619.63</v>
      </c>
      <c r="Q369" s="7" t="inlineStr">
        <is>
          <t>Sí</t>
        </is>
      </c>
      <c r="R369" s="9">
        <f>IF(N369="","",IF(Q369="Sí",ROUND(N369/1.18,2),N369))</f>
        <v/>
      </c>
      <c r="S369" s="7" t="inlineStr">
        <is>
          <t>2026-09-09</t>
        </is>
      </c>
      <c r="T369" s="5" t="inlineStr">
        <is>
          <t>1 cotización de proveedores</t>
        </is>
      </c>
    </row>
    <row r="370">
      <c r="A370" s="7" t="inlineStr">
        <is>
          <t>MAT-06-018</t>
        </is>
      </c>
      <c r="B370" s="7" t="inlineStr">
        <is>
          <t>Materiales</t>
        </is>
      </c>
      <c r="C370" s="7" t="inlineStr">
        <is>
          <t>Madera y encofrado</t>
        </is>
      </c>
      <c r="D370" s="5" t="inlineStr">
        <is>
          <t>Plywood, 4'X8'X/4" calibre 1/4"</t>
        </is>
      </c>
      <c r="E370" s="5" t="inlineStr"/>
      <c r="F370" s="5" t="inlineStr">
        <is>
          <t>Material retirado en almacén</t>
        </is>
      </c>
      <c r="G370" s="5" t="inlineStr">
        <is>
          <t>plywood, plancha de madera</t>
        </is>
      </c>
      <c r="H370" s="7" t="inlineStr">
        <is>
          <t>unidad</t>
        </is>
      </c>
      <c r="I370" s="7" t="inlineStr">
        <is>
          <t>Estructura</t>
        </is>
      </c>
      <c r="J370" s="7" t="inlineStr">
        <is>
          <t>estandar</t>
        </is>
      </c>
      <c r="K370" s="7" t="inlineStr">
        <is>
          <t>importado</t>
        </is>
      </c>
      <c r="L370" s="7" t="inlineStr">
        <is>
          <t>Verificado</t>
        </is>
      </c>
      <c r="M370" s="8" t="n">
        <v>1</v>
      </c>
      <c r="N370" s="9" t="n">
        <v>825</v>
      </c>
      <c r="O370" s="9" t="n">
        <v>825</v>
      </c>
      <c r="P370" s="9" t="n">
        <v>825</v>
      </c>
      <c r="Q370" s="7" t="inlineStr">
        <is>
          <t>Sí</t>
        </is>
      </c>
      <c r="R370" s="9">
        <f>IF(N370="","",IF(Q370="Sí",ROUND(N370/1.18,2),N370))</f>
        <v/>
      </c>
      <c r="S370" s="7" t="inlineStr">
        <is>
          <t>2026-09-09</t>
        </is>
      </c>
      <c r="T370" s="5" t="inlineStr">
        <is>
          <t>1 cotización de proveedores</t>
        </is>
      </c>
      <c r="AH370" s="4" t="inlineStr">
        <is>
          <t>4'X8'X/4"</t>
        </is>
      </c>
      <c r="AJ370" s="5" t="inlineStr">
        <is>
          <t>Calibre: 1/4"</t>
        </is>
      </c>
    </row>
    <row r="371">
      <c r="A371" s="7" t="inlineStr">
        <is>
          <t>MAT-06-019</t>
        </is>
      </c>
      <c r="B371" s="7" t="inlineStr">
        <is>
          <t>Materiales</t>
        </is>
      </c>
      <c r="C371" s="7" t="inlineStr">
        <is>
          <t>Madera y encofrado</t>
        </is>
      </c>
      <c r="D371" s="5" t="inlineStr">
        <is>
          <t>Plywood, 4'X8'X1/4"</t>
        </is>
      </c>
      <c r="E371" s="5" t="inlineStr"/>
      <c r="F371" s="5" t="inlineStr">
        <is>
          <t>Material retirado en almacén</t>
        </is>
      </c>
      <c r="G371" s="5" t="inlineStr">
        <is>
          <t>plywood, plancha de madera</t>
        </is>
      </c>
      <c r="H371" s="7" t="inlineStr">
        <is>
          <t>unidad</t>
        </is>
      </c>
      <c r="I371" s="7" t="inlineStr">
        <is>
          <t>Estructura</t>
        </is>
      </c>
      <c r="J371" s="7" t="inlineStr">
        <is>
          <t>estandar</t>
        </is>
      </c>
      <c r="K371" s="7" t="inlineStr">
        <is>
          <t>importado</t>
        </is>
      </c>
      <c r="L371" s="7" t="inlineStr">
        <is>
          <t>Verificado</t>
        </is>
      </c>
      <c r="M371" s="8" t="n">
        <v>1</v>
      </c>
      <c r="N371" s="9" t="n">
        <v>780</v>
      </c>
      <c r="O371" s="9" t="n">
        <v>780</v>
      </c>
      <c r="P371" s="9" t="n">
        <v>780</v>
      </c>
      <c r="Q371" s="7" t="inlineStr">
        <is>
          <t>Sí</t>
        </is>
      </c>
      <c r="R371" s="9">
        <f>IF(N371="","",IF(Q371="Sí",ROUND(N371/1.18,2),N371))</f>
        <v/>
      </c>
      <c r="S371" s="7" t="inlineStr">
        <is>
          <t>2026-09-09</t>
        </is>
      </c>
      <c r="T371" s="5" t="inlineStr">
        <is>
          <t>1 cotización de proveedores</t>
        </is>
      </c>
      <c r="AH371" s="4" t="inlineStr">
        <is>
          <t>4'X8'X1/4"</t>
        </is>
      </c>
      <c r="AJ371" s="5" t="inlineStr">
        <is>
          <t>Calibre: 1/4"</t>
        </is>
      </c>
    </row>
    <row r="372">
      <c r="A372" s="7" t="inlineStr">
        <is>
          <t>MAT-06-020</t>
        </is>
      </c>
      <c r="B372" s="7" t="inlineStr">
        <is>
          <t>Materiales</t>
        </is>
      </c>
      <c r="C372" s="7" t="inlineStr">
        <is>
          <t>Madera y encofrado</t>
        </is>
      </c>
      <c r="D372" s="5" t="inlineStr">
        <is>
          <t>Plywood, 4'X8'X1/8"</t>
        </is>
      </c>
      <c r="E372" s="5" t="inlineStr"/>
      <c r="F372" s="5" t="inlineStr">
        <is>
          <t>Material retirado en almacén</t>
        </is>
      </c>
      <c r="G372" s="5" t="inlineStr">
        <is>
          <t>plywood, plancha de madera</t>
        </is>
      </c>
      <c r="H372" s="7" t="inlineStr">
        <is>
          <t>unidad</t>
        </is>
      </c>
      <c r="I372" s="7" t="inlineStr">
        <is>
          <t>Estructura</t>
        </is>
      </c>
      <c r="J372" s="7" t="inlineStr">
        <is>
          <t>estandar</t>
        </is>
      </c>
      <c r="K372" s="7" t="inlineStr">
        <is>
          <t>importado</t>
        </is>
      </c>
      <c r="L372" s="7" t="inlineStr">
        <is>
          <t>Verificado</t>
        </is>
      </c>
      <c r="M372" s="8" t="n">
        <v>1</v>
      </c>
      <c r="N372" s="9" t="n">
        <v>475</v>
      </c>
      <c r="O372" s="9" t="n">
        <v>475</v>
      </c>
      <c r="P372" s="9" t="n">
        <v>475</v>
      </c>
      <c r="Q372" s="7" t="inlineStr">
        <is>
          <t>Sí</t>
        </is>
      </c>
      <c r="R372" s="9">
        <f>IF(N372="","",IF(Q372="Sí",ROUND(N372/1.18,2),N372))</f>
        <v/>
      </c>
      <c r="S372" s="7" t="inlineStr">
        <is>
          <t>2026-09-09</t>
        </is>
      </c>
      <c r="T372" s="5" t="inlineStr">
        <is>
          <t>1 cotización de proveedores</t>
        </is>
      </c>
      <c r="AH372" s="4" t="inlineStr">
        <is>
          <t>4'X8'X1/8"</t>
        </is>
      </c>
      <c r="AJ372" s="5" t="inlineStr">
        <is>
          <t>Calibre: 1/8"</t>
        </is>
      </c>
    </row>
    <row r="373">
      <c r="A373" s="7" t="inlineStr">
        <is>
          <t>MAT-06-021</t>
        </is>
      </c>
      <c r="B373" s="7" t="inlineStr">
        <is>
          <t>Materiales</t>
        </is>
      </c>
      <c r="C373" s="7" t="inlineStr">
        <is>
          <t>Madera y encofrado</t>
        </is>
      </c>
      <c r="D373" s="5" t="inlineStr">
        <is>
          <t>Plywood, 4'X8'X3/8"</t>
        </is>
      </c>
      <c r="E373" s="5" t="inlineStr"/>
      <c r="F373" s="5" t="inlineStr">
        <is>
          <t>Material retirado en almacén</t>
        </is>
      </c>
      <c r="G373" s="5" t="inlineStr">
        <is>
          <t>plywood, plancha de madera</t>
        </is>
      </c>
      <c r="H373" s="7" t="inlineStr">
        <is>
          <t>unidad</t>
        </is>
      </c>
      <c r="I373" s="7" t="inlineStr">
        <is>
          <t>Estructura</t>
        </is>
      </c>
      <c r="J373" s="7" t="inlineStr">
        <is>
          <t>estandar</t>
        </is>
      </c>
      <c r="K373" s="7" t="inlineStr">
        <is>
          <t>importado</t>
        </is>
      </c>
      <c r="L373" s="7" t="inlineStr">
        <is>
          <t>Verificado</t>
        </is>
      </c>
      <c r="M373" s="8" t="n">
        <v>1</v>
      </c>
      <c r="N373" s="9" t="n">
        <v>1180</v>
      </c>
      <c r="O373" s="9" t="n">
        <v>1115</v>
      </c>
      <c r="P373" s="9" t="n">
        <v>1245</v>
      </c>
      <c r="Q373" s="7" t="inlineStr">
        <is>
          <t>Sí</t>
        </is>
      </c>
      <c r="R373" s="9">
        <f>IF(N373="","",IF(Q373="Sí",ROUND(N373/1.18,2),N373))</f>
        <v/>
      </c>
      <c r="S373" s="7" t="inlineStr">
        <is>
          <t>2026-09-09</t>
        </is>
      </c>
      <c r="T373" s="5" t="inlineStr">
        <is>
          <t>2 cotizaciones de proveedores</t>
        </is>
      </c>
      <c r="AH373" s="4" t="inlineStr">
        <is>
          <t>4'X8'X3/8"</t>
        </is>
      </c>
      <c r="AJ373" s="5" t="inlineStr">
        <is>
          <t>Calibre: 3/8"</t>
        </is>
      </c>
    </row>
    <row r="374">
      <c r="A374" s="7" t="inlineStr">
        <is>
          <t>MAT-06-022</t>
        </is>
      </c>
      <c r="B374" s="7" t="inlineStr">
        <is>
          <t>Materiales</t>
        </is>
      </c>
      <c r="C374" s="7" t="inlineStr">
        <is>
          <t>Madera y encofrado</t>
        </is>
      </c>
      <c r="D374" s="5" t="inlineStr">
        <is>
          <t>Plywood, 4X8'</t>
        </is>
      </c>
      <c r="E374" s="5" t="inlineStr"/>
      <c r="F374" s="5" t="inlineStr">
        <is>
          <t>Material retirado en almacén</t>
        </is>
      </c>
      <c r="G374" s="5" t="inlineStr">
        <is>
          <t>plywood, plancha de madera</t>
        </is>
      </c>
      <c r="H374" s="7" t="inlineStr">
        <is>
          <t>unidad</t>
        </is>
      </c>
      <c r="I374" s="7" t="inlineStr">
        <is>
          <t>Estructura</t>
        </is>
      </c>
      <c r="J374" s="7" t="inlineStr">
        <is>
          <t>estandar</t>
        </is>
      </c>
      <c r="K374" s="7" t="inlineStr">
        <is>
          <t>importado</t>
        </is>
      </c>
      <c r="L374" s="7" t="inlineStr">
        <is>
          <t>Verificado</t>
        </is>
      </c>
      <c r="M374" s="8" t="n">
        <v>1</v>
      </c>
      <c r="N374" s="9" t="n">
        <v>1995</v>
      </c>
      <c r="O374" s="9" t="n">
        <v>1995</v>
      </c>
      <c r="P374" s="9" t="n">
        <v>1995</v>
      </c>
      <c r="Q374" s="7" t="inlineStr">
        <is>
          <t>Sí</t>
        </is>
      </c>
      <c r="R374" s="9">
        <f>IF(N374="","",IF(Q374="Sí",ROUND(N374/1.18,2),N374))</f>
        <v/>
      </c>
      <c r="S374" s="7" t="inlineStr">
        <is>
          <t>2026-09-09</t>
        </is>
      </c>
      <c r="T374" s="5" t="inlineStr">
        <is>
          <t>1 cotización de proveedores</t>
        </is>
      </c>
      <c r="AH374" s="4" t="inlineStr">
        <is>
          <t>4X8'</t>
        </is>
      </c>
    </row>
    <row r="375">
      <c r="A375" s="7" t="inlineStr">
        <is>
          <t>MAT-07-011</t>
        </is>
      </c>
      <c r="B375" s="7" t="inlineStr">
        <is>
          <t>Materiales</t>
        </is>
      </c>
      <c r="C375" s="7" t="inlineStr">
        <is>
          <t>Techos e impermeabilización</t>
        </is>
      </c>
      <c r="D375" s="5" t="inlineStr">
        <is>
          <t>Zinc acanalado calibre 29, 3 x 6 pies</t>
        </is>
      </c>
      <c r="E375" s="5" t="inlineStr">
        <is>
          <t>Lámina galvanizada acanalado calibre 29 · 3 x 6 pies</t>
        </is>
      </c>
      <c r="F375" s="5" t="inlineStr">
        <is>
          <t>Material retirado en almacén</t>
        </is>
      </c>
      <c r="G375" s="5" t="inlineStr">
        <is>
          <t>plancha de zinc, lámina de zinc</t>
        </is>
      </c>
      <c r="H375" s="7" t="inlineStr">
        <is>
          <t>plancha</t>
        </is>
      </c>
      <c r="I375" s="7" t="inlineStr">
        <is>
          <t>Techos</t>
        </is>
      </c>
      <c r="J375" s="7" t="inlineStr">
        <is>
          <t>economica</t>
        </is>
      </c>
      <c r="K375" s="7" t="inlineStr">
        <is>
          <t>nacional</t>
        </is>
      </c>
      <c r="L375" s="7" t="inlineStr">
        <is>
          <t>Verificado</t>
        </is>
      </c>
      <c r="M375" s="8" t="n">
        <v>2</v>
      </c>
      <c r="N375" s="9" t="n">
        <v>296.18</v>
      </c>
      <c r="O375" s="9" t="n">
        <v>270.21</v>
      </c>
      <c r="P375" s="9" t="n">
        <v>338</v>
      </c>
      <c r="Q375" s="7" t="inlineStr">
        <is>
          <t>Sí</t>
        </is>
      </c>
      <c r="R375" s="9">
        <f>IF(N375="","",IF(Q375="Sí",ROUND(N375/1.18,2),N375))</f>
        <v/>
      </c>
      <c r="S375" s="7" t="inlineStr">
        <is>
          <t>2026-09-09</t>
        </is>
      </c>
      <c r="T375" s="5" t="inlineStr">
        <is>
          <t>3 cotizaciones de proveedores</t>
        </is>
      </c>
    </row>
    <row r="376">
      <c r="A376" s="7" t="inlineStr">
        <is>
          <t>MAT-07-012</t>
        </is>
      </c>
      <c r="B376" s="7" t="inlineStr">
        <is>
          <t>Materiales</t>
        </is>
      </c>
      <c r="C376" s="7" t="inlineStr">
        <is>
          <t>Techos e impermeabilización</t>
        </is>
      </c>
      <c r="D376" s="5" t="inlineStr">
        <is>
          <t>Zinc acanalado calibre 29, 3 x 12 pies</t>
        </is>
      </c>
      <c r="E376" s="5" t="inlineStr">
        <is>
          <t>Lámina galvanizada acanalado calibre 29 · 3 x 12 pies</t>
        </is>
      </c>
      <c r="F376" s="5" t="inlineStr">
        <is>
          <t>Material retirado en almacén</t>
        </is>
      </c>
      <c r="G376" s="5" t="inlineStr">
        <is>
          <t>plancha de zinc, lámina de zinc</t>
        </is>
      </c>
      <c r="H376" s="7" t="inlineStr">
        <is>
          <t>plancha</t>
        </is>
      </c>
      <c r="I376" s="7" t="inlineStr">
        <is>
          <t>Techos</t>
        </is>
      </c>
      <c r="J376" s="7" t="inlineStr">
        <is>
          <t>economica</t>
        </is>
      </c>
      <c r="K376" s="7" t="inlineStr">
        <is>
          <t>nacional</t>
        </is>
      </c>
      <c r="L376" s="7" t="inlineStr">
        <is>
          <t>Verificado</t>
        </is>
      </c>
      <c r="M376" s="8" t="n">
        <v>1</v>
      </c>
      <c r="N376" s="9" t="n">
        <v>592.36</v>
      </c>
      <c r="O376" s="9" t="n">
        <v>592.36</v>
      </c>
      <c r="P376" s="9" t="n">
        <v>592.36</v>
      </c>
      <c r="Q376" s="7" t="inlineStr">
        <is>
          <t>Sí</t>
        </is>
      </c>
      <c r="R376" s="9">
        <f>IF(N376="","",IF(Q376="Sí",ROUND(N376/1.18,2),N376))</f>
        <v/>
      </c>
      <c r="S376" s="7" t="inlineStr">
        <is>
          <t>2026-09-09</t>
        </is>
      </c>
      <c r="T376" s="5" t="inlineStr">
        <is>
          <t>1 cotización de proveedores</t>
        </is>
      </c>
    </row>
    <row r="377">
      <c r="A377" s="7" t="inlineStr">
        <is>
          <t>MAT-07-013</t>
        </is>
      </c>
      <c r="B377" s="7" t="inlineStr">
        <is>
          <t>Materiales</t>
        </is>
      </c>
      <c r="C377" s="7" t="inlineStr">
        <is>
          <t>Techos e impermeabilización</t>
        </is>
      </c>
      <c r="D377" s="5" t="inlineStr">
        <is>
          <t>Zinc acanalado calibre 34, 3 x 6 pies</t>
        </is>
      </c>
      <c r="E377" s="5" t="inlineStr">
        <is>
          <t>Lámina galvanizada acanalado calibre 34 · 3 x 6 pies</t>
        </is>
      </c>
      <c r="F377" s="5" t="inlineStr">
        <is>
          <t>Material retirado en almacén</t>
        </is>
      </c>
      <c r="G377" s="5" t="inlineStr">
        <is>
          <t>plancha de zinc, lámina de zinc</t>
        </is>
      </c>
      <c r="H377" s="7" t="inlineStr">
        <is>
          <t>plancha</t>
        </is>
      </c>
      <c r="I377" s="7" t="inlineStr">
        <is>
          <t>Techos</t>
        </is>
      </c>
      <c r="J377" s="7" t="inlineStr">
        <is>
          <t>economica</t>
        </is>
      </c>
      <c r="K377" s="7" t="inlineStr">
        <is>
          <t>nacional</t>
        </is>
      </c>
      <c r="L377" s="7" t="inlineStr">
        <is>
          <t>Verificado</t>
        </is>
      </c>
      <c r="M377" s="8" t="n">
        <v>2</v>
      </c>
      <c r="N377" s="9" t="n">
        <v>226.67</v>
      </c>
      <c r="O377" s="9" t="n">
        <v>208.33</v>
      </c>
      <c r="P377" s="9" t="n">
        <v>245</v>
      </c>
      <c r="Q377" s="7" t="inlineStr">
        <is>
          <t>Sí</t>
        </is>
      </c>
      <c r="R377" s="9">
        <f>IF(N377="","",IF(Q377="Sí",ROUND(N377/1.18,2),N377))</f>
        <v/>
      </c>
      <c r="S377" s="7" t="inlineStr">
        <is>
          <t>2026-09-09</t>
        </is>
      </c>
      <c r="T377" s="5" t="inlineStr">
        <is>
          <t>2 cotizaciones de proveedores</t>
        </is>
      </c>
    </row>
    <row r="378">
      <c r="A378" s="7" t="inlineStr">
        <is>
          <t>MAT-07-014</t>
        </is>
      </c>
      <c r="B378" s="7" t="inlineStr">
        <is>
          <t>Materiales</t>
        </is>
      </c>
      <c r="C378" s="7" t="inlineStr">
        <is>
          <t>Techos e impermeabilización</t>
        </is>
      </c>
      <c r="D378" s="5" t="inlineStr">
        <is>
          <t>Zinc acanalado calibre 34, 3 x 12 pies</t>
        </is>
      </c>
      <c r="E378" s="5" t="inlineStr">
        <is>
          <t>Lámina galvanizada acanalado calibre 34 · 3 x 12 pies</t>
        </is>
      </c>
      <c r="F378" s="5" t="inlineStr">
        <is>
          <t>Material retirado en almacén</t>
        </is>
      </c>
      <c r="G378" s="5" t="inlineStr">
        <is>
          <t>plancha de zinc, lámina de zinc</t>
        </is>
      </c>
      <c r="H378" s="7" t="inlineStr">
        <is>
          <t>plancha</t>
        </is>
      </c>
      <c r="I378" s="7" t="inlineStr">
        <is>
          <t>Techos</t>
        </is>
      </c>
      <c r="J378" s="7" t="inlineStr">
        <is>
          <t>economica</t>
        </is>
      </c>
      <c r="K378" s="7" t="inlineStr">
        <is>
          <t>nacional</t>
        </is>
      </c>
      <c r="L378" s="7" t="inlineStr">
        <is>
          <t>Verificado</t>
        </is>
      </c>
      <c r="M378" s="8" t="n">
        <v>1</v>
      </c>
      <c r="N378" s="9" t="n">
        <v>414.3</v>
      </c>
      <c r="O378" s="9" t="n">
        <v>414.3</v>
      </c>
      <c r="P378" s="9" t="n">
        <v>414.3</v>
      </c>
      <c r="Q378" s="7" t="inlineStr">
        <is>
          <t>Sí</t>
        </is>
      </c>
      <c r="R378" s="9">
        <f>IF(N378="","",IF(Q378="Sí",ROUND(N378/1.18,2),N378))</f>
        <v/>
      </c>
      <c r="S378" s="7" t="inlineStr">
        <is>
          <t>2026-09-09</t>
        </is>
      </c>
      <c r="T378" s="5" t="inlineStr">
        <is>
          <t>1 cotización de proveedores</t>
        </is>
      </c>
    </row>
    <row r="379">
      <c r="A379" s="7" t="inlineStr">
        <is>
          <t>MAT-07-015</t>
        </is>
      </c>
      <c r="B379" s="7" t="inlineStr">
        <is>
          <t>Materiales</t>
        </is>
      </c>
      <c r="C379" s="7" t="inlineStr">
        <is>
          <t>Techos e impermeabilización</t>
        </is>
      </c>
      <c r="D379" s="5" t="inlineStr">
        <is>
          <t>Zinc liso calibre 29, 3 x 6 pies</t>
        </is>
      </c>
      <c r="E379" s="5" t="inlineStr">
        <is>
          <t>Lámina galvanizada liso calibre 29 · 3 x 6 pies</t>
        </is>
      </c>
      <c r="F379" s="5" t="inlineStr">
        <is>
          <t>Material retirado en almacén</t>
        </is>
      </c>
      <c r="G379" s="5" t="inlineStr">
        <is>
          <t>plancha de zinc, lámina de zinc</t>
        </is>
      </c>
      <c r="H379" s="7" t="inlineStr">
        <is>
          <t>plancha</t>
        </is>
      </c>
      <c r="I379" s="7" t="inlineStr">
        <is>
          <t>Techos</t>
        </is>
      </c>
      <c r="J379" s="7" t="inlineStr">
        <is>
          <t>economica</t>
        </is>
      </c>
      <c r="K379" s="7" t="inlineStr">
        <is>
          <t>nacional</t>
        </is>
      </c>
      <c r="L379" s="7" t="inlineStr">
        <is>
          <t>Verificado</t>
        </is>
      </c>
      <c r="M379" s="8" t="n">
        <v>1</v>
      </c>
      <c r="N379" s="9" t="n">
        <v>283.27</v>
      </c>
      <c r="O379" s="9" t="n">
        <v>270.35</v>
      </c>
      <c r="P379" s="9" t="n">
        <v>296.18</v>
      </c>
      <c r="Q379" s="7" t="inlineStr">
        <is>
          <t>Sí</t>
        </is>
      </c>
      <c r="R379" s="9">
        <f>IF(N379="","",IF(Q379="Sí",ROUND(N379/1.18,2),N379))</f>
        <v/>
      </c>
      <c r="S379" s="7" t="inlineStr">
        <is>
          <t>2026-09-09</t>
        </is>
      </c>
      <c r="T379" s="5" t="inlineStr">
        <is>
          <t>2 cotizaciones de proveedores</t>
        </is>
      </c>
    </row>
    <row r="380">
      <c r="A380" s="7" t="inlineStr">
        <is>
          <t>MAT-07-016</t>
        </is>
      </c>
      <c r="B380" s="7" t="inlineStr">
        <is>
          <t>Materiales</t>
        </is>
      </c>
      <c r="C380" s="7" t="inlineStr">
        <is>
          <t>Techos e impermeabilización</t>
        </is>
      </c>
      <c r="D380" s="5" t="inlineStr">
        <is>
          <t>Zinc liso calibre 34, 3 x 6 pies</t>
        </is>
      </c>
      <c r="E380" s="5" t="inlineStr">
        <is>
          <t>Lámina galvanizada liso calibre 34 · 3 x 6 pies</t>
        </is>
      </c>
      <c r="F380" s="5" t="inlineStr">
        <is>
          <t>Material retirado en almacén</t>
        </is>
      </c>
      <c r="G380" s="5" t="inlineStr">
        <is>
          <t>plancha de zinc, lámina de zinc</t>
        </is>
      </c>
      <c r="H380" s="7" t="inlineStr">
        <is>
          <t>plancha</t>
        </is>
      </c>
      <c r="I380" s="7" t="inlineStr">
        <is>
          <t>Techos</t>
        </is>
      </c>
      <c r="J380" s="7" t="inlineStr">
        <is>
          <t>economica</t>
        </is>
      </c>
      <c r="K380" s="7" t="inlineStr">
        <is>
          <t>nacional</t>
        </is>
      </c>
      <c r="L380" s="7" t="inlineStr">
        <is>
          <t>Verificado</t>
        </is>
      </c>
      <c r="M380" s="8" t="n">
        <v>1</v>
      </c>
      <c r="N380" s="9" t="n">
        <v>208.95</v>
      </c>
      <c r="O380" s="9" t="n">
        <v>208.33</v>
      </c>
      <c r="P380" s="9" t="n">
        <v>209.56</v>
      </c>
      <c r="Q380" s="7" t="inlineStr">
        <is>
          <t>Sí</t>
        </is>
      </c>
      <c r="R380" s="9">
        <f>IF(N380="","",IF(Q380="Sí",ROUND(N380/1.18,2),N380))</f>
        <v/>
      </c>
      <c r="S380" s="7" t="inlineStr">
        <is>
          <t>2026-09-09</t>
        </is>
      </c>
      <c r="T380" s="5" t="inlineStr">
        <is>
          <t>2 cotizaciones de proveedores</t>
        </is>
      </c>
    </row>
    <row r="381">
      <c r="A381" s="7" t="inlineStr">
        <is>
          <t>MAT-07-017</t>
        </is>
      </c>
      <c r="B381" s="7" t="inlineStr">
        <is>
          <t>Materiales</t>
        </is>
      </c>
      <c r="C381" s="7" t="inlineStr">
        <is>
          <t>Techos e impermeabilización</t>
        </is>
      </c>
      <c r="D381" s="5" t="inlineStr">
        <is>
          <t>Zinc translúcido 3 x 6 pies</t>
        </is>
      </c>
      <c r="E381" s="5" t="inlineStr">
        <is>
          <t>Lámina traslúcida para entrada de luz · 3 x 6 pies</t>
        </is>
      </c>
      <c r="F381" s="5" t="inlineStr">
        <is>
          <t>Material retirado en almacén</t>
        </is>
      </c>
      <c r="G381" s="5" t="inlineStr">
        <is>
          <t>zinc transparente, lámina traslúcida</t>
        </is>
      </c>
      <c r="H381" s="7" t="inlineStr">
        <is>
          <t>plancha</t>
        </is>
      </c>
      <c r="I381" s="7" t="inlineStr">
        <is>
          <t>Techos</t>
        </is>
      </c>
      <c r="J381" s="7" t="inlineStr">
        <is>
          <t>estandar</t>
        </is>
      </c>
      <c r="K381" s="7" t="inlineStr">
        <is>
          <t>importado</t>
        </is>
      </c>
      <c r="L381" s="7" t="inlineStr">
        <is>
          <t>Verificado</t>
        </is>
      </c>
      <c r="M381" s="8" t="n">
        <v>2</v>
      </c>
      <c r="N381" s="9" t="n">
        <v>1195</v>
      </c>
      <c r="O381" s="9" t="n">
        <v>1127.34</v>
      </c>
      <c r="P381" s="9" t="n">
        <v>1795</v>
      </c>
      <c r="Q381" s="7" t="inlineStr">
        <is>
          <t>Sí</t>
        </is>
      </c>
      <c r="R381" s="9">
        <f>IF(N381="","",IF(Q381="Sí",ROUND(N381/1.18,2),N381))</f>
        <v/>
      </c>
      <c r="S381" s="7" t="inlineStr">
        <is>
          <t>2026-09-09</t>
        </is>
      </c>
      <c r="T381" s="5" t="inlineStr">
        <is>
          <t>9 cotizaciones de proveedores</t>
        </is>
      </c>
    </row>
    <row r="382">
      <c r="A382" s="7" t="inlineStr">
        <is>
          <t>MAT-07-018</t>
        </is>
      </c>
      <c r="B382" s="7" t="inlineStr">
        <is>
          <t>Materiales</t>
        </is>
      </c>
      <c r="C382" s="7" t="inlineStr">
        <is>
          <t>Techos e impermeabilización</t>
        </is>
      </c>
      <c r="D382" s="5" t="inlineStr">
        <is>
          <t>Caballete para aluzinc 21"</t>
        </is>
      </c>
      <c r="E382" s="5" t="inlineStr">
        <is>
          <t>Pieza de remate para cumbrera de techo de aluzinc · desarrollo 21"</t>
        </is>
      </c>
      <c r="F382" s="5" t="inlineStr">
        <is>
          <t>Material retirado en almacén</t>
        </is>
      </c>
      <c r="G382" s="5" t="inlineStr">
        <is>
          <t>cumbrera, capote de techo</t>
        </is>
      </c>
      <c r="H382" s="7" t="inlineStr">
        <is>
          <t>unidad</t>
        </is>
      </c>
      <c r="I382" s="7" t="inlineStr">
        <is>
          <t>Techos</t>
        </is>
      </c>
      <c r="J382" s="7" t="inlineStr">
        <is>
          <t>estandar</t>
        </is>
      </c>
      <c r="K382" s="7" t="inlineStr">
        <is>
          <t>importado</t>
        </is>
      </c>
      <c r="L382" s="7" t="inlineStr">
        <is>
          <t>Verificado</t>
        </is>
      </c>
      <c r="M382" s="8" t="n">
        <v>1</v>
      </c>
      <c r="N382" s="9" t="n">
        <v>660</v>
      </c>
      <c r="O382" s="9" t="n">
        <v>660</v>
      </c>
      <c r="P382" s="9" t="n">
        <v>660</v>
      </c>
      <c r="Q382" s="7" t="inlineStr">
        <is>
          <t>Sí</t>
        </is>
      </c>
      <c r="R382" s="9">
        <f>IF(N382="","",IF(Q382="Sí",ROUND(N382/1.18,2),N382))</f>
        <v/>
      </c>
      <c r="S382" s="7" t="inlineStr">
        <is>
          <t>2026-09-09</t>
        </is>
      </c>
      <c r="T382" s="5" t="inlineStr">
        <is>
          <t>1 cotización de proveedores</t>
        </is>
      </c>
    </row>
    <row r="383">
      <c r="A383" s="7" t="inlineStr">
        <is>
          <t>MAT-07-019</t>
        </is>
      </c>
      <c r="B383" s="7" t="inlineStr">
        <is>
          <t>Materiales</t>
        </is>
      </c>
      <c r="C383" s="7" t="inlineStr">
        <is>
          <t>Techos e impermeabilización</t>
        </is>
      </c>
      <c r="D383" s="5" t="inlineStr">
        <is>
          <t>Caballete de fibra para techo fibra de refuerzo, 0.76x0.6</t>
        </is>
      </c>
      <c r="E383" s="5" t="inlineStr"/>
      <c r="F383" s="5" t="inlineStr">
        <is>
          <t>Material retirado en almacén</t>
        </is>
      </c>
      <c r="G383" s="5" t="inlineStr">
        <is>
          <t>caballete, cumbrera</t>
        </is>
      </c>
      <c r="H383" s="7" t="inlineStr">
        <is>
          <t>unidad</t>
        </is>
      </c>
      <c r="I383" s="7" t="inlineStr">
        <is>
          <t>Techos</t>
        </is>
      </c>
      <c r="J383" s="7" t="inlineStr">
        <is>
          <t>estandar</t>
        </is>
      </c>
      <c r="K383" s="7" t="inlineStr">
        <is>
          <t>importado</t>
        </is>
      </c>
      <c r="L383" s="7" t="inlineStr">
        <is>
          <t>Verificado</t>
        </is>
      </c>
      <c r="M383" s="8" t="n">
        <v>1</v>
      </c>
      <c r="N383" s="9" t="n">
        <v>1535</v>
      </c>
      <c r="O383" s="9" t="n">
        <v>1535</v>
      </c>
      <c r="P383" s="9" t="n">
        <v>1535</v>
      </c>
      <c r="Q383" s="7" t="inlineStr">
        <is>
          <t>Sí</t>
        </is>
      </c>
      <c r="R383" s="9">
        <f>IF(N383="","",IF(Q383="Sí",ROUND(N383/1.18,2),N383))</f>
        <v/>
      </c>
      <c r="S383" s="7" t="inlineStr">
        <is>
          <t>2026-09-09</t>
        </is>
      </c>
      <c r="T383" s="5" t="inlineStr">
        <is>
          <t>1 cotización de proveedores</t>
        </is>
      </c>
      <c r="AH383" s="4" t="inlineStr">
        <is>
          <t>0.76x0.6</t>
        </is>
      </c>
      <c r="AI383" s="4" t="inlineStr">
        <is>
          <t>fibra de refuerzo</t>
        </is>
      </c>
    </row>
    <row r="384">
      <c r="A384" s="7" t="inlineStr">
        <is>
          <t>MAT-07-020</t>
        </is>
      </c>
      <c r="B384" s="7" t="inlineStr">
        <is>
          <t>Materiales</t>
        </is>
      </c>
      <c r="C384" s="7" t="inlineStr">
        <is>
          <t>Techos e impermeabilización</t>
        </is>
      </c>
      <c r="D384" s="5" t="inlineStr">
        <is>
          <t>Plancha tipo teja de fibra fibra de refuerzo, 0.76X1.15</t>
        </is>
      </c>
      <c r="E384" s="5" t="inlineStr"/>
      <c r="F384" s="5" t="inlineStr">
        <is>
          <t>Material retirado en almacén</t>
        </is>
      </c>
      <c r="G384" s="5" t="inlineStr">
        <is>
          <t>teja de fibra</t>
        </is>
      </c>
      <c r="H384" s="7" t="inlineStr">
        <is>
          <t>unidad</t>
        </is>
      </c>
      <c r="I384" s="7" t="inlineStr">
        <is>
          <t>Techos</t>
        </is>
      </c>
      <c r="J384" s="7" t="inlineStr">
        <is>
          <t>estandar</t>
        </is>
      </c>
      <c r="K384" s="7" t="inlineStr">
        <is>
          <t>importado</t>
        </is>
      </c>
      <c r="L384" s="7" t="inlineStr">
        <is>
          <t>Verificado</t>
        </is>
      </c>
      <c r="M384" s="8" t="n">
        <v>1</v>
      </c>
      <c r="N384" s="9" t="n">
        <v>1450</v>
      </c>
      <c r="O384" s="9" t="n">
        <v>1450</v>
      </c>
      <c r="P384" s="9" t="n">
        <v>1450</v>
      </c>
      <c r="Q384" s="7" t="inlineStr">
        <is>
          <t>Sí</t>
        </is>
      </c>
      <c r="R384" s="9">
        <f>IF(N384="","",IF(Q384="Sí",ROUND(N384/1.18,2),N384))</f>
        <v/>
      </c>
      <c r="S384" s="7" t="inlineStr">
        <is>
          <t>2026-09-09</t>
        </is>
      </c>
      <c r="T384" s="5" t="inlineStr">
        <is>
          <t>1 cotización de proveedores</t>
        </is>
      </c>
      <c r="AH384" s="4" t="inlineStr">
        <is>
          <t>0.76X1.15</t>
        </is>
      </c>
      <c r="AI384" s="4" t="inlineStr">
        <is>
          <t>fibra de refuerzo</t>
        </is>
      </c>
    </row>
    <row r="385">
      <c r="A385" s="7" t="inlineStr">
        <is>
          <t>MAT-07-021</t>
        </is>
      </c>
      <c r="B385" s="7" t="inlineStr">
        <is>
          <t>Materiales</t>
        </is>
      </c>
      <c r="C385" s="7" t="inlineStr">
        <is>
          <t>Techos e impermeabilización</t>
        </is>
      </c>
      <c r="D385" s="5" t="inlineStr">
        <is>
          <t>Caballete de zinc calibre 29, 6 pies</t>
        </is>
      </c>
      <c r="E385" s="5" t="inlineStr">
        <is>
          <t>Pieza de remate para cumbrera de techo de zinc · calibre 29 · 6 pies</t>
        </is>
      </c>
      <c r="F385" s="5" t="inlineStr">
        <is>
          <t>Material retirado en almacén</t>
        </is>
      </c>
      <c r="G385" s="5" t="inlineStr">
        <is>
          <t>cumbrera de zinc, capote de techo</t>
        </is>
      </c>
      <c r="H385" s="7" t="inlineStr">
        <is>
          <t>unidad</t>
        </is>
      </c>
      <c r="I385" s="7" t="inlineStr">
        <is>
          <t>Techos</t>
        </is>
      </c>
      <c r="J385" s="7" t="inlineStr">
        <is>
          <t>economica</t>
        </is>
      </c>
      <c r="K385" s="7" t="inlineStr">
        <is>
          <t>nacional</t>
        </is>
      </c>
      <c r="L385" s="7" t="inlineStr">
        <is>
          <t>Verificado</t>
        </is>
      </c>
      <c r="M385" s="8" t="n">
        <v>1</v>
      </c>
      <c r="N385" s="9" t="n">
        <v>141.1</v>
      </c>
      <c r="O385" s="9" t="n">
        <v>141.1</v>
      </c>
      <c r="P385" s="9" t="n">
        <v>141.1</v>
      </c>
      <c r="Q385" s="7" t="inlineStr">
        <is>
          <t>Sí</t>
        </is>
      </c>
      <c r="R385" s="9">
        <f>IF(N385="","",IF(Q385="Sí",ROUND(N385/1.18,2),N385))</f>
        <v/>
      </c>
      <c r="S385" s="7" t="inlineStr">
        <is>
          <t>2026-09-09</t>
        </is>
      </c>
      <c r="T385" s="5" t="inlineStr">
        <is>
          <t>1 cotización de proveedores</t>
        </is>
      </c>
    </row>
    <row r="386">
      <c r="A386" s="7" t="inlineStr">
        <is>
          <t>MAT-07-022</t>
        </is>
      </c>
      <c r="B386" s="7" t="inlineStr">
        <is>
          <t>Materiales</t>
        </is>
      </c>
      <c r="C386" s="7" t="inlineStr">
        <is>
          <t>Techos e impermeabilización</t>
        </is>
      </c>
      <c r="D386" s="5" t="inlineStr">
        <is>
          <t>Caballete de zinc calibre 34, 6 pies</t>
        </is>
      </c>
      <c r="E386" s="5" t="inlineStr">
        <is>
          <t>Pieza de remate para cumbrera de techo de zinc · calibre 34 · 6 pies</t>
        </is>
      </c>
      <c r="F386" s="5" t="inlineStr">
        <is>
          <t>Material retirado en almacén</t>
        </is>
      </c>
      <c r="G386" s="5" t="inlineStr">
        <is>
          <t>cumbrera de zinc, capote de techo</t>
        </is>
      </c>
      <c r="H386" s="7" t="inlineStr">
        <is>
          <t>unidad</t>
        </is>
      </c>
      <c r="I386" s="7" t="inlineStr">
        <is>
          <t>Techos</t>
        </is>
      </c>
      <c r="J386" s="7" t="inlineStr">
        <is>
          <t>economica</t>
        </is>
      </c>
      <c r="K386" s="7" t="inlineStr">
        <is>
          <t>nacional</t>
        </is>
      </c>
      <c r="L386" s="7" t="inlineStr">
        <is>
          <t>Verificado</t>
        </is>
      </c>
      <c r="M386" s="8" t="n">
        <v>1</v>
      </c>
      <c r="N386" s="9" t="n">
        <v>104.29</v>
      </c>
      <c r="O386" s="9" t="n">
        <v>104.29</v>
      </c>
      <c r="P386" s="9" t="n">
        <v>104.29</v>
      </c>
      <c r="Q386" s="7" t="inlineStr">
        <is>
          <t>Sí</t>
        </is>
      </c>
      <c r="R386" s="9">
        <f>IF(N386="","",IF(Q386="Sí",ROUND(N386/1.18,2),N386))</f>
        <v/>
      </c>
      <c r="S386" s="7" t="inlineStr">
        <is>
          <t>2026-09-09</t>
        </is>
      </c>
      <c r="T386" s="5" t="inlineStr">
        <is>
          <t>1 cotización de proveedores</t>
        </is>
      </c>
    </row>
    <row r="387">
      <c r="A387" s="7" t="inlineStr">
        <is>
          <t>MAT-07-023</t>
        </is>
      </c>
      <c r="B387" s="7" t="inlineStr">
        <is>
          <t>Materiales</t>
        </is>
      </c>
      <c r="C387" s="7" t="inlineStr">
        <is>
          <t>Techos e impermeabilización</t>
        </is>
      </c>
      <c r="D387" s="5" t="inlineStr">
        <is>
          <t>Caño para aluzinc 6" x 7" x 10 pies</t>
        </is>
      </c>
      <c r="E387" s="5" t="inlineStr">
        <is>
          <t>Canal de desagüe para techo de aluzinc · 6" x 7" · tramo de 10 pies</t>
        </is>
      </c>
      <c r="F387" s="5" t="inlineStr">
        <is>
          <t>Material retirado en almacén</t>
        </is>
      </c>
      <c r="G387" s="5" t="inlineStr">
        <is>
          <t>canal de techo, canaleta de aluzinc</t>
        </is>
      </c>
      <c r="H387" s="7" t="inlineStr">
        <is>
          <t>unidad</t>
        </is>
      </c>
      <c r="I387" s="7" t="inlineStr">
        <is>
          <t>Techos</t>
        </is>
      </c>
      <c r="J387" s="7" t="inlineStr">
        <is>
          <t>estandar</t>
        </is>
      </c>
      <c r="K387" s="7" t="inlineStr">
        <is>
          <t>importado</t>
        </is>
      </c>
      <c r="L387" s="7" t="inlineStr">
        <is>
          <t>Verificado</t>
        </is>
      </c>
      <c r="M387" s="8" t="n">
        <v>1</v>
      </c>
      <c r="N387" s="9" t="n">
        <v>659.86</v>
      </c>
      <c r="O387" s="9" t="n">
        <v>659.86</v>
      </c>
      <c r="P387" s="9" t="n">
        <v>659.86</v>
      </c>
      <c r="Q387" s="7" t="inlineStr">
        <is>
          <t>Sí</t>
        </is>
      </c>
      <c r="R387" s="9">
        <f>IF(N387="","",IF(Q387="Sí",ROUND(N387/1.18,2),N387))</f>
        <v/>
      </c>
      <c r="S387" s="7" t="inlineStr">
        <is>
          <t>2026-09-09</t>
        </is>
      </c>
      <c r="T387" s="5" t="inlineStr">
        <is>
          <t>1 cotización de proveedores</t>
        </is>
      </c>
    </row>
    <row r="388">
      <c r="A388" s="7" t="inlineStr">
        <is>
          <t>MAT-08-014</t>
        </is>
      </c>
      <c r="B388" s="7" t="inlineStr">
        <is>
          <t>Materiales</t>
        </is>
      </c>
      <c r="C388" s="7" t="inlineStr">
        <is>
          <t>Pisos y revestimientos</t>
        </is>
      </c>
      <c r="D388" s="5" t="inlineStr">
        <is>
          <t>Polvo de color para mosaico amarillo comercial, 1 lb</t>
        </is>
      </c>
      <c r="E388" s="5" t="inlineStr">
        <is>
          <t>Pigmento en polvo para granito fundido y mosaico · amarillo comercial · presentación de 1 libras</t>
        </is>
      </c>
      <c r="F388" s="5" t="inlineStr">
        <is>
          <t>Material retirado en almacén</t>
        </is>
      </c>
      <c r="G388" s="5" t="inlineStr">
        <is>
          <t>cromo, polvo de color, pigmento para granito</t>
        </is>
      </c>
      <c r="H388" s="7" t="inlineStr">
        <is>
          <t>unidad</t>
        </is>
      </c>
      <c r="I388" s="7" t="inlineStr">
        <is>
          <t>Pisos</t>
        </is>
      </c>
      <c r="J388" s="7" t="inlineStr">
        <is>
          <t>estandar</t>
        </is>
      </c>
      <c r="K388" s="7" t="inlineStr">
        <is>
          <t>importado</t>
        </is>
      </c>
      <c r="L388" s="7" t="inlineStr">
        <is>
          <t>Verificado</t>
        </is>
      </c>
      <c r="M388" s="8" t="n">
        <v>1</v>
      </c>
      <c r="N388" s="9" t="n">
        <v>55.94</v>
      </c>
      <c r="O388" s="9" t="n">
        <v>55.94</v>
      </c>
      <c r="P388" s="9" t="n">
        <v>55.94</v>
      </c>
      <c r="Q388" s="7" t="inlineStr">
        <is>
          <t>Sí</t>
        </is>
      </c>
      <c r="R388" s="9">
        <f>IF(N388="","",IF(Q388="Sí",ROUND(N388/1.18,2),N388))</f>
        <v/>
      </c>
      <c r="S388" s="7" t="inlineStr">
        <is>
          <t>2026-09-09</t>
        </is>
      </c>
      <c r="T388" s="5" t="inlineStr">
        <is>
          <t>1 cotización de proveedores</t>
        </is>
      </c>
    </row>
    <row r="389">
      <c r="A389" s="7" t="inlineStr">
        <is>
          <t>MAT-08-015</t>
        </is>
      </c>
      <c r="B389" s="7" t="inlineStr">
        <is>
          <t>Materiales</t>
        </is>
      </c>
      <c r="C389" s="7" t="inlineStr">
        <is>
          <t>Pisos y revestimientos</t>
        </is>
      </c>
      <c r="D389" s="5" t="inlineStr">
        <is>
          <t>Polvo de color para mosaico amarillo industrial, 1 lb</t>
        </is>
      </c>
      <c r="E389" s="5" t="inlineStr">
        <is>
          <t>Pigmento en polvo para granito fundido y mosaico · amarillo industrial · presentación de 1 libras</t>
        </is>
      </c>
      <c r="F389" s="5" t="inlineStr">
        <is>
          <t>Material retirado en almacén</t>
        </is>
      </c>
      <c r="G389" s="5" t="inlineStr">
        <is>
          <t>cromo, polvo de color, pigmento para granito</t>
        </is>
      </c>
      <c r="H389" s="7" t="inlineStr">
        <is>
          <t>unidad</t>
        </is>
      </c>
      <c r="I389" s="7" t="inlineStr">
        <is>
          <t>Pisos</t>
        </is>
      </c>
      <c r="J389" s="7" t="inlineStr">
        <is>
          <t>premium</t>
        </is>
      </c>
      <c r="K389" s="7" t="inlineStr">
        <is>
          <t>importado</t>
        </is>
      </c>
      <c r="L389" s="7" t="inlineStr">
        <is>
          <t>Verificado</t>
        </is>
      </c>
      <c r="M389" s="8" t="n">
        <v>1</v>
      </c>
      <c r="N389" s="9" t="n">
        <v>153.81</v>
      </c>
      <c r="O389" s="9" t="n">
        <v>153.81</v>
      </c>
      <c r="P389" s="9" t="n">
        <v>153.81</v>
      </c>
      <c r="Q389" s="7" t="inlineStr">
        <is>
          <t>Sí</t>
        </is>
      </c>
      <c r="R389" s="9">
        <f>IF(N389="","",IF(Q389="Sí",ROUND(N389/1.18,2),N389))</f>
        <v/>
      </c>
      <c r="S389" s="7" t="inlineStr">
        <is>
          <t>2026-09-09</t>
        </is>
      </c>
      <c r="T389" s="5" t="inlineStr">
        <is>
          <t>1 cotización de proveedores</t>
        </is>
      </c>
    </row>
    <row r="390">
      <c r="A390" s="7" t="inlineStr">
        <is>
          <t>MAT-08-016</t>
        </is>
      </c>
      <c r="B390" s="7" t="inlineStr">
        <is>
          <t>Materiales</t>
        </is>
      </c>
      <c r="C390" s="7" t="inlineStr">
        <is>
          <t>Pisos y revestimientos</t>
        </is>
      </c>
      <c r="D390" s="5" t="inlineStr">
        <is>
          <t>Polvo de color para mosaico azul comercial, 1 lb</t>
        </is>
      </c>
      <c r="E390" s="5" t="inlineStr">
        <is>
          <t>Pigmento en polvo para granito fundido y mosaico · azul comercial · presentación de 1 libras</t>
        </is>
      </c>
      <c r="F390" s="5" t="inlineStr">
        <is>
          <t>Material retirado en almacén</t>
        </is>
      </c>
      <c r="G390" s="5" t="inlineStr">
        <is>
          <t>cromo, polvo de color, pigmento para granito</t>
        </is>
      </c>
      <c r="H390" s="7" t="inlineStr">
        <is>
          <t>unidad</t>
        </is>
      </c>
      <c r="I390" s="7" t="inlineStr">
        <is>
          <t>Pisos</t>
        </is>
      </c>
      <c r="J390" s="7" t="inlineStr">
        <is>
          <t>estandar</t>
        </is>
      </c>
      <c r="K390" s="7" t="inlineStr">
        <is>
          <t>importado</t>
        </is>
      </c>
      <c r="L390" s="7" t="inlineStr">
        <is>
          <t>Verificado</t>
        </is>
      </c>
      <c r="M390" s="8" t="n">
        <v>1</v>
      </c>
      <c r="N390" s="9" t="n">
        <v>82.72</v>
      </c>
      <c r="O390" s="9" t="n">
        <v>82.72</v>
      </c>
      <c r="P390" s="9" t="n">
        <v>82.72</v>
      </c>
      <c r="Q390" s="7" t="inlineStr">
        <is>
          <t>Sí</t>
        </is>
      </c>
      <c r="R390" s="9">
        <f>IF(N390="","",IF(Q390="Sí",ROUND(N390/1.18,2),N390))</f>
        <v/>
      </c>
      <c r="S390" s="7" t="inlineStr">
        <is>
          <t>2026-09-09</t>
        </is>
      </c>
      <c r="T390" s="5" t="inlineStr">
        <is>
          <t>1 cotización de proveedores</t>
        </is>
      </c>
    </row>
    <row r="391">
      <c r="A391" s="7" t="inlineStr">
        <is>
          <t>MAT-08-017</t>
        </is>
      </c>
      <c r="B391" s="7" t="inlineStr">
        <is>
          <t>Materiales</t>
        </is>
      </c>
      <c r="C391" s="7" t="inlineStr">
        <is>
          <t>Pisos y revestimientos</t>
        </is>
      </c>
      <c r="D391" s="5" t="inlineStr">
        <is>
          <t>Polvo de color para mosaico azul industrial, 1 lb</t>
        </is>
      </c>
      <c r="E391" s="5" t="inlineStr">
        <is>
          <t>Pigmento en polvo para granito fundido y mosaico · azul industrial · presentación de 1 libras</t>
        </is>
      </c>
      <c r="F391" s="5" t="inlineStr">
        <is>
          <t>Material retirado en almacén</t>
        </is>
      </c>
      <c r="G391" s="5" t="inlineStr">
        <is>
          <t>cromo, polvo de color, pigmento para granito</t>
        </is>
      </c>
      <c r="H391" s="7" t="inlineStr">
        <is>
          <t>unidad</t>
        </is>
      </c>
      <c r="I391" s="7" t="inlineStr">
        <is>
          <t>Pisos</t>
        </is>
      </c>
      <c r="J391" s="7" t="inlineStr">
        <is>
          <t>premium</t>
        </is>
      </c>
      <c r="K391" s="7" t="inlineStr">
        <is>
          <t>importado</t>
        </is>
      </c>
      <c r="L391" s="7" t="inlineStr">
        <is>
          <t>Verificado</t>
        </is>
      </c>
      <c r="M391" s="8" t="n">
        <v>1</v>
      </c>
      <c r="N391" s="9" t="n">
        <v>162.49</v>
      </c>
      <c r="O391" s="9" t="n">
        <v>162.49</v>
      </c>
      <c r="P391" s="9" t="n">
        <v>162.49</v>
      </c>
      <c r="Q391" s="7" t="inlineStr">
        <is>
          <t>Sí</t>
        </is>
      </c>
      <c r="R391" s="9">
        <f>IF(N391="","",IF(Q391="Sí",ROUND(N391/1.18,2),N391))</f>
        <v/>
      </c>
      <c r="S391" s="7" t="inlineStr">
        <is>
          <t>2026-09-09</t>
        </is>
      </c>
      <c r="T391" s="5" t="inlineStr">
        <is>
          <t>1 cotización de proveedores</t>
        </is>
      </c>
    </row>
    <row r="392">
      <c r="A392" s="7" t="inlineStr">
        <is>
          <t>MAT-08-018</t>
        </is>
      </c>
      <c r="B392" s="7" t="inlineStr">
        <is>
          <t>Materiales</t>
        </is>
      </c>
      <c r="C392" s="7" t="inlineStr">
        <is>
          <t>Pisos y revestimientos</t>
        </is>
      </c>
      <c r="D392" s="5" t="inlineStr">
        <is>
          <t>Polvo de color para mosaico negro comercial, 1 lb</t>
        </is>
      </c>
      <c r="E392" s="5" t="inlineStr">
        <is>
          <t>Pigmento en polvo para granito fundido y mosaico · negro comercial · presentación de 1 libras</t>
        </is>
      </c>
      <c r="F392" s="5" t="inlineStr">
        <is>
          <t>Material retirado en almacén</t>
        </is>
      </c>
      <c r="G392" s="5" t="inlineStr">
        <is>
          <t>cromo, polvo de color, pigmento para granito</t>
        </is>
      </c>
      <c r="H392" s="7" t="inlineStr">
        <is>
          <t>unidad</t>
        </is>
      </c>
      <c r="I392" s="7" t="inlineStr">
        <is>
          <t>Pisos</t>
        </is>
      </c>
      <c r="J392" s="7" t="inlineStr">
        <is>
          <t>estandar</t>
        </is>
      </c>
      <c r="K392" s="7" t="inlineStr">
        <is>
          <t>importado</t>
        </is>
      </c>
      <c r="L392" s="7" t="inlineStr">
        <is>
          <t>Verificado</t>
        </is>
      </c>
      <c r="M392" s="8" t="n">
        <v>1</v>
      </c>
      <c r="N392" s="9" t="n">
        <v>90.79000000000001</v>
      </c>
      <c r="O392" s="9" t="n">
        <v>90.79000000000001</v>
      </c>
      <c r="P392" s="9" t="n">
        <v>90.79000000000001</v>
      </c>
      <c r="Q392" s="7" t="inlineStr">
        <is>
          <t>Sí</t>
        </is>
      </c>
      <c r="R392" s="9">
        <f>IF(N392="","",IF(Q392="Sí",ROUND(N392/1.18,2),N392))</f>
        <v/>
      </c>
      <c r="S392" s="7" t="inlineStr">
        <is>
          <t>2026-09-09</t>
        </is>
      </c>
      <c r="T392" s="5" t="inlineStr">
        <is>
          <t>1 cotización de proveedores</t>
        </is>
      </c>
    </row>
    <row r="393">
      <c r="A393" s="7" t="inlineStr">
        <is>
          <t>MAT-08-019</t>
        </is>
      </c>
      <c r="B393" s="7" t="inlineStr">
        <is>
          <t>Materiales</t>
        </is>
      </c>
      <c r="C393" s="7" t="inlineStr">
        <is>
          <t>Pisos y revestimientos</t>
        </is>
      </c>
      <c r="D393" s="5" t="inlineStr">
        <is>
          <t>Polvo de color para mosaico negro industrial, 1 lb</t>
        </is>
      </c>
      <c r="E393" s="5" t="inlineStr">
        <is>
          <t>Pigmento en polvo para granito fundido y mosaico · negro industrial · presentación de 1 libras</t>
        </is>
      </c>
      <c r="F393" s="5" t="inlineStr">
        <is>
          <t>Material retirado en almacén</t>
        </is>
      </c>
      <c r="G393" s="5" t="inlineStr">
        <is>
          <t>cromo, polvo de color, pigmento para granito</t>
        </is>
      </c>
      <c r="H393" s="7" t="inlineStr">
        <is>
          <t>unidad</t>
        </is>
      </c>
      <c r="I393" s="7" t="inlineStr">
        <is>
          <t>Pisos</t>
        </is>
      </c>
      <c r="J393" s="7" t="inlineStr">
        <is>
          <t>premium</t>
        </is>
      </c>
      <c r="K393" s="7" t="inlineStr">
        <is>
          <t>importado</t>
        </is>
      </c>
      <c r="L393" s="7" t="inlineStr">
        <is>
          <t>Verificado</t>
        </is>
      </c>
      <c r="M393" s="8" t="n">
        <v>1</v>
      </c>
      <c r="N393" s="9" t="n">
        <v>129.29</v>
      </c>
      <c r="O393" s="9" t="n">
        <v>129.29</v>
      </c>
      <c r="P393" s="9" t="n">
        <v>129.29</v>
      </c>
      <c r="Q393" s="7" t="inlineStr">
        <is>
          <t>Sí</t>
        </is>
      </c>
      <c r="R393" s="9">
        <f>IF(N393="","",IF(Q393="Sí",ROUND(N393/1.18,2),N393))</f>
        <v/>
      </c>
      <c r="S393" s="7" t="inlineStr">
        <is>
          <t>2026-09-09</t>
        </is>
      </c>
      <c r="T393" s="5" t="inlineStr">
        <is>
          <t>1 cotización de proveedores</t>
        </is>
      </c>
    </row>
    <row r="394">
      <c r="A394" s="7" t="inlineStr">
        <is>
          <t>MAT-08-020</t>
        </is>
      </c>
      <c r="B394" s="7" t="inlineStr">
        <is>
          <t>Materiales</t>
        </is>
      </c>
      <c r="C394" s="7" t="inlineStr">
        <is>
          <t>Pisos y revestimientos</t>
        </is>
      </c>
      <c r="D394" s="5" t="inlineStr">
        <is>
          <t>Polvo de color para mosaico rojo comercial, 1 lb</t>
        </is>
      </c>
      <c r="E394" s="5" t="inlineStr">
        <is>
          <t>Pigmento en polvo para granito fundido y mosaico · rojo comercial · presentación de 1 libras</t>
        </is>
      </c>
      <c r="F394" s="5" t="inlineStr">
        <is>
          <t>Material retirado en almacén</t>
        </is>
      </c>
      <c r="G394" s="5" t="inlineStr">
        <is>
          <t>cromo, polvo de color, pigmento para granito</t>
        </is>
      </c>
      <c r="H394" s="7" t="inlineStr">
        <is>
          <t>unidad</t>
        </is>
      </c>
      <c r="I394" s="7" t="inlineStr">
        <is>
          <t>Pisos</t>
        </is>
      </c>
      <c r="J394" s="7" t="inlineStr">
        <is>
          <t>estandar</t>
        </is>
      </c>
      <c r="K394" s="7" t="inlineStr">
        <is>
          <t>importado</t>
        </is>
      </c>
      <c r="L394" s="7" t="inlineStr">
        <is>
          <t>Verificado</t>
        </is>
      </c>
      <c r="M394" s="8" t="n">
        <v>1</v>
      </c>
      <c r="N394" s="9" t="n">
        <v>66.5</v>
      </c>
      <c r="O394" s="9" t="n">
        <v>66.5</v>
      </c>
      <c r="P394" s="9" t="n">
        <v>66.5</v>
      </c>
      <c r="Q394" s="7" t="inlineStr">
        <is>
          <t>Sí</t>
        </is>
      </c>
      <c r="R394" s="9">
        <f>IF(N394="","",IF(Q394="Sí",ROUND(N394/1.18,2),N394))</f>
        <v/>
      </c>
      <c r="S394" s="7" t="inlineStr">
        <is>
          <t>2026-09-09</t>
        </is>
      </c>
      <c r="T394" s="5" t="inlineStr">
        <is>
          <t>1 cotización de proveedores</t>
        </is>
      </c>
    </row>
    <row r="395">
      <c r="A395" s="7" t="inlineStr">
        <is>
          <t>MAT-08-021</t>
        </is>
      </c>
      <c r="B395" s="7" t="inlineStr">
        <is>
          <t>Materiales</t>
        </is>
      </c>
      <c r="C395" s="7" t="inlineStr">
        <is>
          <t>Pisos y revestimientos</t>
        </is>
      </c>
      <c r="D395" s="5" t="inlineStr">
        <is>
          <t>Polvo de color para mosaico rojo industrial, 1 lb</t>
        </is>
      </c>
      <c r="E395" s="5" t="inlineStr">
        <is>
          <t>Pigmento en polvo para granito fundido y mosaico · rojo industrial · presentación de 1 libras</t>
        </is>
      </c>
      <c r="F395" s="5" t="inlineStr">
        <is>
          <t>Material retirado en almacén</t>
        </is>
      </c>
      <c r="G395" s="5" t="inlineStr">
        <is>
          <t>cromo, polvo de color, pigmento para granito</t>
        </is>
      </c>
      <c r="H395" s="7" t="inlineStr">
        <is>
          <t>unidad</t>
        </is>
      </c>
      <c r="I395" s="7" t="inlineStr">
        <is>
          <t>Pisos</t>
        </is>
      </c>
      <c r="J395" s="7" t="inlineStr">
        <is>
          <t>premium</t>
        </is>
      </c>
      <c r="K395" s="7" t="inlineStr">
        <is>
          <t>importado</t>
        </is>
      </c>
      <c r="L395" s="7" t="inlineStr">
        <is>
          <t>Verificado</t>
        </is>
      </c>
      <c r="M395" s="8" t="n">
        <v>1</v>
      </c>
      <c r="N395" s="9" t="n">
        <v>106.37</v>
      </c>
      <c r="O395" s="9" t="n">
        <v>106.37</v>
      </c>
      <c r="P395" s="9" t="n">
        <v>106.37</v>
      </c>
      <c r="Q395" s="7" t="inlineStr">
        <is>
          <t>Sí</t>
        </is>
      </c>
      <c r="R395" s="9">
        <f>IF(N395="","",IF(Q395="Sí",ROUND(N395/1.18,2),N395))</f>
        <v/>
      </c>
      <c r="S395" s="7" t="inlineStr">
        <is>
          <t>2026-09-09</t>
        </is>
      </c>
      <c r="T395" s="5" t="inlineStr">
        <is>
          <t>1 cotización de proveedores</t>
        </is>
      </c>
    </row>
    <row r="396">
      <c r="A396" s="7" t="inlineStr">
        <is>
          <t>MAT-08-022</t>
        </is>
      </c>
      <c r="B396" s="7" t="inlineStr">
        <is>
          <t>Materiales</t>
        </is>
      </c>
      <c r="C396" s="7" t="inlineStr">
        <is>
          <t>Pisos y revestimientos</t>
        </is>
      </c>
      <c r="D396" s="5" t="inlineStr">
        <is>
          <t>Polvo de color para mosaico verde comercial, 1 lb</t>
        </is>
      </c>
      <c r="E396" s="5" t="inlineStr">
        <is>
          <t>Pigmento en polvo para granito fundido y mosaico · verde comercial · presentación de 1 libras</t>
        </is>
      </c>
      <c r="F396" s="5" t="inlineStr">
        <is>
          <t>Material retirado en almacén</t>
        </is>
      </c>
      <c r="G396" s="5" t="inlineStr">
        <is>
          <t>cromo, polvo de color, pigmento para granito</t>
        </is>
      </c>
      <c r="H396" s="7" t="inlineStr">
        <is>
          <t>unidad</t>
        </is>
      </c>
      <c r="I396" s="7" t="inlineStr">
        <is>
          <t>Pisos</t>
        </is>
      </c>
      <c r="J396" s="7" t="inlineStr">
        <is>
          <t>estandar</t>
        </is>
      </c>
      <c r="K396" s="7" t="inlineStr">
        <is>
          <t>importado</t>
        </is>
      </c>
      <c r="L396" s="7" t="inlineStr">
        <is>
          <t>Verificado</t>
        </is>
      </c>
      <c r="M396" s="8" t="n">
        <v>1</v>
      </c>
      <c r="N396" s="9" t="n">
        <v>78.84</v>
      </c>
      <c r="O396" s="9" t="n">
        <v>78.84</v>
      </c>
      <c r="P396" s="9" t="n">
        <v>78.84</v>
      </c>
      <c r="Q396" s="7" t="inlineStr">
        <is>
          <t>Sí</t>
        </is>
      </c>
      <c r="R396" s="9">
        <f>IF(N396="","",IF(Q396="Sí",ROUND(N396/1.18,2),N396))</f>
        <v/>
      </c>
      <c r="S396" s="7" t="inlineStr">
        <is>
          <t>2026-09-09</t>
        </is>
      </c>
      <c r="T396" s="5" t="inlineStr">
        <is>
          <t>1 cotización de proveedores</t>
        </is>
      </c>
    </row>
    <row r="397">
      <c r="A397" s="7" t="inlineStr">
        <is>
          <t>MAT-08-023</t>
        </is>
      </c>
      <c r="B397" s="7" t="inlineStr">
        <is>
          <t>Materiales</t>
        </is>
      </c>
      <c r="C397" s="7" t="inlineStr">
        <is>
          <t>Pisos y revestimientos</t>
        </is>
      </c>
      <c r="D397" s="5" t="inlineStr">
        <is>
          <t>Polvo de color para mosaico verde industrial, 1 lb</t>
        </is>
      </c>
      <c r="E397" s="5" t="inlineStr">
        <is>
          <t>Pigmento en polvo para granito fundido y mosaico · verde industrial · presentación de 1 libras</t>
        </is>
      </c>
      <c r="F397" s="5" t="inlineStr">
        <is>
          <t>Material retirado en almacén</t>
        </is>
      </c>
      <c r="G397" s="5" t="inlineStr">
        <is>
          <t>cromo, polvo de color, pigmento para granito</t>
        </is>
      </c>
      <c r="H397" s="7" t="inlineStr">
        <is>
          <t>unidad</t>
        </is>
      </c>
      <c r="I397" s="7" t="inlineStr">
        <is>
          <t>Pisos</t>
        </is>
      </c>
      <c r="J397" s="7" t="inlineStr">
        <is>
          <t>premium</t>
        </is>
      </c>
      <c r="K397" s="7" t="inlineStr">
        <is>
          <t>importado</t>
        </is>
      </c>
      <c r="L397" s="7" t="inlineStr">
        <is>
          <t>Verificado</t>
        </is>
      </c>
      <c r="M397" s="8" t="n">
        <v>1</v>
      </c>
      <c r="N397" s="9" t="n">
        <v>180.39</v>
      </c>
      <c r="O397" s="9" t="n">
        <v>180.39</v>
      </c>
      <c r="P397" s="9" t="n">
        <v>180.39</v>
      </c>
      <c r="Q397" s="7" t="inlineStr">
        <is>
          <t>Sí</t>
        </is>
      </c>
      <c r="R397" s="9">
        <f>IF(N397="","",IF(Q397="Sí",ROUND(N397/1.18,2),N397))</f>
        <v/>
      </c>
      <c r="S397" s="7" t="inlineStr">
        <is>
          <t>2026-09-09</t>
        </is>
      </c>
      <c r="T397" s="5" t="inlineStr">
        <is>
          <t>1 cotización de proveedores</t>
        </is>
      </c>
    </row>
    <row r="398">
      <c r="A398" s="7" t="inlineStr">
        <is>
          <t>MAT-08-024</t>
        </is>
      </c>
      <c r="B398" s="7" t="inlineStr">
        <is>
          <t>Materiales</t>
        </is>
      </c>
      <c r="C398" s="7" t="inlineStr">
        <is>
          <t>Pisos y revestimientos</t>
        </is>
      </c>
      <c r="D398" s="5" t="inlineStr">
        <is>
          <t>Polvo de color para mosaico amarillo industrial, 3 lb</t>
        </is>
      </c>
      <c r="E398" s="5" t="inlineStr">
        <is>
          <t>Pigmento en polvo para granito fundido y mosaico · amarillo industrial · presentación de 3 libras</t>
        </is>
      </c>
      <c r="F398" s="5" t="inlineStr">
        <is>
          <t>Material retirado en almacén</t>
        </is>
      </c>
      <c r="G398" s="5" t="inlineStr">
        <is>
          <t>cromo, polvo de color, pigmento para granito</t>
        </is>
      </c>
      <c r="H398" s="7" t="inlineStr">
        <is>
          <t>unidad</t>
        </is>
      </c>
      <c r="I398" s="7" t="inlineStr">
        <is>
          <t>Pisos</t>
        </is>
      </c>
      <c r="J398" s="7" t="inlineStr">
        <is>
          <t>premium</t>
        </is>
      </c>
      <c r="K398" s="7" t="inlineStr">
        <is>
          <t>importado</t>
        </is>
      </c>
      <c r="L398" s="7" t="inlineStr">
        <is>
          <t>Verificado</t>
        </is>
      </c>
      <c r="M398" s="8" t="n">
        <v>1</v>
      </c>
      <c r="N398" s="9" t="n">
        <v>460.92</v>
      </c>
      <c r="O398" s="9" t="n">
        <v>460.92</v>
      </c>
      <c r="P398" s="9" t="n">
        <v>460.92</v>
      </c>
      <c r="Q398" s="7" t="inlineStr">
        <is>
          <t>Sí</t>
        </is>
      </c>
      <c r="R398" s="9">
        <f>IF(N398="","",IF(Q398="Sí",ROUND(N398/1.18,2),N398))</f>
        <v/>
      </c>
      <c r="S398" s="7" t="inlineStr">
        <is>
          <t>2026-09-09</t>
        </is>
      </c>
      <c r="T398" s="5" t="inlineStr">
        <is>
          <t>1 cotización de proveedores</t>
        </is>
      </c>
    </row>
    <row r="399">
      <c r="A399" s="7" t="inlineStr">
        <is>
          <t>MAT-08-025</t>
        </is>
      </c>
      <c r="B399" s="7" t="inlineStr">
        <is>
          <t>Materiales</t>
        </is>
      </c>
      <c r="C399" s="7" t="inlineStr">
        <is>
          <t>Pisos y revestimientos</t>
        </is>
      </c>
      <c r="D399" s="5" t="inlineStr">
        <is>
          <t>Polvo de color para mosaico amarillo comercial, 5 lb</t>
        </is>
      </c>
      <c r="E399" s="5" t="inlineStr">
        <is>
          <t>Pigmento en polvo para granito fundido y mosaico · amarillo comercial · presentación de 5 libras</t>
        </is>
      </c>
      <c r="F399" s="5" t="inlineStr">
        <is>
          <t>Material retirado en almacén</t>
        </is>
      </c>
      <c r="G399" s="5" t="inlineStr">
        <is>
          <t>cromo, polvo de color, pigmento para granito</t>
        </is>
      </c>
      <c r="H399" s="7" t="inlineStr">
        <is>
          <t>unidad</t>
        </is>
      </c>
      <c r="I399" s="7" t="inlineStr">
        <is>
          <t>Pisos</t>
        </is>
      </c>
      <c r="J399" s="7" t="inlineStr">
        <is>
          <t>estandar</t>
        </is>
      </c>
      <c r="K399" s="7" t="inlineStr">
        <is>
          <t>importado</t>
        </is>
      </c>
      <c r="L399" s="7" t="inlineStr">
        <is>
          <t>Verificado</t>
        </is>
      </c>
      <c r="M399" s="8" t="n">
        <v>1</v>
      </c>
      <c r="N399" s="9" t="n">
        <v>280.64</v>
      </c>
      <c r="O399" s="9" t="n">
        <v>280.64</v>
      </c>
      <c r="P399" s="9" t="n">
        <v>280.64</v>
      </c>
      <c r="Q399" s="7" t="inlineStr">
        <is>
          <t>Sí</t>
        </is>
      </c>
      <c r="R399" s="9">
        <f>IF(N399="","",IF(Q399="Sí",ROUND(N399/1.18,2),N399))</f>
        <v/>
      </c>
      <c r="S399" s="7" t="inlineStr">
        <is>
          <t>2026-09-09</t>
        </is>
      </c>
      <c r="T399" s="5" t="inlineStr">
        <is>
          <t>1 cotización de proveedores</t>
        </is>
      </c>
    </row>
    <row r="400">
      <c r="A400" s="7" t="inlineStr">
        <is>
          <t>MAT-08-026</t>
        </is>
      </c>
      <c r="B400" s="7" t="inlineStr">
        <is>
          <t>Materiales</t>
        </is>
      </c>
      <c r="C400" s="7" t="inlineStr">
        <is>
          <t>Pisos y revestimientos</t>
        </is>
      </c>
      <c r="D400" s="5" t="inlineStr">
        <is>
          <t>Polvo de color para mosaico azul comercial, 5 lb</t>
        </is>
      </c>
      <c r="E400" s="5" t="inlineStr">
        <is>
          <t>Pigmento en polvo para granito fundido y mosaico · azul comercial · presentación de 5 libras</t>
        </is>
      </c>
      <c r="F400" s="5" t="inlineStr">
        <is>
          <t>Material retirado en almacén</t>
        </is>
      </c>
      <c r="G400" s="5" t="inlineStr">
        <is>
          <t>cromo, polvo de color, pigmento para granito</t>
        </is>
      </c>
      <c r="H400" s="7" t="inlineStr">
        <is>
          <t>unidad</t>
        </is>
      </c>
      <c r="I400" s="7" t="inlineStr">
        <is>
          <t>Pisos</t>
        </is>
      </c>
      <c r="J400" s="7" t="inlineStr">
        <is>
          <t>estandar</t>
        </is>
      </c>
      <c r="K400" s="7" t="inlineStr">
        <is>
          <t>importado</t>
        </is>
      </c>
      <c r="L400" s="7" t="inlineStr">
        <is>
          <t>Verificado</t>
        </is>
      </c>
      <c r="M400" s="8" t="n">
        <v>1</v>
      </c>
      <c r="N400" s="9" t="n">
        <v>367.96</v>
      </c>
      <c r="O400" s="9" t="n">
        <v>367.96</v>
      </c>
      <c r="P400" s="9" t="n">
        <v>367.96</v>
      </c>
      <c r="Q400" s="7" t="inlineStr">
        <is>
          <t>Sí</t>
        </is>
      </c>
      <c r="R400" s="9">
        <f>IF(N400="","",IF(Q400="Sí",ROUND(N400/1.18,2),N400))</f>
        <v/>
      </c>
      <c r="S400" s="7" t="inlineStr">
        <is>
          <t>2026-09-09</t>
        </is>
      </c>
      <c r="T400" s="5" t="inlineStr">
        <is>
          <t>1 cotización de proveedores</t>
        </is>
      </c>
    </row>
    <row r="401">
      <c r="A401" s="7" t="inlineStr">
        <is>
          <t>MAT-08-027</t>
        </is>
      </c>
      <c r="B401" s="7" t="inlineStr">
        <is>
          <t>Materiales</t>
        </is>
      </c>
      <c r="C401" s="7" t="inlineStr">
        <is>
          <t>Pisos y revestimientos</t>
        </is>
      </c>
      <c r="D401" s="5" t="inlineStr">
        <is>
          <t>Polvo de color para mosaico azul industrial, 5 lb</t>
        </is>
      </c>
      <c r="E401" s="5" t="inlineStr">
        <is>
          <t>Pigmento en polvo para granito fundido y mosaico · azul industrial · presentación de 5 libras</t>
        </is>
      </c>
      <c r="F401" s="5" t="inlineStr">
        <is>
          <t>Material retirado en almacén</t>
        </is>
      </c>
      <c r="G401" s="5" t="inlineStr">
        <is>
          <t>cromo, polvo de color, pigmento para granito</t>
        </is>
      </c>
      <c r="H401" s="7" t="inlineStr">
        <is>
          <t>unidad</t>
        </is>
      </c>
      <c r="I401" s="7" t="inlineStr">
        <is>
          <t>Pisos</t>
        </is>
      </c>
      <c r="J401" s="7" t="inlineStr">
        <is>
          <t>premium</t>
        </is>
      </c>
      <c r="K401" s="7" t="inlineStr">
        <is>
          <t>importado</t>
        </is>
      </c>
      <c r="L401" s="7" t="inlineStr">
        <is>
          <t>Verificado</t>
        </is>
      </c>
      <c r="M401" s="8" t="n">
        <v>1</v>
      </c>
      <c r="N401" s="9" t="n">
        <v>813.47</v>
      </c>
      <c r="O401" s="9" t="n">
        <v>813.47</v>
      </c>
      <c r="P401" s="9" t="n">
        <v>813.47</v>
      </c>
      <c r="Q401" s="7" t="inlineStr">
        <is>
          <t>Sí</t>
        </is>
      </c>
      <c r="R401" s="9">
        <f>IF(N401="","",IF(Q401="Sí",ROUND(N401/1.18,2),N401))</f>
        <v/>
      </c>
      <c r="S401" s="7" t="inlineStr">
        <is>
          <t>2026-09-09</t>
        </is>
      </c>
      <c r="T401" s="5" t="inlineStr">
        <is>
          <t>1 cotización de proveedores</t>
        </is>
      </c>
    </row>
    <row r="402">
      <c r="A402" s="7" t="inlineStr">
        <is>
          <t>MAT-08-028</t>
        </is>
      </c>
      <c r="B402" s="7" t="inlineStr">
        <is>
          <t>Materiales</t>
        </is>
      </c>
      <c r="C402" s="7" t="inlineStr">
        <is>
          <t>Pisos y revestimientos</t>
        </is>
      </c>
      <c r="D402" s="5" t="inlineStr">
        <is>
          <t>Polvo de color para mosaico negro comercial, 5 lb</t>
        </is>
      </c>
      <c r="E402" s="5" t="inlineStr">
        <is>
          <t>Pigmento en polvo para granito fundido y mosaico · negro comercial · presentación de 5 libras</t>
        </is>
      </c>
      <c r="F402" s="5" t="inlineStr">
        <is>
          <t>Material retirado en almacén</t>
        </is>
      </c>
      <c r="G402" s="5" t="inlineStr">
        <is>
          <t>cromo, polvo de color, pigmento para granito</t>
        </is>
      </c>
      <c r="H402" s="7" t="inlineStr">
        <is>
          <t>unidad</t>
        </is>
      </c>
      <c r="I402" s="7" t="inlineStr">
        <is>
          <t>Pisos</t>
        </is>
      </c>
      <c r="J402" s="7" t="inlineStr">
        <is>
          <t>estandar</t>
        </is>
      </c>
      <c r="K402" s="7" t="inlineStr">
        <is>
          <t>importado</t>
        </is>
      </c>
      <c r="L402" s="7" t="inlineStr">
        <is>
          <t>Verificado</t>
        </is>
      </c>
      <c r="M402" s="8" t="n">
        <v>1</v>
      </c>
      <c r="N402" s="9" t="n">
        <v>406.73</v>
      </c>
      <c r="O402" s="9" t="n">
        <v>406.73</v>
      </c>
      <c r="P402" s="9" t="n">
        <v>406.73</v>
      </c>
      <c r="Q402" s="7" t="inlineStr">
        <is>
          <t>Sí</t>
        </is>
      </c>
      <c r="R402" s="9">
        <f>IF(N402="","",IF(Q402="Sí",ROUND(N402/1.18,2),N402))</f>
        <v/>
      </c>
      <c r="S402" s="7" t="inlineStr">
        <is>
          <t>2026-09-09</t>
        </is>
      </c>
      <c r="T402" s="5" t="inlineStr">
        <is>
          <t>1 cotización de proveedores</t>
        </is>
      </c>
    </row>
    <row r="403">
      <c r="A403" s="7" t="inlineStr">
        <is>
          <t>MAT-08-029</t>
        </is>
      </c>
      <c r="B403" s="7" t="inlineStr">
        <is>
          <t>Materiales</t>
        </is>
      </c>
      <c r="C403" s="7" t="inlineStr">
        <is>
          <t>Pisos y revestimientos</t>
        </is>
      </c>
      <c r="D403" s="5" t="inlineStr">
        <is>
          <t>Polvo de color para mosaico negro industrial, 5 lb</t>
        </is>
      </c>
      <c r="E403" s="5" t="inlineStr">
        <is>
          <t>Pigmento en polvo para granito fundido y mosaico · negro industrial · presentación de 5 libras</t>
        </is>
      </c>
      <c r="F403" s="5" t="inlineStr">
        <is>
          <t>Material retirado en almacén</t>
        </is>
      </c>
      <c r="G403" s="5" t="inlineStr">
        <is>
          <t>cromo, polvo de color, pigmento para granito</t>
        </is>
      </c>
      <c r="H403" s="7" t="inlineStr">
        <is>
          <t>unidad</t>
        </is>
      </c>
      <c r="I403" s="7" t="inlineStr">
        <is>
          <t>Pisos</t>
        </is>
      </c>
      <c r="J403" s="7" t="inlineStr">
        <is>
          <t>premium</t>
        </is>
      </c>
      <c r="K403" s="7" t="inlineStr">
        <is>
          <t>importado</t>
        </is>
      </c>
      <c r="L403" s="7" t="inlineStr">
        <is>
          <t>Verificado</t>
        </is>
      </c>
      <c r="M403" s="8" t="n">
        <v>1</v>
      </c>
      <c r="N403" s="9" t="n">
        <v>647.51</v>
      </c>
      <c r="O403" s="9" t="n">
        <v>647.51</v>
      </c>
      <c r="P403" s="9" t="n">
        <v>647.51</v>
      </c>
      <c r="Q403" s="7" t="inlineStr">
        <is>
          <t>Sí</t>
        </is>
      </c>
      <c r="R403" s="9">
        <f>IF(N403="","",IF(Q403="Sí",ROUND(N403/1.18,2),N403))</f>
        <v/>
      </c>
      <c r="S403" s="7" t="inlineStr">
        <is>
          <t>2026-09-09</t>
        </is>
      </c>
      <c r="T403" s="5" t="inlineStr">
        <is>
          <t>1 cotización de proveedores</t>
        </is>
      </c>
    </row>
    <row r="404">
      <c r="A404" s="7" t="inlineStr">
        <is>
          <t>MAT-08-030</t>
        </is>
      </c>
      <c r="B404" s="7" t="inlineStr">
        <is>
          <t>Materiales</t>
        </is>
      </c>
      <c r="C404" s="7" t="inlineStr">
        <is>
          <t>Pisos y revestimientos</t>
        </is>
      </c>
      <c r="D404" s="5" t="inlineStr">
        <is>
          <t>Polvo de color para mosaico rojo comercial, 5 lb</t>
        </is>
      </c>
      <c r="E404" s="5" t="inlineStr">
        <is>
          <t>Pigmento en polvo para granito fundido y mosaico · rojo comercial · presentación de 5 libras</t>
        </is>
      </c>
      <c r="F404" s="5" t="inlineStr">
        <is>
          <t>Material retirado en almacén</t>
        </is>
      </c>
      <c r="G404" s="5" t="inlineStr">
        <is>
          <t>cromo, polvo de color, pigmento para granito</t>
        </is>
      </c>
      <c r="H404" s="7" t="inlineStr">
        <is>
          <t>unidad</t>
        </is>
      </c>
      <c r="I404" s="7" t="inlineStr">
        <is>
          <t>Pisos</t>
        </is>
      </c>
      <c r="J404" s="7" t="inlineStr">
        <is>
          <t>estandar</t>
        </is>
      </c>
      <c r="K404" s="7" t="inlineStr">
        <is>
          <t>importado</t>
        </is>
      </c>
      <c r="L404" s="7" t="inlineStr">
        <is>
          <t>Verificado</t>
        </is>
      </c>
      <c r="M404" s="8" t="n">
        <v>1</v>
      </c>
      <c r="N404" s="9" t="n">
        <v>333.56</v>
      </c>
      <c r="O404" s="9" t="n">
        <v>333.56</v>
      </c>
      <c r="P404" s="9" t="n">
        <v>333.56</v>
      </c>
      <c r="Q404" s="7" t="inlineStr">
        <is>
          <t>Sí</t>
        </is>
      </c>
      <c r="R404" s="9">
        <f>IF(N404="","",IF(Q404="Sí",ROUND(N404/1.18,2),N404))</f>
        <v/>
      </c>
      <c r="S404" s="7" t="inlineStr">
        <is>
          <t>2026-09-09</t>
        </is>
      </c>
      <c r="T404" s="5" t="inlineStr">
        <is>
          <t>1 cotización de proveedores</t>
        </is>
      </c>
    </row>
    <row r="405">
      <c r="A405" s="7" t="inlineStr">
        <is>
          <t>MAT-08-031</t>
        </is>
      </c>
      <c r="B405" s="7" t="inlineStr">
        <is>
          <t>Materiales</t>
        </is>
      </c>
      <c r="C405" s="7" t="inlineStr">
        <is>
          <t>Pisos y revestimientos</t>
        </is>
      </c>
      <c r="D405" s="5" t="inlineStr">
        <is>
          <t>Polvo de color para mosaico rojo industrial, 5 lb</t>
        </is>
      </c>
      <c r="E405" s="5" t="inlineStr">
        <is>
          <t>Pigmento en polvo para granito fundido y mosaico · rojo industrial · presentación de 5 libras</t>
        </is>
      </c>
      <c r="F405" s="5" t="inlineStr">
        <is>
          <t>Material retirado en almacén</t>
        </is>
      </c>
      <c r="G405" s="5" t="inlineStr">
        <is>
          <t>cromo, polvo de color, pigmento para granito</t>
        </is>
      </c>
      <c r="H405" s="7" t="inlineStr">
        <is>
          <t>unidad</t>
        </is>
      </c>
      <c r="I405" s="7" t="inlineStr">
        <is>
          <t>Pisos</t>
        </is>
      </c>
      <c r="J405" s="7" t="inlineStr">
        <is>
          <t>premium</t>
        </is>
      </c>
      <c r="K405" s="7" t="inlineStr">
        <is>
          <t>importado</t>
        </is>
      </c>
      <c r="L405" s="7" t="inlineStr">
        <is>
          <t>Verificado</t>
        </is>
      </c>
      <c r="M405" s="8" t="n">
        <v>1</v>
      </c>
      <c r="N405" s="9" t="n">
        <v>472.9</v>
      </c>
      <c r="O405" s="9" t="n">
        <v>472.9</v>
      </c>
      <c r="P405" s="9" t="n">
        <v>472.9</v>
      </c>
      <c r="Q405" s="7" t="inlineStr">
        <is>
          <t>Sí</t>
        </is>
      </c>
      <c r="R405" s="9">
        <f>IF(N405="","",IF(Q405="Sí",ROUND(N405/1.18,2),N405))</f>
        <v/>
      </c>
      <c r="S405" s="7" t="inlineStr">
        <is>
          <t>2026-09-09</t>
        </is>
      </c>
      <c r="T405" s="5" t="inlineStr">
        <is>
          <t>1 cotización de proveedores</t>
        </is>
      </c>
    </row>
    <row r="406">
      <c r="A406" s="7" t="inlineStr">
        <is>
          <t>MAT-08-032</t>
        </is>
      </c>
      <c r="B406" s="7" t="inlineStr">
        <is>
          <t>Materiales</t>
        </is>
      </c>
      <c r="C406" s="7" t="inlineStr">
        <is>
          <t>Pisos y revestimientos</t>
        </is>
      </c>
      <c r="D406" s="5" t="inlineStr">
        <is>
          <t>Polvo de color para mosaico verde comercial, 5 lb</t>
        </is>
      </c>
      <c r="E406" s="5" t="inlineStr">
        <is>
          <t>Pigmento en polvo para granito fundido y mosaico · verde comercial · presentación de 5 libras</t>
        </is>
      </c>
      <c r="F406" s="5" t="inlineStr">
        <is>
          <t>Material retirado en almacén</t>
        </is>
      </c>
      <c r="G406" s="5" t="inlineStr">
        <is>
          <t>cromo, polvo de color, pigmento para granito</t>
        </is>
      </c>
      <c r="H406" s="7" t="inlineStr">
        <is>
          <t>unidad</t>
        </is>
      </c>
      <c r="I406" s="7" t="inlineStr">
        <is>
          <t>Pisos</t>
        </is>
      </c>
      <c r="J406" s="7" t="inlineStr">
        <is>
          <t>estandar</t>
        </is>
      </c>
      <c r="K406" s="7" t="inlineStr">
        <is>
          <t>importado</t>
        </is>
      </c>
      <c r="L406" s="7" t="inlineStr">
        <is>
          <t>Verificado</t>
        </is>
      </c>
      <c r="M406" s="8" t="n">
        <v>1</v>
      </c>
      <c r="N406" s="9" t="n">
        <v>350.7</v>
      </c>
      <c r="O406" s="9" t="n">
        <v>350.7</v>
      </c>
      <c r="P406" s="9" t="n">
        <v>350.7</v>
      </c>
      <c r="Q406" s="7" t="inlineStr">
        <is>
          <t>Sí</t>
        </is>
      </c>
      <c r="R406" s="9">
        <f>IF(N406="","",IF(Q406="Sí",ROUND(N406/1.18,2),N406))</f>
        <v/>
      </c>
      <c r="S406" s="7" t="inlineStr">
        <is>
          <t>2026-09-09</t>
        </is>
      </c>
      <c r="T406" s="5" t="inlineStr">
        <is>
          <t>1 cotización de proveedores</t>
        </is>
      </c>
    </row>
    <row r="407">
      <c r="A407" s="7" t="inlineStr">
        <is>
          <t>MAT-08-033</t>
        </is>
      </c>
      <c r="B407" s="7" t="inlineStr">
        <is>
          <t>Materiales</t>
        </is>
      </c>
      <c r="C407" s="7" t="inlineStr">
        <is>
          <t>Pisos y revestimientos</t>
        </is>
      </c>
      <c r="D407" s="5" t="inlineStr">
        <is>
          <t>Polvo de color para mosaico verde industrial, 5 lb</t>
        </is>
      </c>
      <c r="E407" s="5" t="inlineStr">
        <is>
          <t>Pigmento en polvo para granito fundido y mosaico · verde industrial · presentación de 5 libras</t>
        </is>
      </c>
      <c r="F407" s="5" t="inlineStr">
        <is>
          <t>Material retirado en almacén</t>
        </is>
      </c>
      <c r="G407" s="5" t="inlineStr">
        <is>
          <t>cromo, polvo de color, pigmento para granito</t>
        </is>
      </c>
      <c r="H407" s="7" t="inlineStr">
        <is>
          <t>unidad</t>
        </is>
      </c>
      <c r="I407" s="7" t="inlineStr">
        <is>
          <t>Pisos</t>
        </is>
      </c>
      <c r="J407" s="7" t="inlineStr">
        <is>
          <t>premium</t>
        </is>
      </c>
      <c r="K407" s="7" t="inlineStr">
        <is>
          <t>importado</t>
        </is>
      </c>
      <c r="L407" s="7" t="inlineStr">
        <is>
          <t>Verificado</t>
        </is>
      </c>
      <c r="M407" s="8" t="n">
        <v>1</v>
      </c>
      <c r="N407" s="9" t="n">
        <v>902.88</v>
      </c>
      <c r="O407" s="9" t="n">
        <v>902.88</v>
      </c>
      <c r="P407" s="9" t="n">
        <v>902.88</v>
      </c>
      <c r="Q407" s="7" t="inlineStr">
        <is>
          <t>Sí</t>
        </is>
      </c>
      <c r="R407" s="9">
        <f>IF(N407="","",IF(Q407="Sí",ROUND(N407/1.18,2),N407))</f>
        <v/>
      </c>
      <c r="S407" s="7" t="inlineStr">
        <is>
          <t>2026-09-09</t>
        </is>
      </c>
      <c r="T407" s="5" t="inlineStr">
        <is>
          <t>1 cotización de proveedores</t>
        </is>
      </c>
    </row>
    <row r="408">
      <c r="A408" s="7" t="inlineStr">
        <is>
          <t>MAT-08-034</t>
        </is>
      </c>
      <c r="B408" s="7" t="inlineStr">
        <is>
          <t>Materiales</t>
        </is>
      </c>
      <c r="C408" s="7" t="inlineStr">
        <is>
          <t>Pisos y revestimientos</t>
        </is>
      </c>
      <c r="D408" s="5" t="inlineStr">
        <is>
          <t>Polvo de color para mosaico amarillo comercial, 55 lb</t>
        </is>
      </c>
      <c r="E408" s="5" t="inlineStr">
        <is>
          <t>Pigmento en polvo para granito fundido y mosaico · amarillo comercial · presentación de 55 libras</t>
        </is>
      </c>
      <c r="F408" s="5" t="inlineStr">
        <is>
          <t>Material retirado en almacén</t>
        </is>
      </c>
      <c r="G408" s="5" t="inlineStr">
        <is>
          <t>cromo, polvo de color, pigmento para granito</t>
        </is>
      </c>
      <c r="H408" s="7" t="inlineStr">
        <is>
          <t>funda</t>
        </is>
      </c>
      <c r="I408" s="7" t="inlineStr">
        <is>
          <t>Pisos</t>
        </is>
      </c>
      <c r="J408" s="7" t="inlineStr">
        <is>
          <t>estandar</t>
        </is>
      </c>
      <c r="K408" s="7" t="inlineStr">
        <is>
          <t>importado</t>
        </is>
      </c>
      <c r="L408" s="7" t="inlineStr">
        <is>
          <t>Verificado</t>
        </is>
      </c>
      <c r="M408" s="8" t="n">
        <v>1</v>
      </c>
      <c r="N408" s="9" t="n">
        <v>3195.68</v>
      </c>
      <c r="O408" s="9" t="n">
        <v>3195.68</v>
      </c>
      <c r="P408" s="9" t="n">
        <v>3195.68</v>
      </c>
      <c r="Q408" s="7" t="inlineStr">
        <is>
          <t>Sí</t>
        </is>
      </c>
      <c r="R408" s="9">
        <f>IF(N408="","",IF(Q408="Sí",ROUND(N408/1.18,2),N408))</f>
        <v/>
      </c>
      <c r="S408" s="7" t="inlineStr">
        <is>
          <t>2026-09-09</t>
        </is>
      </c>
      <c r="T408" s="5" t="inlineStr">
        <is>
          <t>1 cotización de proveedores</t>
        </is>
      </c>
    </row>
    <row r="409">
      <c r="A409" s="7" t="inlineStr">
        <is>
          <t>MAT-08-035</t>
        </is>
      </c>
      <c r="B409" s="7" t="inlineStr">
        <is>
          <t>Materiales</t>
        </is>
      </c>
      <c r="C409" s="7" t="inlineStr">
        <is>
          <t>Pisos y revestimientos</t>
        </is>
      </c>
      <c r="D409" s="5" t="inlineStr">
        <is>
          <t>Polvo de color para mosaico amarillo industrial, 55 lb</t>
        </is>
      </c>
      <c r="E409" s="5" t="inlineStr">
        <is>
          <t>Pigmento en polvo para granito fundido y mosaico · amarillo industrial · presentación de 55 libras</t>
        </is>
      </c>
      <c r="F409" s="5" t="inlineStr">
        <is>
          <t>Material retirado en almacén</t>
        </is>
      </c>
      <c r="G409" s="5" t="inlineStr">
        <is>
          <t>cromo, polvo de color, pigmento para granito</t>
        </is>
      </c>
      <c r="H409" s="7" t="inlineStr">
        <is>
          <t>funda</t>
        </is>
      </c>
      <c r="I409" s="7" t="inlineStr">
        <is>
          <t>Pisos</t>
        </is>
      </c>
      <c r="J409" s="7" t="inlineStr">
        <is>
          <t>premium</t>
        </is>
      </c>
      <c r="K409" s="7" t="inlineStr">
        <is>
          <t>importado</t>
        </is>
      </c>
      <c r="L409" s="7" t="inlineStr">
        <is>
          <t>Verificado</t>
        </is>
      </c>
      <c r="M409" s="8" t="n">
        <v>1</v>
      </c>
      <c r="N409" s="9" t="n">
        <v>7742.13</v>
      </c>
      <c r="O409" s="9" t="n">
        <v>7742.13</v>
      </c>
      <c r="P409" s="9" t="n">
        <v>7742.13</v>
      </c>
      <c r="Q409" s="7" t="inlineStr">
        <is>
          <t>Sí</t>
        </is>
      </c>
      <c r="R409" s="9">
        <f>IF(N409="","",IF(Q409="Sí",ROUND(N409/1.18,2),N409))</f>
        <v/>
      </c>
      <c r="S409" s="7" t="inlineStr">
        <is>
          <t>2026-09-09</t>
        </is>
      </c>
      <c r="T409" s="5" t="inlineStr">
        <is>
          <t>1 cotización de proveedores</t>
        </is>
      </c>
    </row>
    <row r="410">
      <c r="A410" s="7" t="inlineStr">
        <is>
          <t>MAT-08-036</t>
        </is>
      </c>
      <c r="B410" s="7" t="inlineStr">
        <is>
          <t>Materiales</t>
        </is>
      </c>
      <c r="C410" s="7" t="inlineStr">
        <is>
          <t>Pisos y revestimientos</t>
        </is>
      </c>
      <c r="D410" s="5" t="inlineStr">
        <is>
          <t>Polvo de color para mosaico azul comercial, 55 lb</t>
        </is>
      </c>
      <c r="E410" s="5" t="inlineStr">
        <is>
          <t>Pigmento en polvo para granito fundido y mosaico · azul comercial · presentación de 55 libras</t>
        </is>
      </c>
      <c r="F410" s="5" t="inlineStr">
        <is>
          <t>Material retirado en almacén</t>
        </is>
      </c>
      <c r="G410" s="5" t="inlineStr">
        <is>
          <t>cromo, polvo de color, pigmento para granito</t>
        </is>
      </c>
      <c r="H410" s="7" t="inlineStr">
        <is>
          <t>funda</t>
        </is>
      </c>
      <c r="I410" s="7" t="inlineStr">
        <is>
          <t>Pisos</t>
        </is>
      </c>
      <c r="J410" s="7" t="inlineStr">
        <is>
          <t>estandar</t>
        </is>
      </c>
      <c r="K410" s="7" t="inlineStr">
        <is>
          <t>importado</t>
        </is>
      </c>
      <c r="L410" s="7" t="inlineStr">
        <is>
          <t>Verificado</t>
        </is>
      </c>
      <c r="M410" s="8" t="n">
        <v>1</v>
      </c>
      <c r="N410" s="9" t="n">
        <v>4220.23</v>
      </c>
      <c r="O410" s="9" t="n">
        <v>4220.23</v>
      </c>
      <c r="P410" s="9" t="n">
        <v>4220.23</v>
      </c>
      <c r="Q410" s="7" t="inlineStr">
        <is>
          <t>Sí</t>
        </is>
      </c>
      <c r="R410" s="9">
        <f>IF(N410="","",IF(Q410="Sí",ROUND(N410/1.18,2),N410))</f>
        <v/>
      </c>
      <c r="S410" s="7" t="inlineStr">
        <is>
          <t>2026-09-09</t>
        </is>
      </c>
      <c r="T410" s="5" t="inlineStr">
        <is>
          <t>1 cotización de proveedores</t>
        </is>
      </c>
    </row>
    <row r="411">
      <c r="A411" s="7" t="inlineStr">
        <is>
          <t>MAT-08-037</t>
        </is>
      </c>
      <c r="B411" s="7" t="inlineStr">
        <is>
          <t>Materiales</t>
        </is>
      </c>
      <c r="C411" s="7" t="inlineStr">
        <is>
          <t>Pisos y revestimientos</t>
        </is>
      </c>
      <c r="D411" s="5" t="inlineStr">
        <is>
          <t>Polvo de color para mosaico azul industrial, 55 lb</t>
        </is>
      </c>
      <c r="E411" s="5" t="inlineStr">
        <is>
          <t>Pigmento en polvo para granito fundido y mosaico · azul industrial · presentación de 55 libras</t>
        </is>
      </c>
      <c r="F411" s="5" t="inlineStr">
        <is>
          <t>Material retirado en almacén</t>
        </is>
      </c>
      <c r="G411" s="5" t="inlineStr">
        <is>
          <t>cromo, polvo de color, pigmento para granito</t>
        </is>
      </c>
      <c r="H411" s="7" t="inlineStr">
        <is>
          <t>funda</t>
        </is>
      </c>
      <c r="I411" s="7" t="inlineStr">
        <is>
          <t>Pisos</t>
        </is>
      </c>
      <c r="J411" s="7" t="inlineStr">
        <is>
          <t>premium</t>
        </is>
      </c>
      <c r="K411" s="7" t="inlineStr">
        <is>
          <t>importado</t>
        </is>
      </c>
      <c r="L411" s="7" t="inlineStr">
        <is>
          <t>Verificado</t>
        </is>
      </c>
      <c r="M411" s="8" t="n">
        <v>1</v>
      </c>
      <c r="N411" s="9" t="n">
        <v>8183.45</v>
      </c>
      <c r="O411" s="9" t="n">
        <v>8183.45</v>
      </c>
      <c r="P411" s="9" t="n">
        <v>8183.45</v>
      </c>
      <c r="Q411" s="7" t="inlineStr">
        <is>
          <t>Sí</t>
        </is>
      </c>
      <c r="R411" s="9">
        <f>IF(N411="","",IF(Q411="Sí",ROUND(N411/1.18,2),N411))</f>
        <v/>
      </c>
      <c r="S411" s="7" t="inlineStr">
        <is>
          <t>2026-09-09</t>
        </is>
      </c>
      <c r="T411" s="5" t="inlineStr">
        <is>
          <t>1 cotización de proveedores</t>
        </is>
      </c>
    </row>
    <row r="412">
      <c r="A412" s="7" t="inlineStr">
        <is>
          <t>MAT-08-038</t>
        </is>
      </c>
      <c r="B412" s="7" t="inlineStr">
        <is>
          <t>Materiales</t>
        </is>
      </c>
      <c r="C412" s="7" t="inlineStr">
        <is>
          <t>Pisos y revestimientos</t>
        </is>
      </c>
      <c r="D412" s="5" t="inlineStr">
        <is>
          <t>Polvo de color para mosaico negro comercial, 55 lb</t>
        </is>
      </c>
      <c r="E412" s="5" t="inlineStr">
        <is>
          <t>Pigmento en polvo para granito fundido y mosaico · negro comercial · presentación de 55 libras</t>
        </is>
      </c>
      <c r="F412" s="5" t="inlineStr">
        <is>
          <t>Material retirado en almacén</t>
        </is>
      </c>
      <c r="G412" s="5" t="inlineStr">
        <is>
          <t>cromo, polvo de color, pigmento para granito</t>
        </is>
      </c>
      <c r="H412" s="7" t="inlineStr">
        <is>
          <t>funda</t>
        </is>
      </c>
      <c r="I412" s="7" t="inlineStr">
        <is>
          <t>Pisos</t>
        </is>
      </c>
      <c r="J412" s="7" t="inlineStr">
        <is>
          <t>estandar</t>
        </is>
      </c>
      <c r="K412" s="7" t="inlineStr">
        <is>
          <t>importado</t>
        </is>
      </c>
      <c r="L412" s="7" t="inlineStr">
        <is>
          <t>Verificado</t>
        </is>
      </c>
      <c r="M412" s="8" t="n">
        <v>1</v>
      </c>
      <c r="N412" s="9" t="n">
        <v>4640.79</v>
      </c>
      <c r="O412" s="9" t="n">
        <v>4640.79</v>
      </c>
      <c r="P412" s="9" t="n">
        <v>4640.79</v>
      </c>
      <c r="Q412" s="7" t="inlineStr">
        <is>
          <t>Sí</t>
        </is>
      </c>
      <c r="R412" s="9">
        <f>IF(N412="","",IF(Q412="Sí",ROUND(N412/1.18,2),N412))</f>
        <v/>
      </c>
      <c r="S412" s="7" t="inlineStr">
        <is>
          <t>2026-09-09</t>
        </is>
      </c>
      <c r="T412" s="5" t="inlineStr">
        <is>
          <t>1 cotización de proveedores</t>
        </is>
      </c>
    </row>
    <row r="413">
      <c r="A413" s="7" t="inlineStr">
        <is>
          <t>MAT-08-039</t>
        </is>
      </c>
      <c r="B413" s="7" t="inlineStr">
        <is>
          <t>Materiales</t>
        </is>
      </c>
      <c r="C413" s="7" t="inlineStr">
        <is>
          <t>Pisos y revestimientos</t>
        </is>
      </c>
      <c r="D413" s="5" t="inlineStr">
        <is>
          <t>Polvo de color para mosaico negro industrial, 55 lb</t>
        </is>
      </c>
      <c r="E413" s="5" t="inlineStr">
        <is>
          <t>Pigmento en polvo para granito fundido y mosaico · negro industrial · presentación de 55 libras</t>
        </is>
      </c>
      <c r="F413" s="5" t="inlineStr">
        <is>
          <t>Material retirado en almacén</t>
        </is>
      </c>
      <c r="G413" s="5" t="inlineStr">
        <is>
          <t>cromo, polvo de color, pigmento para granito</t>
        </is>
      </c>
      <c r="H413" s="7" t="inlineStr">
        <is>
          <t>funda</t>
        </is>
      </c>
      <c r="I413" s="7" t="inlineStr">
        <is>
          <t>Pisos</t>
        </is>
      </c>
      <c r="J413" s="7" t="inlineStr">
        <is>
          <t>premium</t>
        </is>
      </c>
      <c r="K413" s="7" t="inlineStr">
        <is>
          <t>importado</t>
        </is>
      </c>
      <c r="L413" s="7" t="inlineStr">
        <is>
          <t>Verificado</t>
        </is>
      </c>
      <c r="M413" s="8" t="n">
        <v>1</v>
      </c>
      <c r="N413" s="9" t="n">
        <v>6521.15</v>
      </c>
      <c r="O413" s="9" t="n">
        <v>6521.15</v>
      </c>
      <c r="P413" s="9" t="n">
        <v>6521.15</v>
      </c>
      <c r="Q413" s="7" t="inlineStr">
        <is>
          <t>Sí</t>
        </is>
      </c>
      <c r="R413" s="9">
        <f>IF(N413="","",IF(Q413="Sí",ROUND(N413/1.18,2),N413))</f>
        <v/>
      </c>
      <c r="S413" s="7" t="inlineStr">
        <is>
          <t>2026-09-09</t>
        </is>
      </c>
      <c r="T413" s="5" t="inlineStr">
        <is>
          <t>1 cotización de proveedores</t>
        </is>
      </c>
    </row>
    <row r="414">
      <c r="A414" s="7" t="inlineStr">
        <is>
          <t>MAT-08-040</t>
        </is>
      </c>
      <c r="B414" s="7" t="inlineStr">
        <is>
          <t>Materiales</t>
        </is>
      </c>
      <c r="C414" s="7" t="inlineStr">
        <is>
          <t>Pisos y revestimientos</t>
        </is>
      </c>
      <c r="D414" s="5" t="inlineStr">
        <is>
          <t>Polvo de color para mosaico rojo comercial, 55 lb</t>
        </is>
      </c>
      <c r="E414" s="5" t="inlineStr">
        <is>
          <t>Pigmento en polvo para granito fundido y mosaico · rojo comercial · presentación de 55 libras</t>
        </is>
      </c>
      <c r="F414" s="5" t="inlineStr">
        <is>
          <t>Material retirado en almacén</t>
        </is>
      </c>
      <c r="G414" s="5" t="inlineStr">
        <is>
          <t>cromo, polvo de color, pigmento para granito</t>
        </is>
      </c>
      <c r="H414" s="7" t="inlineStr">
        <is>
          <t>funda</t>
        </is>
      </c>
      <c r="I414" s="7" t="inlineStr">
        <is>
          <t>Pisos</t>
        </is>
      </c>
      <c r="J414" s="7" t="inlineStr">
        <is>
          <t>estandar</t>
        </is>
      </c>
      <c r="K414" s="7" t="inlineStr">
        <is>
          <t>importado</t>
        </is>
      </c>
      <c r="L414" s="7" t="inlineStr">
        <is>
          <t>Verificado</t>
        </is>
      </c>
      <c r="M414" s="8" t="n">
        <v>1</v>
      </c>
      <c r="N414" s="9" t="n">
        <v>3350.57</v>
      </c>
      <c r="O414" s="9" t="n">
        <v>3350.57</v>
      </c>
      <c r="P414" s="9" t="n">
        <v>3350.57</v>
      </c>
      <c r="Q414" s="7" t="inlineStr">
        <is>
          <t>Sí</t>
        </is>
      </c>
      <c r="R414" s="9">
        <f>IF(N414="","",IF(Q414="Sí",ROUND(N414/1.18,2),N414))</f>
        <v/>
      </c>
      <c r="S414" s="7" t="inlineStr">
        <is>
          <t>2026-09-09</t>
        </is>
      </c>
      <c r="T414" s="5" t="inlineStr">
        <is>
          <t>1 cotización de proveedores</t>
        </is>
      </c>
    </row>
    <row r="415">
      <c r="A415" s="7" t="inlineStr">
        <is>
          <t>MAT-08-041</t>
        </is>
      </c>
      <c r="B415" s="7" t="inlineStr">
        <is>
          <t>Materiales</t>
        </is>
      </c>
      <c r="C415" s="7" t="inlineStr">
        <is>
          <t>Pisos y revestimientos</t>
        </is>
      </c>
      <c r="D415" s="5" t="inlineStr">
        <is>
          <t>Polvo de color para mosaico rojo industrial, 55 lb</t>
        </is>
      </c>
      <c r="E415" s="5" t="inlineStr">
        <is>
          <t>Pigmento en polvo para granito fundido y mosaico · rojo industrial · presentación de 55 libras</t>
        </is>
      </c>
      <c r="F415" s="5" t="inlineStr">
        <is>
          <t>Material retirado en almacén</t>
        </is>
      </c>
      <c r="G415" s="5" t="inlineStr">
        <is>
          <t>cromo, polvo de color, pigmento para granito</t>
        </is>
      </c>
      <c r="H415" s="7" t="inlineStr">
        <is>
          <t>funda</t>
        </is>
      </c>
      <c r="I415" s="7" t="inlineStr">
        <is>
          <t>Pisos</t>
        </is>
      </c>
      <c r="J415" s="7" t="inlineStr">
        <is>
          <t>premium</t>
        </is>
      </c>
      <c r="K415" s="7" t="inlineStr">
        <is>
          <t>importado</t>
        </is>
      </c>
      <c r="L415" s="7" t="inlineStr">
        <is>
          <t>Verificado</t>
        </is>
      </c>
      <c r="M415" s="8" t="n">
        <v>1</v>
      </c>
      <c r="N415" s="9" t="n">
        <v>5451.6</v>
      </c>
      <c r="O415" s="9" t="n">
        <v>5451.6</v>
      </c>
      <c r="P415" s="9" t="n">
        <v>5451.6</v>
      </c>
      <c r="Q415" s="7" t="inlineStr">
        <is>
          <t>Sí</t>
        </is>
      </c>
      <c r="R415" s="9">
        <f>IF(N415="","",IF(Q415="Sí",ROUND(N415/1.18,2),N415))</f>
        <v/>
      </c>
      <c r="S415" s="7" t="inlineStr">
        <is>
          <t>2026-09-09</t>
        </is>
      </c>
      <c r="T415" s="5" t="inlineStr">
        <is>
          <t>1 cotización de proveedores</t>
        </is>
      </c>
    </row>
    <row r="416">
      <c r="A416" s="7" t="inlineStr">
        <is>
          <t>MAT-08-042</t>
        </is>
      </c>
      <c r="B416" s="7" t="inlineStr">
        <is>
          <t>Materiales</t>
        </is>
      </c>
      <c r="C416" s="7" t="inlineStr">
        <is>
          <t>Pisos y revestimientos</t>
        </is>
      </c>
      <c r="D416" s="5" t="inlineStr">
        <is>
          <t>Polvo de color para mosaico verde comercial, 55 lb</t>
        </is>
      </c>
      <c r="E416" s="5" t="inlineStr">
        <is>
          <t>Pigmento en polvo para granito fundido y mosaico · verde comercial · presentación de 55 libras</t>
        </is>
      </c>
      <c r="F416" s="5" t="inlineStr">
        <is>
          <t>Material retirado en almacén</t>
        </is>
      </c>
      <c r="G416" s="5" t="inlineStr">
        <is>
          <t>cromo, polvo de color, pigmento para granito</t>
        </is>
      </c>
      <c r="H416" s="7" t="inlineStr">
        <is>
          <t>funda</t>
        </is>
      </c>
      <c r="I416" s="7" t="inlineStr">
        <is>
          <t>Pisos</t>
        </is>
      </c>
      <c r="J416" s="7" t="inlineStr">
        <is>
          <t>estandar</t>
        </is>
      </c>
      <c r="K416" s="7" t="inlineStr">
        <is>
          <t>importado</t>
        </is>
      </c>
      <c r="L416" s="7" t="inlineStr">
        <is>
          <t>Verificado</t>
        </is>
      </c>
      <c r="M416" s="8" t="n">
        <v>1</v>
      </c>
      <c r="N416" s="9" t="n">
        <v>4017.75</v>
      </c>
      <c r="O416" s="9" t="n">
        <v>4017.75</v>
      </c>
      <c r="P416" s="9" t="n">
        <v>4017.75</v>
      </c>
      <c r="Q416" s="7" t="inlineStr">
        <is>
          <t>Sí</t>
        </is>
      </c>
      <c r="R416" s="9">
        <f>IF(N416="","",IF(Q416="Sí",ROUND(N416/1.18,2),N416))</f>
        <v/>
      </c>
      <c r="S416" s="7" t="inlineStr">
        <is>
          <t>2026-09-09</t>
        </is>
      </c>
      <c r="T416" s="5" t="inlineStr">
        <is>
          <t>1 cotización de proveedores</t>
        </is>
      </c>
    </row>
    <row r="417">
      <c r="A417" s="7" t="inlineStr">
        <is>
          <t>MAT-08-043</t>
        </is>
      </c>
      <c r="B417" s="7" t="inlineStr">
        <is>
          <t>Materiales</t>
        </is>
      </c>
      <c r="C417" s="7" t="inlineStr">
        <is>
          <t>Pisos y revestimientos</t>
        </is>
      </c>
      <c r="D417" s="5" t="inlineStr">
        <is>
          <t>Polvo de color para mosaico verde industrial, 55 lb</t>
        </is>
      </c>
      <c r="E417" s="5" t="inlineStr">
        <is>
          <t>Pigmento en polvo para granito fundido y mosaico · verde industrial · presentación de 55 libras</t>
        </is>
      </c>
      <c r="F417" s="5" t="inlineStr">
        <is>
          <t>Material retirado en almacén</t>
        </is>
      </c>
      <c r="G417" s="5" t="inlineStr">
        <is>
          <t>cromo, polvo de color, pigmento para granito</t>
        </is>
      </c>
      <c r="H417" s="7" t="inlineStr">
        <is>
          <t>funda</t>
        </is>
      </c>
      <c r="I417" s="7" t="inlineStr">
        <is>
          <t>Pisos</t>
        </is>
      </c>
      <c r="J417" s="7" t="inlineStr">
        <is>
          <t>premium</t>
        </is>
      </c>
      <c r="K417" s="7" t="inlineStr">
        <is>
          <t>importado</t>
        </is>
      </c>
      <c r="L417" s="7" t="inlineStr">
        <is>
          <t>Verificado</t>
        </is>
      </c>
      <c r="M417" s="8" t="n">
        <v>1</v>
      </c>
      <c r="N417" s="9" t="n">
        <v>9092.93</v>
      </c>
      <c r="O417" s="9" t="n">
        <v>9092.93</v>
      </c>
      <c r="P417" s="9" t="n">
        <v>9092.93</v>
      </c>
      <c r="Q417" s="7" t="inlineStr">
        <is>
          <t>Sí</t>
        </is>
      </c>
      <c r="R417" s="9">
        <f>IF(N417="","",IF(Q417="Sí",ROUND(N417/1.18,2),N417))</f>
        <v/>
      </c>
      <c r="S417" s="7" t="inlineStr">
        <is>
          <t>2026-09-09</t>
        </is>
      </c>
      <c r="T417" s="5" t="inlineStr">
        <is>
          <t>1 cotización de proveedores</t>
        </is>
      </c>
    </row>
    <row r="418">
      <c r="A418" s="7" t="inlineStr">
        <is>
          <t>MAT-09-016</t>
        </is>
      </c>
      <c r="B418" s="7" t="inlineStr">
        <is>
          <t>Materiales</t>
        </is>
      </c>
      <c r="C418" s="7" t="inlineStr">
        <is>
          <t>Plomería, sanitarios y gas</t>
        </is>
      </c>
      <c r="D418" s="5" t="inlineStr">
        <is>
          <t>Cabezal de ducha</t>
        </is>
      </c>
      <c r="E418" s="5" t="inlineStr"/>
      <c r="F418" s="5" t="inlineStr">
        <is>
          <t>Material retirado en almacén</t>
        </is>
      </c>
      <c r="G418" s="5" t="inlineStr">
        <is>
          <t>cabeza de ducha, regadera</t>
        </is>
      </c>
      <c r="H418" s="7" t="inlineStr">
        <is>
          <t>unidad</t>
        </is>
      </c>
      <c r="I418" s="7" t="inlineStr">
        <is>
          <t>Instalaciones</t>
        </is>
      </c>
      <c r="J418" s="7" t="inlineStr">
        <is>
          <t>estandar</t>
        </is>
      </c>
      <c r="K418" s="7" t="inlineStr">
        <is>
          <t>importado</t>
        </is>
      </c>
      <c r="L418" s="7" t="inlineStr">
        <is>
          <t>Verificado</t>
        </is>
      </c>
      <c r="M418" s="8" t="n">
        <v>1</v>
      </c>
      <c r="N418" s="9" t="n">
        <v>404.04</v>
      </c>
      <c r="O418" s="9" t="n">
        <v>126.44</v>
      </c>
      <c r="P418" s="9" t="n">
        <v>1660.9</v>
      </c>
      <c r="Q418" s="7" t="inlineStr">
        <is>
          <t>Sí</t>
        </is>
      </c>
      <c r="R418" s="9">
        <f>IF(N418="","",IF(Q418="Sí",ROUND(N418/1.18,2),N418))</f>
        <v/>
      </c>
      <c r="S418" s="7" t="inlineStr">
        <is>
          <t>2026-09-09</t>
        </is>
      </c>
      <c r="T418" s="5" t="inlineStr">
        <is>
          <t>15 cotizaciones de proveedores</t>
        </is>
      </c>
    </row>
    <row r="419">
      <c r="A419" s="7" t="inlineStr">
        <is>
          <t>MAT-09-017</t>
        </is>
      </c>
      <c r="B419" s="7" t="inlineStr">
        <is>
          <t>Materiales</t>
        </is>
      </c>
      <c r="C419" s="7" t="inlineStr">
        <is>
          <t>Plomería, sanitarios y gas</t>
        </is>
      </c>
      <c r="D419" s="5" t="inlineStr">
        <is>
          <t>Ducha teléfono</t>
        </is>
      </c>
      <c r="E419" s="5" t="inlineStr"/>
      <c r="F419" s="5" t="inlineStr">
        <is>
          <t>Material retirado en almacén</t>
        </is>
      </c>
      <c r="G419" s="5" t="inlineStr">
        <is>
          <t>ducha de mano, teléfono de ducha</t>
        </is>
      </c>
      <c r="H419" s="7" t="inlineStr">
        <is>
          <t>unidad</t>
        </is>
      </c>
      <c r="I419" s="7" t="inlineStr">
        <is>
          <t>Instalaciones</t>
        </is>
      </c>
      <c r="J419" s="7" t="inlineStr">
        <is>
          <t>estandar</t>
        </is>
      </c>
      <c r="K419" s="7" t="inlineStr">
        <is>
          <t>importado</t>
        </is>
      </c>
      <c r="L419" s="7" t="inlineStr">
        <is>
          <t>Verificado</t>
        </is>
      </c>
      <c r="M419" s="8" t="n">
        <v>1</v>
      </c>
      <c r="N419" s="9" t="n">
        <v>505.16</v>
      </c>
      <c r="O419" s="9" t="n">
        <v>267.91</v>
      </c>
      <c r="P419" s="9" t="n">
        <v>1482.99</v>
      </c>
      <c r="Q419" s="7" t="inlineStr">
        <is>
          <t>Sí</t>
        </is>
      </c>
      <c r="R419" s="9">
        <f>IF(N419="","",IF(Q419="Sí",ROUND(N419/1.18,2),N419))</f>
        <v/>
      </c>
      <c r="S419" s="7" t="inlineStr">
        <is>
          <t>2026-09-09</t>
        </is>
      </c>
      <c r="T419" s="5" t="inlineStr">
        <is>
          <t>8 cotizaciones de proveedores</t>
        </is>
      </c>
    </row>
    <row r="420">
      <c r="A420" s="7" t="inlineStr">
        <is>
          <t>MAT-09-018</t>
        </is>
      </c>
      <c r="B420" s="7" t="inlineStr">
        <is>
          <t>Materiales</t>
        </is>
      </c>
      <c r="C420" s="7" t="inlineStr">
        <is>
          <t>Plomería, sanitarios y gas</t>
        </is>
      </c>
      <c r="D420" s="5" t="inlineStr">
        <is>
          <t>Columna de ducha</t>
        </is>
      </c>
      <c r="E420" s="5" t="inlineStr"/>
      <c r="F420" s="5" t="inlineStr">
        <is>
          <t>Material retirado en almacén</t>
        </is>
      </c>
      <c r="G420" s="5" t="inlineStr">
        <is>
          <t>columna de ducha, set de ducha</t>
        </is>
      </c>
      <c r="H420" s="7" t="inlineStr">
        <is>
          <t>unidad</t>
        </is>
      </c>
      <c r="I420" s="7" t="inlineStr">
        <is>
          <t>Instalaciones</t>
        </is>
      </c>
      <c r="J420" s="7" t="inlineStr">
        <is>
          <t>estandar</t>
        </is>
      </c>
      <c r="K420" s="7" t="inlineStr">
        <is>
          <t>importado</t>
        </is>
      </c>
      <c r="L420" s="7" t="inlineStr">
        <is>
          <t>Verificado</t>
        </is>
      </c>
      <c r="M420" s="8" t="n">
        <v>1</v>
      </c>
      <c r="N420" s="9" t="n">
        <v>16011.14</v>
      </c>
      <c r="O420" s="9" t="n">
        <v>11281.28</v>
      </c>
      <c r="P420" s="9" t="n">
        <v>40738.17</v>
      </c>
      <c r="Q420" s="7" t="inlineStr">
        <is>
          <t>Sí</t>
        </is>
      </c>
      <c r="R420" s="9">
        <f>IF(N420="","",IF(Q420="Sí",ROUND(N420/1.18,2),N420))</f>
        <v/>
      </c>
      <c r="S420" s="7" t="inlineStr">
        <is>
          <t>2026-09-09</t>
        </is>
      </c>
      <c r="T420" s="5" t="inlineStr">
        <is>
          <t>4 cotizaciones de proveedores</t>
        </is>
      </c>
    </row>
    <row r="421">
      <c r="A421" s="7" t="inlineStr">
        <is>
          <t>MAT-09-019</t>
        </is>
      </c>
      <c r="B421" s="7" t="inlineStr">
        <is>
          <t>Materiales</t>
        </is>
      </c>
      <c r="C421" s="7" t="inlineStr">
        <is>
          <t>Plomería, sanitarios y gas</t>
        </is>
      </c>
      <c r="D421" s="5" t="inlineStr">
        <is>
          <t>Barra deslizable para ducha</t>
        </is>
      </c>
      <c r="E421" s="5" t="inlineStr"/>
      <c r="F421" s="5" t="inlineStr">
        <is>
          <t>Material retirado en almacén</t>
        </is>
      </c>
      <c r="G421" s="5" t="inlineStr">
        <is>
          <t>barra deslizable, riel de ducha</t>
        </is>
      </c>
      <c r="H421" s="7" t="inlineStr">
        <is>
          <t>unidad</t>
        </is>
      </c>
      <c r="I421" s="7" t="inlineStr">
        <is>
          <t>Instalaciones</t>
        </is>
      </c>
      <c r="J421" s="7" t="inlineStr">
        <is>
          <t>estandar</t>
        </is>
      </c>
      <c r="K421" s="7" t="inlineStr">
        <is>
          <t>importado</t>
        </is>
      </c>
      <c r="L421" s="7" t="inlineStr">
        <is>
          <t>Verificado</t>
        </is>
      </c>
      <c r="M421" s="8" t="n">
        <v>1</v>
      </c>
      <c r="N421" s="9" t="n">
        <v>10200.42</v>
      </c>
      <c r="O421" s="9" t="n">
        <v>553.61</v>
      </c>
      <c r="P421" s="9" t="n">
        <v>29022.19</v>
      </c>
      <c r="Q421" s="7" t="inlineStr">
        <is>
          <t>Sí</t>
        </is>
      </c>
      <c r="R421" s="9">
        <f>IF(N421="","",IF(Q421="Sí",ROUND(N421/1.18,2),N421))</f>
        <v/>
      </c>
      <c r="S421" s="7" t="inlineStr">
        <is>
          <t>2026-09-09</t>
        </is>
      </c>
      <c r="T421" s="5" t="inlineStr">
        <is>
          <t>21 cotizaciones de proveedores</t>
        </is>
      </c>
    </row>
    <row r="422">
      <c r="A422" s="7" t="inlineStr">
        <is>
          <t>MAT-09-020</t>
        </is>
      </c>
      <c r="B422" s="7" t="inlineStr">
        <is>
          <t>Materiales</t>
        </is>
      </c>
      <c r="C422" s="7" t="inlineStr">
        <is>
          <t>Plomería, sanitarios y gas</t>
        </is>
      </c>
      <c r="D422" s="5" t="inlineStr">
        <is>
          <t>Brazo de ducha</t>
        </is>
      </c>
      <c r="E422" s="5" t="inlineStr"/>
      <c r="F422" s="5" t="inlineStr">
        <is>
          <t>Material retirado en almacén</t>
        </is>
      </c>
      <c r="G422" s="5" t="inlineStr">
        <is>
          <t>brazo de ducha, cuello de ducha</t>
        </is>
      </c>
      <c r="H422" s="7" t="inlineStr">
        <is>
          <t>unidad</t>
        </is>
      </c>
      <c r="I422" s="7" t="inlineStr">
        <is>
          <t>Instalaciones</t>
        </is>
      </c>
      <c r="J422" s="7" t="inlineStr">
        <is>
          <t>estandar</t>
        </is>
      </c>
      <c r="K422" s="7" t="inlineStr">
        <is>
          <t>importado</t>
        </is>
      </c>
      <c r="L422" s="7" t="inlineStr">
        <is>
          <t>Verificado</t>
        </is>
      </c>
      <c r="M422" s="8" t="n">
        <v>1</v>
      </c>
      <c r="N422" s="9" t="n">
        <v>334.84</v>
      </c>
      <c r="O422" s="9" t="n">
        <v>108.23</v>
      </c>
      <c r="P422" s="9" t="n">
        <v>895.38</v>
      </c>
      <c r="Q422" s="7" t="inlineStr">
        <is>
          <t>Sí</t>
        </is>
      </c>
      <c r="R422" s="9">
        <f>IF(N422="","",IF(Q422="Sí",ROUND(N422/1.18,2),N422))</f>
        <v/>
      </c>
      <c r="S422" s="7" t="inlineStr">
        <is>
          <t>2026-09-09</t>
        </is>
      </c>
      <c r="T422" s="5" t="inlineStr">
        <is>
          <t>8 cotizaciones de proveedores</t>
        </is>
      </c>
    </row>
    <row r="423">
      <c r="A423" s="7" t="inlineStr">
        <is>
          <t>MAT-09-021</t>
        </is>
      </c>
      <c r="B423" s="7" t="inlineStr">
        <is>
          <t>Materiales</t>
        </is>
      </c>
      <c r="C423" s="7" t="inlineStr">
        <is>
          <t>Plomería, sanitarios y gas</t>
        </is>
      </c>
      <c r="D423" s="5" t="inlineStr">
        <is>
          <t>Mezcladora de ducha</t>
        </is>
      </c>
      <c r="E423" s="5" t="inlineStr"/>
      <c r="F423" s="5" t="inlineStr">
        <is>
          <t>Material retirado en almacén</t>
        </is>
      </c>
      <c r="G423" s="5" t="inlineStr">
        <is>
          <t>mezcladora, grifería de ducha</t>
        </is>
      </c>
      <c r="H423" s="7" t="inlineStr">
        <is>
          <t>unidad</t>
        </is>
      </c>
      <c r="I423" s="7" t="inlineStr">
        <is>
          <t>Instalaciones</t>
        </is>
      </c>
      <c r="J423" s="7" t="inlineStr">
        <is>
          <t>estandar</t>
        </is>
      </c>
      <c r="K423" s="7" t="inlineStr">
        <is>
          <t>importado</t>
        </is>
      </c>
      <c r="L423" s="7" t="inlineStr">
        <is>
          <t>Verificado</t>
        </is>
      </c>
      <c r="M423" s="8" t="n">
        <v>1</v>
      </c>
      <c r="N423" s="9" t="n">
        <v>5025.29</v>
      </c>
      <c r="O423" s="9" t="n">
        <v>2603.89</v>
      </c>
      <c r="P423" s="9" t="n">
        <v>12165.91</v>
      </c>
      <c r="Q423" s="7" t="inlineStr">
        <is>
          <t>Sí</t>
        </is>
      </c>
      <c r="R423" s="9">
        <f>IF(N423="","",IF(Q423="Sí",ROUND(N423/1.18,2),N423))</f>
        <v/>
      </c>
      <c r="S423" s="7" t="inlineStr">
        <is>
          <t>2026-09-09</t>
        </is>
      </c>
      <c r="T423" s="5" t="inlineStr">
        <is>
          <t>4 cotizaciones de proveedores</t>
        </is>
      </c>
    </row>
    <row r="424">
      <c r="A424" s="7" t="inlineStr">
        <is>
          <t>MAT-09-022</t>
        </is>
      </c>
      <c r="B424" s="7" t="inlineStr">
        <is>
          <t>Materiales</t>
        </is>
      </c>
      <c r="C424" s="7" t="inlineStr">
        <is>
          <t>Plomería, sanitarios y gas</t>
        </is>
      </c>
      <c r="D424" s="5" t="inlineStr">
        <is>
          <t>Manguera para ducha teléfono</t>
        </is>
      </c>
      <c r="E424" s="5" t="inlineStr"/>
      <c r="F424" s="5" t="inlineStr">
        <is>
          <t>Material retirado en almacén</t>
        </is>
      </c>
      <c r="G424" s="5" t="inlineStr">
        <is>
          <t>manguera de ducha, flexible</t>
        </is>
      </c>
      <c r="H424" s="7" t="inlineStr">
        <is>
          <t>unidad</t>
        </is>
      </c>
      <c r="I424" s="7" t="inlineStr">
        <is>
          <t>Instalaciones</t>
        </is>
      </c>
      <c r="J424" s="7" t="inlineStr">
        <is>
          <t>estandar</t>
        </is>
      </c>
      <c r="K424" s="7" t="inlineStr">
        <is>
          <t>importado</t>
        </is>
      </c>
      <c r="L424" s="7" t="inlineStr">
        <is>
          <t>Verificado</t>
        </is>
      </c>
      <c r="M424" s="8" t="n">
        <v>1</v>
      </c>
      <c r="N424" s="9" t="n">
        <v>730.86</v>
      </c>
      <c r="O424" s="9" t="n">
        <v>256.18</v>
      </c>
      <c r="P424" s="9" t="n">
        <v>1338.18</v>
      </c>
      <c r="Q424" s="7" t="inlineStr">
        <is>
          <t>Sí</t>
        </is>
      </c>
      <c r="R424" s="9">
        <f>IF(N424="","",IF(Q424="Sí",ROUND(N424/1.18,2),N424))</f>
        <v/>
      </c>
      <c r="S424" s="7" t="inlineStr">
        <is>
          <t>2026-09-09</t>
        </is>
      </c>
      <c r="T424" s="5" t="inlineStr">
        <is>
          <t>7 cotizaciones de proveedores</t>
        </is>
      </c>
    </row>
    <row r="425">
      <c r="A425" s="7" t="inlineStr">
        <is>
          <t>MAT-12-009</t>
        </is>
      </c>
      <c r="B425" s="7" t="inlineStr">
        <is>
          <t>Materiales</t>
        </is>
      </c>
      <c r="C425" s="7" t="inlineStr">
        <is>
          <t>Pintura y acabados</t>
        </is>
      </c>
      <c r="D425" s="5" t="inlineStr">
        <is>
          <t>Estuco para interiores, funda de 35 libras</t>
        </is>
      </c>
      <c r="E425" s="5" t="inlineStr">
        <is>
          <t>Masilla en polvo para alisar paredes interiores · funda de 35 libras</t>
        </is>
      </c>
      <c r="F425" s="5" t="inlineStr">
        <is>
          <t>Material retirado en almacén</t>
        </is>
      </c>
      <c r="G425" s="5" t="inlineStr">
        <is>
          <t>estuco, masilla de pared</t>
        </is>
      </c>
      <c r="H425" s="7" t="inlineStr">
        <is>
          <t>funda</t>
        </is>
      </c>
      <c r="I425" s="7" t="inlineStr">
        <is>
          <t>Terminación de superficies</t>
        </is>
      </c>
      <c r="J425" s="7" t="inlineStr">
        <is>
          <t>estandar</t>
        </is>
      </c>
      <c r="K425" s="7" t="inlineStr">
        <is>
          <t>nacional</t>
        </is>
      </c>
      <c r="L425" s="7" t="inlineStr">
        <is>
          <t>Verificado</t>
        </is>
      </c>
      <c r="M425" s="8" t="n">
        <v>2</v>
      </c>
      <c r="N425" s="9" t="n">
        <v>510.56</v>
      </c>
      <c r="O425" s="9" t="n">
        <v>331.11</v>
      </c>
      <c r="P425" s="9" t="n">
        <v>690</v>
      </c>
      <c r="Q425" s="7" t="inlineStr">
        <is>
          <t>Sí</t>
        </is>
      </c>
      <c r="R425" s="9">
        <f>IF(N425="","",IF(Q425="Sí",ROUND(N425/1.18,2),N425))</f>
        <v/>
      </c>
      <c r="S425" s="7" t="inlineStr">
        <is>
          <t>2026-09-09</t>
        </is>
      </c>
      <c r="T425" s="5" t="inlineStr">
        <is>
          <t>2 cotizaciones de proveedores</t>
        </is>
      </c>
    </row>
    <row r="426">
      <c r="A426" s="7" t="inlineStr">
        <is>
          <t>MAT-13-011</t>
        </is>
      </c>
      <c r="B426" s="7" t="inlineStr">
        <is>
          <t>Materiales</t>
        </is>
      </c>
      <c r="C426" s="7" t="inlineStr">
        <is>
          <t>Plafones y construcción liviana</t>
        </is>
      </c>
      <c r="D426" s="5" t="inlineStr">
        <is>
          <t>Angular para plafón, 10'</t>
        </is>
      </c>
      <c r="E426" s="5" t="inlineStr"/>
      <c r="F426" s="5" t="inlineStr">
        <is>
          <t>Material retirado en almacén</t>
        </is>
      </c>
      <c r="G426" s="5" t="inlineStr">
        <is>
          <t>perfilería de plafón, T-grid</t>
        </is>
      </c>
      <c r="H426" s="7" t="inlineStr">
        <is>
          <t>unidad</t>
        </is>
      </c>
      <c r="I426" s="7" t="inlineStr">
        <is>
          <t>Terminación de superficies</t>
        </is>
      </c>
      <c r="J426" s="7" t="inlineStr">
        <is>
          <t>estandar</t>
        </is>
      </c>
      <c r="K426" s="7" t="inlineStr">
        <is>
          <t>importado</t>
        </is>
      </c>
      <c r="L426" s="7" t="inlineStr">
        <is>
          <t>Verificado</t>
        </is>
      </c>
      <c r="M426" s="8" t="n">
        <v>1</v>
      </c>
      <c r="N426" s="9" t="n">
        <v>98</v>
      </c>
      <c r="O426" s="9" t="n">
        <v>98</v>
      </c>
      <c r="P426" s="9" t="n">
        <v>98</v>
      </c>
      <c r="Q426" s="7" t="inlineStr">
        <is>
          <t>Sí</t>
        </is>
      </c>
      <c r="R426" s="9">
        <f>IF(N426="","",IF(Q426="Sí",ROUND(N426/1.18,2),N426))</f>
        <v/>
      </c>
      <c r="S426" s="7" t="inlineStr">
        <is>
          <t>2026-09-09</t>
        </is>
      </c>
      <c r="T426" s="5" t="inlineStr">
        <is>
          <t>1 cotización de proveedores</t>
        </is>
      </c>
      <c r="AH426" s="4" t="inlineStr">
        <is>
          <t>10'</t>
        </is>
      </c>
    </row>
    <row r="427">
      <c r="A427" s="7" t="inlineStr">
        <is>
          <t>MAT-13-012</t>
        </is>
      </c>
      <c r="B427" s="7" t="inlineStr">
        <is>
          <t>Materiales</t>
        </is>
      </c>
      <c r="C427" s="7" t="inlineStr">
        <is>
          <t>Plafones y construcción liviana</t>
        </is>
      </c>
      <c r="D427" s="5" t="inlineStr">
        <is>
          <t>Cartón piedra, 4'X8' 3X2Mm 1/8"</t>
        </is>
      </c>
      <c r="E427" s="5" t="inlineStr"/>
      <c r="F427" s="5" t="inlineStr">
        <is>
          <t>Material retirado en almacén</t>
        </is>
      </c>
      <c r="G427" s="5" t="inlineStr">
        <is>
          <t>cartón piedra</t>
        </is>
      </c>
      <c r="H427" s="7" t="inlineStr">
        <is>
          <t>unidad</t>
        </is>
      </c>
      <c r="I427" s="7" t="inlineStr">
        <is>
          <t>Terminación de superficies</t>
        </is>
      </c>
      <c r="J427" s="7" t="inlineStr">
        <is>
          <t>estandar</t>
        </is>
      </c>
      <c r="K427" s="7" t="inlineStr">
        <is>
          <t>importado</t>
        </is>
      </c>
      <c r="L427" s="7" t="inlineStr">
        <is>
          <t>Verificado</t>
        </is>
      </c>
      <c r="M427" s="8" t="n">
        <v>1</v>
      </c>
      <c r="N427" s="9" t="n">
        <v>495</v>
      </c>
      <c r="O427" s="9" t="n">
        <v>495</v>
      </c>
      <c r="P427" s="9" t="n">
        <v>495</v>
      </c>
      <c r="Q427" s="7" t="inlineStr">
        <is>
          <t>Sí</t>
        </is>
      </c>
      <c r="R427" s="9">
        <f>IF(N427="","",IF(Q427="Sí",ROUND(N427/1.18,2),N427))</f>
        <v/>
      </c>
      <c r="S427" s="7" t="inlineStr">
        <is>
          <t>2026-09-09</t>
        </is>
      </c>
      <c r="T427" s="5" t="inlineStr">
        <is>
          <t>1 cotización de proveedores</t>
        </is>
      </c>
      <c r="AH427" s="4" t="inlineStr">
        <is>
          <t>4'X8' 3X2Mm 1/8"</t>
        </is>
      </c>
      <c r="AJ427" s="5" t="inlineStr">
        <is>
          <t>Calibre: 1/8"</t>
        </is>
      </c>
    </row>
    <row r="428">
      <c r="A428" s="7" t="inlineStr">
        <is>
          <t>MAT-13-013</t>
        </is>
      </c>
      <c r="B428" s="7" t="inlineStr">
        <is>
          <t>Materiales</t>
        </is>
      </c>
      <c r="C428" s="7" t="inlineStr">
        <is>
          <t>Plafones y construcción liviana</t>
        </is>
      </c>
      <c r="D428" s="5" t="inlineStr">
        <is>
          <t>Cross tee para plafón, 2'</t>
        </is>
      </c>
      <c r="E428" s="5" t="inlineStr"/>
      <c r="F428" s="5" t="inlineStr">
        <is>
          <t>Material retirado en almacén</t>
        </is>
      </c>
      <c r="G428" s="5" t="inlineStr">
        <is>
          <t>perfilería de plafón, T-grid</t>
        </is>
      </c>
      <c r="H428" s="7" t="inlineStr">
        <is>
          <t>unidad</t>
        </is>
      </c>
      <c r="I428" s="7" t="inlineStr">
        <is>
          <t>Terminación de superficies</t>
        </is>
      </c>
      <c r="J428" s="7" t="inlineStr">
        <is>
          <t>estandar</t>
        </is>
      </c>
      <c r="K428" s="7" t="inlineStr">
        <is>
          <t>importado</t>
        </is>
      </c>
      <c r="L428" s="7" t="inlineStr">
        <is>
          <t>Verificado</t>
        </is>
      </c>
      <c r="M428" s="8" t="n">
        <v>1</v>
      </c>
      <c r="N428" s="9" t="n">
        <v>26</v>
      </c>
      <c r="O428" s="9" t="n">
        <v>26</v>
      </c>
      <c r="P428" s="9" t="n">
        <v>26</v>
      </c>
      <c r="Q428" s="7" t="inlineStr">
        <is>
          <t>Sí</t>
        </is>
      </c>
      <c r="R428" s="9">
        <f>IF(N428="","",IF(Q428="Sí",ROUND(N428/1.18,2),N428))</f>
        <v/>
      </c>
      <c r="S428" s="7" t="inlineStr">
        <is>
          <t>2026-09-09</t>
        </is>
      </c>
      <c r="T428" s="5" t="inlineStr">
        <is>
          <t>1 cotización de proveedores</t>
        </is>
      </c>
      <c r="AH428" s="4" t="inlineStr">
        <is>
          <t>2'</t>
        </is>
      </c>
    </row>
    <row r="429">
      <c r="A429" s="7" t="inlineStr">
        <is>
          <t>MAT-13-014</t>
        </is>
      </c>
      <c r="B429" s="7" t="inlineStr">
        <is>
          <t>Materiales</t>
        </is>
      </c>
      <c r="C429" s="7" t="inlineStr">
        <is>
          <t>Plafones y construcción liviana</t>
        </is>
      </c>
      <c r="D429" s="5" t="inlineStr">
        <is>
          <t>Cross tee para plafón, 4'</t>
        </is>
      </c>
      <c r="E429" s="5" t="inlineStr"/>
      <c r="F429" s="5" t="inlineStr">
        <is>
          <t>Material retirado en almacén</t>
        </is>
      </c>
      <c r="G429" s="5" t="inlineStr">
        <is>
          <t>perfilería de plafón, T-grid</t>
        </is>
      </c>
      <c r="H429" s="7" t="inlineStr">
        <is>
          <t>unidad</t>
        </is>
      </c>
      <c r="I429" s="7" t="inlineStr">
        <is>
          <t>Terminación de superficies</t>
        </is>
      </c>
      <c r="J429" s="7" t="inlineStr">
        <is>
          <t>estandar</t>
        </is>
      </c>
      <c r="K429" s="7" t="inlineStr">
        <is>
          <t>importado</t>
        </is>
      </c>
      <c r="L429" s="7" t="inlineStr">
        <is>
          <t>Verificado</t>
        </is>
      </c>
      <c r="M429" s="8" t="n">
        <v>1</v>
      </c>
      <c r="N429" s="9" t="n">
        <v>56</v>
      </c>
      <c r="O429" s="9" t="n">
        <v>56</v>
      </c>
      <c r="P429" s="9" t="n">
        <v>56</v>
      </c>
      <c r="Q429" s="7" t="inlineStr">
        <is>
          <t>Sí</t>
        </is>
      </c>
      <c r="R429" s="9">
        <f>IF(N429="","",IF(Q429="Sí",ROUND(N429/1.18,2),N429))</f>
        <v/>
      </c>
      <c r="S429" s="7" t="inlineStr">
        <is>
          <t>2026-09-09</t>
        </is>
      </c>
      <c r="T429" s="5" t="inlineStr">
        <is>
          <t>1 cotización de proveedores</t>
        </is>
      </c>
      <c r="AH429" s="4" t="inlineStr">
        <is>
          <t>4'</t>
        </is>
      </c>
    </row>
    <row r="430">
      <c r="A430" s="7" t="inlineStr">
        <is>
          <t>MAT-13-015</t>
        </is>
      </c>
      <c r="B430" s="7" t="inlineStr">
        <is>
          <t>Materiales</t>
        </is>
      </c>
      <c r="C430" s="7" t="inlineStr">
        <is>
          <t>Plafones y construcción liviana</t>
        </is>
      </c>
      <c r="D430" s="5" t="inlineStr">
        <is>
          <t>Durmiente para plafón, 2-1/2"X10 calibre 25</t>
        </is>
      </c>
      <c r="E430" s="5" t="inlineStr"/>
      <c r="F430" s="5" t="inlineStr">
        <is>
          <t>Material retirado en almacén</t>
        </is>
      </c>
      <c r="G430" s="5" t="inlineStr">
        <is>
          <t>durmiente, perfilería</t>
        </is>
      </c>
      <c r="H430" s="7" t="inlineStr">
        <is>
          <t>unidad</t>
        </is>
      </c>
      <c r="I430" s="7" t="inlineStr">
        <is>
          <t>Terminación de superficies</t>
        </is>
      </c>
      <c r="J430" s="7" t="inlineStr">
        <is>
          <t>estandar</t>
        </is>
      </c>
      <c r="K430" s="7" t="inlineStr">
        <is>
          <t>importado</t>
        </is>
      </c>
      <c r="L430" s="7" t="inlineStr">
        <is>
          <t>Verificado</t>
        </is>
      </c>
      <c r="M430" s="8" t="n">
        <v>1</v>
      </c>
      <c r="N430" s="9" t="n">
        <v>149</v>
      </c>
      <c r="O430" s="9" t="n">
        <v>149</v>
      </c>
      <c r="P430" s="9" t="n">
        <v>149</v>
      </c>
      <c r="Q430" s="7" t="inlineStr">
        <is>
          <t>Sí</t>
        </is>
      </c>
      <c r="R430" s="9">
        <f>IF(N430="","",IF(Q430="Sí",ROUND(N430/1.18,2),N430))</f>
        <v/>
      </c>
      <c r="S430" s="7" t="inlineStr">
        <is>
          <t>2026-09-09</t>
        </is>
      </c>
      <c r="T430" s="5" t="inlineStr">
        <is>
          <t>1 cotización de proveedores</t>
        </is>
      </c>
      <c r="AH430" s="4" t="inlineStr">
        <is>
          <t>2-1/2"X10</t>
        </is>
      </c>
      <c r="AJ430" s="5" t="inlineStr">
        <is>
          <t>Calibre: 25</t>
        </is>
      </c>
    </row>
    <row r="431">
      <c r="A431" s="7" t="inlineStr">
        <is>
          <t>MAT-13-016</t>
        </is>
      </c>
      <c r="B431" s="7" t="inlineStr">
        <is>
          <t>Materiales</t>
        </is>
      </c>
      <c r="C431" s="7" t="inlineStr">
        <is>
          <t>Plafones y construcción liviana</t>
        </is>
      </c>
      <c r="D431" s="5" t="inlineStr">
        <is>
          <t>Main tee para plafón, 12'</t>
        </is>
      </c>
      <c r="E431" s="5" t="inlineStr"/>
      <c r="F431" s="5" t="inlineStr">
        <is>
          <t>Material retirado en almacén</t>
        </is>
      </c>
      <c r="G431" s="5" t="inlineStr">
        <is>
          <t>perfilería de plafón, T-grid</t>
        </is>
      </c>
      <c r="H431" s="7" t="inlineStr">
        <is>
          <t>unidad</t>
        </is>
      </c>
      <c r="I431" s="7" t="inlineStr">
        <is>
          <t>Terminación de superficies</t>
        </is>
      </c>
      <c r="J431" s="7" t="inlineStr">
        <is>
          <t>estandar</t>
        </is>
      </c>
      <c r="K431" s="7" t="inlineStr">
        <is>
          <t>importado</t>
        </is>
      </c>
      <c r="L431" s="7" t="inlineStr">
        <is>
          <t>Verificado</t>
        </is>
      </c>
      <c r="M431" s="8" t="n">
        <v>1</v>
      </c>
      <c r="N431" s="9" t="n">
        <v>186</v>
      </c>
      <c r="O431" s="9" t="n">
        <v>186</v>
      </c>
      <c r="P431" s="9" t="n">
        <v>186</v>
      </c>
      <c r="Q431" s="7" t="inlineStr">
        <is>
          <t>Sí</t>
        </is>
      </c>
      <c r="R431" s="9">
        <f>IF(N431="","",IF(Q431="Sí",ROUND(N431/1.18,2),N431))</f>
        <v/>
      </c>
      <c r="S431" s="7" t="inlineStr">
        <is>
          <t>2026-09-09</t>
        </is>
      </c>
      <c r="T431" s="5" t="inlineStr">
        <is>
          <t>1 cotización de proveedores</t>
        </is>
      </c>
      <c r="AH431" s="4" t="inlineStr">
        <is>
          <t>12'</t>
        </is>
      </c>
    </row>
    <row r="432">
      <c r="A432" s="7" t="inlineStr">
        <is>
          <t>MAT-13-017</t>
        </is>
      </c>
      <c r="B432" s="7" t="inlineStr">
        <is>
          <t>Materiales</t>
        </is>
      </c>
      <c r="C432" s="7" t="inlineStr">
        <is>
          <t>Plafones y construcción liviana</t>
        </is>
      </c>
      <c r="D432" s="5" t="inlineStr">
        <is>
          <t>Paral para plafón, 2-1/2"X10 calibre 25</t>
        </is>
      </c>
      <c r="E432" s="5" t="inlineStr"/>
      <c r="F432" s="5" t="inlineStr">
        <is>
          <t>Material retirado en almacén</t>
        </is>
      </c>
      <c r="G432" s="5" t="inlineStr">
        <is>
          <t>paral, stud, perfilería</t>
        </is>
      </c>
      <c r="H432" s="7" t="inlineStr">
        <is>
          <t>unidad</t>
        </is>
      </c>
      <c r="I432" s="7" t="inlineStr">
        <is>
          <t>Terminación de superficies</t>
        </is>
      </c>
      <c r="J432" s="7" t="inlineStr">
        <is>
          <t>estandar</t>
        </is>
      </c>
      <c r="K432" s="7" t="inlineStr">
        <is>
          <t>importado</t>
        </is>
      </c>
      <c r="L432" s="7" t="inlineStr">
        <is>
          <t>Verificado</t>
        </is>
      </c>
      <c r="M432" s="8" t="n">
        <v>1</v>
      </c>
      <c r="N432" s="9" t="n">
        <v>185</v>
      </c>
      <c r="O432" s="9" t="n">
        <v>185</v>
      </c>
      <c r="P432" s="9" t="n">
        <v>185</v>
      </c>
      <c r="Q432" s="7" t="inlineStr">
        <is>
          <t>Sí</t>
        </is>
      </c>
      <c r="R432" s="9">
        <f>IF(N432="","",IF(Q432="Sí",ROUND(N432/1.18,2),N432))</f>
        <v/>
      </c>
      <c r="S432" s="7" t="inlineStr">
        <is>
          <t>2026-09-09</t>
        </is>
      </c>
      <c r="T432" s="5" t="inlineStr">
        <is>
          <t>1 cotización de proveedores</t>
        </is>
      </c>
      <c r="AH432" s="4" t="inlineStr">
        <is>
          <t>2-1/2"X10</t>
        </is>
      </c>
      <c r="AJ432" s="5" t="inlineStr">
        <is>
          <t>Calibre: 25</t>
        </is>
      </c>
    </row>
    <row r="433">
      <c r="A433" s="7" t="inlineStr">
        <is>
          <t>MAT-13-018</t>
        </is>
      </c>
      <c r="B433" s="7" t="inlineStr">
        <is>
          <t>Materiales</t>
        </is>
      </c>
      <c r="C433" s="7" t="inlineStr">
        <is>
          <t>Plafones y construcción liviana</t>
        </is>
      </c>
      <c r="D433" s="5" t="inlineStr">
        <is>
          <t>Plafón, 2X4'</t>
        </is>
      </c>
      <c r="E433" s="5" t="inlineStr"/>
      <c r="F433" s="5" t="inlineStr">
        <is>
          <t>Material retirado en almacén</t>
        </is>
      </c>
      <c r="G433" s="5" t="inlineStr">
        <is>
          <t>plafón</t>
        </is>
      </c>
      <c r="H433" s="7" t="inlineStr">
        <is>
          <t>unidad</t>
        </is>
      </c>
      <c r="I433" s="7" t="inlineStr">
        <is>
          <t>Terminación de superficies</t>
        </is>
      </c>
      <c r="J433" s="7" t="inlineStr">
        <is>
          <t>estandar</t>
        </is>
      </c>
      <c r="K433" s="7" t="inlineStr">
        <is>
          <t>importado</t>
        </is>
      </c>
      <c r="L433" s="7" t="inlineStr">
        <is>
          <t>Verificado</t>
        </is>
      </c>
      <c r="M433" s="8" t="n">
        <v>1</v>
      </c>
      <c r="N433" s="9" t="n">
        <v>295</v>
      </c>
      <c r="O433" s="9" t="n">
        <v>295</v>
      </c>
      <c r="P433" s="9" t="n">
        <v>295</v>
      </c>
      <c r="Q433" s="7" t="inlineStr">
        <is>
          <t>Sí</t>
        </is>
      </c>
      <c r="R433" s="9">
        <f>IF(N433="","",IF(Q433="Sí",ROUND(N433/1.18,2),N433))</f>
        <v/>
      </c>
      <c r="S433" s="7" t="inlineStr">
        <is>
          <t>2026-09-09</t>
        </is>
      </c>
      <c r="T433" s="5" t="inlineStr">
        <is>
          <t>1 cotización de proveedores</t>
        </is>
      </c>
      <c r="AH433" s="4" t="inlineStr">
        <is>
          <t>2X4'</t>
        </is>
      </c>
    </row>
    <row r="434">
      <c r="A434" s="7" t="inlineStr">
        <is>
          <t>MAT-13-019</t>
        </is>
      </c>
      <c r="B434" s="7" t="inlineStr">
        <is>
          <t>Materiales</t>
        </is>
      </c>
      <c r="C434" s="7" t="inlineStr">
        <is>
          <t>Plafones y construcción liviana</t>
        </is>
      </c>
      <c r="D434" s="5" t="inlineStr">
        <is>
          <t>Plafón blanco, 250X5800X7MM</t>
        </is>
      </c>
      <c r="E434" s="5" t="inlineStr"/>
      <c r="F434" s="5" t="inlineStr">
        <is>
          <t>Material retirado en almacén</t>
        </is>
      </c>
      <c r="G434" s="5" t="inlineStr">
        <is>
          <t>plafón</t>
        </is>
      </c>
      <c r="H434" s="7" t="inlineStr">
        <is>
          <t>unidad</t>
        </is>
      </c>
      <c r="I434" s="7" t="inlineStr">
        <is>
          <t>Terminación de superficies</t>
        </is>
      </c>
      <c r="J434" s="7" t="inlineStr">
        <is>
          <t>estandar</t>
        </is>
      </c>
      <c r="K434" s="7" t="inlineStr">
        <is>
          <t>importado</t>
        </is>
      </c>
      <c r="L434" s="7" t="inlineStr">
        <is>
          <t>Verificado</t>
        </is>
      </c>
      <c r="M434" s="8" t="n">
        <v>1</v>
      </c>
      <c r="N434" s="9" t="n">
        <v>375</v>
      </c>
      <c r="O434" s="9" t="n">
        <v>375</v>
      </c>
      <c r="P434" s="9" t="n">
        <v>375</v>
      </c>
      <c r="Q434" s="7" t="inlineStr">
        <is>
          <t>Sí</t>
        </is>
      </c>
      <c r="R434" s="9">
        <f>IF(N434="","",IF(Q434="Sí",ROUND(N434/1.18,2),N434))</f>
        <v/>
      </c>
      <c r="S434" s="7" t="inlineStr">
        <is>
          <t>2026-09-09</t>
        </is>
      </c>
      <c r="T434" s="5" t="inlineStr">
        <is>
          <t>1 cotización de proveedores</t>
        </is>
      </c>
      <c r="AH434" s="4" t="inlineStr">
        <is>
          <t>250X5800X7MM</t>
        </is>
      </c>
      <c r="AI434" s="4" t="inlineStr">
        <is>
          <t>blanco</t>
        </is>
      </c>
    </row>
    <row r="435">
      <c r="A435" s="7" t="inlineStr">
        <is>
          <t>MAT-13-020</t>
        </is>
      </c>
      <c r="B435" s="7" t="inlineStr">
        <is>
          <t>Materiales</t>
        </is>
      </c>
      <c r="C435" s="7" t="inlineStr">
        <is>
          <t>Plafones y construcción liviana</t>
        </is>
      </c>
      <c r="D435" s="5" t="inlineStr">
        <is>
          <t>Plafón blanco, 2X4'</t>
        </is>
      </c>
      <c r="E435" s="5" t="inlineStr"/>
      <c r="F435" s="5" t="inlineStr">
        <is>
          <t>Material retirado en almacén</t>
        </is>
      </c>
      <c r="G435" s="5" t="inlineStr">
        <is>
          <t>plafón</t>
        </is>
      </c>
      <c r="H435" s="7" t="inlineStr">
        <is>
          <t>unidad</t>
        </is>
      </c>
      <c r="I435" s="7" t="inlineStr">
        <is>
          <t>Terminación de superficies</t>
        </is>
      </c>
      <c r="J435" s="7" t="inlineStr">
        <is>
          <t>estandar</t>
        </is>
      </c>
      <c r="K435" s="7" t="inlineStr">
        <is>
          <t>importado</t>
        </is>
      </c>
      <c r="L435" s="7" t="inlineStr">
        <is>
          <t>Verificado</t>
        </is>
      </c>
      <c r="M435" s="8" t="n">
        <v>1</v>
      </c>
      <c r="N435" s="9" t="n">
        <v>202</v>
      </c>
      <c r="O435" s="9" t="n">
        <v>202</v>
      </c>
      <c r="P435" s="9" t="n">
        <v>202</v>
      </c>
      <c r="Q435" s="7" t="inlineStr">
        <is>
          <t>Sí</t>
        </is>
      </c>
      <c r="R435" s="9">
        <f>IF(N435="","",IF(Q435="Sí",ROUND(N435/1.18,2),N435))</f>
        <v/>
      </c>
      <c r="S435" s="7" t="inlineStr">
        <is>
          <t>2026-09-09</t>
        </is>
      </c>
      <c r="T435" s="5" t="inlineStr">
        <is>
          <t>1 cotización de proveedores</t>
        </is>
      </c>
      <c r="AH435" s="4" t="inlineStr">
        <is>
          <t>2X4'</t>
        </is>
      </c>
      <c r="AI435" s="4" t="inlineStr">
        <is>
          <t>blanco</t>
        </is>
      </c>
    </row>
    <row r="436">
      <c r="A436" s="7" t="inlineStr">
        <is>
          <t>MAT-16-003</t>
        </is>
      </c>
      <c r="B436" s="7" t="inlineStr">
        <is>
          <t>Materiales</t>
        </is>
      </c>
      <c r="C436" s="7" t="inlineStr">
        <is>
          <t>Cámaras y videovigilancia</t>
        </is>
      </c>
      <c r="D436" s="5" t="inlineStr">
        <is>
          <t>Kit de videovigilancia 4 cámaras bullet 2 MP</t>
        </is>
      </c>
      <c r="E436" s="5" t="inlineStr">
        <is>
          <t>Cámaras, grabador y disco en un solo paquete</t>
        </is>
      </c>
      <c r="F436" s="5" t="inlineStr">
        <is>
          <t>Material retirado en almacén</t>
        </is>
      </c>
      <c r="G436" s="5" t="inlineStr">
        <is>
          <t>kit de cámaras, combo de videovigilancia</t>
        </is>
      </c>
      <c r="H436" s="7" t="inlineStr">
        <is>
          <t>juego</t>
        </is>
      </c>
      <c r="I436" s="7" t="inlineStr">
        <is>
          <t>Estructura</t>
        </is>
      </c>
      <c r="J436" s="7" t="inlineStr">
        <is>
          <t>estandar</t>
        </is>
      </c>
      <c r="K436" s="7" t="inlineStr">
        <is>
          <t>importado</t>
        </is>
      </c>
      <c r="L436" s="7" t="inlineStr">
        <is>
          <t>Verificado</t>
        </is>
      </c>
      <c r="M436" s="8" t="n">
        <v>1</v>
      </c>
      <c r="N436" s="9" t="n">
        <v>18221.03</v>
      </c>
      <c r="O436" s="9" t="n">
        <v>18221.03</v>
      </c>
      <c r="P436" s="9" t="n">
        <v>18221.03</v>
      </c>
      <c r="Q436" s="7" t="inlineStr">
        <is>
          <t>Sí</t>
        </is>
      </c>
      <c r="R436" s="9">
        <f>IF(N436="","",IF(Q436="Sí",ROUND(N436/1.18,2),N436))</f>
        <v/>
      </c>
      <c r="S436" s="7" t="inlineStr">
        <is>
          <t>2026-09-09</t>
        </is>
      </c>
      <c r="T436" s="5" t="inlineStr">
        <is>
          <t>1 cotización de proveedores</t>
        </is>
      </c>
      <c r="Z436" s="4" t="inlineStr">
        <is>
          <t>bullet</t>
        </is>
      </c>
      <c r="AA436" s="4" t="n">
        <v>2</v>
      </c>
      <c r="AJ436" s="5" t="inlineStr">
        <is>
          <t>Cámaras: 4</t>
        </is>
      </c>
    </row>
    <row r="437">
      <c r="A437" s="7" t="inlineStr">
        <is>
          <t>MAT-16-004</t>
        </is>
      </c>
      <c r="B437" s="7" t="inlineStr">
        <is>
          <t>Materiales</t>
        </is>
      </c>
      <c r="C437" s="7" t="inlineStr">
        <is>
          <t>Cámaras y videovigilancia</t>
        </is>
      </c>
      <c r="D437" s="5" t="inlineStr">
        <is>
          <t>Kit de videovigilancia 4 cámaras domo 2 MP</t>
        </is>
      </c>
      <c r="E437" s="5" t="inlineStr">
        <is>
          <t>Cámaras, grabador y disco en un solo paquete</t>
        </is>
      </c>
      <c r="F437" s="5" t="inlineStr">
        <is>
          <t>Material retirado en almacén</t>
        </is>
      </c>
      <c r="G437" s="5" t="inlineStr">
        <is>
          <t>kit de cámaras, combo de videovigilancia</t>
        </is>
      </c>
      <c r="H437" s="7" t="inlineStr">
        <is>
          <t>juego</t>
        </is>
      </c>
      <c r="I437" s="7" t="inlineStr">
        <is>
          <t>Estructura</t>
        </is>
      </c>
      <c r="J437" s="7" t="inlineStr">
        <is>
          <t>estandar</t>
        </is>
      </c>
      <c r="K437" s="7" t="inlineStr">
        <is>
          <t>importado</t>
        </is>
      </c>
      <c r="L437" s="7" t="inlineStr">
        <is>
          <t>Verificado</t>
        </is>
      </c>
      <c r="M437" s="8" t="n">
        <v>1</v>
      </c>
      <c r="N437" s="9" t="n">
        <v>17133.95</v>
      </c>
      <c r="O437" s="9" t="n">
        <v>17133.95</v>
      </c>
      <c r="P437" s="9" t="n">
        <v>17133.95</v>
      </c>
      <c r="Q437" s="7" t="inlineStr">
        <is>
          <t>Sí</t>
        </is>
      </c>
      <c r="R437" s="9">
        <f>IF(N437="","",IF(Q437="Sí",ROUND(N437/1.18,2),N437))</f>
        <v/>
      </c>
      <c r="S437" s="7" t="inlineStr">
        <is>
          <t>2026-09-09</t>
        </is>
      </c>
      <c r="T437" s="5" t="inlineStr">
        <is>
          <t>1 cotización de proveedores</t>
        </is>
      </c>
      <c r="Z437" s="4" t="inlineStr">
        <is>
          <t>domo</t>
        </is>
      </c>
      <c r="AA437" s="4" t="n">
        <v>2</v>
      </c>
      <c r="AJ437" s="5" t="inlineStr">
        <is>
          <t>Cámaras: 4</t>
        </is>
      </c>
    </row>
    <row r="438">
      <c r="A438" s="7" t="inlineStr">
        <is>
          <t>MAT-16-005</t>
        </is>
      </c>
      <c r="B438" s="7" t="inlineStr">
        <is>
          <t>Materiales</t>
        </is>
      </c>
      <c r="C438" s="7" t="inlineStr">
        <is>
          <t>Cámaras y videovigilancia</t>
        </is>
      </c>
      <c r="D438" s="5" t="inlineStr">
        <is>
          <t>Cámara de seguridad</t>
        </is>
      </c>
      <c r="E438" s="5" t="inlineStr">
        <is>
          <t>Cámara de circuito cerrado para videovigilancia</t>
        </is>
      </c>
      <c r="F438" s="5" t="inlineStr">
        <is>
          <t>Material retirado en almacén</t>
        </is>
      </c>
      <c r="G438" s="5" t="inlineStr">
        <is>
          <t>cámara CCTV, cámara de seguridad</t>
        </is>
      </c>
      <c r="H438" s="7" t="inlineStr">
        <is>
          <t>unidad</t>
        </is>
      </c>
      <c r="I438" s="7" t="inlineStr">
        <is>
          <t>Estructura</t>
        </is>
      </c>
      <c r="J438" s="7" t="inlineStr">
        <is>
          <t>estandar</t>
        </is>
      </c>
      <c r="K438" s="7" t="inlineStr">
        <is>
          <t>importado</t>
        </is>
      </c>
      <c r="L438" s="7" t="inlineStr">
        <is>
          <t>Verificado</t>
        </is>
      </c>
      <c r="M438" s="8" t="n">
        <v>1</v>
      </c>
      <c r="N438" s="9" t="n">
        <v>3342.09</v>
      </c>
      <c r="O438" s="9" t="n">
        <v>2548.17</v>
      </c>
      <c r="P438" s="9" t="n">
        <v>4136.01</v>
      </c>
      <c r="Q438" s="7" t="inlineStr">
        <is>
          <t>Sí</t>
        </is>
      </c>
      <c r="R438" s="9">
        <f>IF(N438="","",IF(Q438="Sí",ROUND(N438/1.18,2),N438))</f>
        <v/>
      </c>
      <c r="S438" s="7" t="inlineStr">
        <is>
          <t>2026-09-09</t>
        </is>
      </c>
      <c r="T438" s="5" t="inlineStr">
        <is>
          <t>2 cotizaciones de proveedores</t>
        </is>
      </c>
    </row>
    <row r="439">
      <c r="A439" s="7" t="inlineStr">
        <is>
          <t>MAT-16-006</t>
        </is>
      </c>
      <c r="B439" s="7" t="inlineStr">
        <is>
          <t>Materiales</t>
        </is>
      </c>
      <c r="C439" s="7" t="inlineStr">
        <is>
          <t>Cámaras y videovigilancia</t>
        </is>
      </c>
      <c r="D439" s="5" t="inlineStr">
        <is>
          <t>Cámara de seguridad bullet</t>
        </is>
      </c>
      <c r="E439" s="5" t="inlineStr">
        <is>
          <t>Cámara de circuito cerrado para videovigilancia</t>
        </is>
      </c>
      <c r="F439" s="5" t="inlineStr">
        <is>
          <t>Material retirado en almacén</t>
        </is>
      </c>
      <c r="G439" s="5" t="inlineStr">
        <is>
          <t>cámara CCTV, cámara de seguridad</t>
        </is>
      </c>
      <c r="H439" s="7" t="inlineStr">
        <is>
          <t>unidad</t>
        </is>
      </c>
      <c r="I439" s="7" t="inlineStr">
        <is>
          <t>Estructura</t>
        </is>
      </c>
      <c r="J439" s="7" t="inlineStr">
        <is>
          <t>estandar</t>
        </is>
      </c>
      <c r="K439" s="7" t="inlineStr">
        <is>
          <t>importado</t>
        </is>
      </c>
      <c r="L439" s="7" t="inlineStr">
        <is>
          <t>Verificado</t>
        </is>
      </c>
      <c r="M439" s="8" t="n">
        <v>1</v>
      </c>
      <c r="N439" s="9" t="n">
        <v>2588.72</v>
      </c>
      <c r="O439" s="9" t="n">
        <v>2191.4</v>
      </c>
      <c r="P439" s="9" t="n">
        <v>5547.25</v>
      </c>
      <c r="Q439" s="7" t="inlineStr">
        <is>
          <t>Sí</t>
        </is>
      </c>
      <c r="R439" s="9">
        <f>IF(N439="","",IF(Q439="Sí",ROUND(N439/1.18,2),N439))</f>
        <v/>
      </c>
      <c r="S439" s="7" t="inlineStr">
        <is>
          <t>2026-09-09</t>
        </is>
      </c>
      <c r="T439" s="5" t="inlineStr">
        <is>
          <t>3 cotizaciones de proveedores</t>
        </is>
      </c>
      <c r="Z439" s="4" t="inlineStr">
        <is>
          <t>bullet</t>
        </is>
      </c>
      <c r="AC439" s="4" t="inlineStr">
        <is>
          <t>IP</t>
        </is>
      </c>
    </row>
    <row r="440">
      <c r="A440" s="7" t="inlineStr">
        <is>
          <t>MAT-16-007</t>
        </is>
      </c>
      <c r="B440" s="7" t="inlineStr">
        <is>
          <t>Materiales</t>
        </is>
      </c>
      <c r="C440" s="7" t="inlineStr">
        <is>
          <t>Cámaras y videovigilancia</t>
        </is>
      </c>
      <c r="D440" s="5" t="inlineStr">
        <is>
          <t>Cámara de seguridad bullet 2 MP</t>
        </is>
      </c>
      <c r="E440" s="5" t="inlineStr">
        <is>
          <t>Cámara de circuito cerrado para videovigilancia</t>
        </is>
      </c>
      <c r="F440" s="5" t="inlineStr">
        <is>
          <t>Material retirado en almacén</t>
        </is>
      </c>
      <c r="G440" s="5" t="inlineStr">
        <is>
          <t>cámara CCTV, cámara de seguridad</t>
        </is>
      </c>
      <c r="H440" s="7" t="inlineStr">
        <is>
          <t>unidad</t>
        </is>
      </c>
      <c r="I440" s="7" t="inlineStr">
        <is>
          <t>Estructura</t>
        </is>
      </c>
      <c r="J440" s="7" t="inlineStr">
        <is>
          <t>estandar</t>
        </is>
      </c>
      <c r="K440" s="7" t="inlineStr">
        <is>
          <t>importado</t>
        </is>
      </c>
      <c r="L440" s="7" t="inlineStr">
        <is>
          <t>Verificado</t>
        </is>
      </c>
      <c r="M440" s="8" t="n">
        <v>1</v>
      </c>
      <c r="N440" s="9" t="n">
        <v>4606.9</v>
      </c>
      <c r="O440" s="9" t="n">
        <v>1784.16</v>
      </c>
      <c r="P440" s="9" t="n">
        <v>8801.58</v>
      </c>
      <c r="Q440" s="7" t="inlineStr">
        <is>
          <t>Sí</t>
        </is>
      </c>
      <c r="R440" s="9">
        <f>IF(N440="","",IF(Q440="Sí",ROUND(N440/1.18,2),N440))</f>
        <v/>
      </c>
      <c r="S440" s="7" t="inlineStr">
        <is>
          <t>2026-09-09</t>
        </is>
      </c>
      <c r="T440" s="5" t="inlineStr">
        <is>
          <t>7 cotizaciones de proveedores</t>
        </is>
      </c>
      <c r="Z440" s="4" t="inlineStr">
        <is>
          <t>bullet</t>
        </is>
      </c>
      <c r="AA440" s="4" t="n">
        <v>2</v>
      </c>
      <c r="AB440" s="4" t="n">
        <v>2.8</v>
      </c>
      <c r="AC440" s="4" t="inlineStr">
        <is>
          <t>HDCVI</t>
        </is>
      </c>
      <c r="AJ440" s="5" t="inlineStr">
        <is>
          <t>Alcance IR (m): 40</t>
        </is>
      </c>
    </row>
    <row r="441">
      <c r="A441" s="7" t="inlineStr">
        <is>
          <t>MAT-16-008</t>
        </is>
      </c>
      <c r="B441" s="7" t="inlineStr">
        <is>
          <t>Materiales</t>
        </is>
      </c>
      <c r="C441" s="7" t="inlineStr">
        <is>
          <t>Cámaras y videovigilancia</t>
        </is>
      </c>
      <c r="D441" s="5" t="inlineStr">
        <is>
          <t>Cámara de seguridad bullet 4 MP</t>
        </is>
      </c>
      <c r="E441" s="5" t="inlineStr">
        <is>
          <t>Cámara de circuito cerrado para videovigilancia</t>
        </is>
      </c>
      <c r="F441" s="5" t="inlineStr">
        <is>
          <t>Material retirado en almacén</t>
        </is>
      </c>
      <c r="G441" s="5" t="inlineStr">
        <is>
          <t>cámara CCTV, cámara de seguridad</t>
        </is>
      </c>
      <c r="H441" s="7" t="inlineStr">
        <is>
          <t>unidad</t>
        </is>
      </c>
      <c r="I441" s="7" t="inlineStr">
        <is>
          <t>Estructura</t>
        </is>
      </c>
      <c r="J441" s="7" t="inlineStr">
        <is>
          <t>estandar</t>
        </is>
      </c>
      <c r="K441" s="7" t="inlineStr">
        <is>
          <t>importado</t>
        </is>
      </c>
      <c r="L441" s="7" t="inlineStr">
        <is>
          <t>Verificado</t>
        </is>
      </c>
      <c r="M441" s="8" t="n">
        <v>1</v>
      </c>
      <c r="N441" s="9" t="n">
        <v>9064.129999999999</v>
      </c>
      <c r="O441" s="9" t="n">
        <v>3087.35</v>
      </c>
      <c r="P441" s="9" t="n">
        <v>17705.5</v>
      </c>
      <c r="Q441" s="7" t="inlineStr">
        <is>
          <t>Sí</t>
        </is>
      </c>
      <c r="R441" s="9">
        <f>IF(N441="","",IF(Q441="Sí",ROUND(N441/1.18,2),N441))</f>
        <v/>
      </c>
      <c r="S441" s="7" t="inlineStr">
        <is>
          <t>2026-09-09</t>
        </is>
      </c>
      <c r="T441" s="5" t="inlineStr">
        <is>
          <t>3 cotizaciones de proveedores</t>
        </is>
      </c>
      <c r="Z441" s="4" t="inlineStr">
        <is>
          <t>bullet</t>
        </is>
      </c>
      <c r="AA441" s="4" t="n">
        <v>4</v>
      </c>
      <c r="AB441" s="4" t="n">
        <v>2.8</v>
      </c>
      <c r="AC441" s="4" t="inlineStr">
        <is>
          <t>IP</t>
        </is>
      </c>
    </row>
    <row r="442">
      <c r="A442" s="7" t="inlineStr">
        <is>
          <t>MAT-16-009</t>
        </is>
      </c>
      <c r="B442" s="7" t="inlineStr">
        <is>
          <t>Materiales</t>
        </is>
      </c>
      <c r="C442" s="7" t="inlineStr">
        <is>
          <t>Cámaras y videovigilancia</t>
        </is>
      </c>
      <c r="D442" s="5" t="inlineStr">
        <is>
          <t>Cámara de seguridad bullet 5 MP</t>
        </is>
      </c>
      <c r="E442" s="5" t="inlineStr">
        <is>
          <t>Cámara de circuito cerrado para videovigilancia</t>
        </is>
      </c>
      <c r="F442" s="5" t="inlineStr">
        <is>
          <t>Material retirado en almacén</t>
        </is>
      </c>
      <c r="G442" s="5" t="inlineStr">
        <is>
          <t>cámara CCTV, cámara de seguridad</t>
        </is>
      </c>
      <c r="H442" s="7" t="inlineStr">
        <is>
          <t>unidad</t>
        </is>
      </c>
      <c r="I442" s="7" t="inlineStr">
        <is>
          <t>Estructura</t>
        </is>
      </c>
      <c r="J442" s="7" t="inlineStr">
        <is>
          <t>estandar</t>
        </is>
      </c>
      <c r="K442" s="7" t="inlineStr">
        <is>
          <t>importado</t>
        </is>
      </c>
      <c r="L442" s="7" t="inlineStr">
        <is>
          <t>Verificado</t>
        </is>
      </c>
      <c r="M442" s="8" t="n">
        <v>1</v>
      </c>
      <c r="N442" s="9" t="n">
        <v>5675.9</v>
      </c>
      <c r="O442" s="9" t="n">
        <v>1394.08</v>
      </c>
      <c r="P442" s="9" t="n">
        <v>12499.73</v>
      </c>
      <c r="Q442" s="7" t="inlineStr">
        <is>
          <t>Sí</t>
        </is>
      </c>
      <c r="R442" s="9">
        <f>IF(N442="","",IF(Q442="Sí",ROUND(N442/1.18,2),N442))</f>
        <v/>
      </c>
      <c r="S442" s="7" t="inlineStr">
        <is>
          <t>2026-09-09</t>
        </is>
      </c>
      <c r="T442" s="5" t="inlineStr">
        <is>
          <t>5 cotizaciones de proveedores</t>
        </is>
      </c>
      <c r="Z442" s="4" t="inlineStr">
        <is>
          <t>bullet</t>
        </is>
      </c>
      <c r="AA442" s="4" t="n">
        <v>5</v>
      </c>
      <c r="AB442" s="4" t="n">
        <v>12</v>
      </c>
      <c r="AC442" s="4" t="inlineStr">
        <is>
          <t>IP</t>
        </is>
      </c>
    </row>
    <row r="443">
      <c r="A443" s="7" t="inlineStr">
        <is>
          <t>MAT-16-010</t>
        </is>
      </c>
      <c r="B443" s="7" t="inlineStr">
        <is>
          <t>Materiales</t>
        </is>
      </c>
      <c r="C443" s="7" t="inlineStr">
        <is>
          <t>Cámaras y videovigilancia</t>
        </is>
      </c>
      <c r="D443" s="5" t="inlineStr">
        <is>
          <t>Cámara de seguridad bullet 8 MP</t>
        </is>
      </c>
      <c r="E443" s="5" t="inlineStr">
        <is>
          <t>Cámara de circuito cerrado para videovigilancia</t>
        </is>
      </c>
      <c r="F443" s="5" t="inlineStr">
        <is>
          <t>Material retirado en almacén</t>
        </is>
      </c>
      <c r="G443" s="5" t="inlineStr">
        <is>
          <t>cámara CCTV, cámara de seguridad</t>
        </is>
      </c>
      <c r="H443" s="7" t="inlineStr">
        <is>
          <t>unidad</t>
        </is>
      </c>
      <c r="I443" s="7" t="inlineStr">
        <is>
          <t>Estructura</t>
        </is>
      </c>
      <c r="J443" s="7" t="inlineStr">
        <is>
          <t>estandar</t>
        </is>
      </c>
      <c r="K443" s="7" t="inlineStr">
        <is>
          <t>importado</t>
        </is>
      </c>
      <c r="L443" s="7" t="inlineStr">
        <is>
          <t>Verificado</t>
        </is>
      </c>
      <c r="M443" s="8" t="n">
        <v>1</v>
      </c>
      <c r="N443" s="9" t="n">
        <v>13465.71</v>
      </c>
      <c r="O443" s="9" t="n">
        <v>13465.71</v>
      </c>
      <c r="P443" s="9" t="n">
        <v>13465.71</v>
      </c>
      <c r="Q443" s="7" t="inlineStr">
        <is>
          <t>Sí</t>
        </is>
      </c>
      <c r="R443" s="9">
        <f>IF(N443="","",IF(Q443="Sí",ROUND(N443/1.18,2),N443))</f>
        <v/>
      </c>
      <c r="S443" s="7" t="inlineStr">
        <is>
          <t>2026-09-09</t>
        </is>
      </c>
      <c r="T443" s="5" t="inlineStr">
        <is>
          <t>1 cotización de proveedores</t>
        </is>
      </c>
      <c r="Z443" s="4" t="inlineStr">
        <is>
          <t>bullet</t>
        </is>
      </c>
      <c r="AA443" s="4" t="n">
        <v>8</v>
      </c>
      <c r="AC443" s="4" t="inlineStr">
        <is>
          <t>IP</t>
        </is>
      </c>
    </row>
    <row r="444">
      <c r="A444" s="7" t="inlineStr">
        <is>
          <t>MAT-16-011</t>
        </is>
      </c>
      <c r="B444" s="7" t="inlineStr">
        <is>
          <t>Materiales</t>
        </is>
      </c>
      <c r="C444" s="7" t="inlineStr">
        <is>
          <t>Cámaras y videovigilancia</t>
        </is>
      </c>
      <c r="D444" s="5" t="inlineStr">
        <is>
          <t>Cámara de seguridad domo</t>
        </is>
      </c>
      <c r="E444" s="5" t="inlineStr">
        <is>
          <t>Cámara de circuito cerrado para videovigilancia</t>
        </is>
      </c>
      <c r="F444" s="5" t="inlineStr">
        <is>
          <t>Material retirado en almacén</t>
        </is>
      </c>
      <c r="G444" s="5" t="inlineStr">
        <is>
          <t>cámara CCTV, cámara de seguridad</t>
        </is>
      </c>
      <c r="H444" s="7" t="inlineStr">
        <is>
          <t>unidad</t>
        </is>
      </c>
      <c r="I444" s="7" t="inlineStr">
        <is>
          <t>Estructura</t>
        </is>
      </c>
      <c r="J444" s="7" t="inlineStr">
        <is>
          <t>estandar</t>
        </is>
      </c>
      <c r="K444" s="7" t="inlineStr">
        <is>
          <t>importado</t>
        </is>
      </c>
      <c r="L444" s="7" t="inlineStr">
        <is>
          <t>Verificado</t>
        </is>
      </c>
      <c r="M444" s="8" t="n">
        <v>1</v>
      </c>
      <c r="N444" s="9" t="n">
        <v>12992.17</v>
      </c>
      <c r="O444" s="9" t="n">
        <v>12992.17</v>
      </c>
      <c r="P444" s="9" t="n">
        <v>12992.17</v>
      </c>
      <c r="Q444" s="7" t="inlineStr">
        <is>
          <t>Sí</t>
        </is>
      </c>
      <c r="R444" s="9">
        <f>IF(N444="","",IF(Q444="Sí",ROUND(N444/1.18,2),N444))</f>
        <v/>
      </c>
      <c r="S444" s="7" t="inlineStr">
        <is>
          <t>2026-09-09</t>
        </is>
      </c>
      <c r="T444" s="5" t="inlineStr">
        <is>
          <t>1 cotización de proveedores</t>
        </is>
      </c>
      <c r="Z444" s="4" t="inlineStr">
        <is>
          <t>domo</t>
        </is>
      </c>
      <c r="AC444" s="4" t="inlineStr">
        <is>
          <t>IP</t>
        </is>
      </c>
    </row>
    <row r="445">
      <c r="A445" s="7" t="inlineStr">
        <is>
          <t>MAT-16-012</t>
        </is>
      </c>
      <c r="B445" s="7" t="inlineStr">
        <is>
          <t>Materiales</t>
        </is>
      </c>
      <c r="C445" s="7" t="inlineStr">
        <is>
          <t>Cámaras y videovigilancia</t>
        </is>
      </c>
      <c r="D445" s="5" t="inlineStr">
        <is>
          <t>Cámara de seguridad domo 2 MP</t>
        </is>
      </c>
      <c r="E445" s="5" t="inlineStr">
        <is>
          <t>Cámara de circuito cerrado para videovigilancia</t>
        </is>
      </c>
      <c r="F445" s="5" t="inlineStr">
        <is>
          <t>Material retirado en almacén</t>
        </is>
      </c>
      <c r="G445" s="5" t="inlineStr">
        <is>
          <t>cámara CCTV, cámara de seguridad</t>
        </is>
      </c>
      <c r="H445" s="7" t="inlineStr">
        <is>
          <t>unidad</t>
        </is>
      </c>
      <c r="I445" s="7" t="inlineStr">
        <is>
          <t>Estructura</t>
        </is>
      </c>
      <c r="J445" s="7" t="inlineStr">
        <is>
          <t>estandar</t>
        </is>
      </c>
      <c r="K445" s="7" t="inlineStr">
        <is>
          <t>importado</t>
        </is>
      </c>
      <c r="L445" s="7" t="inlineStr">
        <is>
          <t>Verificado</t>
        </is>
      </c>
      <c r="M445" s="8" t="n">
        <v>1</v>
      </c>
      <c r="N445" s="9" t="n">
        <v>3461.37</v>
      </c>
      <c r="O445" s="9" t="n">
        <v>740.01</v>
      </c>
      <c r="P445" s="9" t="n">
        <v>7322.31</v>
      </c>
      <c r="Q445" s="7" t="inlineStr">
        <is>
          <t>Sí</t>
        </is>
      </c>
      <c r="R445" s="9">
        <f>IF(N445="","",IF(Q445="Sí",ROUND(N445/1.18,2),N445))</f>
        <v/>
      </c>
      <c r="S445" s="7" t="inlineStr">
        <is>
          <t>2026-09-09</t>
        </is>
      </c>
      <c r="T445" s="5" t="inlineStr">
        <is>
          <t>8 cotizaciones de proveedores</t>
        </is>
      </c>
      <c r="Z445" s="4" t="inlineStr">
        <is>
          <t>domo</t>
        </is>
      </c>
      <c r="AA445" s="4" t="n">
        <v>2</v>
      </c>
      <c r="AB445" s="4" t="n">
        <v>12</v>
      </c>
      <c r="AC445" s="4" t="inlineStr">
        <is>
          <t>IP</t>
        </is>
      </c>
    </row>
    <row r="446">
      <c r="A446" s="7" t="inlineStr">
        <is>
          <t>MAT-16-013</t>
        </is>
      </c>
      <c r="B446" s="7" t="inlineStr">
        <is>
          <t>Materiales</t>
        </is>
      </c>
      <c r="C446" s="7" t="inlineStr">
        <is>
          <t>Cámaras y videovigilancia</t>
        </is>
      </c>
      <c r="D446" s="5" t="inlineStr">
        <is>
          <t>Cámara de seguridad domo 4 MP</t>
        </is>
      </c>
      <c r="E446" s="5" t="inlineStr">
        <is>
          <t>Cámara de circuito cerrado para videovigilancia</t>
        </is>
      </c>
      <c r="F446" s="5" t="inlineStr">
        <is>
          <t>Material retirado en almacén</t>
        </is>
      </c>
      <c r="G446" s="5" t="inlineStr">
        <is>
          <t>cámara CCTV, cámara de seguridad</t>
        </is>
      </c>
      <c r="H446" s="7" t="inlineStr">
        <is>
          <t>unidad</t>
        </is>
      </c>
      <c r="I446" s="7" t="inlineStr">
        <is>
          <t>Estructura</t>
        </is>
      </c>
      <c r="J446" s="7" t="inlineStr">
        <is>
          <t>estandar</t>
        </is>
      </c>
      <c r="K446" s="7" t="inlineStr">
        <is>
          <t>importado</t>
        </is>
      </c>
      <c r="L446" s="7" t="inlineStr">
        <is>
          <t>Verificado</t>
        </is>
      </c>
      <c r="M446" s="8" t="n">
        <v>1</v>
      </c>
      <c r="N446" s="9" t="n">
        <v>5025.16</v>
      </c>
      <c r="O446" s="9" t="n">
        <v>3695.82</v>
      </c>
      <c r="P446" s="9" t="n">
        <v>8268.27</v>
      </c>
      <c r="Q446" s="7" t="inlineStr">
        <is>
          <t>Sí</t>
        </is>
      </c>
      <c r="R446" s="9">
        <f>IF(N446="","",IF(Q446="Sí",ROUND(N446/1.18,2),N446))</f>
        <v/>
      </c>
      <c r="S446" s="7" t="inlineStr">
        <is>
          <t>2026-09-09</t>
        </is>
      </c>
      <c r="T446" s="5" t="inlineStr">
        <is>
          <t>4 cotizaciones de proveedores</t>
        </is>
      </c>
      <c r="Z446" s="4" t="inlineStr">
        <is>
          <t>domo</t>
        </is>
      </c>
      <c r="AA446" s="4" t="n">
        <v>4</v>
      </c>
      <c r="AB446" s="4" t="n">
        <v>2.8</v>
      </c>
    </row>
    <row r="447">
      <c r="A447" s="7" t="inlineStr">
        <is>
          <t>MAT-16-014</t>
        </is>
      </c>
      <c r="B447" s="7" t="inlineStr">
        <is>
          <t>Materiales</t>
        </is>
      </c>
      <c r="C447" s="7" t="inlineStr">
        <is>
          <t>Cámaras y videovigilancia</t>
        </is>
      </c>
      <c r="D447" s="5" t="inlineStr">
        <is>
          <t>Cámara de seguridad domo 5 MP</t>
        </is>
      </c>
      <c r="E447" s="5" t="inlineStr">
        <is>
          <t>Cámara de circuito cerrado para videovigilancia</t>
        </is>
      </c>
      <c r="F447" s="5" t="inlineStr">
        <is>
          <t>Material retirado en almacén</t>
        </is>
      </c>
      <c r="G447" s="5" t="inlineStr">
        <is>
          <t>cámara CCTV, cámara de seguridad</t>
        </is>
      </c>
      <c r="H447" s="7" t="inlineStr">
        <is>
          <t>unidad</t>
        </is>
      </c>
      <c r="I447" s="7" t="inlineStr">
        <is>
          <t>Estructura</t>
        </is>
      </c>
      <c r="J447" s="7" t="inlineStr">
        <is>
          <t>estandar</t>
        </is>
      </c>
      <c r="K447" s="7" t="inlineStr">
        <is>
          <t>importado</t>
        </is>
      </c>
      <c r="L447" s="7" t="inlineStr">
        <is>
          <t>Verificado</t>
        </is>
      </c>
      <c r="M447" s="8" t="n">
        <v>1</v>
      </c>
      <c r="N447" s="9" t="n">
        <v>6122.92</v>
      </c>
      <c r="O447" s="9" t="n">
        <v>1368.3</v>
      </c>
      <c r="P447" s="9" t="n">
        <v>24325.6</v>
      </c>
      <c r="Q447" s="7" t="inlineStr">
        <is>
          <t>Sí</t>
        </is>
      </c>
      <c r="R447" s="9">
        <f>IF(N447="","",IF(Q447="Sí",ROUND(N447/1.18,2),N447))</f>
        <v/>
      </c>
      <c r="S447" s="7" t="inlineStr">
        <is>
          <t>2026-09-09</t>
        </is>
      </c>
      <c r="T447" s="5" t="inlineStr">
        <is>
          <t>9 cotizaciones de proveedores</t>
        </is>
      </c>
      <c r="Z447" s="4" t="inlineStr">
        <is>
          <t>domo</t>
        </is>
      </c>
      <c r="AA447" s="4" t="n">
        <v>5</v>
      </c>
      <c r="AB447" s="4" t="n">
        <v>12</v>
      </c>
      <c r="AC447" s="4" t="inlineStr">
        <is>
          <t>IP</t>
        </is>
      </c>
    </row>
    <row r="448">
      <c r="A448" s="7" t="inlineStr">
        <is>
          <t>MAT-16-015</t>
        </is>
      </c>
      <c r="B448" s="7" t="inlineStr">
        <is>
          <t>Materiales</t>
        </is>
      </c>
      <c r="C448" s="7" t="inlineStr">
        <is>
          <t>Cámaras y videovigilancia</t>
        </is>
      </c>
      <c r="D448" s="5" t="inlineStr">
        <is>
          <t>Cámara de seguridad ojo de pez 5 MP</t>
        </is>
      </c>
      <c r="E448" s="5" t="inlineStr">
        <is>
          <t>Cámara de circuito cerrado para videovigilancia</t>
        </is>
      </c>
      <c r="F448" s="5" t="inlineStr">
        <is>
          <t>Material retirado en almacén</t>
        </is>
      </c>
      <c r="G448" s="5" t="inlineStr">
        <is>
          <t>cámara CCTV, cámara de seguridad</t>
        </is>
      </c>
      <c r="H448" s="7" t="inlineStr">
        <is>
          <t>unidad</t>
        </is>
      </c>
      <c r="I448" s="7" t="inlineStr">
        <is>
          <t>Estructura</t>
        </is>
      </c>
      <c r="J448" s="7" t="inlineStr">
        <is>
          <t>estandar</t>
        </is>
      </c>
      <c r="K448" s="7" t="inlineStr">
        <is>
          <t>importado</t>
        </is>
      </c>
      <c r="L448" s="7" t="inlineStr">
        <is>
          <t>Verificado</t>
        </is>
      </c>
      <c r="M448" s="8" t="n">
        <v>1</v>
      </c>
      <c r="N448" s="9" t="n">
        <v>11020.47</v>
      </c>
      <c r="O448" s="9" t="n">
        <v>11020.47</v>
      </c>
      <c r="P448" s="9" t="n">
        <v>11020.47</v>
      </c>
      <c r="Q448" s="7" t="inlineStr">
        <is>
          <t>Sí</t>
        </is>
      </c>
      <c r="R448" s="9">
        <f>IF(N448="","",IF(Q448="Sí",ROUND(N448/1.18,2),N448))</f>
        <v/>
      </c>
      <c r="S448" s="7" t="inlineStr">
        <is>
          <t>2026-09-09</t>
        </is>
      </c>
      <c r="T448" s="5" t="inlineStr">
        <is>
          <t>1 cotización de proveedores</t>
        </is>
      </c>
      <c r="Z448" s="4" t="inlineStr">
        <is>
          <t>ojo de pez</t>
        </is>
      </c>
      <c r="AA448" s="4" t="n">
        <v>5</v>
      </c>
      <c r="AC448" s="4" t="inlineStr">
        <is>
          <t>IP</t>
        </is>
      </c>
    </row>
    <row r="449">
      <c r="A449" s="7" t="inlineStr">
        <is>
          <t>MAT-16-016</t>
        </is>
      </c>
      <c r="B449" s="7" t="inlineStr">
        <is>
          <t>Materiales</t>
        </is>
      </c>
      <c r="C449" s="7" t="inlineStr">
        <is>
          <t>Cámaras y videovigilancia</t>
        </is>
      </c>
      <c r="D449" s="5" t="inlineStr">
        <is>
          <t>Cámara de seguridad PTZ 2 MP</t>
        </is>
      </c>
      <c r="E449" s="5" t="inlineStr">
        <is>
          <t>Cámara de circuito cerrado para videovigilancia</t>
        </is>
      </c>
      <c r="F449" s="5" t="inlineStr">
        <is>
          <t>Material retirado en almacén</t>
        </is>
      </c>
      <c r="G449" s="5" t="inlineStr">
        <is>
          <t>cámara CCTV, cámara de seguridad</t>
        </is>
      </c>
      <c r="H449" s="7" t="inlineStr">
        <is>
          <t>unidad</t>
        </is>
      </c>
      <c r="I449" s="7" t="inlineStr">
        <is>
          <t>Estructura</t>
        </is>
      </c>
      <c r="J449" s="7" t="inlineStr">
        <is>
          <t>estandar</t>
        </is>
      </c>
      <c r="K449" s="7" t="inlineStr">
        <is>
          <t>importado</t>
        </is>
      </c>
      <c r="L449" s="7" t="inlineStr">
        <is>
          <t>Verificado</t>
        </is>
      </c>
      <c r="M449" s="8" t="n">
        <v>1</v>
      </c>
      <c r="N449" s="9" t="n">
        <v>30360.56</v>
      </c>
      <c r="O449" s="9" t="n">
        <v>30360.56</v>
      </c>
      <c r="P449" s="9" t="n">
        <v>30360.56</v>
      </c>
      <c r="Q449" s="7" t="inlineStr">
        <is>
          <t>Sí</t>
        </is>
      </c>
      <c r="R449" s="9">
        <f>IF(N449="","",IF(Q449="Sí",ROUND(N449/1.18,2),N449))</f>
        <v/>
      </c>
      <c r="S449" s="7" t="inlineStr">
        <is>
          <t>2026-09-09</t>
        </is>
      </c>
      <c r="T449" s="5" t="inlineStr">
        <is>
          <t>1 cotización de proveedores</t>
        </is>
      </c>
      <c r="Z449" s="4" t="inlineStr">
        <is>
          <t>PTZ</t>
        </is>
      </c>
      <c r="AA449" s="4" t="n">
        <v>2</v>
      </c>
      <c r="AC449" s="4" t="inlineStr">
        <is>
          <t>IP</t>
        </is>
      </c>
    </row>
    <row r="450">
      <c r="A450" s="7" t="inlineStr">
        <is>
          <t>MAT-16-017</t>
        </is>
      </c>
      <c r="B450" s="7" t="inlineStr">
        <is>
          <t>Materiales</t>
        </is>
      </c>
      <c r="C450" s="7" t="inlineStr">
        <is>
          <t>Cámaras y videovigilancia</t>
        </is>
      </c>
      <c r="D450" s="5" t="inlineStr">
        <is>
          <t>Cámara de seguridad PTZ 3 MP</t>
        </is>
      </c>
      <c r="E450" s="5" t="inlineStr">
        <is>
          <t>Cámara de circuito cerrado para videovigilancia</t>
        </is>
      </c>
      <c r="F450" s="5" t="inlineStr">
        <is>
          <t>Material retirado en almacén</t>
        </is>
      </c>
      <c r="G450" s="5" t="inlineStr">
        <is>
          <t>cámara CCTV, cámara de seguridad</t>
        </is>
      </c>
      <c r="H450" s="7" t="inlineStr">
        <is>
          <t>unidad</t>
        </is>
      </c>
      <c r="I450" s="7" t="inlineStr">
        <is>
          <t>Estructura</t>
        </is>
      </c>
      <c r="J450" s="7" t="inlineStr">
        <is>
          <t>estandar</t>
        </is>
      </c>
      <c r="K450" s="7" t="inlineStr">
        <is>
          <t>importado</t>
        </is>
      </c>
      <c r="L450" s="7" t="inlineStr">
        <is>
          <t>Verificado</t>
        </is>
      </c>
      <c r="M450" s="8" t="n">
        <v>1</v>
      </c>
      <c r="N450" s="9" t="n">
        <v>19602.61</v>
      </c>
      <c r="O450" s="9" t="n">
        <v>19602.61</v>
      </c>
      <c r="P450" s="9" t="n">
        <v>19602.61</v>
      </c>
      <c r="Q450" s="7" t="inlineStr">
        <is>
          <t>Sí</t>
        </is>
      </c>
      <c r="R450" s="9">
        <f>IF(N450="","",IF(Q450="Sí",ROUND(N450/1.18,2),N450))</f>
        <v/>
      </c>
      <c r="S450" s="7" t="inlineStr">
        <is>
          <t>2026-09-09</t>
        </is>
      </c>
      <c r="T450" s="5" t="inlineStr">
        <is>
          <t>1 cotización de proveedores</t>
        </is>
      </c>
      <c r="Z450" s="4" t="inlineStr">
        <is>
          <t>PTZ</t>
        </is>
      </c>
      <c r="AA450" s="4" t="n">
        <v>3</v>
      </c>
    </row>
    <row r="451">
      <c r="A451" s="7" t="inlineStr">
        <is>
          <t>MAT-16-018</t>
        </is>
      </c>
      <c r="B451" s="7" t="inlineStr">
        <is>
          <t>Materiales</t>
        </is>
      </c>
      <c r="C451" s="7" t="inlineStr">
        <is>
          <t>Cámaras y videovigilancia</t>
        </is>
      </c>
      <c r="D451" s="5" t="inlineStr">
        <is>
          <t>Cámara de seguridad turret 2 MP</t>
        </is>
      </c>
      <c r="E451" s="5" t="inlineStr">
        <is>
          <t>Cámara de circuito cerrado para videovigilancia</t>
        </is>
      </c>
      <c r="F451" s="5" t="inlineStr">
        <is>
          <t>Material retirado en almacén</t>
        </is>
      </c>
      <c r="G451" s="5" t="inlineStr">
        <is>
          <t>cámara CCTV, cámara de seguridad</t>
        </is>
      </c>
      <c r="H451" s="7" t="inlineStr">
        <is>
          <t>unidad</t>
        </is>
      </c>
      <c r="I451" s="7" t="inlineStr">
        <is>
          <t>Estructura</t>
        </is>
      </c>
      <c r="J451" s="7" t="inlineStr">
        <is>
          <t>estandar</t>
        </is>
      </c>
      <c r="K451" s="7" t="inlineStr">
        <is>
          <t>importado</t>
        </is>
      </c>
      <c r="L451" s="7" t="inlineStr">
        <is>
          <t>Verificado</t>
        </is>
      </c>
      <c r="M451" s="8" t="n">
        <v>1</v>
      </c>
      <c r="N451" s="9" t="n">
        <v>3614.58</v>
      </c>
      <c r="O451" s="9" t="n">
        <v>2549.16</v>
      </c>
      <c r="P451" s="9" t="n">
        <v>4679.99</v>
      </c>
      <c r="Q451" s="7" t="inlineStr">
        <is>
          <t>Sí</t>
        </is>
      </c>
      <c r="R451" s="9">
        <f>IF(N451="","",IF(Q451="Sí",ROUND(N451/1.18,2),N451))</f>
        <v/>
      </c>
      <c r="S451" s="7" t="inlineStr">
        <is>
          <t>2026-09-09</t>
        </is>
      </c>
      <c r="T451" s="5" t="inlineStr">
        <is>
          <t>2 cotizaciones de proveedores</t>
        </is>
      </c>
      <c r="Z451" s="4" t="inlineStr">
        <is>
          <t>turret</t>
        </is>
      </c>
      <c r="AA451" s="4" t="n">
        <v>2</v>
      </c>
      <c r="AB451" s="4" t="n">
        <v>2.8</v>
      </c>
    </row>
    <row r="452">
      <c r="A452" s="7" t="inlineStr">
        <is>
          <t>MAT-16-019</t>
        </is>
      </c>
      <c r="B452" s="7" t="inlineStr">
        <is>
          <t>Materiales</t>
        </is>
      </c>
      <c r="C452" s="7" t="inlineStr">
        <is>
          <t>Cámaras y videovigilancia</t>
        </is>
      </c>
      <c r="D452" s="5" t="inlineStr">
        <is>
          <t>Cámara de seguridad turret 4 MP</t>
        </is>
      </c>
      <c r="E452" s="5" t="inlineStr">
        <is>
          <t>Cámara de circuito cerrado para videovigilancia</t>
        </is>
      </c>
      <c r="F452" s="5" t="inlineStr">
        <is>
          <t>Material retirado en almacén</t>
        </is>
      </c>
      <c r="G452" s="5" t="inlineStr">
        <is>
          <t>cámara CCTV, cámara de seguridad</t>
        </is>
      </c>
      <c r="H452" s="7" t="inlineStr">
        <is>
          <t>unidad</t>
        </is>
      </c>
      <c r="I452" s="7" t="inlineStr">
        <is>
          <t>Estructura</t>
        </is>
      </c>
      <c r="J452" s="7" t="inlineStr">
        <is>
          <t>estandar</t>
        </is>
      </c>
      <c r="K452" s="7" t="inlineStr">
        <is>
          <t>importado</t>
        </is>
      </c>
      <c r="L452" s="7" t="inlineStr">
        <is>
          <t>Verificado</t>
        </is>
      </c>
      <c r="M452" s="8" t="n">
        <v>1</v>
      </c>
      <c r="N452" s="9" t="n">
        <v>3073.06</v>
      </c>
      <c r="O452" s="9" t="n">
        <v>3073.06</v>
      </c>
      <c r="P452" s="9" t="n">
        <v>3073.06</v>
      </c>
      <c r="Q452" s="7" t="inlineStr">
        <is>
          <t>Sí</t>
        </is>
      </c>
      <c r="R452" s="9">
        <f>IF(N452="","",IF(Q452="Sí",ROUND(N452/1.18,2),N452))</f>
        <v/>
      </c>
      <c r="S452" s="7" t="inlineStr">
        <is>
          <t>2026-09-09</t>
        </is>
      </c>
      <c r="T452" s="5" t="inlineStr">
        <is>
          <t>1 cotización de proveedores</t>
        </is>
      </c>
      <c r="Z452" s="4" t="inlineStr">
        <is>
          <t>turret</t>
        </is>
      </c>
      <c r="AA452" s="4" t="n">
        <v>4</v>
      </c>
    </row>
    <row r="453">
      <c r="A453" s="7" t="inlineStr">
        <is>
          <t>MAT-16-020</t>
        </is>
      </c>
      <c r="B453" s="7" t="inlineStr">
        <is>
          <t>Materiales</t>
        </is>
      </c>
      <c r="C453" s="7" t="inlineStr">
        <is>
          <t>Cámaras y videovigilancia</t>
        </is>
      </c>
      <c r="D453" s="5" t="inlineStr">
        <is>
          <t>Cámara de seguridad turret 5 MP</t>
        </is>
      </c>
      <c r="E453" s="5" t="inlineStr">
        <is>
          <t>Cámara de circuito cerrado para videovigilancia</t>
        </is>
      </c>
      <c r="F453" s="5" t="inlineStr">
        <is>
          <t>Material retirado en almacén</t>
        </is>
      </c>
      <c r="G453" s="5" t="inlineStr">
        <is>
          <t>cámara CCTV, cámara de seguridad</t>
        </is>
      </c>
      <c r="H453" s="7" t="inlineStr">
        <is>
          <t>unidad</t>
        </is>
      </c>
      <c r="I453" s="7" t="inlineStr">
        <is>
          <t>Estructura</t>
        </is>
      </c>
      <c r="J453" s="7" t="inlineStr">
        <is>
          <t>estandar</t>
        </is>
      </c>
      <c r="K453" s="7" t="inlineStr">
        <is>
          <t>importado</t>
        </is>
      </c>
      <c r="L453" s="7" t="inlineStr">
        <is>
          <t>Verificado</t>
        </is>
      </c>
      <c r="M453" s="8" t="n">
        <v>1</v>
      </c>
      <c r="N453" s="9" t="n">
        <v>4570.82</v>
      </c>
      <c r="O453" s="9" t="n">
        <v>3714.5</v>
      </c>
      <c r="P453" s="9" t="n">
        <v>5427.13</v>
      </c>
      <c r="Q453" s="7" t="inlineStr">
        <is>
          <t>Sí</t>
        </is>
      </c>
      <c r="R453" s="9">
        <f>IF(N453="","",IF(Q453="Sí",ROUND(N453/1.18,2),N453))</f>
        <v/>
      </c>
      <c r="S453" s="7" t="inlineStr">
        <is>
          <t>2026-09-09</t>
        </is>
      </c>
      <c r="T453" s="5" t="inlineStr">
        <is>
          <t>2 cotizaciones de proveedores</t>
        </is>
      </c>
      <c r="Z453" s="4" t="inlineStr">
        <is>
          <t>turret</t>
        </is>
      </c>
      <c r="AA453" s="4" t="n">
        <v>5</v>
      </c>
      <c r="AB453" s="4" t="n">
        <v>2.8</v>
      </c>
    </row>
    <row r="454">
      <c r="A454" s="7" t="inlineStr">
        <is>
          <t>MAT-16-021</t>
        </is>
      </c>
      <c r="B454" s="7" t="inlineStr">
        <is>
          <t>Materiales</t>
        </is>
      </c>
      <c r="C454" s="7" t="inlineStr">
        <is>
          <t>Cámaras y videovigilancia</t>
        </is>
      </c>
      <c r="D454" s="5" t="inlineStr">
        <is>
          <t>Cámara de seguridad 2 MP</t>
        </is>
      </c>
      <c r="E454" s="5" t="inlineStr">
        <is>
          <t>Cámara de circuito cerrado para videovigilancia</t>
        </is>
      </c>
      <c r="F454" s="5" t="inlineStr">
        <is>
          <t>Material retirado en almacén</t>
        </is>
      </c>
      <c r="G454" s="5" t="inlineStr">
        <is>
          <t>cámara CCTV, cámara de seguridad</t>
        </is>
      </c>
      <c r="H454" s="7" t="inlineStr">
        <is>
          <t>unidad</t>
        </is>
      </c>
      <c r="I454" s="7" t="inlineStr">
        <is>
          <t>Estructura</t>
        </is>
      </c>
      <c r="J454" s="7" t="inlineStr">
        <is>
          <t>estandar</t>
        </is>
      </c>
      <c r="K454" s="7" t="inlineStr">
        <is>
          <t>importado</t>
        </is>
      </c>
      <c r="L454" s="7" t="inlineStr">
        <is>
          <t>Verificado</t>
        </is>
      </c>
      <c r="M454" s="8" t="n">
        <v>1</v>
      </c>
      <c r="N454" s="9" t="n">
        <v>5421.17</v>
      </c>
      <c r="O454" s="9" t="n">
        <v>1576.87</v>
      </c>
      <c r="P454" s="9" t="n">
        <v>14863.32</v>
      </c>
      <c r="Q454" s="7" t="inlineStr">
        <is>
          <t>Sí</t>
        </is>
      </c>
      <c r="R454" s="9">
        <f>IF(N454="","",IF(Q454="Sí",ROUND(N454/1.18,2),N454))</f>
        <v/>
      </c>
      <c r="S454" s="7" t="inlineStr">
        <is>
          <t>2026-09-09</t>
        </is>
      </c>
      <c r="T454" s="5" t="inlineStr">
        <is>
          <t>3 cotizaciones de proveedores</t>
        </is>
      </c>
      <c r="AA454" s="4" t="n">
        <v>2</v>
      </c>
      <c r="AB454" s="4" t="n">
        <v>12</v>
      </c>
    </row>
    <row r="455">
      <c r="A455" s="7" t="inlineStr">
        <is>
          <t>MAT-16-022</t>
        </is>
      </c>
      <c r="B455" s="7" t="inlineStr">
        <is>
          <t>Materiales</t>
        </is>
      </c>
      <c r="C455" s="7" t="inlineStr">
        <is>
          <t>Cámaras y videovigilancia</t>
        </is>
      </c>
      <c r="D455" s="5" t="inlineStr">
        <is>
          <t>Cámara de seguridad 5 MP</t>
        </is>
      </c>
      <c r="E455" s="5" t="inlineStr">
        <is>
          <t>Cámara de circuito cerrado para videovigilancia</t>
        </is>
      </c>
      <c r="F455" s="5" t="inlineStr">
        <is>
          <t>Material retirado en almacén</t>
        </is>
      </c>
      <c r="G455" s="5" t="inlineStr">
        <is>
          <t>cámara CCTV, cámara de seguridad</t>
        </is>
      </c>
      <c r="H455" s="7" t="inlineStr">
        <is>
          <t>unidad</t>
        </is>
      </c>
      <c r="I455" s="7" t="inlineStr">
        <is>
          <t>Estructura</t>
        </is>
      </c>
      <c r="J455" s="7" t="inlineStr">
        <is>
          <t>estandar</t>
        </is>
      </c>
      <c r="K455" s="7" t="inlineStr">
        <is>
          <t>importado</t>
        </is>
      </c>
      <c r="L455" s="7" t="inlineStr">
        <is>
          <t>Verificado</t>
        </is>
      </c>
      <c r="M455" s="8" t="n">
        <v>1</v>
      </c>
      <c r="N455" s="9" t="n">
        <v>3414.74</v>
      </c>
      <c r="O455" s="9" t="n">
        <v>3414.74</v>
      </c>
      <c r="P455" s="9" t="n">
        <v>3414.74</v>
      </c>
      <c r="Q455" s="7" t="inlineStr">
        <is>
          <t>Sí</t>
        </is>
      </c>
      <c r="R455" s="9">
        <f>IF(N455="","",IF(Q455="Sí",ROUND(N455/1.18,2),N455))</f>
        <v/>
      </c>
      <c r="S455" s="7" t="inlineStr">
        <is>
          <t>2026-09-09</t>
        </is>
      </c>
      <c r="T455" s="5" t="inlineStr">
        <is>
          <t>1 cotización de proveedores</t>
        </is>
      </c>
      <c r="AA455" s="4" t="n">
        <v>5</v>
      </c>
      <c r="AC455" s="4" t="inlineStr">
        <is>
          <t>IP</t>
        </is>
      </c>
    </row>
    <row r="456">
      <c r="A456" s="7" t="inlineStr">
        <is>
          <t>MAT-16-023</t>
        </is>
      </c>
      <c r="B456" s="7" t="inlineStr">
        <is>
          <t>Materiales</t>
        </is>
      </c>
      <c r="C456" s="7" t="inlineStr">
        <is>
          <t>Cámaras y videovigilancia</t>
        </is>
      </c>
      <c r="D456" s="5" t="inlineStr">
        <is>
          <t>Grabador de video DVR 16 canales</t>
        </is>
      </c>
      <c r="E456" s="5" t="inlineStr"/>
      <c r="F456" s="5" t="inlineStr">
        <is>
          <t>Material retirado en almacén</t>
        </is>
      </c>
      <c r="G456" s="5" t="inlineStr">
        <is>
          <t>DVR, NVR, XVR, grabador</t>
        </is>
      </c>
      <c r="H456" s="7" t="inlineStr">
        <is>
          <t>unidad</t>
        </is>
      </c>
      <c r="I456" s="7" t="inlineStr">
        <is>
          <t>Estructura</t>
        </is>
      </c>
      <c r="J456" s="7" t="inlineStr">
        <is>
          <t>estandar</t>
        </is>
      </c>
      <c r="K456" s="7" t="inlineStr">
        <is>
          <t>importado</t>
        </is>
      </c>
      <c r="L456" s="7" t="inlineStr">
        <is>
          <t>Verificado</t>
        </is>
      </c>
      <c r="M456" s="8" t="n">
        <v>1</v>
      </c>
      <c r="N456" s="9" t="n">
        <v>18426.33</v>
      </c>
      <c r="O456" s="9" t="n">
        <v>18426.33</v>
      </c>
      <c r="P456" s="9" t="n">
        <v>18426.33</v>
      </c>
      <c r="Q456" s="7" t="inlineStr">
        <is>
          <t>Sí</t>
        </is>
      </c>
      <c r="R456" s="9">
        <f>IF(N456="","",IF(Q456="Sí",ROUND(N456/1.18,2),N456))</f>
        <v/>
      </c>
      <c r="S456" s="7" t="inlineStr">
        <is>
          <t>2026-09-09</t>
        </is>
      </c>
      <c r="T456" s="5" t="inlineStr">
        <is>
          <t>1 cotización de proveedores</t>
        </is>
      </c>
      <c r="AC456" s="4" t="inlineStr">
        <is>
          <t>DVR</t>
        </is>
      </c>
      <c r="AD456" s="4" t="n">
        <v>16</v>
      </c>
    </row>
    <row r="457">
      <c r="A457" s="7" t="inlineStr">
        <is>
          <t>MAT-16-024</t>
        </is>
      </c>
      <c r="B457" s="7" t="inlineStr">
        <is>
          <t>Materiales</t>
        </is>
      </c>
      <c r="C457" s="7" t="inlineStr">
        <is>
          <t>Cámaras y videovigilancia</t>
        </is>
      </c>
      <c r="D457" s="5" t="inlineStr">
        <is>
          <t>Grabador de video DVR 4 canales</t>
        </is>
      </c>
      <c r="E457" s="5" t="inlineStr"/>
      <c r="F457" s="5" t="inlineStr">
        <is>
          <t>Material retirado en almacén</t>
        </is>
      </c>
      <c r="G457" s="5" t="inlineStr">
        <is>
          <t>DVR, NVR, XVR, grabador</t>
        </is>
      </c>
      <c r="H457" s="7" t="inlineStr">
        <is>
          <t>unidad</t>
        </is>
      </c>
      <c r="I457" s="7" t="inlineStr">
        <is>
          <t>Estructura</t>
        </is>
      </c>
      <c r="J457" s="7" t="inlineStr">
        <is>
          <t>estandar</t>
        </is>
      </c>
      <c r="K457" s="7" t="inlineStr">
        <is>
          <t>importado</t>
        </is>
      </c>
      <c r="L457" s="7" t="inlineStr">
        <is>
          <t>Verificado</t>
        </is>
      </c>
      <c r="M457" s="8" t="n">
        <v>1</v>
      </c>
      <c r="N457" s="9" t="n">
        <v>7057.8</v>
      </c>
      <c r="O457" s="9" t="n">
        <v>6677.44</v>
      </c>
      <c r="P457" s="9" t="n">
        <v>7438.16</v>
      </c>
      <c r="Q457" s="7" t="inlineStr">
        <is>
          <t>Sí</t>
        </is>
      </c>
      <c r="R457" s="9">
        <f>IF(N457="","",IF(Q457="Sí",ROUND(N457/1.18,2),N457))</f>
        <v/>
      </c>
      <c r="S457" s="7" t="inlineStr">
        <is>
          <t>2026-09-09</t>
        </is>
      </c>
      <c r="T457" s="5" t="inlineStr">
        <is>
          <t>2 cotizaciones de proveedores</t>
        </is>
      </c>
      <c r="AC457" s="4" t="inlineStr">
        <is>
          <t>DVR</t>
        </is>
      </c>
      <c r="AD457" s="4" t="n">
        <v>4</v>
      </c>
    </row>
    <row r="458">
      <c r="A458" s="7" t="inlineStr">
        <is>
          <t>MAT-16-025</t>
        </is>
      </c>
      <c r="B458" s="7" t="inlineStr">
        <is>
          <t>Materiales</t>
        </is>
      </c>
      <c r="C458" s="7" t="inlineStr">
        <is>
          <t>Cámaras y videovigilancia</t>
        </is>
      </c>
      <c r="D458" s="5" t="inlineStr">
        <is>
          <t>Grabador de video NVR 16 canales</t>
        </is>
      </c>
      <c r="E458" s="5" t="inlineStr"/>
      <c r="F458" s="5" t="inlineStr">
        <is>
          <t>Material retirado en almacén</t>
        </is>
      </c>
      <c r="G458" s="5" t="inlineStr">
        <is>
          <t>DVR, NVR, XVR, grabador</t>
        </is>
      </c>
      <c r="H458" s="7" t="inlineStr">
        <is>
          <t>unidad</t>
        </is>
      </c>
      <c r="I458" s="7" t="inlineStr">
        <is>
          <t>Estructura</t>
        </is>
      </c>
      <c r="J458" s="7" t="inlineStr">
        <is>
          <t>estandar</t>
        </is>
      </c>
      <c r="K458" s="7" t="inlineStr">
        <is>
          <t>importado</t>
        </is>
      </c>
      <c r="L458" s="7" t="inlineStr">
        <is>
          <t>Verificado</t>
        </is>
      </c>
      <c r="M458" s="8" t="n">
        <v>1</v>
      </c>
      <c r="N458" s="9" t="n">
        <v>17077.39</v>
      </c>
      <c r="O458" s="9" t="n">
        <v>17077.39</v>
      </c>
      <c r="P458" s="9" t="n">
        <v>17077.39</v>
      </c>
      <c r="Q458" s="7" t="inlineStr">
        <is>
          <t>Sí</t>
        </is>
      </c>
      <c r="R458" s="9">
        <f>IF(N458="","",IF(Q458="Sí",ROUND(N458/1.18,2),N458))</f>
        <v/>
      </c>
      <c r="S458" s="7" t="inlineStr">
        <is>
          <t>2026-09-09</t>
        </is>
      </c>
      <c r="T458" s="5" t="inlineStr">
        <is>
          <t>1 cotización de proveedores</t>
        </is>
      </c>
      <c r="AC458" s="4" t="inlineStr">
        <is>
          <t>NVR</t>
        </is>
      </c>
      <c r="AD458" s="4" t="n">
        <v>16</v>
      </c>
    </row>
    <row r="459">
      <c r="A459" s="7" t="inlineStr">
        <is>
          <t>MAT-16-026</t>
        </is>
      </c>
      <c r="B459" s="7" t="inlineStr">
        <is>
          <t>Materiales</t>
        </is>
      </c>
      <c r="C459" s="7" t="inlineStr">
        <is>
          <t>Cámaras y videovigilancia</t>
        </is>
      </c>
      <c r="D459" s="5" t="inlineStr">
        <is>
          <t>Grabador de video NVR 32 canales</t>
        </is>
      </c>
      <c r="E459" s="5" t="inlineStr"/>
      <c r="F459" s="5" t="inlineStr">
        <is>
          <t>Material retirado en almacén</t>
        </is>
      </c>
      <c r="G459" s="5" t="inlineStr">
        <is>
          <t>DVR, NVR, XVR, grabador</t>
        </is>
      </c>
      <c r="H459" s="7" t="inlineStr">
        <is>
          <t>unidad</t>
        </is>
      </c>
      <c r="I459" s="7" t="inlineStr">
        <is>
          <t>Estructura</t>
        </is>
      </c>
      <c r="J459" s="7" t="inlineStr">
        <is>
          <t>estandar</t>
        </is>
      </c>
      <c r="K459" s="7" t="inlineStr">
        <is>
          <t>importado</t>
        </is>
      </c>
      <c r="L459" s="7" t="inlineStr">
        <is>
          <t>Verificado</t>
        </is>
      </c>
      <c r="M459" s="8" t="n">
        <v>1</v>
      </c>
      <c r="N459" s="9" t="n">
        <v>20990.22</v>
      </c>
      <c r="O459" s="9" t="n">
        <v>20990.22</v>
      </c>
      <c r="P459" s="9" t="n">
        <v>20990.22</v>
      </c>
      <c r="Q459" s="7" t="inlineStr">
        <is>
          <t>Sí</t>
        </is>
      </c>
      <c r="R459" s="9">
        <f>IF(N459="","",IF(Q459="Sí",ROUND(N459/1.18,2),N459))</f>
        <v/>
      </c>
      <c r="S459" s="7" t="inlineStr">
        <is>
          <t>2026-09-09</t>
        </is>
      </c>
      <c r="T459" s="5" t="inlineStr">
        <is>
          <t>1 cotización de proveedores</t>
        </is>
      </c>
      <c r="AC459" s="4" t="inlineStr">
        <is>
          <t>NVR</t>
        </is>
      </c>
      <c r="AD459" s="4" t="n">
        <v>32</v>
      </c>
    </row>
    <row r="460">
      <c r="A460" s="7" t="inlineStr">
        <is>
          <t>MAT-16-027</t>
        </is>
      </c>
      <c r="B460" s="7" t="inlineStr">
        <is>
          <t>Materiales</t>
        </is>
      </c>
      <c r="C460" s="7" t="inlineStr">
        <is>
          <t>Cámaras y videovigilancia</t>
        </is>
      </c>
      <c r="D460" s="5" t="inlineStr">
        <is>
          <t>Grabador de video NVR 64 canales</t>
        </is>
      </c>
      <c r="E460" s="5" t="inlineStr"/>
      <c r="F460" s="5" t="inlineStr">
        <is>
          <t>Material retirado en almacén</t>
        </is>
      </c>
      <c r="G460" s="5" t="inlineStr">
        <is>
          <t>DVR, NVR, XVR, grabador</t>
        </is>
      </c>
      <c r="H460" s="7" t="inlineStr">
        <is>
          <t>unidad</t>
        </is>
      </c>
      <c r="I460" s="7" t="inlineStr">
        <is>
          <t>Estructura</t>
        </is>
      </c>
      <c r="J460" s="7" t="inlineStr">
        <is>
          <t>estandar</t>
        </is>
      </c>
      <c r="K460" s="7" t="inlineStr">
        <is>
          <t>importado</t>
        </is>
      </c>
      <c r="L460" s="7" t="inlineStr">
        <is>
          <t>Verificado</t>
        </is>
      </c>
      <c r="M460" s="8" t="n">
        <v>1</v>
      </c>
      <c r="N460" s="9" t="n">
        <v>126684.93</v>
      </c>
      <c r="O460" s="9" t="n">
        <v>126684.93</v>
      </c>
      <c r="P460" s="9" t="n">
        <v>126684.93</v>
      </c>
      <c r="Q460" s="7" t="inlineStr">
        <is>
          <t>Sí</t>
        </is>
      </c>
      <c r="R460" s="9">
        <f>IF(N460="","",IF(Q460="Sí",ROUND(N460/1.18,2),N460))</f>
        <v/>
      </c>
      <c r="S460" s="7" t="inlineStr">
        <is>
          <t>2026-09-09</t>
        </is>
      </c>
      <c r="T460" s="5" t="inlineStr">
        <is>
          <t>1 cotización de proveedores</t>
        </is>
      </c>
      <c r="AC460" s="4" t="inlineStr">
        <is>
          <t>NVR</t>
        </is>
      </c>
      <c r="AD460" s="4" t="n">
        <v>64</v>
      </c>
    </row>
    <row r="461">
      <c r="A461" s="7" t="inlineStr">
        <is>
          <t>MAT-16-028</t>
        </is>
      </c>
      <c r="B461" s="7" t="inlineStr">
        <is>
          <t>Materiales</t>
        </is>
      </c>
      <c r="C461" s="7" t="inlineStr">
        <is>
          <t>Cámaras y videovigilancia</t>
        </is>
      </c>
      <c r="D461" s="5" t="inlineStr">
        <is>
          <t>Grabador de video XVR 16 canales</t>
        </is>
      </c>
      <c r="E461" s="5" t="inlineStr"/>
      <c r="F461" s="5" t="inlineStr">
        <is>
          <t>Material retirado en almacén</t>
        </is>
      </c>
      <c r="G461" s="5" t="inlineStr">
        <is>
          <t>DVR, NVR, XVR, grabador</t>
        </is>
      </c>
      <c r="H461" s="7" t="inlineStr">
        <is>
          <t>unidad</t>
        </is>
      </c>
      <c r="I461" s="7" t="inlineStr">
        <is>
          <t>Estructura</t>
        </is>
      </c>
      <c r="J461" s="7" t="inlineStr">
        <is>
          <t>estandar</t>
        </is>
      </c>
      <c r="K461" s="7" t="inlineStr">
        <is>
          <t>importado</t>
        </is>
      </c>
      <c r="L461" s="7" t="inlineStr">
        <is>
          <t>Verificado</t>
        </is>
      </c>
      <c r="M461" s="8" t="n">
        <v>1</v>
      </c>
      <c r="N461" s="9" t="n">
        <v>6079.41</v>
      </c>
      <c r="O461" s="9" t="n">
        <v>6079.41</v>
      </c>
      <c r="P461" s="9" t="n">
        <v>6079.41</v>
      </c>
      <c r="Q461" s="7" t="inlineStr">
        <is>
          <t>Sí</t>
        </is>
      </c>
      <c r="R461" s="9">
        <f>IF(N461="","",IF(Q461="Sí",ROUND(N461/1.18,2),N461))</f>
        <v/>
      </c>
      <c r="S461" s="7" t="inlineStr">
        <is>
          <t>2026-09-09</t>
        </is>
      </c>
      <c r="T461" s="5" t="inlineStr">
        <is>
          <t>1 cotización de proveedores</t>
        </is>
      </c>
      <c r="AC461" s="4" t="inlineStr">
        <is>
          <t>XVR</t>
        </is>
      </c>
      <c r="AD461" s="4" t="n">
        <v>16</v>
      </c>
    </row>
    <row r="462">
      <c r="A462" s="7" t="inlineStr">
        <is>
          <t>MAT-16-029</t>
        </is>
      </c>
      <c r="B462" s="7" t="inlineStr">
        <is>
          <t>Materiales</t>
        </is>
      </c>
      <c r="C462" s="7" t="inlineStr">
        <is>
          <t>Cámaras y videovigilancia</t>
        </is>
      </c>
      <c r="D462" s="5" t="inlineStr">
        <is>
          <t>Disco duro para videovigilancia 1 TB</t>
        </is>
      </c>
      <c r="E462" s="5" t="inlineStr">
        <is>
          <t>Disco pensado para escribir las 24 horas; uno de escritorio no aguanta</t>
        </is>
      </c>
      <c r="F462" s="5" t="inlineStr">
        <is>
          <t>Material retirado en almacén</t>
        </is>
      </c>
      <c r="G462" s="5" t="inlineStr">
        <is>
          <t>disco de vigilancia, HDD</t>
        </is>
      </c>
      <c r="H462" s="7" t="inlineStr">
        <is>
          <t>unidad</t>
        </is>
      </c>
      <c r="I462" s="7" t="inlineStr">
        <is>
          <t>Estructura</t>
        </is>
      </c>
      <c r="J462" s="7" t="inlineStr">
        <is>
          <t>estandar</t>
        </is>
      </c>
      <c r="K462" s="7" t="inlineStr">
        <is>
          <t>importado</t>
        </is>
      </c>
      <c r="L462" s="7" t="inlineStr">
        <is>
          <t>Verificado</t>
        </is>
      </c>
      <c r="M462" s="8" t="n">
        <v>1</v>
      </c>
      <c r="N462" s="9" t="n">
        <v>7633.17</v>
      </c>
      <c r="O462" s="9" t="n">
        <v>7633.17</v>
      </c>
      <c r="P462" s="9" t="n">
        <v>7633.17</v>
      </c>
      <c r="Q462" s="7" t="inlineStr">
        <is>
          <t>Sí</t>
        </is>
      </c>
      <c r="R462" s="9">
        <f>IF(N462="","",IF(Q462="Sí",ROUND(N462/1.18,2),N462))</f>
        <v/>
      </c>
      <c r="S462" s="7" t="inlineStr">
        <is>
          <t>2026-09-09</t>
        </is>
      </c>
      <c r="T462" s="5" t="inlineStr">
        <is>
          <t>1 cotización de proveedores</t>
        </is>
      </c>
      <c r="AJ462" s="5" t="inlineStr">
        <is>
          <t>Capacidad (TB): 1</t>
        </is>
      </c>
    </row>
    <row r="463">
      <c r="A463" s="7" t="inlineStr">
        <is>
          <t>MAT-16-030</t>
        </is>
      </c>
      <c r="B463" s="7" t="inlineStr">
        <is>
          <t>Materiales</t>
        </is>
      </c>
      <c r="C463" s="7" t="inlineStr">
        <is>
          <t>Cámaras y videovigilancia</t>
        </is>
      </c>
      <c r="D463" s="5" t="inlineStr">
        <is>
          <t>Disco duro para videovigilancia 8 TB</t>
        </is>
      </c>
      <c r="E463" s="5" t="inlineStr">
        <is>
          <t>Disco pensado para escribir las 24 horas; uno de escritorio no aguanta</t>
        </is>
      </c>
      <c r="F463" s="5" t="inlineStr">
        <is>
          <t>Material retirado en almacén</t>
        </is>
      </c>
      <c r="G463" s="5" t="inlineStr">
        <is>
          <t>disco de vigilancia, HDD</t>
        </is>
      </c>
      <c r="H463" s="7" t="inlineStr">
        <is>
          <t>unidad</t>
        </is>
      </c>
      <c r="I463" s="7" t="inlineStr">
        <is>
          <t>Estructura</t>
        </is>
      </c>
      <c r="J463" s="7" t="inlineStr">
        <is>
          <t>estandar</t>
        </is>
      </c>
      <c r="K463" s="7" t="inlineStr">
        <is>
          <t>importado</t>
        </is>
      </c>
      <c r="L463" s="7" t="inlineStr">
        <is>
          <t>Verificado</t>
        </is>
      </c>
      <c r="M463" s="8" t="n">
        <v>1</v>
      </c>
      <c r="N463" s="9" t="n">
        <v>22243.38</v>
      </c>
      <c r="O463" s="9" t="n">
        <v>22243.38</v>
      </c>
      <c r="P463" s="9" t="n">
        <v>22243.38</v>
      </c>
      <c r="Q463" s="7" t="inlineStr">
        <is>
          <t>Sí</t>
        </is>
      </c>
      <c r="R463" s="9">
        <f>IF(N463="","",IF(Q463="Sí",ROUND(N463/1.18,2),N463))</f>
        <v/>
      </c>
      <c r="S463" s="7" t="inlineStr">
        <is>
          <t>2026-09-09</t>
        </is>
      </c>
      <c r="T463" s="5" t="inlineStr">
        <is>
          <t>1 cotización de proveedores</t>
        </is>
      </c>
      <c r="AJ463" s="5" t="inlineStr">
        <is>
          <t>Capacidad (TB): 8</t>
        </is>
      </c>
    </row>
    <row r="464">
      <c r="A464" s="7" t="inlineStr">
        <is>
          <t>MAT-16-031</t>
        </is>
      </c>
      <c r="B464" s="7" t="inlineStr">
        <is>
          <t>Materiales</t>
        </is>
      </c>
      <c r="C464" s="7" t="inlineStr">
        <is>
          <t>Cámaras y videovigilancia</t>
        </is>
      </c>
      <c r="D464" s="5" t="inlineStr">
        <is>
          <t>Monitor para CCTV</t>
        </is>
      </c>
      <c r="E464" s="5" t="inlineStr"/>
      <c r="F464" s="5" t="inlineStr">
        <is>
          <t>Material retirado en almacén</t>
        </is>
      </c>
      <c r="G464" s="5" t="inlineStr">
        <is>
          <t>monitor de vigilancia</t>
        </is>
      </c>
      <c r="H464" s="7" t="inlineStr">
        <is>
          <t>unidad</t>
        </is>
      </c>
      <c r="I464" s="7" t="inlineStr">
        <is>
          <t>Estructura</t>
        </is>
      </c>
      <c r="J464" s="7" t="inlineStr">
        <is>
          <t>estandar</t>
        </is>
      </c>
      <c r="K464" s="7" t="inlineStr">
        <is>
          <t>importado</t>
        </is>
      </c>
      <c r="L464" s="7" t="inlineStr">
        <is>
          <t>Verificado</t>
        </is>
      </c>
      <c r="M464" s="8" t="n">
        <v>1</v>
      </c>
      <c r="N464" s="9" t="n">
        <v>5019.51</v>
      </c>
      <c r="O464" s="9" t="n">
        <v>2976.42</v>
      </c>
      <c r="P464" s="9" t="n">
        <v>7129.26</v>
      </c>
      <c r="Q464" s="7" t="inlineStr">
        <is>
          <t>Sí</t>
        </is>
      </c>
      <c r="R464" s="9">
        <f>IF(N464="","",IF(Q464="Sí",ROUND(N464/1.18,2),N464))</f>
        <v/>
      </c>
      <c r="S464" s="7" t="inlineStr">
        <is>
          <t>2026-09-09</t>
        </is>
      </c>
      <c r="T464" s="5" t="inlineStr">
        <is>
          <t>5 cotizaciones de proveedores</t>
        </is>
      </c>
    </row>
    <row r="465">
      <c r="A465" s="7" t="inlineStr">
        <is>
          <t>MAT-16-032</t>
        </is>
      </c>
      <c r="B465" s="7" t="inlineStr">
        <is>
          <t>Materiales</t>
        </is>
      </c>
      <c r="C465" s="7" t="inlineStr">
        <is>
          <t>Cámaras y videovigilancia</t>
        </is>
      </c>
      <c r="D465" s="5" t="inlineStr">
        <is>
          <t>Monitor para CCTV 3.5"</t>
        </is>
      </c>
      <c r="E465" s="5" t="inlineStr"/>
      <c r="F465" s="5" t="inlineStr">
        <is>
          <t>Material retirado en almacén</t>
        </is>
      </c>
      <c r="G465" s="5" t="inlineStr">
        <is>
          <t>monitor de vigilancia</t>
        </is>
      </c>
      <c r="H465" s="7" t="inlineStr">
        <is>
          <t>unidad</t>
        </is>
      </c>
      <c r="I465" s="7" t="inlineStr">
        <is>
          <t>Estructura</t>
        </is>
      </c>
      <c r="J465" s="7" t="inlineStr">
        <is>
          <t>estandar</t>
        </is>
      </c>
      <c r="K465" s="7" t="inlineStr">
        <is>
          <t>importado</t>
        </is>
      </c>
      <c r="L465" s="7" t="inlineStr">
        <is>
          <t>Verificado</t>
        </is>
      </c>
      <c r="M465" s="8" t="n">
        <v>1</v>
      </c>
      <c r="N465" s="9" t="n">
        <v>4362.91</v>
      </c>
      <c r="O465" s="9" t="n">
        <v>4362.91</v>
      </c>
      <c r="P465" s="9" t="n">
        <v>4362.91</v>
      </c>
      <c r="Q465" s="7" t="inlineStr">
        <is>
          <t>Sí</t>
        </is>
      </c>
      <c r="R465" s="9">
        <f>IF(N465="","",IF(Q465="Sí",ROUND(N465/1.18,2),N465))</f>
        <v/>
      </c>
      <c r="S465" s="7" t="inlineStr">
        <is>
          <t>2026-09-09</t>
        </is>
      </c>
      <c r="T465" s="5" t="inlineStr">
        <is>
          <t>1 cotización de proveedores</t>
        </is>
      </c>
      <c r="AJ465" s="5" t="inlineStr">
        <is>
          <t>Pulgadas: 3.5</t>
        </is>
      </c>
    </row>
    <row r="466">
      <c r="A466" s="7" t="inlineStr">
        <is>
          <t>MAT-16-033</t>
        </is>
      </c>
      <c r="B466" s="7" t="inlineStr">
        <is>
          <t>Materiales</t>
        </is>
      </c>
      <c r="C466" s="7" t="inlineStr">
        <is>
          <t>Cámaras y videovigilancia</t>
        </is>
      </c>
      <c r="D466" s="5" t="inlineStr">
        <is>
          <t>Monitor para CCTV 32"</t>
        </is>
      </c>
      <c r="E466" s="5" t="inlineStr"/>
      <c r="F466" s="5" t="inlineStr">
        <is>
          <t>Material retirado en almacén</t>
        </is>
      </c>
      <c r="G466" s="5" t="inlineStr">
        <is>
          <t>monitor de vigilancia</t>
        </is>
      </c>
      <c r="H466" s="7" t="inlineStr">
        <is>
          <t>unidad</t>
        </is>
      </c>
      <c r="I466" s="7" t="inlineStr">
        <is>
          <t>Estructura</t>
        </is>
      </c>
      <c r="J466" s="7" t="inlineStr">
        <is>
          <t>estandar</t>
        </is>
      </c>
      <c r="K466" s="7" t="inlineStr">
        <is>
          <t>importado</t>
        </is>
      </c>
      <c r="L466" s="7" t="inlineStr">
        <is>
          <t>Verificado</t>
        </is>
      </c>
      <c r="M466" s="8" t="n">
        <v>1</v>
      </c>
      <c r="N466" s="9" t="n">
        <v>15349.99</v>
      </c>
      <c r="O466" s="9" t="n">
        <v>15349.99</v>
      </c>
      <c r="P466" s="9" t="n">
        <v>15349.99</v>
      </c>
      <c r="Q466" s="7" t="inlineStr">
        <is>
          <t>Sí</t>
        </is>
      </c>
      <c r="R466" s="9">
        <f>IF(N466="","",IF(Q466="Sí",ROUND(N466/1.18,2),N466))</f>
        <v/>
      </c>
      <c r="S466" s="7" t="inlineStr">
        <is>
          <t>2026-09-09</t>
        </is>
      </c>
      <c r="T466" s="5" t="inlineStr">
        <is>
          <t>1 cotización de proveedores</t>
        </is>
      </c>
      <c r="AJ466" s="5" t="inlineStr">
        <is>
          <t>Pulgadas: 32</t>
        </is>
      </c>
    </row>
    <row r="467">
      <c r="A467" s="7" t="inlineStr">
        <is>
          <t>MAT-16-034</t>
        </is>
      </c>
      <c r="B467" s="7" t="inlineStr">
        <is>
          <t>Materiales</t>
        </is>
      </c>
      <c r="C467" s="7" t="inlineStr">
        <is>
          <t>Cámaras y videovigilancia</t>
        </is>
      </c>
      <c r="D467" s="5" t="inlineStr">
        <is>
          <t>Monitor para CCTV 4"</t>
        </is>
      </c>
      <c r="E467" s="5" t="inlineStr"/>
      <c r="F467" s="5" t="inlineStr">
        <is>
          <t>Material retirado en almacén</t>
        </is>
      </c>
      <c r="G467" s="5" t="inlineStr">
        <is>
          <t>monitor de vigilancia</t>
        </is>
      </c>
      <c r="H467" s="7" t="inlineStr">
        <is>
          <t>unidad</t>
        </is>
      </c>
      <c r="I467" s="7" t="inlineStr">
        <is>
          <t>Estructura</t>
        </is>
      </c>
      <c r="J467" s="7" t="inlineStr">
        <is>
          <t>estandar</t>
        </is>
      </c>
      <c r="K467" s="7" t="inlineStr">
        <is>
          <t>importado</t>
        </is>
      </c>
      <c r="L467" s="7" t="inlineStr">
        <is>
          <t>Verificado</t>
        </is>
      </c>
      <c r="M467" s="8" t="n">
        <v>1</v>
      </c>
      <c r="N467" s="9" t="n">
        <v>2707.65</v>
      </c>
      <c r="O467" s="9" t="n">
        <v>2707.65</v>
      </c>
      <c r="P467" s="9" t="n">
        <v>2707.65</v>
      </c>
      <c r="Q467" s="7" t="inlineStr">
        <is>
          <t>Sí</t>
        </is>
      </c>
      <c r="R467" s="9">
        <f>IF(N467="","",IF(Q467="Sí",ROUND(N467/1.18,2),N467))</f>
        <v/>
      </c>
      <c r="S467" s="7" t="inlineStr">
        <is>
          <t>2026-09-09</t>
        </is>
      </c>
      <c r="T467" s="5" t="inlineStr">
        <is>
          <t>1 cotización de proveedores</t>
        </is>
      </c>
      <c r="AJ467" s="5" t="inlineStr">
        <is>
          <t>Pulgadas: 4</t>
        </is>
      </c>
    </row>
    <row r="468">
      <c r="A468" s="7" t="inlineStr">
        <is>
          <t>MAT-16-035</t>
        </is>
      </c>
      <c r="B468" s="7" t="inlineStr">
        <is>
          <t>Materiales</t>
        </is>
      </c>
      <c r="C468" s="7" t="inlineStr">
        <is>
          <t>Cámaras y videovigilancia</t>
        </is>
      </c>
      <c r="D468" s="5" t="inlineStr">
        <is>
          <t>Monitor para CCTV 7"</t>
        </is>
      </c>
      <c r="E468" s="5" t="inlineStr"/>
      <c r="F468" s="5" t="inlineStr">
        <is>
          <t>Material retirado en almacén</t>
        </is>
      </c>
      <c r="G468" s="5" t="inlineStr">
        <is>
          <t>monitor de vigilancia</t>
        </is>
      </c>
      <c r="H468" s="7" t="inlineStr">
        <is>
          <t>unidad</t>
        </is>
      </c>
      <c r="I468" s="7" t="inlineStr">
        <is>
          <t>Estructura</t>
        </is>
      </c>
      <c r="J468" s="7" t="inlineStr">
        <is>
          <t>estandar</t>
        </is>
      </c>
      <c r="K468" s="7" t="inlineStr">
        <is>
          <t>importado</t>
        </is>
      </c>
      <c r="L468" s="7" t="inlineStr">
        <is>
          <t>Verificado</t>
        </is>
      </c>
      <c r="M468" s="8" t="n">
        <v>1</v>
      </c>
      <c r="N468" s="9" t="n">
        <v>7823.52</v>
      </c>
      <c r="O468" s="9" t="n">
        <v>5570.12</v>
      </c>
      <c r="P468" s="9" t="n">
        <v>10076.91</v>
      </c>
      <c r="Q468" s="7" t="inlineStr">
        <is>
          <t>Sí</t>
        </is>
      </c>
      <c r="R468" s="9">
        <f>IF(N468="","",IF(Q468="Sí",ROUND(N468/1.18,2),N468))</f>
        <v/>
      </c>
      <c r="S468" s="7" t="inlineStr">
        <is>
          <t>2026-09-09</t>
        </is>
      </c>
      <c r="T468" s="5" t="inlineStr">
        <is>
          <t>2 cotizaciones de proveedores</t>
        </is>
      </c>
      <c r="AJ468" s="5" t="inlineStr">
        <is>
          <t>Pulgadas: 7</t>
        </is>
      </c>
    </row>
    <row r="469">
      <c r="A469" s="7" t="inlineStr">
        <is>
          <t>MAT-16-036</t>
        </is>
      </c>
      <c r="B469" s="7" t="inlineStr">
        <is>
          <t>Materiales</t>
        </is>
      </c>
      <c r="C469" s="7" t="inlineStr">
        <is>
          <t>Cámaras y videovigilancia</t>
        </is>
      </c>
      <c r="D469" s="5" t="inlineStr">
        <is>
          <t>Soporte o caja para cámara</t>
        </is>
      </c>
      <c r="E469" s="5" t="inlineStr"/>
      <c r="F469" s="5" t="inlineStr">
        <is>
          <t>Material retirado en almacén</t>
        </is>
      </c>
      <c r="G469" s="5" t="inlineStr">
        <is>
          <t>bracket, soporte de cámara</t>
        </is>
      </c>
      <c r="H469" s="7" t="inlineStr">
        <is>
          <t>unidad</t>
        </is>
      </c>
      <c r="I469" s="7" t="inlineStr">
        <is>
          <t>Estructura</t>
        </is>
      </c>
      <c r="J469" s="7" t="inlineStr">
        <is>
          <t>estandar</t>
        </is>
      </c>
      <c r="K469" s="7" t="inlineStr">
        <is>
          <t>importado</t>
        </is>
      </c>
      <c r="L469" s="7" t="inlineStr">
        <is>
          <t>Verificado</t>
        </is>
      </c>
      <c r="M469" s="8" t="n">
        <v>1</v>
      </c>
      <c r="N469" s="9" t="n">
        <v>1012.91</v>
      </c>
      <c r="O469" s="9" t="n">
        <v>1012.91</v>
      </c>
      <c r="P469" s="9" t="n">
        <v>1012.91</v>
      </c>
      <c r="Q469" s="7" t="inlineStr">
        <is>
          <t>Sí</t>
        </is>
      </c>
      <c r="R469" s="9">
        <f>IF(N469="","",IF(Q469="Sí",ROUND(N469/1.18,2),N469))</f>
        <v/>
      </c>
      <c r="S469" s="7" t="inlineStr">
        <is>
          <t>2026-09-09</t>
        </is>
      </c>
      <c r="T469" s="5" t="inlineStr">
        <is>
          <t>1 cotización de proveedores</t>
        </is>
      </c>
    </row>
    <row r="470">
      <c r="A470" s="7" t="inlineStr">
        <is>
          <t>MAT-16-037</t>
        </is>
      </c>
      <c r="B470" s="7" t="inlineStr">
        <is>
          <t>Materiales</t>
        </is>
      </c>
      <c r="C470" s="7" t="inlineStr">
        <is>
          <t>Cámaras y videovigilancia</t>
        </is>
      </c>
      <c r="D470" s="5" t="inlineStr">
        <is>
          <t>Video balun</t>
        </is>
      </c>
      <c r="E470" s="5" t="inlineStr"/>
      <c r="F470" s="5" t="inlineStr">
        <is>
          <t>Material retirado en almacén</t>
        </is>
      </c>
      <c r="G470" s="5" t="inlineStr">
        <is>
          <t>balun, transceptor de video</t>
        </is>
      </c>
      <c r="H470" s="7" t="inlineStr">
        <is>
          <t>unidad</t>
        </is>
      </c>
      <c r="I470" s="7" t="inlineStr">
        <is>
          <t>Instalaciones</t>
        </is>
      </c>
      <c r="J470" s="7" t="inlineStr">
        <is>
          <t>estandar</t>
        </is>
      </c>
      <c r="K470" s="7" t="inlineStr">
        <is>
          <t>importado</t>
        </is>
      </c>
      <c r="L470" s="7" t="inlineStr">
        <is>
          <t>Verificado</t>
        </is>
      </c>
      <c r="M470" s="8" t="n">
        <v>1</v>
      </c>
      <c r="N470" s="9" t="n">
        <v>241.33</v>
      </c>
      <c r="O470" s="9" t="n">
        <v>231.08</v>
      </c>
      <c r="P470" s="9" t="n">
        <v>251.58</v>
      </c>
      <c r="Q470" s="7" t="inlineStr">
        <is>
          <t>Sí</t>
        </is>
      </c>
      <c r="R470" s="9">
        <f>IF(N470="","",IF(Q470="Sí",ROUND(N470/1.18,2),N470))</f>
        <v/>
      </c>
      <c r="S470" s="7" t="inlineStr">
        <is>
          <t>2026-09-09</t>
        </is>
      </c>
      <c r="T470" s="5" t="inlineStr">
        <is>
          <t>2 cotizaciones de proveedores</t>
        </is>
      </c>
    </row>
    <row r="471">
      <c r="A471" s="7" t="inlineStr">
        <is>
          <t>MAT-18-006</t>
        </is>
      </c>
      <c r="B471" s="7" t="inlineStr">
        <is>
          <t>Materiales</t>
        </is>
      </c>
      <c r="C471" s="7" t="inlineStr">
        <is>
          <t>Exteriores y paisajismo</t>
        </is>
      </c>
      <c r="D471" s="5" t="inlineStr">
        <is>
          <t>Asfalto en frío, 25 kg</t>
        </is>
      </c>
      <c r="E471" s="5" t="inlineStr"/>
      <c r="F471" s="5" t="inlineStr">
        <is>
          <t>Material retirado en almacén</t>
        </is>
      </c>
      <c r="G471" s="5" t="inlineStr">
        <is>
          <t>asfalto en frío, bacheo</t>
        </is>
      </c>
      <c r="H471" s="7" t="inlineStr">
        <is>
          <t>unidad</t>
        </is>
      </c>
      <c r="I471" s="7" t="inlineStr">
        <is>
          <t>Exteriores</t>
        </is>
      </c>
      <c r="J471" s="7" t="inlineStr">
        <is>
          <t>estandar</t>
        </is>
      </c>
      <c r="K471" s="7" t="inlineStr">
        <is>
          <t>importado</t>
        </is>
      </c>
      <c r="L471" s="7" t="inlineStr">
        <is>
          <t>Verificado</t>
        </is>
      </c>
      <c r="M471" s="8" t="n">
        <v>1</v>
      </c>
      <c r="N471" s="9" t="n">
        <v>1695</v>
      </c>
      <c r="O471" s="9" t="n">
        <v>1695</v>
      </c>
      <c r="P471" s="9" t="n">
        <v>1695</v>
      </c>
      <c r="Q471" s="7" t="inlineStr">
        <is>
          <t>Sí</t>
        </is>
      </c>
      <c r="R471" s="9">
        <f>IF(N471="","",IF(Q471="Sí",ROUND(N471/1.18,2),N471))</f>
        <v/>
      </c>
      <c r="S471" s="7" t="inlineStr">
        <is>
          <t>2026-09-09</t>
        </is>
      </c>
      <c r="T471" s="5" t="inlineStr">
        <is>
          <t>1 cotización de proveedores</t>
        </is>
      </c>
      <c r="AJ471" s="5" t="inlineStr">
        <is>
          <t>Peso (kg): 25</t>
        </is>
      </c>
    </row>
    <row r="472">
      <c r="A472" s="7" t="inlineStr">
        <is>
          <t>MAT-19-001</t>
        </is>
      </c>
      <c r="B472" s="7" t="inlineStr">
        <is>
          <t>Materiales</t>
        </is>
      </c>
      <c r="C472" s="7" t="inlineStr">
        <is>
          <t>Perfiles y tubos de acero</t>
        </is>
      </c>
      <c r="D472" s="5" t="inlineStr">
        <is>
          <t>Perfil cuadrado negro 3/4" x 3/4" x 20 pies, pared 1.2 mm</t>
        </is>
      </c>
      <c r="E472" s="5" t="inlineStr">
        <is>
          <t>Tubo estructural de sección cuadrado · 3/4" x 3/4" · pared 1.2 mm · acabado negro</t>
        </is>
      </c>
      <c r="F472" s="5" t="inlineStr">
        <is>
          <t>Material retirado en almacén</t>
        </is>
      </c>
      <c r="G472" s="5" t="inlineStr">
        <is>
          <t>perfilería, tubo cuadrado, HSS</t>
        </is>
      </c>
      <c r="H472" s="7" t="inlineStr">
        <is>
          <t>unidad</t>
        </is>
      </c>
      <c r="I472" s="7" t="inlineStr">
        <is>
          <t>Estructura</t>
        </is>
      </c>
      <c r="J472" s="7" t="inlineStr">
        <is>
          <t>estandar</t>
        </is>
      </c>
      <c r="K472" s="7" t="inlineStr">
        <is>
          <t>importado</t>
        </is>
      </c>
      <c r="L472" s="7" t="inlineStr">
        <is>
          <t>Verificado</t>
        </is>
      </c>
      <c r="M472" s="8" t="n">
        <v>1</v>
      </c>
      <c r="N472" s="9" t="n">
        <v>262.29</v>
      </c>
      <c r="O472" s="9" t="n">
        <v>262.29</v>
      </c>
      <c r="P472" s="9" t="n">
        <v>262.29</v>
      </c>
      <c r="Q472" s="7" t="inlineStr">
        <is>
          <t>Sí</t>
        </is>
      </c>
      <c r="R472" s="9">
        <f>IF(N472="","",IF(Q472="Sí",ROUND(N472/1.18,2),N472))</f>
        <v/>
      </c>
      <c r="S472" s="7" t="inlineStr">
        <is>
          <t>2026-09-09</t>
        </is>
      </c>
      <c r="T472" s="5" t="inlineStr">
        <is>
          <t>1 cotización de proveedores</t>
        </is>
      </c>
    </row>
    <row r="473">
      <c r="A473" s="7" t="inlineStr">
        <is>
          <t>MAT-19-002</t>
        </is>
      </c>
      <c r="B473" s="7" t="inlineStr">
        <is>
          <t>Materiales</t>
        </is>
      </c>
      <c r="C473" s="7" t="inlineStr">
        <is>
          <t>Perfiles y tubos de acero</t>
        </is>
      </c>
      <c r="D473" s="5" t="inlineStr">
        <is>
          <t>Perfil cuadrado negro 3/4" x 3/4" x 20 pies, pared 1.6 mm</t>
        </is>
      </c>
      <c r="E473" s="5" t="inlineStr">
        <is>
          <t>Tubo estructural de sección cuadrado · 3/4" x 3/4" · pared 1.6 mm · acabado negro</t>
        </is>
      </c>
      <c r="F473" s="5" t="inlineStr">
        <is>
          <t>Material retirado en almacén</t>
        </is>
      </c>
      <c r="G473" s="5" t="inlineStr">
        <is>
          <t>perfilería, tubo cuadrado, HSS</t>
        </is>
      </c>
      <c r="H473" s="7" t="inlineStr">
        <is>
          <t>unidad</t>
        </is>
      </c>
      <c r="I473" s="7" t="inlineStr">
        <is>
          <t>Estructura</t>
        </is>
      </c>
      <c r="J473" s="7" t="inlineStr">
        <is>
          <t>estandar</t>
        </is>
      </c>
      <c r="K473" s="7" t="inlineStr">
        <is>
          <t>importado</t>
        </is>
      </c>
      <c r="L473" s="7" t="inlineStr">
        <is>
          <t>Verificado</t>
        </is>
      </c>
      <c r="M473" s="8" t="n">
        <v>1</v>
      </c>
      <c r="N473" s="9" t="n">
        <v>321.76</v>
      </c>
      <c r="O473" s="9" t="n">
        <v>321.76</v>
      </c>
      <c r="P473" s="9" t="n">
        <v>321.76</v>
      </c>
      <c r="Q473" s="7" t="inlineStr">
        <is>
          <t>Sí</t>
        </is>
      </c>
      <c r="R473" s="9">
        <f>IF(N473="","",IF(Q473="Sí",ROUND(N473/1.18,2),N473))</f>
        <v/>
      </c>
      <c r="S473" s="7" t="inlineStr">
        <is>
          <t>2026-09-09</t>
        </is>
      </c>
      <c r="T473" s="5" t="inlineStr">
        <is>
          <t>1 cotización de proveedores</t>
        </is>
      </c>
    </row>
    <row r="474">
      <c r="A474" s="7" t="inlineStr">
        <is>
          <t>MAT-19-003</t>
        </is>
      </c>
      <c r="B474" s="7" t="inlineStr">
        <is>
          <t>Materiales</t>
        </is>
      </c>
      <c r="C474" s="7" t="inlineStr">
        <is>
          <t>Perfiles y tubos de acero</t>
        </is>
      </c>
      <c r="D474" s="5" t="inlineStr">
        <is>
          <t>Perfil cuadrado negro 1" x 1" x 20 pies, pared 1.2 mm</t>
        </is>
      </c>
      <c r="E474" s="5" t="inlineStr">
        <is>
          <t>Tubo estructural de sección cuadrado · 1" x 1" · pared 1.2 mm · acabado negro</t>
        </is>
      </c>
      <c r="F474" s="5" t="inlineStr">
        <is>
          <t>Material retirado en almacén</t>
        </is>
      </c>
      <c r="G474" s="5" t="inlineStr">
        <is>
          <t>perfilería, tubo cuadrado, HSS</t>
        </is>
      </c>
      <c r="H474" s="7" t="inlineStr">
        <is>
          <t>unidad</t>
        </is>
      </c>
      <c r="I474" s="7" t="inlineStr">
        <is>
          <t>Estructura</t>
        </is>
      </c>
      <c r="J474" s="7" t="inlineStr">
        <is>
          <t>estandar</t>
        </is>
      </c>
      <c r="K474" s="7" t="inlineStr">
        <is>
          <t>importado</t>
        </is>
      </c>
      <c r="L474" s="7" t="inlineStr">
        <is>
          <t>Verificado</t>
        </is>
      </c>
      <c r="M474" s="8" t="n">
        <v>1</v>
      </c>
      <c r="N474" s="9" t="n">
        <v>355.58</v>
      </c>
      <c r="O474" s="9" t="n">
        <v>355.58</v>
      </c>
      <c r="P474" s="9" t="n">
        <v>355.58</v>
      </c>
      <c r="Q474" s="7" t="inlineStr">
        <is>
          <t>Sí</t>
        </is>
      </c>
      <c r="R474" s="9">
        <f>IF(N474="","",IF(Q474="Sí",ROUND(N474/1.18,2),N474))</f>
        <v/>
      </c>
      <c r="S474" s="7" t="inlineStr">
        <is>
          <t>2026-09-09</t>
        </is>
      </c>
      <c r="T474" s="5" t="inlineStr">
        <is>
          <t>1 cotización de proveedores</t>
        </is>
      </c>
    </row>
    <row r="475">
      <c r="A475" s="7" t="inlineStr">
        <is>
          <t>MAT-19-004</t>
        </is>
      </c>
      <c r="B475" s="7" t="inlineStr">
        <is>
          <t>Materiales</t>
        </is>
      </c>
      <c r="C475" s="7" t="inlineStr">
        <is>
          <t>Perfiles y tubos de acero</t>
        </is>
      </c>
      <c r="D475" s="5" t="inlineStr">
        <is>
          <t>Perfil cuadrado negro 1 1/4" x 1 1/4" x 20 pies, pared 1.2 mm</t>
        </is>
      </c>
      <c r="E475" s="5" t="inlineStr">
        <is>
          <t>Tubo estructural de sección cuadrado · 1 1/4" x 1 1/4" · pared 1.2 mm · acabado negro</t>
        </is>
      </c>
      <c r="F475" s="5" t="inlineStr">
        <is>
          <t>Material retirado en almacén</t>
        </is>
      </c>
      <c r="G475" s="5" t="inlineStr">
        <is>
          <t>perfilería, tubo cuadrado, HSS</t>
        </is>
      </c>
      <c r="H475" s="7" t="inlineStr">
        <is>
          <t>unidad</t>
        </is>
      </c>
      <c r="I475" s="7" t="inlineStr">
        <is>
          <t>Estructura</t>
        </is>
      </c>
      <c r="J475" s="7" t="inlineStr">
        <is>
          <t>estandar</t>
        </is>
      </c>
      <c r="K475" s="7" t="inlineStr">
        <is>
          <t>importado</t>
        </is>
      </c>
      <c r="L475" s="7" t="inlineStr">
        <is>
          <t>Verificado</t>
        </is>
      </c>
      <c r="M475" s="8" t="n">
        <v>1</v>
      </c>
      <c r="N475" s="9" t="n">
        <v>510.43</v>
      </c>
      <c r="O475" s="9" t="n">
        <v>510.43</v>
      </c>
      <c r="P475" s="9" t="n">
        <v>510.43</v>
      </c>
      <c r="Q475" s="7" t="inlineStr">
        <is>
          <t>Sí</t>
        </is>
      </c>
      <c r="R475" s="9">
        <f>IF(N475="","",IF(Q475="Sí",ROUND(N475/1.18,2),N475))</f>
        <v/>
      </c>
      <c r="S475" s="7" t="inlineStr">
        <is>
          <t>2026-09-09</t>
        </is>
      </c>
      <c r="T475" s="5" t="inlineStr">
        <is>
          <t>1 cotización de proveedores</t>
        </is>
      </c>
    </row>
    <row r="476">
      <c r="A476" s="7" t="inlineStr">
        <is>
          <t>MAT-19-005</t>
        </is>
      </c>
      <c r="B476" s="7" t="inlineStr">
        <is>
          <t>Materiales</t>
        </is>
      </c>
      <c r="C476" s="7" t="inlineStr">
        <is>
          <t>Perfiles y tubos de acero</t>
        </is>
      </c>
      <c r="D476" s="5" t="inlineStr">
        <is>
          <t>Perfil cuadrado negro 1 1/4" x 1 1/4" x 20 pies, pared 1.6 mm</t>
        </is>
      </c>
      <c r="E476" s="5" t="inlineStr">
        <is>
          <t>Tubo estructural de sección cuadrado · 1 1/4" x 1 1/4" · pared 1.6 mm · acabado negro</t>
        </is>
      </c>
      <c r="F476" s="5" t="inlineStr">
        <is>
          <t>Material retirado en almacén</t>
        </is>
      </c>
      <c r="G476" s="5" t="inlineStr">
        <is>
          <t>perfilería, tubo cuadrado, HSS</t>
        </is>
      </c>
      <c r="H476" s="7" t="inlineStr">
        <is>
          <t>unidad</t>
        </is>
      </c>
      <c r="I476" s="7" t="inlineStr">
        <is>
          <t>Estructura</t>
        </is>
      </c>
      <c r="J476" s="7" t="inlineStr">
        <is>
          <t>estandar</t>
        </is>
      </c>
      <c r="K476" s="7" t="inlineStr">
        <is>
          <t>importado</t>
        </is>
      </c>
      <c r="L476" s="7" t="inlineStr">
        <is>
          <t>Verificado</t>
        </is>
      </c>
      <c r="M476" s="8" t="n">
        <v>1</v>
      </c>
      <c r="N476" s="9" t="n">
        <v>556.02</v>
      </c>
      <c r="O476" s="9" t="n">
        <v>556.02</v>
      </c>
      <c r="P476" s="9" t="n">
        <v>556.02</v>
      </c>
      <c r="Q476" s="7" t="inlineStr">
        <is>
          <t>Sí</t>
        </is>
      </c>
      <c r="R476" s="9">
        <f>IF(N476="","",IF(Q476="Sí",ROUND(N476/1.18,2),N476))</f>
        <v/>
      </c>
      <c r="S476" s="7" t="inlineStr">
        <is>
          <t>2026-09-09</t>
        </is>
      </c>
      <c r="T476" s="5" t="inlineStr">
        <is>
          <t>1 cotización de proveedores</t>
        </is>
      </c>
    </row>
    <row r="477">
      <c r="A477" s="7" t="inlineStr">
        <is>
          <t>MAT-19-006</t>
        </is>
      </c>
      <c r="B477" s="7" t="inlineStr">
        <is>
          <t>Materiales</t>
        </is>
      </c>
      <c r="C477" s="7" t="inlineStr">
        <is>
          <t>Perfiles y tubos de acero</t>
        </is>
      </c>
      <c r="D477" s="5" t="inlineStr">
        <is>
          <t>Perfil cuadrado negro 1 1/2" x 1 1/2" x 20 pies, pared 1.2 mm</t>
        </is>
      </c>
      <c r="E477" s="5" t="inlineStr">
        <is>
          <t>Tubo estructural de sección cuadrado · 1 1/2" x 1 1/2" · pared 1.2 mm · acabado negro</t>
        </is>
      </c>
      <c r="F477" s="5" t="inlineStr">
        <is>
          <t>Material retirado en almacén</t>
        </is>
      </c>
      <c r="G477" s="5" t="inlineStr">
        <is>
          <t>perfilería, tubo cuadrado, HSS</t>
        </is>
      </c>
      <c r="H477" s="7" t="inlineStr">
        <is>
          <t>unidad</t>
        </is>
      </c>
      <c r="I477" s="7" t="inlineStr">
        <is>
          <t>Estructura</t>
        </is>
      </c>
      <c r="J477" s="7" t="inlineStr">
        <is>
          <t>estandar</t>
        </is>
      </c>
      <c r="K477" s="7" t="inlineStr">
        <is>
          <t>importado</t>
        </is>
      </c>
      <c r="L477" s="7" t="inlineStr">
        <is>
          <t>Verificado</t>
        </is>
      </c>
      <c r="M477" s="8" t="n">
        <v>1</v>
      </c>
      <c r="N477" s="9" t="n">
        <v>542.15</v>
      </c>
      <c r="O477" s="9" t="n">
        <v>542.15</v>
      </c>
      <c r="P477" s="9" t="n">
        <v>542.15</v>
      </c>
      <c r="Q477" s="7" t="inlineStr">
        <is>
          <t>Sí</t>
        </is>
      </c>
      <c r="R477" s="9">
        <f>IF(N477="","",IF(Q477="Sí",ROUND(N477/1.18,2),N477))</f>
        <v/>
      </c>
      <c r="S477" s="7" t="inlineStr">
        <is>
          <t>2026-09-09</t>
        </is>
      </c>
      <c r="T477" s="5" t="inlineStr">
        <is>
          <t>1 cotización de proveedores</t>
        </is>
      </c>
    </row>
    <row r="478">
      <c r="A478" s="7" t="inlineStr">
        <is>
          <t>MAT-19-007</t>
        </is>
      </c>
      <c r="B478" s="7" t="inlineStr">
        <is>
          <t>Materiales</t>
        </is>
      </c>
      <c r="C478" s="7" t="inlineStr">
        <is>
          <t>Perfiles y tubos de acero</t>
        </is>
      </c>
      <c r="D478" s="5" t="inlineStr">
        <is>
          <t>Perfil cuadrado negro 1 1/2" x 1 1/2" x 20 pies, pared 1.6 mm</t>
        </is>
      </c>
      <c r="E478" s="5" t="inlineStr">
        <is>
          <t>Tubo estructural de sección cuadrado · 1 1/2" x 1 1/2" · pared 1.6 mm · acabado negro</t>
        </is>
      </c>
      <c r="F478" s="5" t="inlineStr">
        <is>
          <t>Material retirado en almacén</t>
        </is>
      </c>
      <c r="G478" s="5" t="inlineStr">
        <is>
          <t>perfilería, tubo cuadrado, HSS</t>
        </is>
      </c>
      <c r="H478" s="7" t="inlineStr">
        <is>
          <t>unidad</t>
        </is>
      </c>
      <c r="I478" s="7" t="inlineStr">
        <is>
          <t>Estructura</t>
        </is>
      </c>
      <c r="J478" s="7" t="inlineStr">
        <is>
          <t>estandar</t>
        </is>
      </c>
      <c r="K478" s="7" t="inlineStr">
        <is>
          <t>importado</t>
        </is>
      </c>
      <c r="L478" s="7" t="inlineStr">
        <is>
          <t>Verificado</t>
        </is>
      </c>
      <c r="M478" s="8" t="n">
        <v>1</v>
      </c>
      <c r="N478" s="9" t="n">
        <v>647.03</v>
      </c>
      <c r="O478" s="9" t="n">
        <v>647.03</v>
      </c>
      <c r="P478" s="9" t="n">
        <v>647.03</v>
      </c>
      <c r="Q478" s="7" t="inlineStr">
        <is>
          <t>Sí</t>
        </is>
      </c>
      <c r="R478" s="9">
        <f>IF(N478="","",IF(Q478="Sí",ROUND(N478/1.18,2),N478))</f>
        <v/>
      </c>
      <c r="S478" s="7" t="inlineStr">
        <is>
          <t>2026-09-09</t>
        </is>
      </c>
      <c r="T478" s="5" t="inlineStr">
        <is>
          <t>1 cotización de proveedores</t>
        </is>
      </c>
    </row>
    <row r="479">
      <c r="A479" s="7" t="inlineStr">
        <is>
          <t>MAT-19-008</t>
        </is>
      </c>
      <c r="B479" s="7" t="inlineStr">
        <is>
          <t>Materiales</t>
        </is>
      </c>
      <c r="C479" s="7" t="inlineStr">
        <is>
          <t>Perfiles y tubos de acero</t>
        </is>
      </c>
      <c r="D479" s="5" t="inlineStr">
        <is>
          <t>Perfil cuadrado negro 2" x 2" x 20 pies, pared 1.6 mm</t>
        </is>
      </c>
      <c r="E479" s="5" t="inlineStr">
        <is>
          <t>Tubo estructural de sección cuadrado · 2" x 2" · pared 1.6 mm · acabado negro</t>
        </is>
      </c>
      <c r="F479" s="5" t="inlineStr">
        <is>
          <t>Material retirado en almacén</t>
        </is>
      </c>
      <c r="G479" s="5" t="inlineStr">
        <is>
          <t>perfilería, tubo cuadrado, HSS</t>
        </is>
      </c>
      <c r="H479" s="7" t="inlineStr">
        <is>
          <t>unidad</t>
        </is>
      </c>
      <c r="I479" s="7" t="inlineStr">
        <is>
          <t>Estructura</t>
        </is>
      </c>
      <c r="J479" s="7" t="inlineStr">
        <is>
          <t>estandar</t>
        </is>
      </c>
      <c r="K479" s="7" t="inlineStr">
        <is>
          <t>importado</t>
        </is>
      </c>
      <c r="L479" s="7" t="inlineStr">
        <is>
          <t>Verificado</t>
        </is>
      </c>
      <c r="M479" s="8" t="n">
        <v>1</v>
      </c>
      <c r="N479" s="9" t="n">
        <v>867.64</v>
      </c>
      <c r="O479" s="9" t="n">
        <v>867.64</v>
      </c>
      <c r="P479" s="9" t="n">
        <v>867.64</v>
      </c>
      <c r="Q479" s="7" t="inlineStr">
        <is>
          <t>Sí</t>
        </is>
      </c>
      <c r="R479" s="9">
        <f>IF(N479="","",IF(Q479="Sí",ROUND(N479/1.18,2),N479))</f>
        <v/>
      </c>
      <c r="S479" s="7" t="inlineStr">
        <is>
          <t>2026-09-09</t>
        </is>
      </c>
      <c r="T479" s="5" t="inlineStr">
        <is>
          <t>1 cotización de proveedores</t>
        </is>
      </c>
    </row>
    <row r="480">
      <c r="A480" s="7" t="inlineStr">
        <is>
          <t>MAT-19-009</t>
        </is>
      </c>
      <c r="B480" s="7" t="inlineStr">
        <is>
          <t>Materiales</t>
        </is>
      </c>
      <c r="C480" s="7" t="inlineStr">
        <is>
          <t>Perfiles y tubos de acero</t>
        </is>
      </c>
      <c r="D480" s="5" t="inlineStr">
        <is>
          <t>Perfil cuadrado negro 3" x 3" x 20 pies, pared 1.6 mm</t>
        </is>
      </c>
      <c r="E480" s="5" t="inlineStr">
        <is>
          <t>Tubo estructural de sección cuadrado · 3" x 3" · pared 1.6 mm · acabado negro</t>
        </is>
      </c>
      <c r="F480" s="5" t="inlineStr">
        <is>
          <t>Material retirado en almacén</t>
        </is>
      </c>
      <c r="G480" s="5" t="inlineStr">
        <is>
          <t>perfilería, tubo cuadrado, HSS</t>
        </is>
      </c>
      <c r="H480" s="7" t="inlineStr">
        <is>
          <t>unidad</t>
        </is>
      </c>
      <c r="I480" s="7" t="inlineStr">
        <is>
          <t>Estructura</t>
        </is>
      </c>
      <c r="J480" s="7" t="inlineStr">
        <is>
          <t>estandar</t>
        </is>
      </c>
      <c r="K480" s="7" t="inlineStr">
        <is>
          <t>importado</t>
        </is>
      </c>
      <c r="L480" s="7" t="inlineStr">
        <is>
          <t>Verificado</t>
        </is>
      </c>
      <c r="M480" s="8" t="n">
        <v>1</v>
      </c>
      <c r="N480" s="9" t="n">
        <v>1319.81</v>
      </c>
      <c r="O480" s="9" t="n">
        <v>1319.81</v>
      </c>
      <c r="P480" s="9" t="n">
        <v>1319.81</v>
      </c>
      <c r="Q480" s="7" t="inlineStr">
        <is>
          <t>Sí</t>
        </is>
      </c>
      <c r="R480" s="9">
        <f>IF(N480="","",IF(Q480="Sí",ROUND(N480/1.18,2),N480))</f>
        <v/>
      </c>
      <c r="S480" s="7" t="inlineStr">
        <is>
          <t>2026-09-09</t>
        </is>
      </c>
      <c r="T480" s="5" t="inlineStr">
        <is>
          <t>1 cotización de proveedores</t>
        </is>
      </c>
    </row>
    <row r="481">
      <c r="A481" s="7" t="inlineStr">
        <is>
          <t>MAT-19-010</t>
        </is>
      </c>
      <c r="B481" s="7" t="inlineStr">
        <is>
          <t>Materiales</t>
        </is>
      </c>
      <c r="C481" s="7" t="inlineStr">
        <is>
          <t>Perfiles y tubos de acero</t>
        </is>
      </c>
      <c r="D481" s="5" t="inlineStr">
        <is>
          <t>Perfil cuadrado galvanizado 3/4" x 3/4" x 20 pies, pared 1.2 mm</t>
        </is>
      </c>
      <c r="E481" s="5" t="inlineStr">
        <is>
          <t>Tubo estructural de sección cuadrado · 3/4" x 3/4" · pared 1.2 mm · acabado galvanizado</t>
        </is>
      </c>
      <c r="F481" s="5" t="inlineStr">
        <is>
          <t>Material retirado en almacén</t>
        </is>
      </c>
      <c r="G481" s="5" t="inlineStr">
        <is>
          <t>perfilería, tubo cuadrado, HSS</t>
        </is>
      </c>
      <c r="H481" s="7" t="inlineStr">
        <is>
          <t>unidad</t>
        </is>
      </c>
      <c r="I481" s="7" t="inlineStr">
        <is>
          <t>Estructura</t>
        </is>
      </c>
      <c r="J481" s="7" t="inlineStr">
        <is>
          <t>estandar</t>
        </is>
      </c>
      <c r="K481" s="7" t="inlineStr">
        <is>
          <t>importado</t>
        </is>
      </c>
      <c r="L481" s="7" t="inlineStr">
        <is>
          <t>Verificado</t>
        </is>
      </c>
      <c r="M481" s="8" t="n">
        <v>1</v>
      </c>
      <c r="N481" s="9" t="n">
        <v>316.11</v>
      </c>
      <c r="O481" s="9" t="n">
        <v>316.11</v>
      </c>
      <c r="P481" s="9" t="n">
        <v>316.11</v>
      </c>
      <c r="Q481" s="7" t="inlineStr">
        <is>
          <t>Sí</t>
        </is>
      </c>
      <c r="R481" s="9">
        <f>IF(N481="","",IF(Q481="Sí",ROUND(N481/1.18,2),N481))</f>
        <v/>
      </c>
      <c r="S481" s="7" t="inlineStr">
        <is>
          <t>2026-09-09</t>
        </is>
      </c>
      <c r="T481" s="5" t="inlineStr">
        <is>
          <t>1 cotización de proveedores</t>
        </is>
      </c>
    </row>
    <row r="482">
      <c r="A482" s="7" t="inlineStr">
        <is>
          <t>MAT-19-011</t>
        </is>
      </c>
      <c r="B482" s="7" t="inlineStr">
        <is>
          <t>Materiales</t>
        </is>
      </c>
      <c r="C482" s="7" t="inlineStr">
        <is>
          <t>Perfiles y tubos de acero</t>
        </is>
      </c>
      <c r="D482" s="5" t="inlineStr">
        <is>
          <t>Perfil cuadrado galvanizado 1" x 1" x 20 pies, pared 1.2 mm</t>
        </is>
      </c>
      <c r="E482" s="5" t="inlineStr">
        <is>
          <t>Tubo estructural de sección cuadrado · 1" x 1" · pared 1.2 mm · acabado galvanizado</t>
        </is>
      </c>
      <c r="F482" s="5" t="inlineStr">
        <is>
          <t>Material retirado en almacén</t>
        </is>
      </c>
      <c r="G482" s="5" t="inlineStr">
        <is>
          <t>perfilería, tubo cuadrado, HSS</t>
        </is>
      </c>
      <c r="H482" s="7" t="inlineStr">
        <is>
          <t>unidad</t>
        </is>
      </c>
      <c r="I482" s="7" t="inlineStr">
        <is>
          <t>Estructura</t>
        </is>
      </c>
      <c r="J482" s="7" t="inlineStr">
        <is>
          <t>estandar</t>
        </is>
      </c>
      <c r="K482" s="7" t="inlineStr">
        <is>
          <t>importado</t>
        </is>
      </c>
      <c r="L482" s="7" t="inlineStr">
        <is>
          <t>Verificado</t>
        </is>
      </c>
      <c r="M482" s="8" t="n">
        <v>1</v>
      </c>
      <c r="N482" s="9" t="n">
        <v>423.74</v>
      </c>
      <c r="O482" s="9" t="n">
        <v>423.74</v>
      </c>
      <c r="P482" s="9" t="n">
        <v>423.74</v>
      </c>
      <c r="Q482" s="7" t="inlineStr">
        <is>
          <t>Sí</t>
        </is>
      </c>
      <c r="R482" s="9">
        <f>IF(N482="","",IF(Q482="Sí",ROUND(N482/1.18,2),N482))</f>
        <v/>
      </c>
      <c r="S482" s="7" t="inlineStr">
        <is>
          <t>2026-09-09</t>
        </is>
      </c>
      <c r="T482" s="5" t="inlineStr">
        <is>
          <t>1 cotización de proveedores</t>
        </is>
      </c>
    </row>
    <row r="483">
      <c r="A483" s="7" t="inlineStr">
        <is>
          <t>MAT-19-012</t>
        </is>
      </c>
      <c r="B483" s="7" t="inlineStr">
        <is>
          <t>Materiales</t>
        </is>
      </c>
      <c r="C483" s="7" t="inlineStr">
        <is>
          <t>Perfiles y tubos de acero</t>
        </is>
      </c>
      <c r="D483" s="5" t="inlineStr">
        <is>
          <t>Perfil cuadrado galvanizado 1" x 1" x 20 pies, pared 1.6 mm</t>
        </is>
      </c>
      <c r="E483" s="5" t="inlineStr">
        <is>
          <t>Tubo estructural de sección cuadrado · 1" x 1" · pared 1.6 mm · acabado galvanizado</t>
        </is>
      </c>
      <c r="F483" s="5" t="inlineStr">
        <is>
          <t>Material retirado en almacén</t>
        </is>
      </c>
      <c r="G483" s="5" t="inlineStr">
        <is>
          <t>perfilería, tubo cuadrado, HSS</t>
        </is>
      </c>
      <c r="H483" s="7" t="inlineStr">
        <is>
          <t>unidad</t>
        </is>
      </c>
      <c r="I483" s="7" t="inlineStr">
        <is>
          <t>Estructura</t>
        </is>
      </c>
      <c r="J483" s="7" t="inlineStr">
        <is>
          <t>estandar</t>
        </is>
      </c>
      <c r="K483" s="7" t="inlineStr">
        <is>
          <t>importado</t>
        </is>
      </c>
      <c r="L483" s="7" t="inlineStr">
        <is>
          <t>Verificado</t>
        </is>
      </c>
      <c r="M483" s="8" t="n">
        <v>1</v>
      </c>
      <c r="N483" s="9" t="n">
        <v>539.74</v>
      </c>
      <c r="O483" s="9" t="n">
        <v>539.74</v>
      </c>
      <c r="P483" s="9" t="n">
        <v>539.74</v>
      </c>
      <c r="Q483" s="7" t="inlineStr">
        <is>
          <t>Sí</t>
        </is>
      </c>
      <c r="R483" s="9">
        <f>IF(N483="","",IF(Q483="Sí",ROUND(N483/1.18,2),N483))</f>
        <v/>
      </c>
      <c r="S483" s="7" t="inlineStr">
        <is>
          <t>2026-09-09</t>
        </is>
      </c>
      <c r="T483" s="5" t="inlineStr">
        <is>
          <t>1 cotización de proveedores</t>
        </is>
      </c>
    </row>
    <row r="484">
      <c r="A484" s="7" t="inlineStr">
        <is>
          <t>MAT-19-013</t>
        </is>
      </c>
      <c r="B484" s="7" t="inlineStr">
        <is>
          <t>Materiales</t>
        </is>
      </c>
      <c r="C484" s="7" t="inlineStr">
        <is>
          <t>Perfiles y tubos de acero</t>
        </is>
      </c>
      <c r="D484" s="5" t="inlineStr">
        <is>
          <t>Perfil cuadrado galvanizado 1 1/4" x 1 1/4" x 20 pies, pared 1.5 mm</t>
        </is>
      </c>
      <c r="E484" s="5" t="inlineStr">
        <is>
          <t>Tubo estructural de sección cuadrado · 1 1/4" x 1 1/4" · pared 1.5 mm · acabado galvanizado</t>
        </is>
      </c>
      <c r="F484" s="5" t="inlineStr">
        <is>
          <t>Material retirado en almacén</t>
        </is>
      </c>
      <c r="G484" s="5" t="inlineStr">
        <is>
          <t>perfilería, tubo cuadrado, HSS</t>
        </is>
      </c>
      <c r="H484" s="7" t="inlineStr">
        <is>
          <t>unidad</t>
        </is>
      </c>
      <c r="I484" s="7" t="inlineStr">
        <is>
          <t>Estructura</t>
        </is>
      </c>
      <c r="J484" s="7" t="inlineStr">
        <is>
          <t>estandar</t>
        </is>
      </c>
      <c r="K484" s="7" t="inlineStr">
        <is>
          <t>importado</t>
        </is>
      </c>
      <c r="L484" s="7" t="inlineStr">
        <is>
          <t>Verificado</t>
        </is>
      </c>
      <c r="M484" s="8" t="n">
        <v>1</v>
      </c>
      <c r="N484" s="9" t="n">
        <v>712.04</v>
      </c>
      <c r="O484" s="9" t="n">
        <v>712.04</v>
      </c>
      <c r="P484" s="9" t="n">
        <v>712.04</v>
      </c>
      <c r="Q484" s="7" t="inlineStr">
        <is>
          <t>Sí</t>
        </is>
      </c>
      <c r="R484" s="9">
        <f>IF(N484="","",IF(Q484="Sí",ROUND(N484/1.18,2),N484))</f>
        <v/>
      </c>
      <c r="S484" s="7" t="inlineStr">
        <is>
          <t>2026-09-09</t>
        </is>
      </c>
      <c r="T484" s="5" t="inlineStr">
        <is>
          <t>1 cotización de proveedores</t>
        </is>
      </c>
    </row>
    <row r="485">
      <c r="A485" s="7" t="inlineStr">
        <is>
          <t>MAT-19-014</t>
        </is>
      </c>
      <c r="B485" s="7" t="inlineStr">
        <is>
          <t>Materiales</t>
        </is>
      </c>
      <c r="C485" s="7" t="inlineStr">
        <is>
          <t>Perfiles y tubos de acero</t>
        </is>
      </c>
      <c r="D485" s="5" t="inlineStr">
        <is>
          <t>Perfil cuadrado galvanizado 1 1/2" x 1 1/2" x 20 pies, pared 1.2 mm</t>
        </is>
      </c>
      <c r="E485" s="5" t="inlineStr">
        <is>
          <t>Tubo estructural de sección cuadrado · 1 1/2" x 1 1/2" · pared 1.2 mm · acabado galvanizado</t>
        </is>
      </c>
      <c r="F485" s="5" t="inlineStr">
        <is>
          <t>Material retirado en almacén</t>
        </is>
      </c>
      <c r="G485" s="5" t="inlineStr">
        <is>
          <t>perfilería, tubo cuadrado, HSS</t>
        </is>
      </c>
      <c r="H485" s="7" t="inlineStr">
        <is>
          <t>unidad</t>
        </is>
      </c>
      <c r="I485" s="7" t="inlineStr">
        <is>
          <t>Estructura</t>
        </is>
      </c>
      <c r="J485" s="7" t="inlineStr">
        <is>
          <t>estandar</t>
        </is>
      </c>
      <c r="K485" s="7" t="inlineStr">
        <is>
          <t>importado</t>
        </is>
      </c>
      <c r="L485" s="7" t="inlineStr">
        <is>
          <t>Verificado</t>
        </is>
      </c>
      <c r="M485" s="8" t="n">
        <v>1</v>
      </c>
      <c r="N485" s="9" t="n">
        <v>648.6799999999999</v>
      </c>
      <c r="O485" s="9" t="n">
        <v>648.6799999999999</v>
      </c>
      <c r="P485" s="9" t="n">
        <v>648.6799999999999</v>
      </c>
      <c r="Q485" s="7" t="inlineStr">
        <is>
          <t>Sí</t>
        </is>
      </c>
      <c r="R485" s="9">
        <f>IF(N485="","",IF(Q485="Sí",ROUND(N485/1.18,2),N485))</f>
        <v/>
      </c>
      <c r="S485" s="7" t="inlineStr">
        <is>
          <t>2026-09-09</t>
        </is>
      </c>
      <c r="T485" s="5" t="inlineStr">
        <is>
          <t>1 cotización de proveedores</t>
        </is>
      </c>
    </row>
    <row r="486">
      <c r="A486" s="7" t="inlineStr">
        <is>
          <t>MAT-19-015</t>
        </is>
      </c>
      <c r="B486" s="7" t="inlineStr">
        <is>
          <t>Materiales</t>
        </is>
      </c>
      <c r="C486" s="7" t="inlineStr">
        <is>
          <t>Perfiles y tubos de acero</t>
        </is>
      </c>
      <c r="D486" s="5" t="inlineStr">
        <is>
          <t>Perfil cuadrado galvanizado 1 1/2" x 1 1/2" x 20 pies, pared 1.6 mm</t>
        </is>
      </c>
      <c r="E486" s="5" t="inlineStr">
        <is>
          <t>Tubo estructural de sección cuadrado · 1 1/2" x 1 1/2" · pared 1.6 mm · acabado galvanizado</t>
        </is>
      </c>
      <c r="F486" s="5" t="inlineStr">
        <is>
          <t>Material retirado en almacén</t>
        </is>
      </c>
      <c r="G486" s="5" t="inlineStr">
        <is>
          <t>perfilería, tubo cuadrado, HSS</t>
        </is>
      </c>
      <c r="H486" s="7" t="inlineStr">
        <is>
          <t>unidad</t>
        </is>
      </c>
      <c r="I486" s="7" t="inlineStr">
        <is>
          <t>Estructura</t>
        </is>
      </c>
      <c r="J486" s="7" t="inlineStr">
        <is>
          <t>estandar</t>
        </is>
      </c>
      <c r="K486" s="7" t="inlineStr">
        <is>
          <t>importado</t>
        </is>
      </c>
      <c r="L486" s="7" t="inlineStr">
        <is>
          <t>Verificado</t>
        </is>
      </c>
      <c r="M486" s="8" t="n">
        <v>1</v>
      </c>
      <c r="N486" s="9" t="n">
        <v>814.53</v>
      </c>
      <c r="O486" s="9" t="n">
        <v>814.53</v>
      </c>
      <c r="P486" s="9" t="n">
        <v>814.53</v>
      </c>
      <c r="Q486" s="7" t="inlineStr">
        <is>
          <t>Sí</t>
        </is>
      </c>
      <c r="R486" s="9">
        <f>IF(N486="","",IF(Q486="Sí",ROUND(N486/1.18,2),N486))</f>
        <v/>
      </c>
      <c r="S486" s="7" t="inlineStr">
        <is>
          <t>2026-09-09</t>
        </is>
      </c>
      <c r="T486" s="5" t="inlineStr">
        <is>
          <t>1 cotización de proveedores</t>
        </is>
      </c>
    </row>
    <row r="487">
      <c r="A487" s="7" t="inlineStr">
        <is>
          <t>MAT-19-016</t>
        </is>
      </c>
      <c r="B487" s="7" t="inlineStr">
        <is>
          <t>Materiales</t>
        </is>
      </c>
      <c r="C487" s="7" t="inlineStr">
        <is>
          <t>Perfiles y tubos de acero</t>
        </is>
      </c>
      <c r="D487" s="5" t="inlineStr">
        <is>
          <t>Perfil cuadrado galvanizado 2" x 2" x 20 pies, pared 1.6 mm</t>
        </is>
      </c>
      <c r="E487" s="5" t="inlineStr">
        <is>
          <t>Tubo estructural de sección cuadrado · 2" x 2" · pared 1.6 mm · acabado galvanizado</t>
        </is>
      </c>
      <c r="F487" s="5" t="inlineStr">
        <is>
          <t>Material retirado en almacén</t>
        </is>
      </c>
      <c r="G487" s="5" t="inlineStr">
        <is>
          <t>perfilería, tubo cuadrado, HSS</t>
        </is>
      </c>
      <c r="H487" s="7" t="inlineStr">
        <is>
          <t>unidad</t>
        </is>
      </c>
      <c r="I487" s="7" t="inlineStr">
        <is>
          <t>Estructura</t>
        </is>
      </c>
      <c r="J487" s="7" t="inlineStr">
        <is>
          <t>estandar</t>
        </is>
      </c>
      <c r="K487" s="7" t="inlineStr">
        <is>
          <t>importado</t>
        </is>
      </c>
      <c r="L487" s="7" t="inlineStr">
        <is>
          <t>Verificado</t>
        </is>
      </c>
      <c r="M487" s="8" t="n">
        <v>1</v>
      </c>
      <c r="N487" s="9" t="n">
        <v>1108.57</v>
      </c>
      <c r="O487" s="9" t="n">
        <v>1108.57</v>
      </c>
      <c r="P487" s="9" t="n">
        <v>1108.57</v>
      </c>
      <c r="Q487" s="7" t="inlineStr">
        <is>
          <t>Sí</t>
        </is>
      </c>
      <c r="R487" s="9">
        <f>IF(N487="","",IF(Q487="Sí",ROUND(N487/1.18,2),N487))</f>
        <v/>
      </c>
      <c r="S487" s="7" t="inlineStr">
        <is>
          <t>2026-09-09</t>
        </is>
      </c>
      <c r="T487" s="5" t="inlineStr">
        <is>
          <t>1 cotización de proveedores</t>
        </is>
      </c>
    </row>
    <row r="488">
      <c r="A488" s="7" t="inlineStr">
        <is>
          <t>MAT-19-017</t>
        </is>
      </c>
      <c r="B488" s="7" t="inlineStr">
        <is>
          <t>Materiales</t>
        </is>
      </c>
      <c r="C488" s="7" t="inlineStr">
        <is>
          <t>Perfiles y tubos de acero</t>
        </is>
      </c>
      <c r="D488" s="5" t="inlineStr">
        <is>
          <t>Perfil cuadrado galvanizado 3" x 3" x 20 pies, pared 1.5 mm</t>
        </is>
      </c>
      <c r="E488" s="5" t="inlineStr">
        <is>
          <t>Tubo estructural de sección cuadrado · 3" x 3" · pared 1.5 mm · acabado galvanizado</t>
        </is>
      </c>
      <c r="F488" s="5" t="inlineStr">
        <is>
          <t>Material retirado en almacén</t>
        </is>
      </c>
      <c r="G488" s="5" t="inlineStr">
        <is>
          <t>perfilería, tubo cuadrado, HSS</t>
        </is>
      </c>
      <c r="H488" s="7" t="inlineStr">
        <is>
          <t>unidad</t>
        </is>
      </c>
      <c r="I488" s="7" t="inlineStr">
        <is>
          <t>Estructura</t>
        </is>
      </c>
      <c r="J488" s="7" t="inlineStr">
        <is>
          <t>estandar</t>
        </is>
      </c>
      <c r="K488" s="7" t="inlineStr">
        <is>
          <t>importado</t>
        </is>
      </c>
      <c r="L488" s="7" t="inlineStr">
        <is>
          <t>Verificado</t>
        </is>
      </c>
      <c r="M488" s="8" t="n">
        <v>1</v>
      </c>
      <c r="N488" s="9" t="n">
        <v>1707.91</v>
      </c>
      <c r="O488" s="9" t="n">
        <v>1707.91</v>
      </c>
      <c r="P488" s="9" t="n">
        <v>1707.91</v>
      </c>
      <c r="Q488" s="7" t="inlineStr">
        <is>
          <t>Sí</t>
        </is>
      </c>
      <c r="R488" s="9">
        <f>IF(N488="","",IF(Q488="Sí",ROUND(N488/1.18,2),N488))</f>
        <v/>
      </c>
      <c r="S488" s="7" t="inlineStr">
        <is>
          <t>2026-09-09</t>
        </is>
      </c>
      <c r="T488" s="5" t="inlineStr">
        <is>
          <t>1 cotización de proveedores</t>
        </is>
      </c>
    </row>
    <row r="489">
      <c r="A489" s="7" t="inlineStr">
        <is>
          <t>MAT-19-018</t>
        </is>
      </c>
      <c r="B489" s="7" t="inlineStr">
        <is>
          <t>Materiales</t>
        </is>
      </c>
      <c r="C489" s="7" t="inlineStr">
        <is>
          <t>Perfiles y tubos de acero</t>
        </is>
      </c>
      <c r="D489" s="5" t="inlineStr">
        <is>
          <t>Perfil rectangular negro 3/4" x 1 1/2" x 20 pies, pared 1.2 mm</t>
        </is>
      </c>
      <c r="E489" s="5" t="inlineStr">
        <is>
          <t>Tubo estructural de sección rectangular · 3/4" x 1 1/2" · pared 1.2 mm · acabado negro</t>
        </is>
      </c>
      <c r="F489" s="5" t="inlineStr">
        <is>
          <t>Material retirado en almacén</t>
        </is>
      </c>
      <c r="G489" s="5" t="inlineStr">
        <is>
          <t>perfilería, tubo cuadrado, HSS</t>
        </is>
      </c>
      <c r="H489" s="7" t="inlineStr">
        <is>
          <t>unidad</t>
        </is>
      </c>
      <c r="I489" s="7" t="inlineStr">
        <is>
          <t>Estructura</t>
        </is>
      </c>
      <c r="J489" s="7" t="inlineStr">
        <is>
          <t>estandar</t>
        </is>
      </c>
      <c r="K489" s="7" t="inlineStr">
        <is>
          <t>importado</t>
        </is>
      </c>
      <c r="L489" s="7" t="inlineStr">
        <is>
          <t>Verificado</t>
        </is>
      </c>
      <c r="M489" s="8" t="n">
        <v>1</v>
      </c>
      <c r="N489" s="9" t="n">
        <v>402.51</v>
      </c>
      <c r="O489" s="9" t="n">
        <v>402.51</v>
      </c>
      <c r="P489" s="9" t="n">
        <v>402.51</v>
      </c>
      <c r="Q489" s="7" t="inlineStr">
        <is>
          <t>Sí</t>
        </is>
      </c>
      <c r="R489" s="9">
        <f>IF(N489="","",IF(Q489="Sí",ROUND(N489/1.18,2),N489))</f>
        <v/>
      </c>
      <c r="S489" s="7" t="inlineStr">
        <is>
          <t>2026-09-09</t>
        </is>
      </c>
      <c r="T489" s="5" t="inlineStr">
        <is>
          <t>1 cotización de proveedores</t>
        </is>
      </c>
    </row>
    <row r="490">
      <c r="A490" s="7" t="inlineStr">
        <is>
          <t>MAT-19-019</t>
        </is>
      </c>
      <c r="B490" s="7" t="inlineStr">
        <is>
          <t>Materiales</t>
        </is>
      </c>
      <c r="C490" s="7" t="inlineStr">
        <is>
          <t>Perfiles y tubos de acero</t>
        </is>
      </c>
      <c r="D490" s="5" t="inlineStr">
        <is>
          <t>Perfil rectangular negro 3/4" x 1 1/2" x 20 pies, pared 1.6 mm</t>
        </is>
      </c>
      <c r="E490" s="5" t="inlineStr">
        <is>
          <t>Tubo estructural de sección rectangular · 3/4" x 1 1/2" · pared 1.6 mm · acabado negro</t>
        </is>
      </c>
      <c r="F490" s="5" t="inlineStr">
        <is>
          <t>Material retirado en almacén</t>
        </is>
      </c>
      <c r="G490" s="5" t="inlineStr">
        <is>
          <t>perfilería, tubo cuadrado, HSS</t>
        </is>
      </c>
      <c r="H490" s="7" t="inlineStr">
        <is>
          <t>unidad</t>
        </is>
      </c>
      <c r="I490" s="7" t="inlineStr">
        <is>
          <t>Estructura</t>
        </is>
      </c>
      <c r="J490" s="7" t="inlineStr">
        <is>
          <t>estandar</t>
        </is>
      </c>
      <c r="K490" s="7" t="inlineStr">
        <is>
          <t>importado</t>
        </is>
      </c>
      <c r="L490" s="7" t="inlineStr">
        <is>
          <t>Verificado</t>
        </is>
      </c>
      <c r="M490" s="8" t="n">
        <v>1</v>
      </c>
      <c r="N490" s="9" t="n">
        <v>472.19</v>
      </c>
      <c r="O490" s="9" t="n">
        <v>472.19</v>
      </c>
      <c r="P490" s="9" t="n">
        <v>472.19</v>
      </c>
      <c r="Q490" s="7" t="inlineStr">
        <is>
          <t>Sí</t>
        </is>
      </c>
      <c r="R490" s="9">
        <f>IF(N490="","",IF(Q490="Sí",ROUND(N490/1.18,2),N490))</f>
        <v/>
      </c>
      <c r="S490" s="7" t="inlineStr">
        <is>
          <t>2026-09-09</t>
        </is>
      </c>
      <c r="T490" s="5" t="inlineStr">
        <is>
          <t>1 cotización de proveedores</t>
        </is>
      </c>
    </row>
    <row r="491">
      <c r="A491" s="7" t="inlineStr">
        <is>
          <t>MAT-19-020</t>
        </is>
      </c>
      <c r="B491" s="7" t="inlineStr">
        <is>
          <t>Materiales</t>
        </is>
      </c>
      <c r="C491" s="7" t="inlineStr">
        <is>
          <t>Perfiles y tubos de acero</t>
        </is>
      </c>
      <c r="D491" s="5" t="inlineStr">
        <is>
          <t>Perfil rectangular negro 2" x 1" x 20 pies, pared 1.2 mm</t>
        </is>
      </c>
      <c r="E491" s="5" t="inlineStr">
        <is>
          <t>Tubo estructural de sección rectangular · 2" x 1" · pared 1.2 mm · acabado negro</t>
        </is>
      </c>
      <c r="F491" s="5" t="inlineStr">
        <is>
          <t>Material retirado en almacén</t>
        </is>
      </c>
      <c r="G491" s="5" t="inlineStr">
        <is>
          <t>perfilería, tubo cuadrado, HSS</t>
        </is>
      </c>
      <c r="H491" s="7" t="inlineStr">
        <is>
          <t>unidad</t>
        </is>
      </c>
      <c r="I491" s="7" t="inlineStr">
        <is>
          <t>Estructura</t>
        </is>
      </c>
      <c r="J491" s="7" t="inlineStr">
        <is>
          <t>estandar</t>
        </is>
      </c>
      <c r="K491" s="7" t="inlineStr">
        <is>
          <t>importado</t>
        </is>
      </c>
      <c r="L491" s="7" t="inlineStr">
        <is>
          <t>Verificado</t>
        </is>
      </c>
      <c r="M491" s="8" t="n">
        <v>1</v>
      </c>
      <c r="N491" s="9" t="n">
        <v>542.15</v>
      </c>
      <c r="O491" s="9" t="n">
        <v>542.15</v>
      </c>
      <c r="P491" s="9" t="n">
        <v>542.15</v>
      </c>
      <c r="Q491" s="7" t="inlineStr">
        <is>
          <t>Sí</t>
        </is>
      </c>
      <c r="R491" s="9">
        <f>IF(N491="","",IF(Q491="Sí",ROUND(N491/1.18,2),N491))</f>
        <v/>
      </c>
      <c r="S491" s="7" t="inlineStr">
        <is>
          <t>2026-09-09</t>
        </is>
      </c>
      <c r="T491" s="5" t="inlineStr">
        <is>
          <t>1 cotización de proveedores</t>
        </is>
      </c>
    </row>
    <row r="492">
      <c r="A492" s="7" t="inlineStr">
        <is>
          <t>MAT-19-021</t>
        </is>
      </c>
      <c r="B492" s="7" t="inlineStr">
        <is>
          <t>Materiales</t>
        </is>
      </c>
      <c r="C492" s="7" t="inlineStr">
        <is>
          <t>Perfiles y tubos de acero</t>
        </is>
      </c>
      <c r="D492" s="5" t="inlineStr">
        <is>
          <t>Perfil rectangular negro 2" x 1" x 20 pies, pared 1.6 mm</t>
        </is>
      </c>
      <c r="E492" s="5" t="inlineStr">
        <is>
          <t>Tubo estructural de sección rectangular · 2" x 1" · pared 1.6 mm · acabado negro</t>
        </is>
      </c>
      <c r="F492" s="5" t="inlineStr">
        <is>
          <t>Material retirado en almacén</t>
        </is>
      </c>
      <c r="G492" s="5" t="inlineStr">
        <is>
          <t>perfilería, tubo cuadrado, HSS</t>
        </is>
      </c>
      <c r="H492" s="7" t="inlineStr">
        <is>
          <t>unidad</t>
        </is>
      </c>
      <c r="I492" s="7" t="inlineStr">
        <is>
          <t>Estructura</t>
        </is>
      </c>
      <c r="J492" s="7" t="inlineStr">
        <is>
          <t>estandar</t>
        </is>
      </c>
      <c r="K492" s="7" t="inlineStr">
        <is>
          <t>importado</t>
        </is>
      </c>
      <c r="L492" s="7" t="inlineStr">
        <is>
          <t>Verificado</t>
        </is>
      </c>
      <c r="M492" s="8" t="n">
        <v>1</v>
      </c>
      <c r="N492" s="9" t="n">
        <v>639.71</v>
      </c>
      <c r="O492" s="9" t="n">
        <v>639.71</v>
      </c>
      <c r="P492" s="9" t="n">
        <v>639.71</v>
      </c>
      <c r="Q492" s="7" t="inlineStr">
        <is>
          <t>Sí</t>
        </is>
      </c>
      <c r="R492" s="9">
        <f>IF(N492="","",IF(Q492="Sí",ROUND(N492/1.18,2),N492))</f>
        <v/>
      </c>
      <c r="S492" s="7" t="inlineStr">
        <is>
          <t>2026-09-09</t>
        </is>
      </c>
      <c r="T492" s="5" t="inlineStr">
        <is>
          <t>1 cotización de proveedores</t>
        </is>
      </c>
    </row>
    <row r="493">
      <c r="A493" s="7" t="inlineStr">
        <is>
          <t>MAT-19-022</t>
        </is>
      </c>
      <c r="B493" s="7" t="inlineStr">
        <is>
          <t>Materiales</t>
        </is>
      </c>
      <c r="C493" s="7" t="inlineStr">
        <is>
          <t>Perfiles y tubos de acero</t>
        </is>
      </c>
      <c r="D493" s="5" t="inlineStr">
        <is>
          <t>Perfil rectangular negro 2" x 3" x 20 pies, pared 1.6 mm</t>
        </is>
      </c>
      <c r="E493" s="5" t="inlineStr">
        <is>
          <t>Tubo estructural de sección rectangular · 2" x 3" · pared 1.6 mm · acabado negro</t>
        </is>
      </c>
      <c r="F493" s="5" t="inlineStr">
        <is>
          <t>Material retirado en almacén</t>
        </is>
      </c>
      <c r="G493" s="5" t="inlineStr">
        <is>
          <t>perfilería, tubo cuadrado, HSS</t>
        </is>
      </c>
      <c r="H493" s="7" t="inlineStr">
        <is>
          <t>unidad</t>
        </is>
      </c>
      <c r="I493" s="7" t="inlineStr">
        <is>
          <t>Estructura</t>
        </is>
      </c>
      <c r="J493" s="7" t="inlineStr">
        <is>
          <t>estandar</t>
        </is>
      </c>
      <c r="K493" s="7" t="inlineStr">
        <is>
          <t>importado</t>
        </is>
      </c>
      <c r="L493" s="7" t="inlineStr">
        <is>
          <t>Verificado</t>
        </is>
      </c>
      <c r="M493" s="8" t="n">
        <v>1</v>
      </c>
      <c r="N493" s="9" t="n">
        <v>1082.3</v>
      </c>
      <c r="O493" s="9" t="n">
        <v>1082.3</v>
      </c>
      <c r="P493" s="9" t="n">
        <v>1082.3</v>
      </c>
      <c r="Q493" s="7" t="inlineStr">
        <is>
          <t>Sí</t>
        </is>
      </c>
      <c r="R493" s="9">
        <f>IF(N493="","",IF(Q493="Sí",ROUND(N493/1.18,2),N493))</f>
        <v/>
      </c>
      <c r="S493" s="7" t="inlineStr">
        <is>
          <t>2026-09-09</t>
        </is>
      </c>
      <c r="T493" s="5" t="inlineStr">
        <is>
          <t>1 cotización de proveedores</t>
        </is>
      </c>
    </row>
    <row r="494">
      <c r="A494" s="7" t="inlineStr">
        <is>
          <t>MAT-19-023</t>
        </is>
      </c>
      <c r="B494" s="7" t="inlineStr">
        <is>
          <t>Materiales</t>
        </is>
      </c>
      <c r="C494" s="7" t="inlineStr">
        <is>
          <t>Perfiles y tubos de acero</t>
        </is>
      </c>
      <c r="D494" s="5" t="inlineStr">
        <is>
          <t>Perfil rectangular negro 2" x 4" x 20 pies, pared 1.6 mm</t>
        </is>
      </c>
      <c r="E494" s="5" t="inlineStr">
        <is>
          <t>Tubo estructural de sección rectangular · 2" x 4" · pared 1.6 mm · acabado negro</t>
        </is>
      </c>
      <c r="F494" s="5" t="inlineStr">
        <is>
          <t>Material retirado en almacén</t>
        </is>
      </c>
      <c r="G494" s="5" t="inlineStr">
        <is>
          <t>perfilería, tubo cuadrado, HSS</t>
        </is>
      </c>
      <c r="H494" s="7" t="inlineStr">
        <is>
          <t>unidad</t>
        </is>
      </c>
      <c r="I494" s="7" t="inlineStr">
        <is>
          <t>Estructura</t>
        </is>
      </c>
      <c r="J494" s="7" t="inlineStr">
        <is>
          <t>estandar</t>
        </is>
      </c>
      <c r="K494" s="7" t="inlineStr">
        <is>
          <t>importado</t>
        </is>
      </c>
      <c r="L494" s="7" t="inlineStr">
        <is>
          <t>Verificado</t>
        </is>
      </c>
      <c r="M494" s="8" t="n">
        <v>1</v>
      </c>
      <c r="N494" s="9" t="n">
        <v>1349.04</v>
      </c>
      <c r="O494" s="9" t="n">
        <v>1349.04</v>
      </c>
      <c r="P494" s="9" t="n">
        <v>1349.04</v>
      </c>
      <c r="Q494" s="7" t="inlineStr">
        <is>
          <t>Sí</t>
        </is>
      </c>
      <c r="R494" s="9">
        <f>IF(N494="","",IF(Q494="Sí",ROUND(N494/1.18,2),N494))</f>
        <v/>
      </c>
      <c r="S494" s="7" t="inlineStr">
        <is>
          <t>2026-09-09</t>
        </is>
      </c>
      <c r="T494" s="5" t="inlineStr">
        <is>
          <t>1 cotización de proveedores</t>
        </is>
      </c>
    </row>
    <row r="495">
      <c r="A495" s="7" t="inlineStr">
        <is>
          <t>MAT-19-024</t>
        </is>
      </c>
      <c r="B495" s="7" t="inlineStr">
        <is>
          <t>Materiales</t>
        </is>
      </c>
      <c r="C495" s="7" t="inlineStr">
        <is>
          <t>Perfiles y tubos de acero</t>
        </is>
      </c>
      <c r="D495" s="5" t="inlineStr">
        <is>
          <t>Perfil rectangular negro 3" x 1 1/2" x 20 pies, pared 1.6 mm</t>
        </is>
      </c>
      <c r="E495" s="5" t="inlineStr">
        <is>
          <t>Tubo estructural de sección rectangular · 3" x 1 1/2" · pared 1.6 mm · acabado negro</t>
        </is>
      </c>
      <c r="F495" s="5" t="inlineStr">
        <is>
          <t>Material retirado en almacén</t>
        </is>
      </c>
      <c r="G495" s="5" t="inlineStr">
        <is>
          <t>perfilería, tubo cuadrado, HSS</t>
        </is>
      </c>
      <c r="H495" s="7" t="inlineStr">
        <is>
          <t>unidad</t>
        </is>
      </c>
      <c r="I495" s="7" t="inlineStr">
        <is>
          <t>Estructura</t>
        </is>
      </c>
      <c r="J495" s="7" t="inlineStr">
        <is>
          <t>estandar</t>
        </is>
      </c>
      <c r="K495" s="7" t="inlineStr">
        <is>
          <t>importado</t>
        </is>
      </c>
      <c r="L495" s="7" t="inlineStr">
        <is>
          <t>Verificado</t>
        </is>
      </c>
      <c r="M495" s="8" t="n">
        <v>1</v>
      </c>
      <c r="N495" s="9" t="n">
        <v>973.59</v>
      </c>
      <c r="O495" s="9" t="n">
        <v>973.59</v>
      </c>
      <c r="P495" s="9" t="n">
        <v>973.59</v>
      </c>
      <c r="Q495" s="7" t="inlineStr">
        <is>
          <t>Sí</t>
        </is>
      </c>
      <c r="R495" s="9">
        <f>IF(N495="","",IF(Q495="Sí",ROUND(N495/1.18,2),N495))</f>
        <v/>
      </c>
      <c r="S495" s="7" t="inlineStr">
        <is>
          <t>2026-09-09</t>
        </is>
      </c>
      <c r="T495" s="5" t="inlineStr">
        <is>
          <t>1 cotización de proveedores</t>
        </is>
      </c>
    </row>
    <row r="496">
      <c r="A496" s="7" t="inlineStr">
        <is>
          <t>MAT-19-025</t>
        </is>
      </c>
      <c r="B496" s="7" t="inlineStr">
        <is>
          <t>Materiales</t>
        </is>
      </c>
      <c r="C496" s="7" t="inlineStr">
        <is>
          <t>Perfiles y tubos de acero</t>
        </is>
      </c>
      <c r="D496" s="5" t="inlineStr">
        <is>
          <t>Perfil rectangular galvanizado 3/4" x 1 1/2" x 20 pies, pared 1.2 mm</t>
        </is>
      </c>
      <c r="E496" s="5" t="inlineStr">
        <is>
          <t>Tubo estructural de sección rectangular · 3/4" x 1 1/2" · pared 1.2 mm · acabado galvanizado</t>
        </is>
      </c>
      <c r="F496" s="5" t="inlineStr">
        <is>
          <t>Material retirado en almacén</t>
        </is>
      </c>
      <c r="G496" s="5" t="inlineStr">
        <is>
          <t>perfilería, tubo cuadrado, HSS</t>
        </is>
      </c>
      <c r="H496" s="7" t="inlineStr">
        <is>
          <t>unidad</t>
        </is>
      </c>
      <c r="I496" s="7" t="inlineStr">
        <is>
          <t>Estructura</t>
        </is>
      </c>
      <c r="J496" s="7" t="inlineStr">
        <is>
          <t>estandar</t>
        </is>
      </c>
      <c r="K496" s="7" t="inlineStr">
        <is>
          <t>importado</t>
        </is>
      </c>
      <c r="L496" s="7" t="inlineStr">
        <is>
          <t>Verificado</t>
        </is>
      </c>
      <c r="M496" s="8" t="n">
        <v>1</v>
      </c>
      <c r="N496" s="9" t="n">
        <v>492.8</v>
      </c>
      <c r="O496" s="9" t="n">
        <v>492.8</v>
      </c>
      <c r="P496" s="9" t="n">
        <v>492.8</v>
      </c>
      <c r="Q496" s="7" t="inlineStr">
        <is>
          <t>Sí</t>
        </is>
      </c>
      <c r="R496" s="9">
        <f>IF(N496="","",IF(Q496="Sí",ROUND(N496/1.18,2),N496))</f>
        <v/>
      </c>
      <c r="S496" s="7" t="inlineStr">
        <is>
          <t>2026-09-09</t>
        </is>
      </c>
      <c r="T496" s="5" t="inlineStr">
        <is>
          <t>1 cotización de proveedores</t>
        </is>
      </c>
    </row>
    <row r="497">
      <c r="A497" s="7" t="inlineStr">
        <is>
          <t>MAT-19-026</t>
        </is>
      </c>
      <c r="B497" s="7" t="inlineStr">
        <is>
          <t>Materiales</t>
        </is>
      </c>
      <c r="C497" s="7" t="inlineStr">
        <is>
          <t>Perfiles y tubos de acero</t>
        </is>
      </c>
      <c r="D497" s="5" t="inlineStr">
        <is>
          <t>Perfil rectangular galvanizado 3/4" x 1 1/2" x 20 pies, pared 1.5 mm</t>
        </is>
      </c>
      <c r="E497" s="5" t="inlineStr">
        <is>
          <t>Tubo estructural de sección rectangular · 3/4" x 1 1/2" · pared 1.5 mm · acabado galvanizado</t>
        </is>
      </c>
      <c r="F497" s="5" t="inlineStr">
        <is>
          <t>Material retirado en almacén</t>
        </is>
      </c>
      <c r="G497" s="5" t="inlineStr">
        <is>
          <t>perfilería, tubo cuadrado, HSS</t>
        </is>
      </c>
      <c r="H497" s="7" t="inlineStr">
        <is>
          <t>unidad</t>
        </is>
      </c>
      <c r="I497" s="7" t="inlineStr">
        <is>
          <t>Estructura</t>
        </is>
      </c>
      <c r="J497" s="7" t="inlineStr">
        <is>
          <t>estandar</t>
        </is>
      </c>
      <c r="K497" s="7" t="inlineStr">
        <is>
          <t>importado</t>
        </is>
      </c>
      <c r="L497" s="7" t="inlineStr">
        <is>
          <t>Verificado</t>
        </is>
      </c>
      <c r="M497" s="8" t="n">
        <v>1</v>
      </c>
      <c r="N497" s="9" t="n">
        <v>626.88</v>
      </c>
      <c r="O497" s="9" t="n">
        <v>626.88</v>
      </c>
      <c r="P497" s="9" t="n">
        <v>626.88</v>
      </c>
      <c r="Q497" s="7" t="inlineStr">
        <is>
          <t>Sí</t>
        </is>
      </c>
      <c r="R497" s="9">
        <f>IF(N497="","",IF(Q497="Sí",ROUND(N497/1.18,2),N497))</f>
        <v/>
      </c>
      <c r="S497" s="7" t="inlineStr">
        <is>
          <t>2026-09-09</t>
        </is>
      </c>
      <c r="T497" s="5" t="inlineStr">
        <is>
          <t>1 cotización de proveedores</t>
        </is>
      </c>
    </row>
    <row r="498">
      <c r="A498" s="7" t="inlineStr">
        <is>
          <t>MAT-19-027</t>
        </is>
      </c>
      <c r="B498" s="7" t="inlineStr">
        <is>
          <t>Materiales</t>
        </is>
      </c>
      <c r="C498" s="7" t="inlineStr">
        <is>
          <t>Perfiles y tubos de acero</t>
        </is>
      </c>
      <c r="D498" s="5" t="inlineStr">
        <is>
          <t>Perfil rectangular galvanizado 2" x 1" x 20 pies, pared 1.2 mm</t>
        </is>
      </c>
      <c r="E498" s="5" t="inlineStr">
        <is>
          <t>Tubo estructural de sección rectangular · 2" x 1" · pared 1.2 mm · acabado galvanizado</t>
        </is>
      </c>
      <c r="F498" s="5" t="inlineStr">
        <is>
          <t>Material retirado en almacén</t>
        </is>
      </c>
      <c r="G498" s="5" t="inlineStr">
        <is>
          <t>perfilería, tubo cuadrado, HSS</t>
        </is>
      </c>
      <c r="H498" s="7" t="inlineStr">
        <is>
          <t>unidad</t>
        </is>
      </c>
      <c r="I498" s="7" t="inlineStr">
        <is>
          <t>Estructura</t>
        </is>
      </c>
      <c r="J498" s="7" t="inlineStr">
        <is>
          <t>estandar</t>
        </is>
      </c>
      <c r="K498" s="7" t="inlineStr">
        <is>
          <t>importado</t>
        </is>
      </c>
      <c r="L498" s="7" t="inlineStr">
        <is>
          <t>Verificado</t>
        </is>
      </c>
      <c r="M498" s="8" t="n">
        <v>1</v>
      </c>
      <c r="N498" s="9" t="n">
        <v>646.73</v>
      </c>
      <c r="O498" s="9" t="n">
        <v>646.73</v>
      </c>
      <c r="P498" s="9" t="n">
        <v>646.73</v>
      </c>
      <c r="Q498" s="7" t="inlineStr">
        <is>
          <t>Sí</t>
        </is>
      </c>
      <c r="R498" s="9">
        <f>IF(N498="","",IF(Q498="Sí",ROUND(N498/1.18,2),N498))</f>
        <v/>
      </c>
      <c r="S498" s="7" t="inlineStr">
        <is>
          <t>2026-09-09</t>
        </is>
      </c>
      <c r="T498" s="5" t="inlineStr">
        <is>
          <t>1 cotización de proveedores</t>
        </is>
      </c>
    </row>
    <row r="499">
      <c r="A499" s="7" t="inlineStr">
        <is>
          <t>MAT-19-028</t>
        </is>
      </c>
      <c r="B499" s="7" t="inlineStr">
        <is>
          <t>Materiales</t>
        </is>
      </c>
      <c r="C499" s="7" t="inlineStr">
        <is>
          <t>Perfiles y tubos de acero</t>
        </is>
      </c>
      <c r="D499" s="5" t="inlineStr">
        <is>
          <t>Perfil rectangular galvanizado 2" x 1" x 20 pies, pared 1.6 mm</t>
        </is>
      </c>
      <c r="E499" s="5" t="inlineStr">
        <is>
          <t>Tubo estructural de sección rectangular · 2" x 1" · pared 1.6 mm · acabado galvanizado</t>
        </is>
      </c>
      <c r="F499" s="5" t="inlineStr">
        <is>
          <t>Material retirado en almacén</t>
        </is>
      </c>
      <c r="G499" s="5" t="inlineStr">
        <is>
          <t>perfilería, tubo cuadrado, HSS</t>
        </is>
      </c>
      <c r="H499" s="7" t="inlineStr">
        <is>
          <t>unidad</t>
        </is>
      </c>
      <c r="I499" s="7" t="inlineStr">
        <is>
          <t>Estructura</t>
        </is>
      </c>
      <c r="J499" s="7" t="inlineStr">
        <is>
          <t>estandar</t>
        </is>
      </c>
      <c r="K499" s="7" t="inlineStr">
        <is>
          <t>importado</t>
        </is>
      </c>
      <c r="L499" s="7" t="inlineStr">
        <is>
          <t>Verificado</t>
        </is>
      </c>
      <c r="M499" s="8" t="n">
        <v>1</v>
      </c>
      <c r="N499" s="9" t="n">
        <v>812.22</v>
      </c>
      <c r="O499" s="9" t="n">
        <v>812.22</v>
      </c>
      <c r="P499" s="9" t="n">
        <v>812.22</v>
      </c>
      <c r="Q499" s="7" t="inlineStr">
        <is>
          <t>Sí</t>
        </is>
      </c>
      <c r="R499" s="9">
        <f>IF(N499="","",IF(Q499="Sí",ROUND(N499/1.18,2),N499))</f>
        <v/>
      </c>
      <c r="S499" s="7" t="inlineStr">
        <is>
          <t>2026-09-09</t>
        </is>
      </c>
      <c r="T499" s="5" t="inlineStr">
        <is>
          <t>1 cotización de proveedores</t>
        </is>
      </c>
    </row>
    <row r="500">
      <c r="A500" s="7" t="inlineStr">
        <is>
          <t>MAT-19-029</t>
        </is>
      </c>
      <c r="B500" s="7" t="inlineStr">
        <is>
          <t>Materiales</t>
        </is>
      </c>
      <c r="C500" s="7" t="inlineStr">
        <is>
          <t>Perfiles y tubos de acero</t>
        </is>
      </c>
      <c r="D500" s="5" t="inlineStr">
        <is>
          <t>Perfil rectangular galvanizado 2" x 3" x 20 pies, pared 1.6 mm</t>
        </is>
      </c>
      <c r="E500" s="5" t="inlineStr">
        <is>
          <t>Tubo estructural de sección rectangular · 2" x 3" · pared 1.6 mm · acabado galvanizado</t>
        </is>
      </c>
      <c r="F500" s="5" t="inlineStr">
        <is>
          <t>Material retirado en almacén</t>
        </is>
      </c>
      <c r="G500" s="5" t="inlineStr">
        <is>
          <t>perfilería, tubo cuadrado, HSS</t>
        </is>
      </c>
      <c r="H500" s="7" t="inlineStr">
        <is>
          <t>unidad</t>
        </is>
      </c>
      <c r="I500" s="7" t="inlineStr">
        <is>
          <t>Estructura</t>
        </is>
      </c>
      <c r="J500" s="7" t="inlineStr">
        <is>
          <t>estandar</t>
        </is>
      </c>
      <c r="K500" s="7" t="inlineStr">
        <is>
          <t>importado</t>
        </is>
      </c>
      <c r="L500" s="7" t="inlineStr">
        <is>
          <t>Verificado</t>
        </is>
      </c>
      <c r="M500" s="8" t="n">
        <v>1</v>
      </c>
      <c r="N500" s="9" t="n">
        <v>1400.9</v>
      </c>
      <c r="O500" s="9" t="n">
        <v>1400.9</v>
      </c>
      <c r="P500" s="9" t="n">
        <v>1400.9</v>
      </c>
      <c r="Q500" s="7" t="inlineStr">
        <is>
          <t>Sí</t>
        </is>
      </c>
      <c r="R500" s="9">
        <f>IF(N500="","",IF(Q500="Sí",ROUND(N500/1.18,2),N500))</f>
        <v/>
      </c>
      <c r="S500" s="7" t="inlineStr">
        <is>
          <t>2026-09-09</t>
        </is>
      </c>
      <c r="T500" s="5" t="inlineStr">
        <is>
          <t>1 cotización de proveedores</t>
        </is>
      </c>
    </row>
    <row r="501">
      <c r="A501" s="7" t="inlineStr">
        <is>
          <t>MAT-19-030</t>
        </is>
      </c>
      <c r="B501" s="7" t="inlineStr">
        <is>
          <t>Materiales</t>
        </is>
      </c>
      <c r="C501" s="7" t="inlineStr">
        <is>
          <t>Perfiles y tubos de acero</t>
        </is>
      </c>
      <c r="D501" s="5" t="inlineStr">
        <is>
          <t>Perfil rectangular galvanizado 2" x 4" x 20 pies, pared 1.6 mm</t>
        </is>
      </c>
      <c r="E501" s="5" t="inlineStr">
        <is>
          <t>Tubo estructural de sección rectangular · 2" x 4" · pared 1.6 mm · acabado galvanizado</t>
        </is>
      </c>
      <c r="F501" s="5" t="inlineStr">
        <is>
          <t>Material retirado en almacén</t>
        </is>
      </c>
      <c r="G501" s="5" t="inlineStr">
        <is>
          <t>perfilería, tubo cuadrado, HSS</t>
        </is>
      </c>
      <c r="H501" s="7" t="inlineStr">
        <is>
          <t>unidad</t>
        </is>
      </c>
      <c r="I501" s="7" t="inlineStr">
        <is>
          <t>Estructura</t>
        </is>
      </c>
      <c r="J501" s="7" t="inlineStr">
        <is>
          <t>estandar</t>
        </is>
      </c>
      <c r="K501" s="7" t="inlineStr">
        <is>
          <t>importado</t>
        </is>
      </c>
      <c r="L501" s="7" t="inlineStr">
        <is>
          <t>Verificado</t>
        </is>
      </c>
      <c r="M501" s="8" t="n">
        <v>1</v>
      </c>
      <c r="N501" s="9" t="n">
        <v>1695.85</v>
      </c>
      <c r="O501" s="9" t="n">
        <v>1695.85</v>
      </c>
      <c r="P501" s="9" t="n">
        <v>1695.85</v>
      </c>
      <c r="Q501" s="7" t="inlineStr">
        <is>
          <t>Sí</t>
        </is>
      </c>
      <c r="R501" s="9">
        <f>IF(N501="","",IF(Q501="Sí",ROUND(N501/1.18,2),N501))</f>
        <v/>
      </c>
      <c r="S501" s="7" t="inlineStr">
        <is>
          <t>2026-09-09</t>
        </is>
      </c>
      <c r="T501" s="5" t="inlineStr">
        <is>
          <t>1 cotización de proveedores</t>
        </is>
      </c>
    </row>
    <row r="502">
      <c r="A502" s="7" t="inlineStr">
        <is>
          <t>MAT-19-031</t>
        </is>
      </c>
      <c r="B502" s="7" t="inlineStr">
        <is>
          <t>Materiales</t>
        </is>
      </c>
      <c r="C502" s="7" t="inlineStr">
        <is>
          <t>Perfiles y tubos de acero</t>
        </is>
      </c>
      <c r="D502" s="5" t="inlineStr">
        <is>
          <t>Perfil rectangular galvanizado 3" x 1 1/2" x 20 pies, pared 1.6 mm</t>
        </is>
      </c>
      <c r="E502" s="5" t="inlineStr">
        <is>
          <t>Tubo estructural de sección rectangular · 3" x 1 1/2" · pared 1.6 mm · acabado galvanizado</t>
        </is>
      </c>
      <c r="F502" s="5" t="inlineStr">
        <is>
          <t>Material retirado en almacén</t>
        </is>
      </c>
      <c r="G502" s="5" t="inlineStr">
        <is>
          <t>perfilería, tubo cuadrado, HSS</t>
        </is>
      </c>
      <c r="H502" s="7" t="inlineStr">
        <is>
          <t>unidad</t>
        </is>
      </c>
      <c r="I502" s="7" t="inlineStr">
        <is>
          <t>Estructura</t>
        </is>
      </c>
      <c r="J502" s="7" t="inlineStr">
        <is>
          <t>estandar</t>
        </is>
      </c>
      <c r="K502" s="7" t="inlineStr">
        <is>
          <t>importado</t>
        </is>
      </c>
      <c r="L502" s="7" t="inlineStr">
        <is>
          <t>Verificado</t>
        </is>
      </c>
      <c r="M502" s="8" t="n">
        <v>1</v>
      </c>
      <c r="N502" s="9" t="n">
        <v>1275.97</v>
      </c>
      <c r="O502" s="9" t="n">
        <v>1275.97</v>
      </c>
      <c r="P502" s="9" t="n">
        <v>1275.97</v>
      </c>
      <c r="Q502" s="7" t="inlineStr">
        <is>
          <t>Sí</t>
        </is>
      </c>
      <c r="R502" s="9">
        <f>IF(N502="","",IF(Q502="Sí",ROUND(N502/1.18,2),N502))</f>
        <v/>
      </c>
      <c r="S502" s="7" t="inlineStr">
        <is>
          <t>2026-09-09</t>
        </is>
      </c>
      <c r="T502" s="5" t="inlineStr">
        <is>
          <t>1 cotización de proveedores</t>
        </is>
      </c>
    </row>
    <row r="503">
      <c r="A503" s="7" t="inlineStr">
        <is>
          <t>MAT-19-032</t>
        </is>
      </c>
      <c r="B503" s="7" t="inlineStr">
        <is>
          <t>Materiales</t>
        </is>
      </c>
      <c r="C503" s="7" t="inlineStr">
        <is>
          <t>Perfiles y tubos de acero</t>
        </is>
      </c>
      <c r="D503" s="5" t="inlineStr">
        <is>
          <t>Tubo negro redondo 1/2" x 20 pies, pared 2.77 mm</t>
        </is>
      </c>
      <c r="E503" s="5" t="inlineStr">
        <is>
          <t>Tubería de acero negro sin recubrimiento · 1/2" · pared 2.77 mm · tramo de 20 pies</t>
        </is>
      </c>
      <c r="F503" s="5" t="inlineStr">
        <is>
          <t>Material retirado en almacén</t>
        </is>
      </c>
      <c r="G503" s="5" t="inlineStr">
        <is>
          <t>tubo de hierro, tubería negra</t>
        </is>
      </c>
      <c r="H503" s="7" t="inlineStr">
        <is>
          <t>unidad</t>
        </is>
      </c>
      <c r="I503" s="7" t="inlineStr">
        <is>
          <t>Estructura</t>
        </is>
      </c>
      <c r="J503" s="7" t="inlineStr">
        <is>
          <t>estandar</t>
        </is>
      </c>
      <c r="K503" s="7" t="inlineStr">
        <is>
          <t>importado</t>
        </is>
      </c>
      <c r="L503" s="7" t="inlineStr">
        <is>
          <t>Verificado</t>
        </is>
      </c>
      <c r="M503" s="8" t="n">
        <v>1</v>
      </c>
      <c r="N503" s="9" t="n">
        <v>620.21</v>
      </c>
      <c r="O503" s="9" t="n">
        <v>620.21</v>
      </c>
      <c r="P503" s="9" t="n">
        <v>620.21</v>
      </c>
      <c r="Q503" s="7" t="inlineStr">
        <is>
          <t>Sí</t>
        </is>
      </c>
      <c r="R503" s="9">
        <f>IF(N503="","",IF(Q503="Sí",ROUND(N503/1.18,2),N503))</f>
        <v/>
      </c>
      <c r="S503" s="7" t="inlineStr">
        <is>
          <t>2026-09-09</t>
        </is>
      </c>
      <c r="T503" s="5" t="inlineStr">
        <is>
          <t>1 cotización de proveedores</t>
        </is>
      </c>
    </row>
    <row r="504">
      <c r="A504" s="7" t="inlineStr">
        <is>
          <t>MAT-19-033</t>
        </is>
      </c>
      <c r="B504" s="7" t="inlineStr">
        <is>
          <t>Materiales</t>
        </is>
      </c>
      <c r="C504" s="7" t="inlineStr">
        <is>
          <t>Perfiles y tubos de acero</t>
        </is>
      </c>
      <c r="D504" s="5" t="inlineStr">
        <is>
          <t>Tubo negro redondo 3/4" x 20 pies, pared 2.87 mm</t>
        </is>
      </c>
      <c r="E504" s="5" t="inlineStr">
        <is>
          <t>Tubería de acero negro sin recubrimiento · 3/4" · pared 2.87 mm · tramo de 20 pies</t>
        </is>
      </c>
      <c r="F504" s="5" t="inlineStr">
        <is>
          <t>Material retirado en almacén</t>
        </is>
      </c>
      <c r="G504" s="5" t="inlineStr">
        <is>
          <t>tubo de hierro, tubería negra</t>
        </is>
      </c>
      <c r="H504" s="7" t="inlineStr">
        <is>
          <t>unidad</t>
        </is>
      </c>
      <c r="I504" s="7" t="inlineStr">
        <is>
          <t>Estructura</t>
        </is>
      </c>
      <c r="J504" s="7" t="inlineStr">
        <is>
          <t>estandar</t>
        </is>
      </c>
      <c r="K504" s="7" t="inlineStr">
        <is>
          <t>importado</t>
        </is>
      </c>
      <c r="L504" s="7" t="inlineStr">
        <is>
          <t>Verificado</t>
        </is>
      </c>
      <c r="M504" s="8" t="n">
        <v>1</v>
      </c>
      <c r="N504" s="9" t="n">
        <v>826</v>
      </c>
      <c r="O504" s="9" t="n">
        <v>826</v>
      </c>
      <c r="P504" s="9" t="n">
        <v>826</v>
      </c>
      <c r="Q504" s="7" t="inlineStr">
        <is>
          <t>Sí</t>
        </is>
      </c>
      <c r="R504" s="9">
        <f>IF(N504="","",IF(Q504="Sí",ROUND(N504/1.18,2),N504))</f>
        <v/>
      </c>
      <c r="S504" s="7" t="inlineStr">
        <is>
          <t>2026-09-09</t>
        </is>
      </c>
      <c r="T504" s="5" t="inlineStr">
        <is>
          <t>1 cotización de proveedores</t>
        </is>
      </c>
    </row>
    <row r="505">
      <c r="A505" s="7" t="inlineStr">
        <is>
          <t>MAT-19-034</t>
        </is>
      </c>
      <c r="B505" s="7" t="inlineStr">
        <is>
          <t>Materiales</t>
        </is>
      </c>
      <c r="C505" s="7" t="inlineStr">
        <is>
          <t>Perfiles y tubos de acero</t>
        </is>
      </c>
      <c r="D505" s="5" t="inlineStr">
        <is>
          <t>Tubo negro redondo 1" x 20 pies, pared 3.38 mm</t>
        </is>
      </c>
      <c r="E505" s="5" t="inlineStr">
        <is>
          <t>Tubería de acero negro sin recubrimiento · 1" · pared 3.38 mm · tramo de 20 pies</t>
        </is>
      </c>
      <c r="F505" s="5" t="inlineStr">
        <is>
          <t>Material retirado en almacén</t>
        </is>
      </c>
      <c r="G505" s="5" t="inlineStr">
        <is>
          <t>tubo de hierro, tubería negra</t>
        </is>
      </c>
      <c r="H505" s="7" t="inlineStr">
        <is>
          <t>unidad</t>
        </is>
      </c>
      <c r="I505" s="7" t="inlineStr">
        <is>
          <t>Estructura</t>
        </is>
      </c>
      <c r="J505" s="7" t="inlineStr">
        <is>
          <t>estandar</t>
        </is>
      </c>
      <c r="K505" s="7" t="inlineStr">
        <is>
          <t>importado</t>
        </is>
      </c>
      <c r="L505" s="7" t="inlineStr">
        <is>
          <t>Verificado</t>
        </is>
      </c>
      <c r="M505" s="8" t="n">
        <v>1</v>
      </c>
      <c r="N505" s="9" t="n">
        <v>1206.29</v>
      </c>
      <c r="O505" s="9" t="n">
        <v>1206.29</v>
      </c>
      <c r="P505" s="9" t="n">
        <v>1206.29</v>
      </c>
      <c r="Q505" s="7" t="inlineStr">
        <is>
          <t>Sí</t>
        </is>
      </c>
      <c r="R505" s="9">
        <f>IF(N505="","",IF(Q505="Sí",ROUND(N505/1.18,2),N505))</f>
        <v/>
      </c>
      <c r="S505" s="7" t="inlineStr">
        <is>
          <t>2026-09-09</t>
        </is>
      </c>
      <c r="T505" s="5" t="inlineStr">
        <is>
          <t>1 cotización de proveedores</t>
        </is>
      </c>
    </row>
    <row r="506">
      <c r="A506" s="7" t="inlineStr">
        <is>
          <t>MAT-19-035</t>
        </is>
      </c>
      <c r="B506" s="7" t="inlineStr">
        <is>
          <t>Materiales</t>
        </is>
      </c>
      <c r="C506" s="7" t="inlineStr">
        <is>
          <t>Perfiles y tubos de acero</t>
        </is>
      </c>
      <c r="D506" s="5" t="inlineStr">
        <is>
          <t>Tubo negro redondo 1 1/4" x 20 pies, pared 3.56 mm</t>
        </is>
      </c>
      <c r="E506" s="5" t="inlineStr">
        <is>
          <t>Tubería de acero negro sin recubrimiento · 1 1/4" · pared 3.56 mm · tramo de 20 pies</t>
        </is>
      </c>
      <c r="F506" s="5" t="inlineStr">
        <is>
          <t>Material retirado en almacén</t>
        </is>
      </c>
      <c r="G506" s="5" t="inlineStr">
        <is>
          <t>tubo de hierro, tubería negra</t>
        </is>
      </c>
      <c r="H506" s="7" t="inlineStr">
        <is>
          <t>unidad</t>
        </is>
      </c>
      <c r="I506" s="7" t="inlineStr">
        <is>
          <t>Estructura</t>
        </is>
      </c>
      <c r="J506" s="7" t="inlineStr">
        <is>
          <t>estandar</t>
        </is>
      </c>
      <c r="K506" s="7" t="inlineStr">
        <is>
          <t>importado</t>
        </is>
      </c>
      <c r="L506" s="7" t="inlineStr">
        <is>
          <t>Verificado</t>
        </is>
      </c>
      <c r="M506" s="8" t="n">
        <v>1</v>
      </c>
      <c r="N506" s="9" t="n">
        <v>1507.57</v>
      </c>
      <c r="O506" s="9" t="n">
        <v>1507.57</v>
      </c>
      <c r="P506" s="9" t="n">
        <v>1507.57</v>
      </c>
      <c r="Q506" s="7" t="inlineStr">
        <is>
          <t>Sí</t>
        </is>
      </c>
      <c r="R506" s="9">
        <f>IF(N506="","",IF(Q506="Sí",ROUND(N506/1.18,2),N506))</f>
        <v/>
      </c>
      <c r="S506" s="7" t="inlineStr">
        <is>
          <t>2026-09-09</t>
        </is>
      </c>
      <c r="T506" s="5" t="inlineStr">
        <is>
          <t>1 cotización de proveedores</t>
        </is>
      </c>
    </row>
    <row r="507">
      <c r="A507" s="7" t="inlineStr">
        <is>
          <t>MAT-19-036</t>
        </is>
      </c>
      <c r="B507" s="7" t="inlineStr">
        <is>
          <t>Materiales</t>
        </is>
      </c>
      <c r="C507" s="7" t="inlineStr">
        <is>
          <t>Perfiles y tubos de acero</t>
        </is>
      </c>
      <c r="D507" s="5" t="inlineStr">
        <is>
          <t>Tubo negro redondo 1 1/2" x 20 pies, pared 3.68 mm</t>
        </is>
      </c>
      <c r="E507" s="5" t="inlineStr">
        <is>
          <t>Tubería de acero negro sin recubrimiento · 1 1/2" · pared 3.68 mm · tramo de 20 pies</t>
        </is>
      </c>
      <c r="F507" s="5" t="inlineStr">
        <is>
          <t>Material retirado en almacén</t>
        </is>
      </c>
      <c r="G507" s="5" t="inlineStr">
        <is>
          <t>tubo de hierro, tubería negra</t>
        </is>
      </c>
      <c r="H507" s="7" t="inlineStr">
        <is>
          <t>unidad</t>
        </is>
      </c>
      <c r="I507" s="7" t="inlineStr">
        <is>
          <t>Estructura</t>
        </is>
      </c>
      <c r="J507" s="7" t="inlineStr">
        <is>
          <t>estandar</t>
        </is>
      </c>
      <c r="K507" s="7" t="inlineStr">
        <is>
          <t>importado</t>
        </is>
      </c>
      <c r="L507" s="7" t="inlineStr">
        <is>
          <t>Verificado</t>
        </is>
      </c>
      <c r="M507" s="8" t="n">
        <v>1</v>
      </c>
      <c r="N507" s="9" t="n">
        <v>1952.51</v>
      </c>
      <c r="O507" s="9" t="n">
        <v>1952.51</v>
      </c>
      <c r="P507" s="9" t="n">
        <v>1952.51</v>
      </c>
      <c r="Q507" s="7" t="inlineStr">
        <is>
          <t>Sí</t>
        </is>
      </c>
      <c r="R507" s="9">
        <f>IF(N507="","",IF(Q507="Sí",ROUND(N507/1.18,2),N507))</f>
        <v/>
      </c>
      <c r="S507" s="7" t="inlineStr">
        <is>
          <t>2026-09-09</t>
        </is>
      </c>
      <c r="T507" s="5" t="inlineStr">
        <is>
          <t>1 cotización de proveedores</t>
        </is>
      </c>
    </row>
    <row r="508">
      <c r="A508" s="7" t="inlineStr">
        <is>
          <t>MAT-19-037</t>
        </is>
      </c>
      <c r="B508" s="7" t="inlineStr">
        <is>
          <t>Materiales</t>
        </is>
      </c>
      <c r="C508" s="7" t="inlineStr">
        <is>
          <t>Perfiles y tubos de acero</t>
        </is>
      </c>
      <c r="D508" s="5" t="inlineStr">
        <is>
          <t>Tubo negro redondo 2" x 20 pies, pared 3.91 mm</t>
        </is>
      </c>
      <c r="E508" s="5" t="inlineStr">
        <is>
          <t>Tubería de acero negro sin recubrimiento · 2" · pared 3.91 mm · tramo de 20 pies</t>
        </is>
      </c>
      <c r="F508" s="5" t="inlineStr">
        <is>
          <t>Material retirado en almacén</t>
        </is>
      </c>
      <c r="G508" s="5" t="inlineStr">
        <is>
          <t>tubo de hierro, tubería negra</t>
        </is>
      </c>
      <c r="H508" s="7" t="inlineStr">
        <is>
          <t>unidad</t>
        </is>
      </c>
      <c r="I508" s="7" t="inlineStr">
        <is>
          <t>Estructura</t>
        </is>
      </c>
      <c r="J508" s="7" t="inlineStr">
        <is>
          <t>estandar</t>
        </is>
      </c>
      <c r="K508" s="7" t="inlineStr">
        <is>
          <t>importado</t>
        </is>
      </c>
      <c r="L508" s="7" t="inlineStr">
        <is>
          <t>Verificado</t>
        </is>
      </c>
      <c r="M508" s="8" t="n">
        <v>1</v>
      </c>
      <c r="N508" s="9" t="n">
        <v>2634.08</v>
      </c>
      <c r="O508" s="9" t="n">
        <v>2634.08</v>
      </c>
      <c r="P508" s="9" t="n">
        <v>2634.08</v>
      </c>
      <c r="Q508" s="7" t="inlineStr">
        <is>
          <t>Sí</t>
        </is>
      </c>
      <c r="R508" s="9">
        <f>IF(N508="","",IF(Q508="Sí",ROUND(N508/1.18,2),N508))</f>
        <v/>
      </c>
      <c r="S508" s="7" t="inlineStr">
        <is>
          <t>2026-09-09</t>
        </is>
      </c>
      <c r="T508" s="5" t="inlineStr">
        <is>
          <t>1 cotización de proveedores</t>
        </is>
      </c>
    </row>
    <row r="509">
      <c r="A509" s="7" t="inlineStr">
        <is>
          <t>MAT-19-038</t>
        </is>
      </c>
      <c r="B509" s="7" t="inlineStr">
        <is>
          <t>Materiales</t>
        </is>
      </c>
      <c r="C509" s="7" t="inlineStr">
        <is>
          <t>Perfiles y tubos de acero</t>
        </is>
      </c>
      <c r="D509" s="5" t="inlineStr">
        <is>
          <t>Tubo negro redondo 2 1/2" x 20 pies</t>
        </is>
      </c>
      <c r="E509" s="5" t="inlineStr">
        <is>
          <t>Tubería de acero negro sin recubrimiento · 2 1/2" · tramo de 20 pies</t>
        </is>
      </c>
      <c r="F509" s="5" t="inlineStr">
        <is>
          <t>Material retirado en almacén</t>
        </is>
      </c>
      <c r="G509" s="5" t="inlineStr">
        <is>
          <t>tubo de hierro, tubería negra</t>
        </is>
      </c>
      <c r="H509" s="7" t="inlineStr">
        <is>
          <t>unidad</t>
        </is>
      </c>
      <c r="I509" s="7" t="inlineStr">
        <is>
          <t>Estructura</t>
        </is>
      </c>
      <c r="J509" s="7" t="inlineStr">
        <is>
          <t>estandar</t>
        </is>
      </c>
      <c r="K509" s="7" t="inlineStr">
        <is>
          <t>importado</t>
        </is>
      </c>
      <c r="L509" s="7" t="inlineStr">
        <is>
          <t>Verificado</t>
        </is>
      </c>
      <c r="M509" s="8" t="n">
        <v>1</v>
      </c>
      <c r="N509" s="9" t="n">
        <v>4173.42</v>
      </c>
      <c r="O509" s="9" t="n">
        <v>4173.42</v>
      </c>
      <c r="P509" s="9" t="n">
        <v>4173.42</v>
      </c>
      <c r="Q509" s="7" t="inlineStr">
        <is>
          <t>Sí</t>
        </is>
      </c>
      <c r="R509" s="9">
        <f>IF(N509="","",IF(Q509="Sí",ROUND(N509/1.18,2),N509))</f>
        <v/>
      </c>
      <c r="S509" s="7" t="inlineStr">
        <is>
          <t>2026-09-09</t>
        </is>
      </c>
      <c r="T509" s="5" t="inlineStr">
        <is>
          <t>1 cotización de proveedores</t>
        </is>
      </c>
    </row>
    <row r="510">
      <c r="A510" s="7" t="inlineStr">
        <is>
          <t>MAT-19-039</t>
        </is>
      </c>
      <c r="B510" s="7" t="inlineStr">
        <is>
          <t>Materiales</t>
        </is>
      </c>
      <c r="C510" s="7" t="inlineStr">
        <is>
          <t>Perfiles y tubos de acero</t>
        </is>
      </c>
      <c r="D510" s="5" t="inlineStr">
        <is>
          <t>Tubo negro redondo 3" x 20 pies</t>
        </is>
      </c>
      <c r="E510" s="5" t="inlineStr">
        <is>
          <t>Tubería de acero negro sin recubrimiento · 3" · tramo de 20 pies</t>
        </is>
      </c>
      <c r="F510" s="5" t="inlineStr">
        <is>
          <t>Material retirado en almacén</t>
        </is>
      </c>
      <c r="G510" s="5" t="inlineStr">
        <is>
          <t>tubo de hierro, tubería negra</t>
        </is>
      </c>
      <c r="H510" s="7" t="inlineStr">
        <is>
          <t>unidad</t>
        </is>
      </c>
      <c r="I510" s="7" t="inlineStr">
        <is>
          <t>Estructura</t>
        </is>
      </c>
      <c r="J510" s="7" t="inlineStr">
        <is>
          <t>estandar</t>
        </is>
      </c>
      <c r="K510" s="7" t="inlineStr">
        <is>
          <t>importado</t>
        </is>
      </c>
      <c r="L510" s="7" t="inlineStr">
        <is>
          <t>Verificado</t>
        </is>
      </c>
      <c r="M510" s="8" t="n">
        <v>1</v>
      </c>
      <c r="N510" s="9" t="n">
        <v>5029.28</v>
      </c>
      <c r="O510" s="9" t="n">
        <v>5029.28</v>
      </c>
      <c r="P510" s="9" t="n">
        <v>5029.28</v>
      </c>
      <c r="Q510" s="7" t="inlineStr">
        <is>
          <t>Sí</t>
        </is>
      </c>
      <c r="R510" s="9">
        <f>IF(N510="","",IF(Q510="Sí",ROUND(N510/1.18,2),N510))</f>
        <v/>
      </c>
      <c r="S510" s="7" t="inlineStr">
        <is>
          <t>2026-09-09</t>
        </is>
      </c>
      <c r="T510" s="5" t="inlineStr">
        <is>
          <t>1 cotización de proveedores</t>
        </is>
      </c>
    </row>
    <row r="511">
      <c r="A511" s="7" t="inlineStr">
        <is>
          <t>MAT-19-040</t>
        </is>
      </c>
      <c r="B511" s="7" t="inlineStr">
        <is>
          <t>Materiales</t>
        </is>
      </c>
      <c r="C511" s="7" t="inlineStr">
        <is>
          <t>Perfiles y tubos de acero</t>
        </is>
      </c>
      <c r="D511" s="5" t="inlineStr">
        <is>
          <t>Tubo negro redondo 8" x 20 pies, pared 6 mm</t>
        </is>
      </c>
      <c r="E511" s="5" t="inlineStr">
        <is>
          <t>Tubería de acero negro sin recubrimiento · 8" · pared 6 mm · tramo de 20 pies</t>
        </is>
      </c>
      <c r="F511" s="5" t="inlineStr">
        <is>
          <t>Material retirado en almacén</t>
        </is>
      </c>
      <c r="G511" s="5" t="inlineStr">
        <is>
          <t>tubo de hierro, tubería negra</t>
        </is>
      </c>
      <c r="H511" s="7" t="inlineStr">
        <is>
          <t>unidad</t>
        </is>
      </c>
      <c r="I511" s="7" t="inlineStr">
        <is>
          <t>Estructura</t>
        </is>
      </c>
      <c r="J511" s="7" t="inlineStr">
        <is>
          <t>estandar</t>
        </is>
      </c>
      <c r="K511" s="7" t="inlineStr">
        <is>
          <t>importado</t>
        </is>
      </c>
      <c r="L511" s="7" t="inlineStr">
        <is>
          <t>Verificado</t>
        </is>
      </c>
      <c r="M511" s="8" t="n">
        <v>1</v>
      </c>
      <c r="N511" s="9" t="n">
        <v>15250.64</v>
      </c>
      <c r="O511" s="9" t="n">
        <v>15250.64</v>
      </c>
      <c r="P511" s="9" t="n">
        <v>15250.64</v>
      </c>
      <c r="Q511" s="7" t="inlineStr">
        <is>
          <t>Sí</t>
        </is>
      </c>
      <c r="R511" s="9">
        <f>IF(N511="","",IF(Q511="Sí",ROUND(N511/1.18,2),N511))</f>
        <v/>
      </c>
      <c r="S511" s="7" t="inlineStr">
        <is>
          <t>2026-09-09</t>
        </is>
      </c>
      <c r="T511" s="5" t="inlineStr">
        <is>
          <t>1 cotización de proveedores</t>
        </is>
      </c>
    </row>
    <row r="512">
      <c r="A512" s="7" t="inlineStr">
        <is>
          <t>MAT-19-041</t>
        </is>
      </c>
      <c r="B512" s="7" t="inlineStr">
        <is>
          <t>Materiales</t>
        </is>
      </c>
      <c r="C512" s="7" t="inlineStr">
        <is>
          <t>Perfiles y tubos de acero</t>
        </is>
      </c>
      <c r="D512" s="5" t="inlineStr">
        <is>
          <t>Tubo negro redondo 8" x 20 pies, pared 6.35 mm</t>
        </is>
      </c>
      <c r="E512" s="5" t="inlineStr">
        <is>
          <t>Tubería de acero negro sin recubrimiento · 8" · pared 6.35 mm · tramo de 20 pies</t>
        </is>
      </c>
      <c r="F512" s="5" t="inlineStr">
        <is>
          <t>Material retirado en almacén</t>
        </is>
      </c>
      <c r="G512" s="5" t="inlineStr">
        <is>
          <t>tubo de hierro, tubería negra</t>
        </is>
      </c>
      <c r="H512" s="7" t="inlineStr">
        <is>
          <t>unidad</t>
        </is>
      </c>
      <c r="I512" s="7" t="inlineStr">
        <is>
          <t>Estructura</t>
        </is>
      </c>
      <c r="J512" s="7" t="inlineStr">
        <is>
          <t>estandar</t>
        </is>
      </c>
      <c r="K512" s="7" t="inlineStr">
        <is>
          <t>importado</t>
        </is>
      </c>
      <c r="L512" s="7" t="inlineStr">
        <is>
          <t>Verificado</t>
        </is>
      </c>
      <c r="M512" s="8" t="n">
        <v>1</v>
      </c>
      <c r="N512" s="9" t="n">
        <v>11671.14</v>
      </c>
      <c r="O512" s="9" t="n">
        <v>11671.14</v>
      </c>
      <c r="P512" s="9" t="n">
        <v>11671.14</v>
      </c>
      <c r="Q512" s="7" t="inlineStr">
        <is>
          <t>Sí</t>
        </is>
      </c>
      <c r="R512" s="9">
        <f>IF(N512="","",IF(Q512="Sí",ROUND(N512/1.18,2),N512))</f>
        <v/>
      </c>
      <c r="S512" s="7" t="inlineStr">
        <is>
          <t>2026-09-09</t>
        </is>
      </c>
      <c r="T512" s="5" t="inlineStr">
        <is>
          <t>1 cotización de proveedores</t>
        </is>
      </c>
    </row>
    <row r="513">
      <c r="A513" s="7" t="inlineStr">
        <is>
          <t>MAT-19-042</t>
        </is>
      </c>
      <c r="B513" s="7" t="inlineStr">
        <is>
          <t>Materiales</t>
        </is>
      </c>
      <c r="C513" s="7" t="inlineStr">
        <is>
          <t>Perfiles y tubos de acero</t>
        </is>
      </c>
      <c r="D513" s="5" t="inlineStr">
        <is>
          <t>Tubo negro redondo 10" x 20 pies, pared 6.00 mm</t>
        </is>
      </c>
      <c r="E513" s="5" t="inlineStr">
        <is>
          <t>Tubería de acero negro sin recubrimiento · 10" · pared 6.00 mm · tramo de 20 pies</t>
        </is>
      </c>
      <c r="F513" s="5" t="inlineStr">
        <is>
          <t>Material retirado en almacén</t>
        </is>
      </c>
      <c r="G513" s="5" t="inlineStr">
        <is>
          <t>tubo de hierro, tubería negra</t>
        </is>
      </c>
      <c r="H513" s="7" t="inlineStr">
        <is>
          <t>unidad</t>
        </is>
      </c>
      <c r="I513" s="7" t="inlineStr">
        <is>
          <t>Estructura</t>
        </is>
      </c>
      <c r="J513" s="7" t="inlineStr">
        <is>
          <t>estandar</t>
        </is>
      </c>
      <c r="K513" s="7" t="inlineStr">
        <is>
          <t>importado</t>
        </is>
      </c>
      <c r="L513" s="7" t="inlineStr">
        <is>
          <t>Verificado</t>
        </is>
      </c>
      <c r="M513" s="8" t="n">
        <v>1</v>
      </c>
      <c r="N513" s="9" t="n">
        <v>18313.02</v>
      </c>
      <c r="O513" s="9" t="n">
        <v>18313.02</v>
      </c>
      <c r="P513" s="9" t="n">
        <v>18313.02</v>
      </c>
      <c r="Q513" s="7" t="inlineStr">
        <is>
          <t>Sí</t>
        </is>
      </c>
      <c r="R513" s="9">
        <f>IF(N513="","",IF(Q513="Sí",ROUND(N513/1.18,2),N513))</f>
        <v/>
      </c>
      <c r="S513" s="7" t="inlineStr">
        <is>
          <t>2026-09-09</t>
        </is>
      </c>
      <c r="T513" s="5" t="inlineStr">
        <is>
          <t>1 cotización de proveedores</t>
        </is>
      </c>
    </row>
    <row r="514">
      <c r="A514" s="7" t="inlineStr">
        <is>
          <t>MAT-19-043</t>
        </is>
      </c>
      <c r="B514" s="7" t="inlineStr">
        <is>
          <t>Materiales</t>
        </is>
      </c>
      <c r="C514" s="7" t="inlineStr">
        <is>
          <t>Perfiles y tubos de acero</t>
        </is>
      </c>
      <c r="D514" s="5" t="inlineStr">
        <is>
          <t>Tubo negro redondo 14" x 20 pies, pared 6 mm</t>
        </is>
      </c>
      <c r="E514" s="5" t="inlineStr">
        <is>
          <t>Tubería de acero negro sin recubrimiento · 14" · pared 6 mm · tramo de 20 pies</t>
        </is>
      </c>
      <c r="F514" s="5" t="inlineStr">
        <is>
          <t>Material retirado en almacén</t>
        </is>
      </c>
      <c r="G514" s="5" t="inlineStr">
        <is>
          <t>tubo de hierro, tubería negra</t>
        </is>
      </c>
      <c r="H514" s="7" t="inlineStr">
        <is>
          <t>unidad</t>
        </is>
      </c>
      <c r="I514" s="7" t="inlineStr">
        <is>
          <t>Estructura</t>
        </is>
      </c>
      <c r="J514" s="7" t="inlineStr">
        <is>
          <t>estandar</t>
        </is>
      </c>
      <c r="K514" s="7" t="inlineStr">
        <is>
          <t>importado</t>
        </is>
      </c>
      <c r="L514" s="7" t="inlineStr">
        <is>
          <t>Verificado</t>
        </is>
      </c>
      <c r="M514" s="8" t="n">
        <v>1</v>
      </c>
      <c r="N514" s="9" t="n">
        <v>27695.11</v>
      </c>
      <c r="O514" s="9" t="n">
        <v>27695.11</v>
      </c>
      <c r="P514" s="9" t="n">
        <v>27695.11</v>
      </c>
      <c r="Q514" s="7" t="inlineStr">
        <is>
          <t>Sí</t>
        </is>
      </c>
      <c r="R514" s="9">
        <f>IF(N514="","",IF(Q514="Sí",ROUND(N514/1.18,2),N514))</f>
        <v/>
      </c>
      <c r="S514" s="7" t="inlineStr">
        <is>
          <t>2026-09-09</t>
        </is>
      </c>
      <c r="T514" s="5" t="inlineStr">
        <is>
          <t>1 cotización de proveedores</t>
        </is>
      </c>
    </row>
    <row r="515">
      <c r="A515" s="7" t="inlineStr">
        <is>
          <t>MAT-19-044</t>
        </is>
      </c>
      <c r="B515" s="7" t="inlineStr">
        <is>
          <t>Materiales</t>
        </is>
      </c>
      <c r="C515" s="7" t="inlineStr">
        <is>
          <t>Perfiles y tubos de acero</t>
        </is>
      </c>
      <c r="D515" s="5" t="inlineStr">
        <is>
          <t>Tubo negro redondo 16" x 20 pies, pared 12.70 mm</t>
        </is>
      </c>
      <c r="E515" s="5" t="inlineStr">
        <is>
          <t>Tubería de acero negro sin recubrimiento · 16" · pared 12.70 mm · tramo de 20 pies</t>
        </is>
      </c>
      <c r="F515" s="5" t="inlineStr">
        <is>
          <t>Material retirado en almacén</t>
        </is>
      </c>
      <c r="G515" s="5" t="inlineStr">
        <is>
          <t>tubo de hierro, tubería negra</t>
        </is>
      </c>
      <c r="H515" s="7" t="inlineStr">
        <is>
          <t>unidad</t>
        </is>
      </c>
      <c r="I515" s="7" t="inlineStr">
        <is>
          <t>Estructura</t>
        </is>
      </c>
      <c r="J515" s="7" t="inlineStr">
        <is>
          <t>estandar</t>
        </is>
      </c>
      <c r="K515" s="7" t="inlineStr">
        <is>
          <t>importado</t>
        </is>
      </c>
      <c r="L515" s="7" t="inlineStr">
        <is>
          <t>Verificado</t>
        </is>
      </c>
      <c r="M515" s="8" t="n">
        <v>1</v>
      </c>
      <c r="N515" s="9" t="n">
        <v>62026.36</v>
      </c>
      <c r="O515" s="9" t="n">
        <v>62026.36</v>
      </c>
      <c r="P515" s="9" t="n">
        <v>62026.36</v>
      </c>
      <c r="Q515" s="7" t="inlineStr">
        <is>
          <t>Sí</t>
        </is>
      </c>
      <c r="R515" s="9">
        <f>IF(N515="","",IF(Q515="Sí",ROUND(N515/1.18,2),N515))</f>
        <v/>
      </c>
      <c r="S515" s="7" t="inlineStr">
        <is>
          <t>2026-09-09</t>
        </is>
      </c>
      <c r="T515" s="5" t="inlineStr">
        <is>
          <t>1 cotización de proveedores</t>
        </is>
      </c>
    </row>
    <row r="516">
      <c r="A516" s="7" t="inlineStr">
        <is>
          <t>MAT-19-045</t>
        </is>
      </c>
      <c r="B516" s="7" t="inlineStr">
        <is>
          <t>Materiales</t>
        </is>
      </c>
      <c r="C516" s="7" t="inlineStr">
        <is>
          <t>Perfiles y tubos de acero</t>
        </is>
      </c>
      <c r="D516" s="5" t="inlineStr">
        <is>
          <t>Correa galvanizada tipo Z 6" x 1/16" x 20 pies</t>
        </is>
      </c>
      <c r="E516" s="5" t="inlineStr">
        <is>
          <t>Perfil Z galvanizado para correas de techo · alma 6" · espesor 1/16" · tramo de 20 pies</t>
        </is>
      </c>
      <c r="F516" s="5" t="inlineStr">
        <is>
          <t>Material retirado en almacén</t>
        </is>
      </c>
      <c r="G516" s="5" t="inlineStr">
        <is>
          <t>correa Z, perlín, larguero de techo</t>
        </is>
      </c>
      <c r="H516" s="7" t="inlineStr">
        <is>
          <t>unidad</t>
        </is>
      </c>
      <c r="I516" s="7" t="inlineStr">
        <is>
          <t>Techos</t>
        </is>
      </c>
      <c r="J516" s="7" t="inlineStr">
        <is>
          <t>estandar</t>
        </is>
      </c>
      <c r="K516" s="7" t="inlineStr">
        <is>
          <t>importado</t>
        </is>
      </c>
      <c r="L516" s="7" t="inlineStr">
        <is>
          <t>Verificado</t>
        </is>
      </c>
      <c r="M516" s="8" t="n">
        <v>1</v>
      </c>
      <c r="N516" s="9" t="n">
        <v>2658</v>
      </c>
      <c r="O516" s="9" t="n">
        <v>2658</v>
      </c>
      <c r="P516" s="9" t="n">
        <v>2658</v>
      </c>
      <c r="Q516" s="7" t="inlineStr">
        <is>
          <t>Sí</t>
        </is>
      </c>
      <c r="R516" s="9">
        <f>IF(N516="","",IF(Q516="Sí",ROUND(N516/1.18,2),N516))</f>
        <v/>
      </c>
      <c r="S516" s="7" t="inlineStr">
        <is>
          <t>2026-09-09</t>
        </is>
      </c>
      <c r="T516" s="5" t="inlineStr">
        <is>
          <t>1 cotización de proveedores</t>
        </is>
      </c>
    </row>
    <row r="517">
      <c r="A517" s="7" t="inlineStr">
        <is>
          <t>MAT-19-046</t>
        </is>
      </c>
      <c r="B517" s="7" t="inlineStr">
        <is>
          <t>Materiales</t>
        </is>
      </c>
      <c r="C517" s="7" t="inlineStr">
        <is>
          <t>Perfiles y tubos de acero</t>
        </is>
      </c>
      <c r="D517" s="5" t="inlineStr">
        <is>
          <t>Correa galvanizada tipo Z 8" x 1/16" x 20 pies</t>
        </is>
      </c>
      <c r="E517" s="5" t="inlineStr">
        <is>
          <t>Perfil Z galvanizado para correas de techo · alma 8" · espesor 1/16" · tramo de 20 pies</t>
        </is>
      </c>
      <c r="F517" s="5" t="inlineStr">
        <is>
          <t>Material retirado en almacén</t>
        </is>
      </c>
      <c r="G517" s="5" t="inlineStr">
        <is>
          <t>correa Z, perlín, larguero de techo</t>
        </is>
      </c>
      <c r="H517" s="7" t="inlineStr">
        <is>
          <t>unidad</t>
        </is>
      </c>
      <c r="I517" s="7" t="inlineStr">
        <is>
          <t>Techos</t>
        </is>
      </c>
      <c r="J517" s="7" t="inlineStr">
        <is>
          <t>estandar</t>
        </is>
      </c>
      <c r="K517" s="7" t="inlineStr">
        <is>
          <t>importado</t>
        </is>
      </c>
      <c r="L517" s="7" t="inlineStr">
        <is>
          <t>Verificado</t>
        </is>
      </c>
      <c r="M517" s="8" t="n">
        <v>1</v>
      </c>
      <c r="N517" s="9" t="n">
        <v>3039.2</v>
      </c>
      <c r="O517" s="9" t="n">
        <v>3039.2</v>
      </c>
      <c r="P517" s="9" t="n">
        <v>3039.2</v>
      </c>
      <c r="Q517" s="7" t="inlineStr">
        <is>
          <t>Sí</t>
        </is>
      </c>
      <c r="R517" s="9">
        <f>IF(N517="","",IF(Q517="Sí",ROUND(N517/1.18,2),N517))</f>
        <v/>
      </c>
      <c r="S517" s="7" t="inlineStr">
        <is>
          <t>2026-09-09</t>
        </is>
      </c>
      <c r="T517" s="5" t="inlineStr">
        <is>
          <t>1 cotización de proveedores</t>
        </is>
      </c>
    </row>
    <row r="518">
      <c r="A518" s="7" t="inlineStr">
        <is>
          <t>MAT-20-001</t>
        </is>
      </c>
      <c r="B518" s="7" t="inlineStr">
        <is>
          <t>Materiales</t>
        </is>
      </c>
      <c r="C518" s="7" t="inlineStr">
        <is>
          <t>Angulares, planchuelas y barras</t>
        </is>
      </c>
      <c r="D518" s="5" t="inlineStr">
        <is>
          <t>Angular de hierro negro 3/4" x 1/8" x 20 pies</t>
        </is>
      </c>
      <c r="E518" s="5" t="inlineStr">
        <is>
          <t>Perfil L de acero al carbono · 3/4" x 1/8" · barra de 20 pies</t>
        </is>
      </c>
      <c r="F518" s="5" t="inlineStr">
        <is>
          <t>Material retirado en almacén</t>
        </is>
      </c>
      <c r="G518" s="5" t="inlineStr">
        <is>
          <t>perfil L, ángulo de hierro, angular</t>
        </is>
      </c>
      <c r="H518" s="7" t="inlineStr">
        <is>
          <t>unidad</t>
        </is>
      </c>
      <c r="I518" s="7" t="inlineStr">
        <is>
          <t>Estructura</t>
        </is>
      </c>
      <c r="J518" s="7" t="inlineStr">
        <is>
          <t>estandar</t>
        </is>
      </c>
      <c r="K518" s="7" t="inlineStr">
        <is>
          <t>importado</t>
        </is>
      </c>
      <c r="L518" s="7" t="inlineStr">
        <is>
          <t>Verificado</t>
        </is>
      </c>
      <c r="M518" s="8" t="n">
        <v>1</v>
      </c>
      <c r="N518" s="9" t="n">
        <v>449.99</v>
      </c>
      <c r="O518" s="9" t="n">
        <v>449.99</v>
      </c>
      <c r="P518" s="9" t="n">
        <v>449.99</v>
      </c>
      <c r="Q518" s="7" t="inlineStr">
        <is>
          <t>Sí</t>
        </is>
      </c>
      <c r="R518" s="9">
        <f>IF(N518="","",IF(Q518="Sí",ROUND(N518/1.18,2),N518))</f>
        <v/>
      </c>
      <c r="S518" s="7" t="inlineStr">
        <is>
          <t>2026-09-09</t>
        </is>
      </c>
      <c r="T518" s="5" t="inlineStr">
        <is>
          <t>1 cotización de proveedores</t>
        </is>
      </c>
    </row>
    <row r="519">
      <c r="A519" s="7" t="inlineStr">
        <is>
          <t>MAT-20-002</t>
        </is>
      </c>
      <c r="B519" s="7" t="inlineStr">
        <is>
          <t>Materiales</t>
        </is>
      </c>
      <c r="C519" s="7" t="inlineStr">
        <is>
          <t>Angulares, planchuelas y barras</t>
        </is>
      </c>
      <c r="D519" s="5" t="inlineStr">
        <is>
          <t>Angular de hierro negro 1" x 1/8" x 20 pies</t>
        </is>
      </c>
      <c r="E519" s="5" t="inlineStr">
        <is>
          <t>Perfil L de acero al carbono · 1" x 1/8" · barra de 20 pies</t>
        </is>
      </c>
      <c r="F519" s="5" t="inlineStr">
        <is>
          <t>Material retirado en almacén</t>
        </is>
      </c>
      <c r="G519" s="5" t="inlineStr">
        <is>
          <t>perfil L, ángulo de hierro, angular</t>
        </is>
      </c>
      <c r="H519" s="7" t="inlineStr">
        <is>
          <t>unidad</t>
        </is>
      </c>
      <c r="I519" s="7" t="inlineStr">
        <is>
          <t>Estructura</t>
        </is>
      </c>
      <c r="J519" s="7" t="inlineStr">
        <is>
          <t>estandar</t>
        </is>
      </c>
      <c r="K519" s="7" t="inlineStr">
        <is>
          <t>importado</t>
        </is>
      </c>
      <c r="L519" s="7" t="inlineStr">
        <is>
          <t>Verificado</t>
        </is>
      </c>
      <c r="M519" s="8" t="n">
        <v>1</v>
      </c>
      <c r="N519" s="9" t="n">
        <v>560</v>
      </c>
      <c r="O519" s="9" t="n">
        <v>560</v>
      </c>
      <c r="P519" s="9" t="n">
        <v>560</v>
      </c>
      <c r="Q519" s="7" t="inlineStr">
        <is>
          <t>Sí</t>
        </is>
      </c>
      <c r="R519" s="9">
        <f>IF(N519="","",IF(Q519="Sí",ROUND(N519/1.18,2),N519))</f>
        <v/>
      </c>
      <c r="S519" s="7" t="inlineStr">
        <is>
          <t>2026-09-09</t>
        </is>
      </c>
      <c r="T519" s="5" t="inlineStr">
        <is>
          <t>1 cotización de proveedores</t>
        </is>
      </c>
    </row>
    <row r="520">
      <c r="A520" s="7" t="inlineStr">
        <is>
          <t>MAT-20-003</t>
        </is>
      </c>
      <c r="B520" s="7" t="inlineStr">
        <is>
          <t>Materiales</t>
        </is>
      </c>
      <c r="C520" s="7" t="inlineStr">
        <is>
          <t>Angulares, planchuelas y barras</t>
        </is>
      </c>
      <c r="D520" s="5" t="inlineStr">
        <is>
          <t>Angular de hierro negro 1" x 3/16" x 20 pies</t>
        </is>
      </c>
      <c r="E520" s="5" t="inlineStr">
        <is>
          <t>Perfil L de acero al carbono · 1" x 3/16" · barra de 20 pies</t>
        </is>
      </c>
      <c r="F520" s="5" t="inlineStr">
        <is>
          <t>Material retirado en almacén</t>
        </is>
      </c>
      <c r="G520" s="5" t="inlineStr">
        <is>
          <t>perfil L, ángulo de hierro, angular</t>
        </is>
      </c>
      <c r="H520" s="7" t="inlineStr">
        <is>
          <t>unidad</t>
        </is>
      </c>
      <c r="I520" s="7" t="inlineStr">
        <is>
          <t>Estructura</t>
        </is>
      </c>
      <c r="J520" s="7" t="inlineStr">
        <is>
          <t>estandar</t>
        </is>
      </c>
      <c r="K520" s="7" t="inlineStr">
        <is>
          <t>importado</t>
        </is>
      </c>
      <c r="L520" s="7" t="inlineStr">
        <is>
          <t>Verificado</t>
        </is>
      </c>
      <c r="M520" s="8" t="n">
        <v>1</v>
      </c>
      <c r="N520" s="9" t="n">
        <v>812.01</v>
      </c>
      <c r="O520" s="9" t="n">
        <v>812.01</v>
      </c>
      <c r="P520" s="9" t="n">
        <v>812.01</v>
      </c>
      <c r="Q520" s="7" t="inlineStr">
        <is>
          <t>Sí</t>
        </is>
      </c>
      <c r="R520" s="9">
        <f>IF(N520="","",IF(Q520="Sí",ROUND(N520/1.18,2),N520))</f>
        <v/>
      </c>
      <c r="S520" s="7" t="inlineStr">
        <is>
          <t>2026-09-09</t>
        </is>
      </c>
      <c r="T520" s="5" t="inlineStr">
        <is>
          <t>1 cotización de proveedores</t>
        </is>
      </c>
    </row>
    <row r="521">
      <c r="A521" s="7" t="inlineStr">
        <is>
          <t>MAT-20-004</t>
        </is>
      </c>
      <c r="B521" s="7" t="inlineStr">
        <is>
          <t>Materiales</t>
        </is>
      </c>
      <c r="C521" s="7" t="inlineStr">
        <is>
          <t>Angulares, planchuelas y barras</t>
        </is>
      </c>
      <c r="D521" s="5" t="inlineStr">
        <is>
          <t>Angular de hierro negro 1" x 1/4" x 20 pies</t>
        </is>
      </c>
      <c r="E521" s="5" t="inlineStr">
        <is>
          <t>Perfil L de acero al carbono · 1" x 1/4" · barra de 20 pies</t>
        </is>
      </c>
      <c r="F521" s="5" t="inlineStr">
        <is>
          <t>Material retirado en almacén</t>
        </is>
      </c>
      <c r="G521" s="5" t="inlineStr">
        <is>
          <t>perfil L, ángulo de hierro, angular</t>
        </is>
      </c>
      <c r="H521" s="7" t="inlineStr">
        <is>
          <t>unidad</t>
        </is>
      </c>
      <c r="I521" s="7" t="inlineStr">
        <is>
          <t>Estructura</t>
        </is>
      </c>
      <c r="J521" s="7" t="inlineStr">
        <is>
          <t>estandar</t>
        </is>
      </c>
      <c r="K521" s="7" t="inlineStr">
        <is>
          <t>importado</t>
        </is>
      </c>
      <c r="L521" s="7" t="inlineStr">
        <is>
          <t>Verificado</t>
        </is>
      </c>
      <c r="M521" s="8" t="n">
        <v>1</v>
      </c>
      <c r="N521" s="9" t="n">
        <v>1163.48</v>
      </c>
      <c r="O521" s="9" t="n">
        <v>1163.48</v>
      </c>
      <c r="P521" s="9" t="n">
        <v>1163.48</v>
      </c>
      <c r="Q521" s="7" t="inlineStr">
        <is>
          <t>Sí</t>
        </is>
      </c>
      <c r="R521" s="9">
        <f>IF(N521="","",IF(Q521="Sí",ROUND(N521/1.18,2),N521))</f>
        <v/>
      </c>
      <c r="S521" s="7" t="inlineStr">
        <is>
          <t>2026-09-09</t>
        </is>
      </c>
      <c r="T521" s="5" t="inlineStr">
        <is>
          <t>1 cotización de proveedores</t>
        </is>
      </c>
    </row>
    <row r="522">
      <c r="A522" s="7" t="inlineStr">
        <is>
          <t>MAT-20-005</t>
        </is>
      </c>
      <c r="B522" s="7" t="inlineStr">
        <is>
          <t>Materiales</t>
        </is>
      </c>
      <c r="C522" s="7" t="inlineStr">
        <is>
          <t>Angulares, planchuelas y barras</t>
        </is>
      </c>
      <c r="D522" s="5" t="inlineStr">
        <is>
          <t>Angular de hierro negro 1 1/4" x 1/8" x 20 pies</t>
        </is>
      </c>
      <c r="E522" s="5" t="inlineStr">
        <is>
          <t>Perfil L de acero al carbono · 1 1/4" x 1/8" · barra de 20 pies</t>
        </is>
      </c>
      <c r="F522" s="5" t="inlineStr">
        <is>
          <t>Material retirado en almacén</t>
        </is>
      </c>
      <c r="G522" s="5" t="inlineStr">
        <is>
          <t>perfil L, ángulo de hierro, angular</t>
        </is>
      </c>
      <c r="H522" s="7" t="inlineStr">
        <is>
          <t>unidad</t>
        </is>
      </c>
      <c r="I522" s="7" t="inlineStr">
        <is>
          <t>Estructura</t>
        </is>
      </c>
      <c r="J522" s="7" t="inlineStr">
        <is>
          <t>estandar</t>
        </is>
      </c>
      <c r="K522" s="7" t="inlineStr">
        <is>
          <t>importado</t>
        </is>
      </c>
      <c r="L522" s="7" t="inlineStr">
        <is>
          <t>Verificado</t>
        </is>
      </c>
      <c r="M522" s="8" t="n">
        <v>1</v>
      </c>
      <c r="N522" s="9" t="n">
        <v>781</v>
      </c>
      <c r="O522" s="9" t="n">
        <v>781</v>
      </c>
      <c r="P522" s="9" t="n">
        <v>781</v>
      </c>
      <c r="Q522" s="7" t="inlineStr">
        <is>
          <t>Sí</t>
        </is>
      </c>
      <c r="R522" s="9">
        <f>IF(N522="","",IF(Q522="Sí",ROUND(N522/1.18,2),N522))</f>
        <v/>
      </c>
      <c r="S522" s="7" t="inlineStr">
        <is>
          <t>2026-09-09</t>
        </is>
      </c>
      <c r="T522" s="5" t="inlineStr">
        <is>
          <t>1 cotización de proveedores</t>
        </is>
      </c>
    </row>
    <row r="523">
      <c r="A523" s="7" t="inlineStr">
        <is>
          <t>MAT-20-006</t>
        </is>
      </c>
      <c r="B523" s="7" t="inlineStr">
        <is>
          <t>Materiales</t>
        </is>
      </c>
      <c r="C523" s="7" t="inlineStr">
        <is>
          <t>Angulares, planchuelas y barras</t>
        </is>
      </c>
      <c r="D523" s="5" t="inlineStr">
        <is>
          <t>Angular de hierro negro 1 1/4" x 3/16" x 20 pies</t>
        </is>
      </c>
      <c r="E523" s="5" t="inlineStr">
        <is>
          <t>Perfil L de acero al carbono · 1 1/4" x 3/16" · barra de 20 pies</t>
        </is>
      </c>
      <c r="F523" s="5" t="inlineStr">
        <is>
          <t>Material retirado en almacén</t>
        </is>
      </c>
      <c r="G523" s="5" t="inlineStr">
        <is>
          <t>perfil L, ángulo de hierro, angular</t>
        </is>
      </c>
      <c r="H523" s="7" t="inlineStr">
        <is>
          <t>unidad</t>
        </is>
      </c>
      <c r="I523" s="7" t="inlineStr">
        <is>
          <t>Estructura</t>
        </is>
      </c>
      <c r="J523" s="7" t="inlineStr">
        <is>
          <t>estandar</t>
        </is>
      </c>
      <c r="K523" s="7" t="inlineStr">
        <is>
          <t>importado</t>
        </is>
      </c>
      <c r="L523" s="7" t="inlineStr">
        <is>
          <t>Verificado</t>
        </is>
      </c>
      <c r="M523" s="8" t="n">
        <v>1</v>
      </c>
      <c r="N523" s="9" t="n">
        <v>1036</v>
      </c>
      <c r="O523" s="9" t="n">
        <v>1036</v>
      </c>
      <c r="P523" s="9" t="n">
        <v>1036</v>
      </c>
      <c r="Q523" s="7" t="inlineStr">
        <is>
          <t>Sí</t>
        </is>
      </c>
      <c r="R523" s="9">
        <f>IF(N523="","",IF(Q523="Sí",ROUND(N523/1.18,2),N523))</f>
        <v/>
      </c>
      <c r="S523" s="7" t="inlineStr">
        <is>
          <t>2026-09-09</t>
        </is>
      </c>
      <c r="T523" s="5" t="inlineStr">
        <is>
          <t>1 cotización de proveedores</t>
        </is>
      </c>
    </row>
    <row r="524">
      <c r="A524" s="7" t="inlineStr">
        <is>
          <t>MAT-20-007</t>
        </is>
      </c>
      <c r="B524" s="7" t="inlineStr">
        <is>
          <t>Materiales</t>
        </is>
      </c>
      <c r="C524" s="7" t="inlineStr">
        <is>
          <t>Angulares, planchuelas y barras</t>
        </is>
      </c>
      <c r="D524" s="5" t="inlineStr">
        <is>
          <t>Angular de hierro negro 1 1/4" x 1/4" x 20 pies</t>
        </is>
      </c>
      <c r="E524" s="5" t="inlineStr">
        <is>
          <t>Perfil L de acero al carbono · 1 1/4" x 1/4" · barra de 20 pies</t>
        </is>
      </c>
      <c r="F524" s="5" t="inlineStr">
        <is>
          <t>Material retirado en almacén</t>
        </is>
      </c>
      <c r="G524" s="5" t="inlineStr">
        <is>
          <t>perfil L, ángulo de hierro, angular</t>
        </is>
      </c>
      <c r="H524" s="7" t="inlineStr">
        <is>
          <t>unidad</t>
        </is>
      </c>
      <c r="I524" s="7" t="inlineStr">
        <is>
          <t>Estructura</t>
        </is>
      </c>
      <c r="J524" s="7" t="inlineStr">
        <is>
          <t>estandar</t>
        </is>
      </c>
      <c r="K524" s="7" t="inlineStr">
        <is>
          <t>importado</t>
        </is>
      </c>
      <c r="L524" s="7" t="inlineStr">
        <is>
          <t>Verificado</t>
        </is>
      </c>
      <c r="M524" s="8" t="n">
        <v>1</v>
      </c>
      <c r="N524" s="9" t="n">
        <v>1344</v>
      </c>
      <c r="O524" s="9" t="n">
        <v>1344</v>
      </c>
      <c r="P524" s="9" t="n">
        <v>1344</v>
      </c>
      <c r="Q524" s="7" t="inlineStr">
        <is>
          <t>Sí</t>
        </is>
      </c>
      <c r="R524" s="9">
        <f>IF(N524="","",IF(Q524="Sí",ROUND(N524/1.18,2),N524))</f>
        <v/>
      </c>
      <c r="S524" s="7" t="inlineStr">
        <is>
          <t>2026-09-09</t>
        </is>
      </c>
      <c r="T524" s="5" t="inlineStr">
        <is>
          <t>1 cotización de proveedores</t>
        </is>
      </c>
    </row>
    <row r="525">
      <c r="A525" s="7" t="inlineStr">
        <is>
          <t>MAT-20-008</t>
        </is>
      </c>
      <c r="B525" s="7" t="inlineStr">
        <is>
          <t>Materiales</t>
        </is>
      </c>
      <c r="C525" s="7" t="inlineStr">
        <is>
          <t>Angulares, planchuelas y barras</t>
        </is>
      </c>
      <c r="D525" s="5" t="inlineStr">
        <is>
          <t>Angular de hierro negro 1 1/2" x 3/16" x 20 pies</t>
        </is>
      </c>
      <c r="E525" s="5" t="inlineStr">
        <is>
          <t>Perfil L de acero al carbono · 1 1/2" x 3/16" · barra de 20 pies</t>
        </is>
      </c>
      <c r="F525" s="5" t="inlineStr">
        <is>
          <t>Material retirado en almacén</t>
        </is>
      </c>
      <c r="G525" s="5" t="inlineStr">
        <is>
          <t>perfil L, ángulo de hierro, angular</t>
        </is>
      </c>
      <c r="H525" s="7" t="inlineStr">
        <is>
          <t>unidad</t>
        </is>
      </c>
      <c r="I525" s="7" t="inlineStr">
        <is>
          <t>Estructura</t>
        </is>
      </c>
      <c r="J525" s="7" t="inlineStr">
        <is>
          <t>estandar</t>
        </is>
      </c>
      <c r="K525" s="7" t="inlineStr">
        <is>
          <t>importado</t>
        </is>
      </c>
      <c r="L525" s="7" t="inlineStr">
        <is>
          <t>Verificado</t>
        </is>
      </c>
      <c r="M525" s="8" t="n">
        <v>1</v>
      </c>
      <c r="N525" s="9" t="n">
        <v>1260</v>
      </c>
      <c r="O525" s="9" t="n">
        <v>1260</v>
      </c>
      <c r="P525" s="9" t="n">
        <v>1260</v>
      </c>
      <c r="Q525" s="7" t="inlineStr">
        <is>
          <t>Sí</t>
        </is>
      </c>
      <c r="R525" s="9">
        <f>IF(N525="","",IF(Q525="Sí",ROUND(N525/1.18,2),N525))</f>
        <v/>
      </c>
      <c r="S525" s="7" t="inlineStr">
        <is>
          <t>2026-09-09</t>
        </is>
      </c>
      <c r="T525" s="5" t="inlineStr">
        <is>
          <t>1 cotización de proveedores</t>
        </is>
      </c>
    </row>
    <row r="526">
      <c r="A526" s="7" t="inlineStr">
        <is>
          <t>MAT-20-009</t>
        </is>
      </c>
      <c r="B526" s="7" t="inlineStr">
        <is>
          <t>Materiales</t>
        </is>
      </c>
      <c r="C526" s="7" t="inlineStr">
        <is>
          <t>Angulares, planchuelas y barras</t>
        </is>
      </c>
      <c r="D526" s="5" t="inlineStr">
        <is>
          <t>Angular de hierro negro 1 1/2" x 1/4" x 20 pies</t>
        </is>
      </c>
      <c r="E526" s="5" t="inlineStr">
        <is>
          <t>Perfil L de acero al carbono · 1 1/2" x 1/4" · barra de 20 pies</t>
        </is>
      </c>
      <c r="F526" s="5" t="inlineStr">
        <is>
          <t>Material retirado en almacén</t>
        </is>
      </c>
      <c r="G526" s="5" t="inlineStr">
        <is>
          <t>perfil L, ángulo de hierro, angular</t>
        </is>
      </c>
      <c r="H526" s="7" t="inlineStr">
        <is>
          <t>unidad</t>
        </is>
      </c>
      <c r="I526" s="7" t="inlineStr">
        <is>
          <t>Estructura</t>
        </is>
      </c>
      <c r="J526" s="7" t="inlineStr">
        <is>
          <t>estandar</t>
        </is>
      </c>
      <c r="K526" s="7" t="inlineStr">
        <is>
          <t>importado</t>
        </is>
      </c>
      <c r="L526" s="7" t="inlineStr">
        <is>
          <t>Verificado</t>
        </is>
      </c>
      <c r="M526" s="8" t="n">
        <v>1</v>
      </c>
      <c r="N526" s="9" t="n">
        <v>1638.01</v>
      </c>
      <c r="O526" s="9" t="n">
        <v>1638.01</v>
      </c>
      <c r="P526" s="9" t="n">
        <v>1638.01</v>
      </c>
      <c r="Q526" s="7" t="inlineStr">
        <is>
          <t>Sí</t>
        </is>
      </c>
      <c r="R526" s="9">
        <f>IF(N526="","",IF(Q526="Sí",ROUND(N526/1.18,2),N526))</f>
        <v/>
      </c>
      <c r="S526" s="7" t="inlineStr">
        <is>
          <t>2026-09-09</t>
        </is>
      </c>
      <c r="T526" s="5" t="inlineStr">
        <is>
          <t>1 cotización de proveedores</t>
        </is>
      </c>
    </row>
    <row r="527">
      <c r="A527" s="7" t="inlineStr">
        <is>
          <t>MAT-20-010</t>
        </is>
      </c>
      <c r="B527" s="7" t="inlineStr">
        <is>
          <t>Materiales</t>
        </is>
      </c>
      <c r="C527" s="7" t="inlineStr">
        <is>
          <t>Angulares, planchuelas y barras</t>
        </is>
      </c>
      <c r="D527" s="5" t="inlineStr">
        <is>
          <t>Angular de hierro negro 2" x 1/8" x 20 pies</t>
        </is>
      </c>
      <c r="E527" s="5" t="inlineStr">
        <is>
          <t>Perfil L de acero al carbono · 2" x 1/8" · barra de 20 pies</t>
        </is>
      </c>
      <c r="F527" s="5" t="inlineStr">
        <is>
          <t>Material retirado en almacén</t>
        </is>
      </c>
      <c r="G527" s="5" t="inlineStr">
        <is>
          <t>perfil L, ángulo de hierro, angular</t>
        </is>
      </c>
      <c r="H527" s="7" t="inlineStr">
        <is>
          <t>unidad</t>
        </is>
      </c>
      <c r="I527" s="7" t="inlineStr">
        <is>
          <t>Estructura</t>
        </is>
      </c>
      <c r="J527" s="7" t="inlineStr">
        <is>
          <t>estandar</t>
        </is>
      </c>
      <c r="K527" s="7" t="inlineStr">
        <is>
          <t>importado</t>
        </is>
      </c>
      <c r="L527" s="7" t="inlineStr">
        <is>
          <t>Verificado</t>
        </is>
      </c>
      <c r="M527" s="8" t="n">
        <v>1</v>
      </c>
      <c r="N527" s="9" t="n">
        <v>1155</v>
      </c>
      <c r="O527" s="9" t="n">
        <v>1155</v>
      </c>
      <c r="P527" s="9" t="n">
        <v>1155</v>
      </c>
      <c r="Q527" s="7" t="inlineStr">
        <is>
          <t>Sí</t>
        </is>
      </c>
      <c r="R527" s="9">
        <f>IF(N527="","",IF(Q527="Sí",ROUND(N527/1.18,2),N527))</f>
        <v/>
      </c>
      <c r="S527" s="7" t="inlineStr">
        <is>
          <t>2026-09-09</t>
        </is>
      </c>
      <c r="T527" s="5" t="inlineStr">
        <is>
          <t>1 cotización de proveedores</t>
        </is>
      </c>
    </row>
    <row r="528">
      <c r="A528" s="7" t="inlineStr">
        <is>
          <t>MAT-20-011</t>
        </is>
      </c>
      <c r="B528" s="7" t="inlineStr">
        <is>
          <t>Materiales</t>
        </is>
      </c>
      <c r="C528" s="7" t="inlineStr">
        <is>
          <t>Angulares, planchuelas y barras</t>
        </is>
      </c>
      <c r="D528" s="5" t="inlineStr">
        <is>
          <t>Angular de hierro negro 2" x 3/16" x 20 pies</t>
        </is>
      </c>
      <c r="E528" s="5" t="inlineStr">
        <is>
          <t>Perfil L de acero al carbono · 2" x 3/16" · barra de 20 pies</t>
        </is>
      </c>
      <c r="F528" s="5" t="inlineStr">
        <is>
          <t>Material retirado en almacén</t>
        </is>
      </c>
      <c r="G528" s="5" t="inlineStr">
        <is>
          <t>perfil L, ángulo de hierro, angular</t>
        </is>
      </c>
      <c r="H528" s="7" t="inlineStr">
        <is>
          <t>unidad</t>
        </is>
      </c>
      <c r="I528" s="7" t="inlineStr">
        <is>
          <t>Estructura</t>
        </is>
      </c>
      <c r="J528" s="7" t="inlineStr">
        <is>
          <t>estandar</t>
        </is>
      </c>
      <c r="K528" s="7" t="inlineStr">
        <is>
          <t>importado</t>
        </is>
      </c>
      <c r="L528" s="7" t="inlineStr">
        <is>
          <t>Verificado</t>
        </is>
      </c>
      <c r="M528" s="8" t="n">
        <v>1</v>
      </c>
      <c r="N528" s="9" t="n">
        <v>1708</v>
      </c>
      <c r="O528" s="9" t="n">
        <v>1708</v>
      </c>
      <c r="P528" s="9" t="n">
        <v>1708</v>
      </c>
      <c r="Q528" s="7" t="inlineStr">
        <is>
          <t>Sí</t>
        </is>
      </c>
      <c r="R528" s="9">
        <f>IF(N528="","",IF(Q528="Sí",ROUND(N528/1.18,2),N528))</f>
        <v/>
      </c>
      <c r="S528" s="7" t="inlineStr">
        <is>
          <t>2026-09-09</t>
        </is>
      </c>
      <c r="T528" s="5" t="inlineStr">
        <is>
          <t>1 cotización de proveedores</t>
        </is>
      </c>
    </row>
    <row r="529">
      <c r="A529" s="7" t="inlineStr">
        <is>
          <t>MAT-20-012</t>
        </is>
      </c>
      <c r="B529" s="7" t="inlineStr">
        <is>
          <t>Materiales</t>
        </is>
      </c>
      <c r="C529" s="7" t="inlineStr">
        <is>
          <t>Angulares, planchuelas y barras</t>
        </is>
      </c>
      <c r="D529" s="5" t="inlineStr">
        <is>
          <t>Angular de hierro negro 2" x 1/4" x 20 pies</t>
        </is>
      </c>
      <c r="E529" s="5" t="inlineStr">
        <is>
          <t>Perfil L de acero al carbono · 2" x 1/4" · barra de 20 pies</t>
        </is>
      </c>
      <c r="F529" s="5" t="inlineStr">
        <is>
          <t>Material retirado en almacén</t>
        </is>
      </c>
      <c r="G529" s="5" t="inlineStr">
        <is>
          <t>perfil L, ángulo de hierro, angular</t>
        </is>
      </c>
      <c r="H529" s="7" t="inlineStr">
        <is>
          <t>unidad</t>
        </is>
      </c>
      <c r="I529" s="7" t="inlineStr">
        <is>
          <t>Estructura</t>
        </is>
      </c>
      <c r="J529" s="7" t="inlineStr">
        <is>
          <t>estandar</t>
        </is>
      </c>
      <c r="K529" s="7" t="inlineStr">
        <is>
          <t>importado</t>
        </is>
      </c>
      <c r="L529" s="7" t="inlineStr">
        <is>
          <t>Verificado</t>
        </is>
      </c>
      <c r="M529" s="8" t="n">
        <v>1</v>
      </c>
      <c r="N529" s="9" t="n">
        <v>2324.69</v>
      </c>
      <c r="O529" s="9" t="n">
        <v>2324.69</v>
      </c>
      <c r="P529" s="9" t="n">
        <v>2324.69</v>
      </c>
      <c r="Q529" s="7" t="inlineStr">
        <is>
          <t>Sí</t>
        </is>
      </c>
      <c r="R529" s="9">
        <f>IF(N529="","",IF(Q529="Sí",ROUND(N529/1.18,2),N529))</f>
        <v/>
      </c>
      <c r="S529" s="7" t="inlineStr">
        <is>
          <t>2026-09-09</t>
        </is>
      </c>
      <c r="T529" s="5" t="inlineStr">
        <is>
          <t>1 cotización de proveedores</t>
        </is>
      </c>
    </row>
    <row r="530">
      <c r="A530" s="7" t="inlineStr">
        <is>
          <t>MAT-20-013</t>
        </is>
      </c>
      <c r="B530" s="7" t="inlineStr">
        <is>
          <t>Materiales</t>
        </is>
      </c>
      <c r="C530" s="7" t="inlineStr">
        <is>
          <t>Angulares, planchuelas y barras</t>
        </is>
      </c>
      <c r="D530" s="5" t="inlineStr">
        <is>
          <t>Angular de hierro negro 2" x 3/8" x 20 pies</t>
        </is>
      </c>
      <c r="E530" s="5" t="inlineStr">
        <is>
          <t>Perfil L de acero al carbono · 2" x 3/8" · barra de 20 pies</t>
        </is>
      </c>
      <c r="F530" s="5" t="inlineStr">
        <is>
          <t>Material retirado en almacén</t>
        </is>
      </c>
      <c r="G530" s="5" t="inlineStr">
        <is>
          <t>perfil L, ángulo de hierro, angular</t>
        </is>
      </c>
      <c r="H530" s="7" t="inlineStr">
        <is>
          <t>unidad</t>
        </is>
      </c>
      <c r="I530" s="7" t="inlineStr">
        <is>
          <t>Estructura</t>
        </is>
      </c>
      <c r="J530" s="7" t="inlineStr">
        <is>
          <t>estandar</t>
        </is>
      </c>
      <c r="K530" s="7" t="inlineStr">
        <is>
          <t>importado</t>
        </is>
      </c>
      <c r="L530" s="7" t="inlineStr">
        <is>
          <t>Verificado</t>
        </is>
      </c>
      <c r="M530" s="8" t="n">
        <v>1</v>
      </c>
      <c r="N530" s="9" t="n">
        <v>3290.01</v>
      </c>
      <c r="O530" s="9" t="n">
        <v>3290.01</v>
      </c>
      <c r="P530" s="9" t="n">
        <v>3290.01</v>
      </c>
      <c r="Q530" s="7" t="inlineStr">
        <is>
          <t>Sí</t>
        </is>
      </c>
      <c r="R530" s="9">
        <f>IF(N530="","",IF(Q530="Sí",ROUND(N530/1.18,2),N530))</f>
        <v/>
      </c>
      <c r="S530" s="7" t="inlineStr">
        <is>
          <t>2026-09-09</t>
        </is>
      </c>
      <c r="T530" s="5" t="inlineStr">
        <is>
          <t>1 cotización de proveedores</t>
        </is>
      </c>
    </row>
    <row r="531">
      <c r="A531" s="7" t="inlineStr">
        <is>
          <t>MAT-20-014</t>
        </is>
      </c>
      <c r="B531" s="7" t="inlineStr">
        <is>
          <t>Materiales</t>
        </is>
      </c>
      <c r="C531" s="7" t="inlineStr">
        <is>
          <t>Angulares, planchuelas y barras</t>
        </is>
      </c>
      <c r="D531" s="5" t="inlineStr">
        <is>
          <t>Angular de hierro negro 2 1/2" x 3/16" x 20 pies</t>
        </is>
      </c>
      <c r="E531" s="5" t="inlineStr">
        <is>
          <t>Perfil L de acero al carbono · 2 1/2" x 3/16" · barra de 20 pies</t>
        </is>
      </c>
      <c r="F531" s="5" t="inlineStr">
        <is>
          <t>Material retirado en almacén</t>
        </is>
      </c>
      <c r="G531" s="5" t="inlineStr">
        <is>
          <t>perfil L, ángulo de hierro, angular</t>
        </is>
      </c>
      <c r="H531" s="7" t="inlineStr">
        <is>
          <t>unidad</t>
        </is>
      </c>
      <c r="I531" s="7" t="inlineStr">
        <is>
          <t>Estructura</t>
        </is>
      </c>
      <c r="J531" s="7" t="inlineStr">
        <is>
          <t>estandar</t>
        </is>
      </c>
      <c r="K531" s="7" t="inlineStr">
        <is>
          <t>importado</t>
        </is>
      </c>
      <c r="L531" s="7" t="inlineStr">
        <is>
          <t>Verificado</t>
        </is>
      </c>
      <c r="M531" s="8" t="n">
        <v>1</v>
      </c>
      <c r="N531" s="9" t="n">
        <v>2149</v>
      </c>
      <c r="O531" s="9" t="n">
        <v>2149</v>
      </c>
      <c r="P531" s="9" t="n">
        <v>2149</v>
      </c>
      <c r="Q531" s="7" t="inlineStr">
        <is>
          <t>Sí</t>
        </is>
      </c>
      <c r="R531" s="9">
        <f>IF(N531="","",IF(Q531="Sí",ROUND(N531/1.18,2),N531))</f>
        <v/>
      </c>
      <c r="S531" s="7" t="inlineStr">
        <is>
          <t>2026-09-09</t>
        </is>
      </c>
      <c r="T531" s="5" t="inlineStr">
        <is>
          <t>1 cotización de proveedores</t>
        </is>
      </c>
    </row>
    <row r="532">
      <c r="A532" s="7" t="inlineStr">
        <is>
          <t>MAT-20-015</t>
        </is>
      </c>
      <c r="B532" s="7" t="inlineStr">
        <is>
          <t>Materiales</t>
        </is>
      </c>
      <c r="C532" s="7" t="inlineStr">
        <is>
          <t>Angulares, planchuelas y barras</t>
        </is>
      </c>
      <c r="D532" s="5" t="inlineStr">
        <is>
          <t>Angular de hierro negro 2 1/2" x 1/4" x 20 pies</t>
        </is>
      </c>
      <c r="E532" s="5" t="inlineStr">
        <is>
          <t>Perfil L de acero al carbono · 2 1/2" x 1/4" · barra de 20 pies</t>
        </is>
      </c>
      <c r="F532" s="5" t="inlineStr">
        <is>
          <t>Material retirado en almacén</t>
        </is>
      </c>
      <c r="G532" s="5" t="inlineStr">
        <is>
          <t>perfil L, ángulo de hierro, angular</t>
        </is>
      </c>
      <c r="H532" s="7" t="inlineStr">
        <is>
          <t>unidad</t>
        </is>
      </c>
      <c r="I532" s="7" t="inlineStr">
        <is>
          <t>Estructura</t>
        </is>
      </c>
      <c r="J532" s="7" t="inlineStr">
        <is>
          <t>estandar</t>
        </is>
      </c>
      <c r="K532" s="7" t="inlineStr">
        <is>
          <t>importado</t>
        </is>
      </c>
      <c r="L532" s="7" t="inlineStr">
        <is>
          <t>Verificado</t>
        </is>
      </c>
      <c r="M532" s="8" t="n">
        <v>1</v>
      </c>
      <c r="N532" s="9" t="n">
        <v>2870</v>
      </c>
      <c r="O532" s="9" t="n">
        <v>2870</v>
      </c>
      <c r="P532" s="9" t="n">
        <v>2870</v>
      </c>
      <c r="Q532" s="7" t="inlineStr">
        <is>
          <t>Sí</t>
        </is>
      </c>
      <c r="R532" s="9">
        <f>IF(N532="","",IF(Q532="Sí",ROUND(N532/1.18,2),N532))</f>
        <v/>
      </c>
      <c r="S532" s="7" t="inlineStr">
        <is>
          <t>2026-09-09</t>
        </is>
      </c>
      <c r="T532" s="5" t="inlineStr">
        <is>
          <t>1 cotización de proveedores</t>
        </is>
      </c>
    </row>
    <row r="533">
      <c r="A533" s="7" t="inlineStr">
        <is>
          <t>MAT-20-016</t>
        </is>
      </c>
      <c r="B533" s="7" t="inlineStr">
        <is>
          <t>Materiales</t>
        </is>
      </c>
      <c r="C533" s="7" t="inlineStr">
        <is>
          <t>Angulares, planchuelas y barras</t>
        </is>
      </c>
      <c r="D533" s="5" t="inlineStr">
        <is>
          <t>Angular de hierro negro 2 1/2" x 3/8" x 20 pies</t>
        </is>
      </c>
      <c r="E533" s="5" t="inlineStr">
        <is>
          <t>Perfil L de acero al carbono · 2 1/2" x 3/8" · barra de 20 pies</t>
        </is>
      </c>
      <c r="F533" s="5" t="inlineStr">
        <is>
          <t>Material retirado en almacén</t>
        </is>
      </c>
      <c r="G533" s="5" t="inlineStr">
        <is>
          <t>perfil L, ángulo de hierro, angular</t>
        </is>
      </c>
      <c r="H533" s="7" t="inlineStr">
        <is>
          <t>unidad</t>
        </is>
      </c>
      <c r="I533" s="7" t="inlineStr">
        <is>
          <t>Estructura</t>
        </is>
      </c>
      <c r="J533" s="7" t="inlineStr">
        <is>
          <t>estandar</t>
        </is>
      </c>
      <c r="K533" s="7" t="inlineStr">
        <is>
          <t>importado</t>
        </is>
      </c>
      <c r="L533" s="7" t="inlineStr">
        <is>
          <t>Verificado</t>
        </is>
      </c>
      <c r="M533" s="8" t="n">
        <v>1</v>
      </c>
      <c r="N533" s="9" t="n">
        <v>4130</v>
      </c>
      <c r="O533" s="9" t="n">
        <v>4130</v>
      </c>
      <c r="P533" s="9" t="n">
        <v>4130</v>
      </c>
      <c r="Q533" s="7" t="inlineStr">
        <is>
          <t>Sí</t>
        </is>
      </c>
      <c r="R533" s="9">
        <f>IF(N533="","",IF(Q533="Sí",ROUND(N533/1.18,2),N533))</f>
        <v/>
      </c>
      <c r="S533" s="7" t="inlineStr">
        <is>
          <t>2026-09-09</t>
        </is>
      </c>
      <c r="T533" s="5" t="inlineStr">
        <is>
          <t>1 cotización de proveedores</t>
        </is>
      </c>
    </row>
    <row r="534">
      <c r="A534" s="7" t="inlineStr">
        <is>
          <t>MAT-20-017</t>
        </is>
      </c>
      <c r="B534" s="7" t="inlineStr">
        <is>
          <t>Materiales</t>
        </is>
      </c>
      <c r="C534" s="7" t="inlineStr">
        <is>
          <t>Angulares, planchuelas y barras</t>
        </is>
      </c>
      <c r="D534" s="5" t="inlineStr">
        <is>
          <t>Angular de hierro negro 3" x 1/4" x 20 pies</t>
        </is>
      </c>
      <c r="E534" s="5" t="inlineStr">
        <is>
          <t>Perfil L de acero al carbono · 3" x 1/4" · barra de 20 pies</t>
        </is>
      </c>
      <c r="F534" s="5" t="inlineStr">
        <is>
          <t>Material retirado en almacén</t>
        </is>
      </c>
      <c r="G534" s="5" t="inlineStr">
        <is>
          <t>perfil L, ángulo de hierro, angular</t>
        </is>
      </c>
      <c r="H534" s="7" t="inlineStr">
        <is>
          <t>unidad</t>
        </is>
      </c>
      <c r="I534" s="7" t="inlineStr">
        <is>
          <t>Estructura</t>
        </is>
      </c>
      <c r="J534" s="7" t="inlineStr">
        <is>
          <t>estandar</t>
        </is>
      </c>
      <c r="K534" s="7" t="inlineStr">
        <is>
          <t>importado</t>
        </is>
      </c>
      <c r="L534" s="7" t="inlineStr">
        <is>
          <t>Verificado</t>
        </is>
      </c>
      <c r="M534" s="8" t="n">
        <v>1</v>
      </c>
      <c r="N534" s="9" t="n">
        <v>3430</v>
      </c>
      <c r="O534" s="9" t="n">
        <v>3430</v>
      </c>
      <c r="P534" s="9" t="n">
        <v>3430</v>
      </c>
      <c r="Q534" s="7" t="inlineStr">
        <is>
          <t>Sí</t>
        </is>
      </c>
      <c r="R534" s="9">
        <f>IF(N534="","",IF(Q534="Sí",ROUND(N534/1.18,2),N534))</f>
        <v/>
      </c>
      <c r="S534" s="7" t="inlineStr">
        <is>
          <t>2026-09-09</t>
        </is>
      </c>
      <c r="T534" s="5" t="inlineStr">
        <is>
          <t>1 cotización de proveedores</t>
        </is>
      </c>
    </row>
    <row r="535">
      <c r="A535" s="7" t="inlineStr">
        <is>
          <t>MAT-20-018</t>
        </is>
      </c>
      <c r="B535" s="7" t="inlineStr">
        <is>
          <t>Materiales</t>
        </is>
      </c>
      <c r="C535" s="7" t="inlineStr">
        <is>
          <t>Angulares, planchuelas y barras</t>
        </is>
      </c>
      <c r="D535" s="5" t="inlineStr">
        <is>
          <t>Angular de hierro negro 3" x 3/8" x 20 pies</t>
        </is>
      </c>
      <c r="E535" s="5" t="inlineStr">
        <is>
          <t>Perfil L de acero al carbono · 3" x 3/8" · barra de 20 pies</t>
        </is>
      </c>
      <c r="F535" s="5" t="inlineStr">
        <is>
          <t>Material retirado en almacén</t>
        </is>
      </c>
      <c r="G535" s="5" t="inlineStr">
        <is>
          <t>perfil L, ángulo de hierro, angular</t>
        </is>
      </c>
      <c r="H535" s="7" t="inlineStr">
        <is>
          <t>unidad</t>
        </is>
      </c>
      <c r="I535" s="7" t="inlineStr">
        <is>
          <t>Estructura</t>
        </is>
      </c>
      <c r="J535" s="7" t="inlineStr">
        <is>
          <t>estandar</t>
        </is>
      </c>
      <c r="K535" s="7" t="inlineStr">
        <is>
          <t>importado</t>
        </is>
      </c>
      <c r="L535" s="7" t="inlineStr">
        <is>
          <t>Verificado</t>
        </is>
      </c>
      <c r="M535" s="8" t="n">
        <v>1</v>
      </c>
      <c r="N535" s="9" t="n">
        <v>5622.2</v>
      </c>
      <c r="O535" s="9" t="n">
        <v>5622.2</v>
      </c>
      <c r="P535" s="9" t="n">
        <v>5622.2</v>
      </c>
      <c r="Q535" s="7" t="inlineStr">
        <is>
          <t>Sí</t>
        </is>
      </c>
      <c r="R535" s="9">
        <f>IF(N535="","",IF(Q535="Sí",ROUND(N535/1.18,2),N535))</f>
        <v/>
      </c>
      <c r="S535" s="7" t="inlineStr">
        <is>
          <t>2026-09-09</t>
        </is>
      </c>
      <c r="T535" s="5" t="inlineStr">
        <is>
          <t>1 cotización de proveedores</t>
        </is>
      </c>
    </row>
    <row r="536">
      <c r="A536" s="7" t="inlineStr">
        <is>
          <t>MAT-20-019</t>
        </is>
      </c>
      <c r="B536" s="7" t="inlineStr">
        <is>
          <t>Materiales</t>
        </is>
      </c>
      <c r="C536" s="7" t="inlineStr">
        <is>
          <t>Angulares, planchuelas y barras</t>
        </is>
      </c>
      <c r="D536" s="5" t="inlineStr">
        <is>
          <t>Angular de hierro negro 4" x 1/4" x 20 pies</t>
        </is>
      </c>
      <c r="E536" s="5" t="inlineStr">
        <is>
          <t>Perfil L de acero al carbono · 4" x 1/4" · barra de 20 pies</t>
        </is>
      </c>
      <c r="F536" s="5" t="inlineStr">
        <is>
          <t>Material retirado en almacén</t>
        </is>
      </c>
      <c r="G536" s="5" t="inlineStr">
        <is>
          <t>perfil L, ángulo de hierro, angular</t>
        </is>
      </c>
      <c r="H536" s="7" t="inlineStr">
        <is>
          <t>unidad</t>
        </is>
      </c>
      <c r="I536" s="7" t="inlineStr">
        <is>
          <t>Estructura</t>
        </is>
      </c>
      <c r="J536" s="7" t="inlineStr">
        <is>
          <t>estandar</t>
        </is>
      </c>
      <c r="K536" s="7" t="inlineStr">
        <is>
          <t>importado</t>
        </is>
      </c>
      <c r="L536" s="7" t="inlineStr">
        <is>
          <t>Verificado</t>
        </is>
      </c>
      <c r="M536" s="8" t="n">
        <v>1</v>
      </c>
      <c r="N536" s="9" t="n">
        <v>4117.73</v>
      </c>
      <c r="O536" s="9" t="n">
        <v>4117.73</v>
      </c>
      <c r="P536" s="9" t="n">
        <v>4117.73</v>
      </c>
      <c r="Q536" s="7" t="inlineStr">
        <is>
          <t>Sí</t>
        </is>
      </c>
      <c r="R536" s="9">
        <f>IF(N536="","",IF(Q536="Sí",ROUND(N536/1.18,2),N536))</f>
        <v/>
      </c>
      <c r="S536" s="7" t="inlineStr">
        <is>
          <t>2026-09-09</t>
        </is>
      </c>
      <c r="T536" s="5" t="inlineStr">
        <is>
          <t>1 cotización de proveedores</t>
        </is>
      </c>
    </row>
    <row r="537">
      <c r="A537" s="7" t="inlineStr">
        <is>
          <t>MAT-20-020</t>
        </is>
      </c>
      <c r="B537" s="7" t="inlineStr">
        <is>
          <t>Materiales</t>
        </is>
      </c>
      <c r="C537" s="7" t="inlineStr">
        <is>
          <t>Angulares, planchuelas y barras</t>
        </is>
      </c>
      <c r="D537" s="5" t="inlineStr">
        <is>
          <t>Angular de hierro negro 4" x 1/2" x 20 pies</t>
        </is>
      </c>
      <c r="E537" s="5" t="inlineStr">
        <is>
          <t>Perfil L de acero al carbono · 4" x 1/2" · barra de 20 pies</t>
        </is>
      </c>
      <c r="F537" s="5" t="inlineStr">
        <is>
          <t>Material retirado en almacén</t>
        </is>
      </c>
      <c r="G537" s="5" t="inlineStr">
        <is>
          <t>perfil L, ángulo de hierro, angular</t>
        </is>
      </c>
      <c r="H537" s="7" t="inlineStr">
        <is>
          <t>unidad</t>
        </is>
      </c>
      <c r="I537" s="7" t="inlineStr">
        <is>
          <t>Estructura</t>
        </is>
      </c>
      <c r="J537" s="7" t="inlineStr">
        <is>
          <t>estandar</t>
        </is>
      </c>
      <c r="K537" s="7" t="inlineStr">
        <is>
          <t>importado</t>
        </is>
      </c>
      <c r="L537" s="7" t="inlineStr">
        <is>
          <t>Verificado</t>
        </is>
      </c>
      <c r="M537" s="8" t="n">
        <v>1</v>
      </c>
      <c r="N537" s="9" t="n">
        <v>9995.309999999999</v>
      </c>
      <c r="O537" s="9" t="n">
        <v>9995.309999999999</v>
      </c>
      <c r="P537" s="9" t="n">
        <v>9995.309999999999</v>
      </c>
      <c r="Q537" s="7" t="inlineStr">
        <is>
          <t>Sí</t>
        </is>
      </c>
      <c r="R537" s="9">
        <f>IF(N537="","",IF(Q537="Sí",ROUND(N537/1.18,2),N537))</f>
        <v/>
      </c>
      <c r="S537" s="7" t="inlineStr">
        <is>
          <t>2026-09-09</t>
        </is>
      </c>
      <c r="T537" s="5" t="inlineStr">
        <is>
          <t>1 cotización de proveedores</t>
        </is>
      </c>
    </row>
    <row r="538">
      <c r="A538" s="7" t="inlineStr">
        <is>
          <t>MAT-20-021</t>
        </is>
      </c>
      <c r="B538" s="7" t="inlineStr">
        <is>
          <t>Materiales</t>
        </is>
      </c>
      <c r="C538" s="7" t="inlineStr">
        <is>
          <t>Angulares, planchuelas y barras</t>
        </is>
      </c>
      <c r="D538" s="5" t="inlineStr">
        <is>
          <t>Angular perforado, 1-1/2X1-1/2"X10'</t>
        </is>
      </c>
      <c r="E538" s="5" t="inlineStr"/>
      <c r="F538" s="5" t="inlineStr">
        <is>
          <t>Material retirado en almacén</t>
        </is>
      </c>
      <c r="G538" s="5" t="inlineStr">
        <is>
          <t>angular perforado</t>
        </is>
      </c>
      <c r="H538" s="7" t="inlineStr">
        <is>
          <t>unidad</t>
        </is>
      </c>
      <c r="I538" s="7" t="inlineStr">
        <is>
          <t>Estructura</t>
        </is>
      </c>
      <c r="J538" s="7" t="inlineStr">
        <is>
          <t>estandar</t>
        </is>
      </c>
      <c r="K538" s="7" t="inlineStr">
        <is>
          <t>importado</t>
        </is>
      </c>
      <c r="L538" s="7" t="inlineStr">
        <is>
          <t>Verificado</t>
        </is>
      </c>
      <c r="M538" s="8" t="n">
        <v>1</v>
      </c>
      <c r="N538" s="9" t="n">
        <v>425</v>
      </c>
      <c r="O538" s="9" t="n">
        <v>425</v>
      </c>
      <c r="P538" s="9" t="n">
        <v>425</v>
      </c>
      <c r="Q538" s="7" t="inlineStr">
        <is>
          <t>Sí</t>
        </is>
      </c>
      <c r="R538" s="9">
        <f>IF(N538="","",IF(Q538="Sí",ROUND(N538/1.18,2),N538))</f>
        <v/>
      </c>
      <c r="S538" s="7" t="inlineStr">
        <is>
          <t>2026-09-09</t>
        </is>
      </c>
      <c r="T538" s="5" t="inlineStr">
        <is>
          <t>1 cotización de proveedores</t>
        </is>
      </c>
      <c r="AH538" s="4" t="inlineStr">
        <is>
          <t>1-1/2X1-1/2"X10'</t>
        </is>
      </c>
    </row>
    <row r="539">
      <c r="A539" s="7" t="inlineStr">
        <is>
          <t>MAT-20-022</t>
        </is>
      </c>
      <c r="B539" s="7" t="inlineStr">
        <is>
          <t>Materiales</t>
        </is>
      </c>
      <c r="C539" s="7" t="inlineStr">
        <is>
          <t>Angulares, planchuelas y barras</t>
        </is>
      </c>
      <c r="D539" s="5" t="inlineStr">
        <is>
          <t>Angular perforado, 1-1/2X1-1/2"X8'</t>
        </is>
      </c>
      <c r="E539" s="5" t="inlineStr"/>
      <c r="F539" s="5" t="inlineStr">
        <is>
          <t>Material retirado en almacén</t>
        </is>
      </c>
      <c r="G539" s="5" t="inlineStr">
        <is>
          <t>angular perforado</t>
        </is>
      </c>
      <c r="H539" s="7" t="inlineStr">
        <is>
          <t>unidad</t>
        </is>
      </c>
      <c r="I539" s="7" t="inlineStr">
        <is>
          <t>Estructura</t>
        </is>
      </c>
      <c r="J539" s="7" t="inlineStr">
        <is>
          <t>estandar</t>
        </is>
      </c>
      <c r="K539" s="7" t="inlineStr">
        <is>
          <t>importado</t>
        </is>
      </c>
      <c r="L539" s="7" t="inlineStr">
        <is>
          <t>Verificado</t>
        </is>
      </c>
      <c r="M539" s="8" t="n">
        <v>1</v>
      </c>
      <c r="N539" s="9" t="n">
        <v>360</v>
      </c>
      <c r="O539" s="9" t="n">
        <v>360</v>
      </c>
      <c r="P539" s="9" t="n">
        <v>360</v>
      </c>
      <c r="Q539" s="7" t="inlineStr">
        <is>
          <t>Sí</t>
        </is>
      </c>
      <c r="R539" s="9">
        <f>IF(N539="","",IF(Q539="Sí",ROUND(N539/1.18,2),N539))</f>
        <v/>
      </c>
      <c r="S539" s="7" t="inlineStr">
        <is>
          <t>2026-09-09</t>
        </is>
      </c>
      <c r="T539" s="5" t="inlineStr">
        <is>
          <t>1 cotización de proveedores</t>
        </is>
      </c>
      <c r="AH539" s="4" t="inlineStr">
        <is>
          <t>1-1/2X1-1/2"X8'</t>
        </is>
      </c>
    </row>
    <row r="540">
      <c r="A540" s="7" t="inlineStr">
        <is>
          <t>MAT-20-023</t>
        </is>
      </c>
      <c r="B540" s="7" t="inlineStr">
        <is>
          <t>Materiales</t>
        </is>
      </c>
      <c r="C540" s="7" t="inlineStr">
        <is>
          <t>Angulares, planchuelas y barras</t>
        </is>
      </c>
      <c r="D540" s="5" t="inlineStr">
        <is>
          <t>Planchuela de hierro negro 1/2" x 1/8" x 20 pies</t>
        </is>
      </c>
      <c r="E540" s="5" t="inlineStr">
        <is>
          <t>Pletina de acero al carbono · 1/2" x 1/8" · barra de 20 pies</t>
        </is>
      </c>
      <c r="F540" s="5" t="inlineStr">
        <is>
          <t>Material retirado en almacén</t>
        </is>
      </c>
      <c r="G540" s="5" t="inlineStr">
        <is>
          <t>pletina, fleje de hierro, planchuela</t>
        </is>
      </c>
      <c r="H540" s="7" t="inlineStr">
        <is>
          <t>unidad</t>
        </is>
      </c>
      <c r="I540" s="7" t="inlineStr">
        <is>
          <t>Estructura</t>
        </is>
      </c>
      <c r="J540" s="7" t="inlineStr">
        <is>
          <t>estandar</t>
        </is>
      </c>
      <c r="K540" s="7" t="inlineStr">
        <is>
          <t>importado</t>
        </is>
      </c>
      <c r="L540" s="7" t="inlineStr">
        <is>
          <t>Verificado</t>
        </is>
      </c>
      <c r="M540" s="8" t="n">
        <v>1</v>
      </c>
      <c r="N540" s="9" t="n">
        <v>141.64</v>
      </c>
      <c r="O540" s="9" t="n">
        <v>141.64</v>
      </c>
      <c r="P540" s="9" t="n">
        <v>141.64</v>
      </c>
      <c r="Q540" s="7" t="inlineStr">
        <is>
          <t>Sí</t>
        </is>
      </c>
      <c r="R540" s="9">
        <f>IF(N540="","",IF(Q540="Sí",ROUND(N540/1.18,2),N540))</f>
        <v/>
      </c>
      <c r="S540" s="7" t="inlineStr">
        <is>
          <t>2026-09-09</t>
        </is>
      </c>
      <c r="T540" s="5" t="inlineStr">
        <is>
          <t>1 cotización de proveedores</t>
        </is>
      </c>
    </row>
    <row r="541">
      <c r="A541" s="7" t="inlineStr">
        <is>
          <t>MAT-20-024</t>
        </is>
      </c>
      <c r="B541" s="7" t="inlineStr">
        <is>
          <t>Materiales</t>
        </is>
      </c>
      <c r="C541" s="7" t="inlineStr">
        <is>
          <t>Angulares, planchuelas y barras</t>
        </is>
      </c>
      <c r="D541" s="5" t="inlineStr">
        <is>
          <t>Planchuela de hierro negro 1/2" x 3/16" x 20 pies</t>
        </is>
      </c>
      <c r="E541" s="5" t="inlineStr">
        <is>
          <t>Pletina de acero al carbono · 1/2" x 3/16" · barra de 20 pies</t>
        </is>
      </c>
      <c r="F541" s="5" t="inlineStr">
        <is>
          <t>Material retirado en almacén</t>
        </is>
      </c>
      <c r="G541" s="5" t="inlineStr">
        <is>
          <t>pletina, fleje de hierro, planchuela</t>
        </is>
      </c>
      <c r="H541" s="7" t="inlineStr">
        <is>
          <t>unidad</t>
        </is>
      </c>
      <c r="I541" s="7" t="inlineStr">
        <is>
          <t>Estructura</t>
        </is>
      </c>
      <c r="J541" s="7" t="inlineStr">
        <is>
          <t>estandar</t>
        </is>
      </c>
      <c r="K541" s="7" t="inlineStr">
        <is>
          <t>importado</t>
        </is>
      </c>
      <c r="L541" s="7" t="inlineStr">
        <is>
          <t>Verificado</t>
        </is>
      </c>
      <c r="M541" s="8" t="n">
        <v>1</v>
      </c>
      <c r="N541" s="9" t="n">
        <v>249.92</v>
      </c>
      <c r="O541" s="9" t="n">
        <v>249.92</v>
      </c>
      <c r="P541" s="9" t="n">
        <v>249.92</v>
      </c>
      <c r="Q541" s="7" t="inlineStr">
        <is>
          <t>Sí</t>
        </is>
      </c>
      <c r="R541" s="9">
        <f>IF(N541="","",IF(Q541="Sí",ROUND(N541/1.18,2),N541))</f>
        <v/>
      </c>
      <c r="S541" s="7" t="inlineStr">
        <is>
          <t>2026-09-09</t>
        </is>
      </c>
      <c r="T541" s="5" t="inlineStr">
        <is>
          <t>1 cotización de proveedores</t>
        </is>
      </c>
    </row>
    <row r="542">
      <c r="A542" s="7" t="inlineStr">
        <is>
          <t>MAT-20-025</t>
        </is>
      </c>
      <c r="B542" s="7" t="inlineStr">
        <is>
          <t>Materiales</t>
        </is>
      </c>
      <c r="C542" s="7" t="inlineStr">
        <is>
          <t>Angulares, planchuelas y barras</t>
        </is>
      </c>
      <c r="D542" s="5" t="inlineStr">
        <is>
          <t>Planchuela de hierro negro 1/2" x 1/4" x 20 pies</t>
        </is>
      </c>
      <c r="E542" s="5" t="inlineStr">
        <is>
          <t>Pletina de acero al carbono · 1/2" x 1/4" · barra de 20 pies</t>
        </is>
      </c>
      <c r="F542" s="5" t="inlineStr">
        <is>
          <t>Material retirado en almacén</t>
        </is>
      </c>
      <c r="G542" s="5" t="inlineStr">
        <is>
          <t>pletina, fleje de hierro, planchuela</t>
        </is>
      </c>
      <c r="H542" s="7" t="inlineStr">
        <is>
          <t>unidad</t>
        </is>
      </c>
      <c r="I542" s="7" t="inlineStr">
        <is>
          <t>Estructura</t>
        </is>
      </c>
      <c r="J542" s="7" t="inlineStr">
        <is>
          <t>estandar</t>
        </is>
      </c>
      <c r="K542" s="7" t="inlineStr">
        <is>
          <t>importado</t>
        </is>
      </c>
      <c r="L542" s="7" t="inlineStr">
        <is>
          <t>Verificado</t>
        </is>
      </c>
      <c r="M542" s="8" t="n">
        <v>1</v>
      </c>
      <c r="N542" s="9" t="n">
        <v>331.8</v>
      </c>
      <c r="O542" s="9" t="n">
        <v>331.8</v>
      </c>
      <c r="P542" s="9" t="n">
        <v>331.8</v>
      </c>
      <c r="Q542" s="7" t="inlineStr">
        <is>
          <t>Sí</t>
        </is>
      </c>
      <c r="R542" s="9">
        <f>IF(N542="","",IF(Q542="Sí",ROUND(N542/1.18,2),N542))</f>
        <v/>
      </c>
      <c r="S542" s="7" t="inlineStr">
        <is>
          <t>2026-09-09</t>
        </is>
      </c>
      <c r="T542" s="5" t="inlineStr">
        <is>
          <t>1 cotización de proveedores</t>
        </is>
      </c>
    </row>
    <row r="543">
      <c r="A543" s="7" t="inlineStr">
        <is>
          <t>MAT-20-026</t>
        </is>
      </c>
      <c r="B543" s="7" t="inlineStr">
        <is>
          <t>Materiales</t>
        </is>
      </c>
      <c r="C543" s="7" t="inlineStr">
        <is>
          <t>Angulares, planchuelas y barras</t>
        </is>
      </c>
      <c r="D543" s="5" t="inlineStr">
        <is>
          <t>Planchuela de hierro negro 3/4" x 1/8" x 20 pies</t>
        </is>
      </c>
      <c r="E543" s="5" t="inlineStr">
        <is>
          <t>Pletina de acero al carbono · 3/4" x 1/8" · barra de 20 pies</t>
        </is>
      </c>
      <c r="F543" s="5" t="inlineStr">
        <is>
          <t>Material retirado en almacén</t>
        </is>
      </c>
      <c r="G543" s="5" t="inlineStr">
        <is>
          <t>pletina, fleje de hierro, planchuela</t>
        </is>
      </c>
      <c r="H543" s="7" t="inlineStr">
        <is>
          <t>unidad</t>
        </is>
      </c>
      <c r="I543" s="7" t="inlineStr">
        <is>
          <t>Estructura</t>
        </is>
      </c>
      <c r="J543" s="7" t="inlineStr">
        <is>
          <t>estandar</t>
        </is>
      </c>
      <c r="K543" s="7" t="inlineStr">
        <is>
          <t>importado</t>
        </is>
      </c>
      <c r="L543" s="7" t="inlineStr">
        <is>
          <t>Verificado</t>
        </is>
      </c>
      <c r="M543" s="8" t="n">
        <v>1</v>
      </c>
      <c r="N543" s="9" t="n">
        <v>298.91</v>
      </c>
      <c r="O543" s="9" t="n">
        <v>298.91</v>
      </c>
      <c r="P543" s="9" t="n">
        <v>298.91</v>
      </c>
      <c r="Q543" s="7" t="inlineStr">
        <is>
          <t>Sí</t>
        </is>
      </c>
      <c r="R543" s="9">
        <f>IF(N543="","",IF(Q543="Sí",ROUND(N543/1.18,2),N543))</f>
        <v/>
      </c>
      <c r="S543" s="7" t="inlineStr">
        <is>
          <t>2026-09-09</t>
        </is>
      </c>
      <c r="T543" s="5" t="inlineStr">
        <is>
          <t>1 cotización de proveedores</t>
        </is>
      </c>
    </row>
    <row r="544">
      <c r="A544" s="7" t="inlineStr">
        <is>
          <t>MAT-20-027</t>
        </is>
      </c>
      <c r="B544" s="7" t="inlineStr">
        <is>
          <t>Materiales</t>
        </is>
      </c>
      <c r="C544" s="7" t="inlineStr">
        <is>
          <t>Angulares, planchuelas y barras</t>
        </is>
      </c>
      <c r="D544" s="5" t="inlineStr">
        <is>
          <t>Planchuela de hierro negro 3/4" x 3/16" x 20 pies</t>
        </is>
      </c>
      <c r="E544" s="5" t="inlineStr">
        <is>
          <t>Pletina de acero al carbono · 3/4" x 3/16" · barra de 20 pies</t>
        </is>
      </c>
      <c r="F544" s="5" t="inlineStr">
        <is>
          <t>Material retirado en almacén</t>
        </is>
      </c>
      <c r="G544" s="5" t="inlineStr">
        <is>
          <t>pletina, fleje de hierro, planchuela</t>
        </is>
      </c>
      <c r="H544" s="7" t="inlineStr">
        <is>
          <t>unidad</t>
        </is>
      </c>
      <c r="I544" s="7" t="inlineStr">
        <is>
          <t>Estructura</t>
        </is>
      </c>
      <c r="J544" s="7" t="inlineStr">
        <is>
          <t>estandar</t>
        </is>
      </c>
      <c r="K544" s="7" t="inlineStr">
        <is>
          <t>importado</t>
        </is>
      </c>
      <c r="L544" s="7" t="inlineStr">
        <is>
          <t>Verificado</t>
        </is>
      </c>
      <c r="M544" s="8" t="n">
        <v>1</v>
      </c>
      <c r="N544" s="9" t="n">
        <v>373</v>
      </c>
      <c r="O544" s="9" t="n">
        <v>373</v>
      </c>
      <c r="P544" s="9" t="n">
        <v>373</v>
      </c>
      <c r="Q544" s="7" t="inlineStr">
        <is>
          <t>Sí</t>
        </is>
      </c>
      <c r="R544" s="9">
        <f>IF(N544="","",IF(Q544="Sí",ROUND(N544/1.18,2),N544))</f>
        <v/>
      </c>
      <c r="S544" s="7" t="inlineStr">
        <is>
          <t>2026-09-09</t>
        </is>
      </c>
      <c r="T544" s="5" t="inlineStr">
        <is>
          <t>1 cotización de proveedores</t>
        </is>
      </c>
    </row>
    <row r="545">
      <c r="A545" s="7" t="inlineStr">
        <is>
          <t>MAT-20-028</t>
        </is>
      </c>
      <c r="B545" s="7" t="inlineStr">
        <is>
          <t>Materiales</t>
        </is>
      </c>
      <c r="C545" s="7" t="inlineStr">
        <is>
          <t>Angulares, planchuelas y barras</t>
        </is>
      </c>
      <c r="D545" s="5" t="inlineStr">
        <is>
          <t>Planchuela de hierro negro 3/4" x 1/4" x 20 pies</t>
        </is>
      </c>
      <c r="E545" s="5" t="inlineStr">
        <is>
          <t>Pletina de acero al carbono · 3/4" x 1/4" · barra de 20 pies</t>
        </is>
      </c>
      <c r="F545" s="5" t="inlineStr">
        <is>
          <t>Material retirado en almacén</t>
        </is>
      </c>
      <c r="G545" s="5" t="inlineStr">
        <is>
          <t>pletina, fleje de hierro, planchuela</t>
        </is>
      </c>
      <c r="H545" s="7" t="inlineStr">
        <is>
          <t>unidad</t>
        </is>
      </c>
      <c r="I545" s="7" t="inlineStr">
        <is>
          <t>Estructura</t>
        </is>
      </c>
      <c r="J545" s="7" t="inlineStr">
        <is>
          <t>estandar</t>
        </is>
      </c>
      <c r="K545" s="7" t="inlineStr">
        <is>
          <t>importado</t>
        </is>
      </c>
      <c r="L545" s="7" t="inlineStr">
        <is>
          <t>Verificado</t>
        </is>
      </c>
      <c r="M545" s="8" t="n">
        <v>1</v>
      </c>
      <c r="N545" s="9" t="n">
        <v>497.72</v>
      </c>
      <c r="O545" s="9" t="n">
        <v>497.72</v>
      </c>
      <c r="P545" s="9" t="n">
        <v>497.72</v>
      </c>
      <c r="Q545" s="7" t="inlineStr">
        <is>
          <t>Sí</t>
        </is>
      </c>
      <c r="R545" s="9">
        <f>IF(N545="","",IF(Q545="Sí",ROUND(N545/1.18,2),N545))</f>
        <v/>
      </c>
      <c r="S545" s="7" t="inlineStr">
        <is>
          <t>2026-09-09</t>
        </is>
      </c>
      <c r="T545" s="5" t="inlineStr">
        <is>
          <t>1 cotización de proveedores</t>
        </is>
      </c>
    </row>
    <row r="546">
      <c r="A546" s="7" t="inlineStr">
        <is>
          <t>MAT-20-029</t>
        </is>
      </c>
      <c r="B546" s="7" t="inlineStr">
        <is>
          <t>Materiales</t>
        </is>
      </c>
      <c r="C546" s="7" t="inlineStr">
        <is>
          <t>Angulares, planchuelas y barras</t>
        </is>
      </c>
      <c r="D546" s="5" t="inlineStr">
        <is>
          <t>Planchuela de hierro negro 1" x 1/8" x 20 pies</t>
        </is>
      </c>
      <c r="E546" s="5" t="inlineStr">
        <is>
          <t>Pletina de acero al carbono · 1" x 1/8" · barra de 20 pies</t>
        </is>
      </c>
      <c r="F546" s="5" t="inlineStr">
        <is>
          <t>Material retirado en almacén</t>
        </is>
      </c>
      <c r="G546" s="5" t="inlineStr">
        <is>
          <t>pletina, fleje de hierro, planchuela</t>
        </is>
      </c>
      <c r="H546" s="7" t="inlineStr">
        <is>
          <t>unidad</t>
        </is>
      </c>
      <c r="I546" s="7" t="inlineStr">
        <is>
          <t>Estructura</t>
        </is>
      </c>
      <c r="J546" s="7" t="inlineStr">
        <is>
          <t>estandar</t>
        </is>
      </c>
      <c r="K546" s="7" t="inlineStr">
        <is>
          <t>importado</t>
        </is>
      </c>
      <c r="L546" s="7" t="inlineStr">
        <is>
          <t>Verificado</t>
        </is>
      </c>
      <c r="M546" s="8" t="n">
        <v>1</v>
      </c>
      <c r="N546" s="9" t="n">
        <v>297.5</v>
      </c>
      <c r="O546" s="9" t="n">
        <v>297.5</v>
      </c>
      <c r="P546" s="9" t="n">
        <v>297.5</v>
      </c>
      <c r="Q546" s="7" t="inlineStr">
        <is>
          <t>Sí</t>
        </is>
      </c>
      <c r="R546" s="9">
        <f>IF(N546="","",IF(Q546="Sí",ROUND(N546/1.18,2),N546))</f>
        <v/>
      </c>
      <c r="S546" s="7" t="inlineStr">
        <is>
          <t>2026-09-09</t>
        </is>
      </c>
      <c r="T546" s="5" t="inlineStr">
        <is>
          <t>1 cotización de proveedores</t>
        </is>
      </c>
    </row>
    <row r="547">
      <c r="A547" s="7" t="inlineStr">
        <is>
          <t>MAT-20-030</t>
        </is>
      </c>
      <c r="B547" s="7" t="inlineStr">
        <is>
          <t>Materiales</t>
        </is>
      </c>
      <c r="C547" s="7" t="inlineStr">
        <is>
          <t>Angulares, planchuelas y barras</t>
        </is>
      </c>
      <c r="D547" s="5" t="inlineStr">
        <is>
          <t>Planchuela de hierro negro 1" x 3/16" x 20 pies</t>
        </is>
      </c>
      <c r="E547" s="5" t="inlineStr">
        <is>
          <t>Pletina de acero al carbono · 1" x 3/16" · barra de 20 pies</t>
        </is>
      </c>
      <c r="F547" s="5" t="inlineStr">
        <is>
          <t>Material retirado en almacén</t>
        </is>
      </c>
      <c r="G547" s="5" t="inlineStr">
        <is>
          <t>pletina, fleje de hierro, planchuela</t>
        </is>
      </c>
      <c r="H547" s="7" t="inlineStr">
        <is>
          <t>unidad</t>
        </is>
      </c>
      <c r="I547" s="7" t="inlineStr">
        <is>
          <t>Estructura</t>
        </is>
      </c>
      <c r="J547" s="7" t="inlineStr">
        <is>
          <t>estandar</t>
        </is>
      </c>
      <c r="K547" s="7" t="inlineStr">
        <is>
          <t>importado</t>
        </is>
      </c>
      <c r="L547" s="7" t="inlineStr">
        <is>
          <t>Verificado</t>
        </is>
      </c>
      <c r="M547" s="8" t="n">
        <v>1</v>
      </c>
      <c r="N547" s="9" t="n">
        <v>446.25</v>
      </c>
      <c r="O547" s="9" t="n">
        <v>446.25</v>
      </c>
      <c r="P547" s="9" t="n">
        <v>446.25</v>
      </c>
      <c r="Q547" s="7" t="inlineStr">
        <is>
          <t>Sí</t>
        </is>
      </c>
      <c r="R547" s="9">
        <f>IF(N547="","",IF(Q547="Sí",ROUND(N547/1.18,2),N547))</f>
        <v/>
      </c>
      <c r="S547" s="7" t="inlineStr">
        <is>
          <t>2026-09-09</t>
        </is>
      </c>
      <c r="T547" s="5" t="inlineStr">
        <is>
          <t>1 cotización de proveedores</t>
        </is>
      </c>
    </row>
    <row r="548">
      <c r="A548" s="7" t="inlineStr">
        <is>
          <t>MAT-20-031</t>
        </is>
      </c>
      <c r="B548" s="7" t="inlineStr">
        <is>
          <t>Materiales</t>
        </is>
      </c>
      <c r="C548" s="7" t="inlineStr">
        <is>
          <t>Angulares, planchuelas y barras</t>
        </is>
      </c>
      <c r="D548" s="5" t="inlineStr">
        <is>
          <t>Planchuela de hierro negro 1" x 1/4" x 20 pies</t>
        </is>
      </c>
      <c r="E548" s="5" t="inlineStr">
        <is>
          <t>Pletina de acero al carbono · 1" x 1/4" · barra de 20 pies</t>
        </is>
      </c>
      <c r="F548" s="5" t="inlineStr">
        <is>
          <t>Material retirado en almacén</t>
        </is>
      </c>
      <c r="G548" s="5" t="inlineStr">
        <is>
          <t>pletina, fleje de hierro, planchuela</t>
        </is>
      </c>
      <c r="H548" s="7" t="inlineStr">
        <is>
          <t>unidad</t>
        </is>
      </c>
      <c r="I548" s="7" t="inlineStr">
        <is>
          <t>Estructura</t>
        </is>
      </c>
      <c r="J548" s="7" t="inlineStr">
        <is>
          <t>estandar</t>
        </is>
      </c>
      <c r="K548" s="7" t="inlineStr">
        <is>
          <t>importado</t>
        </is>
      </c>
      <c r="L548" s="7" t="inlineStr">
        <is>
          <t>Verificado</t>
        </is>
      </c>
      <c r="M548" s="8" t="n">
        <v>1</v>
      </c>
      <c r="N548" s="9" t="n">
        <v>595</v>
      </c>
      <c r="O548" s="9" t="n">
        <v>595</v>
      </c>
      <c r="P548" s="9" t="n">
        <v>595</v>
      </c>
      <c r="Q548" s="7" t="inlineStr">
        <is>
          <t>Sí</t>
        </is>
      </c>
      <c r="R548" s="9">
        <f>IF(N548="","",IF(Q548="Sí",ROUND(N548/1.18,2),N548))</f>
        <v/>
      </c>
      <c r="S548" s="7" t="inlineStr">
        <is>
          <t>2026-09-09</t>
        </is>
      </c>
      <c r="T548" s="5" t="inlineStr">
        <is>
          <t>1 cotización de proveedores</t>
        </is>
      </c>
    </row>
    <row r="549">
      <c r="A549" s="7" t="inlineStr">
        <is>
          <t>MAT-20-032</t>
        </is>
      </c>
      <c r="B549" s="7" t="inlineStr">
        <is>
          <t>Materiales</t>
        </is>
      </c>
      <c r="C549" s="7" t="inlineStr">
        <is>
          <t>Angulares, planchuelas y barras</t>
        </is>
      </c>
      <c r="D549" s="5" t="inlineStr">
        <is>
          <t>Planchuela de hierro negro 1" x 1/2" x 20 pies</t>
        </is>
      </c>
      <c r="E549" s="5" t="inlineStr">
        <is>
          <t>Pletina de acero al carbono · 1" x 1/2" · barra de 20 pies</t>
        </is>
      </c>
      <c r="F549" s="5" t="inlineStr">
        <is>
          <t>Material retirado en almacén</t>
        </is>
      </c>
      <c r="G549" s="5" t="inlineStr">
        <is>
          <t>pletina, fleje de hierro, planchuela</t>
        </is>
      </c>
      <c r="H549" s="7" t="inlineStr">
        <is>
          <t>unidad</t>
        </is>
      </c>
      <c r="I549" s="7" t="inlineStr">
        <is>
          <t>Estructura</t>
        </is>
      </c>
      <c r="J549" s="7" t="inlineStr">
        <is>
          <t>estandar</t>
        </is>
      </c>
      <c r="K549" s="7" t="inlineStr">
        <is>
          <t>importado</t>
        </is>
      </c>
      <c r="L549" s="7" t="inlineStr">
        <is>
          <t>Verificado</t>
        </is>
      </c>
      <c r="M549" s="8" t="n">
        <v>1</v>
      </c>
      <c r="N549" s="9" t="n">
        <v>1327.5</v>
      </c>
      <c r="O549" s="9" t="n">
        <v>1327.5</v>
      </c>
      <c r="P549" s="9" t="n">
        <v>1327.5</v>
      </c>
      <c r="Q549" s="7" t="inlineStr">
        <is>
          <t>Sí</t>
        </is>
      </c>
      <c r="R549" s="9">
        <f>IF(N549="","",IF(Q549="Sí",ROUND(N549/1.18,2),N549))</f>
        <v/>
      </c>
      <c r="S549" s="7" t="inlineStr">
        <is>
          <t>2026-09-09</t>
        </is>
      </c>
      <c r="T549" s="5" t="inlineStr">
        <is>
          <t>1 cotización de proveedores</t>
        </is>
      </c>
    </row>
    <row r="550">
      <c r="A550" s="7" t="inlineStr">
        <is>
          <t>MAT-20-033</t>
        </is>
      </c>
      <c r="B550" s="7" t="inlineStr">
        <is>
          <t>Materiales</t>
        </is>
      </c>
      <c r="C550" s="7" t="inlineStr">
        <is>
          <t>Angulares, planchuelas y barras</t>
        </is>
      </c>
      <c r="D550" s="5" t="inlineStr">
        <is>
          <t>Planchuela de hierro negro 1 1/4" x 1/8" x 20 pies</t>
        </is>
      </c>
      <c r="E550" s="5" t="inlineStr">
        <is>
          <t>Pletina de acero al carbono · 1 1/4" x 1/8" · barra de 20 pies</t>
        </is>
      </c>
      <c r="F550" s="5" t="inlineStr">
        <is>
          <t>Material retirado en almacén</t>
        </is>
      </c>
      <c r="G550" s="5" t="inlineStr">
        <is>
          <t>pletina, fleje de hierro, planchuela</t>
        </is>
      </c>
      <c r="H550" s="7" t="inlineStr">
        <is>
          <t>unidad</t>
        </is>
      </c>
      <c r="I550" s="7" t="inlineStr">
        <is>
          <t>Estructura</t>
        </is>
      </c>
      <c r="J550" s="7" t="inlineStr">
        <is>
          <t>estandar</t>
        </is>
      </c>
      <c r="K550" s="7" t="inlineStr">
        <is>
          <t>importado</t>
        </is>
      </c>
      <c r="L550" s="7" t="inlineStr">
        <is>
          <t>Verificado</t>
        </is>
      </c>
      <c r="M550" s="8" t="n">
        <v>1</v>
      </c>
      <c r="N550" s="9" t="n">
        <v>415.35</v>
      </c>
      <c r="O550" s="9" t="n">
        <v>415.35</v>
      </c>
      <c r="P550" s="9" t="n">
        <v>415.35</v>
      </c>
      <c r="Q550" s="7" t="inlineStr">
        <is>
          <t>Sí</t>
        </is>
      </c>
      <c r="R550" s="9">
        <f>IF(N550="","",IF(Q550="Sí",ROUND(N550/1.18,2),N550))</f>
        <v/>
      </c>
      <c r="S550" s="7" t="inlineStr">
        <is>
          <t>2026-09-09</t>
        </is>
      </c>
      <c r="T550" s="5" t="inlineStr">
        <is>
          <t>1 cotización de proveedores</t>
        </is>
      </c>
    </row>
    <row r="551">
      <c r="A551" s="7" t="inlineStr">
        <is>
          <t>MAT-20-034</t>
        </is>
      </c>
      <c r="B551" s="7" t="inlineStr">
        <is>
          <t>Materiales</t>
        </is>
      </c>
      <c r="C551" s="7" t="inlineStr">
        <is>
          <t>Angulares, planchuelas y barras</t>
        </is>
      </c>
      <c r="D551" s="5" t="inlineStr">
        <is>
          <t>Planchuela de hierro negro 1 1/4" x 3/16" x 20 pies</t>
        </is>
      </c>
      <c r="E551" s="5" t="inlineStr">
        <is>
          <t>Pletina de acero al carbono · 1 1/4" x 3/16" · barra de 20 pies</t>
        </is>
      </c>
      <c r="F551" s="5" t="inlineStr">
        <is>
          <t>Material retirado en almacén</t>
        </is>
      </c>
      <c r="G551" s="5" t="inlineStr">
        <is>
          <t>pletina, fleje de hierro, planchuela</t>
        </is>
      </c>
      <c r="H551" s="7" t="inlineStr">
        <is>
          <t>unidad</t>
        </is>
      </c>
      <c r="I551" s="7" t="inlineStr">
        <is>
          <t>Estructura</t>
        </is>
      </c>
      <c r="J551" s="7" t="inlineStr">
        <is>
          <t>estandar</t>
        </is>
      </c>
      <c r="K551" s="7" t="inlineStr">
        <is>
          <t>importado</t>
        </is>
      </c>
      <c r="L551" s="7" t="inlineStr">
        <is>
          <t>Verificado</t>
        </is>
      </c>
      <c r="M551" s="8" t="n">
        <v>1</v>
      </c>
      <c r="N551" s="9" t="n">
        <v>614.58</v>
      </c>
      <c r="O551" s="9" t="n">
        <v>614.58</v>
      </c>
      <c r="P551" s="9" t="n">
        <v>614.58</v>
      </c>
      <c r="Q551" s="7" t="inlineStr">
        <is>
          <t>Sí</t>
        </is>
      </c>
      <c r="R551" s="9">
        <f>IF(N551="","",IF(Q551="Sí",ROUND(N551/1.18,2),N551))</f>
        <v/>
      </c>
      <c r="S551" s="7" t="inlineStr">
        <is>
          <t>2026-09-09</t>
        </is>
      </c>
      <c r="T551" s="5" t="inlineStr">
        <is>
          <t>1 cotización de proveedores</t>
        </is>
      </c>
    </row>
    <row r="552">
      <c r="A552" s="7" t="inlineStr">
        <is>
          <t>MAT-20-035</t>
        </is>
      </c>
      <c r="B552" s="7" t="inlineStr">
        <is>
          <t>Materiales</t>
        </is>
      </c>
      <c r="C552" s="7" t="inlineStr">
        <is>
          <t>Angulares, planchuelas y barras</t>
        </is>
      </c>
      <c r="D552" s="5" t="inlineStr">
        <is>
          <t>Planchuela de hierro negro 1 1/4" x 1/4" x 20 pies</t>
        </is>
      </c>
      <c r="E552" s="5" t="inlineStr">
        <is>
          <t>Pletina de acero al carbono · 1 1/4" x 1/4" · barra de 20 pies</t>
        </is>
      </c>
      <c r="F552" s="5" t="inlineStr">
        <is>
          <t>Material retirado en almacén</t>
        </is>
      </c>
      <c r="G552" s="5" t="inlineStr">
        <is>
          <t>pletina, fleje de hierro, planchuela</t>
        </is>
      </c>
      <c r="H552" s="7" t="inlineStr">
        <is>
          <t>unidad</t>
        </is>
      </c>
      <c r="I552" s="7" t="inlineStr">
        <is>
          <t>Estructura</t>
        </is>
      </c>
      <c r="J552" s="7" t="inlineStr">
        <is>
          <t>estandar</t>
        </is>
      </c>
      <c r="K552" s="7" t="inlineStr">
        <is>
          <t>importado</t>
        </is>
      </c>
      <c r="L552" s="7" t="inlineStr">
        <is>
          <t>Verificado</t>
        </is>
      </c>
      <c r="M552" s="8" t="n">
        <v>1</v>
      </c>
      <c r="N552" s="9" t="n">
        <v>745.5</v>
      </c>
      <c r="O552" s="9" t="n">
        <v>745.5</v>
      </c>
      <c r="P552" s="9" t="n">
        <v>745.5</v>
      </c>
      <c r="Q552" s="7" t="inlineStr">
        <is>
          <t>Sí</t>
        </is>
      </c>
      <c r="R552" s="9">
        <f>IF(N552="","",IF(Q552="Sí",ROUND(N552/1.18,2),N552))</f>
        <v/>
      </c>
      <c r="S552" s="7" t="inlineStr">
        <is>
          <t>2026-09-09</t>
        </is>
      </c>
      <c r="T552" s="5" t="inlineStr">
        <is>
          <t>1 cotización de proveedores</t>
        </is>
      </c>
    </row>
    <row r="553">
      <c r="A553" s="7" t="inlineStr">
        <is>
          <t>MAT-20-036</t>
        </is>
      </c>
      <c r="B553" s="7" t="inlineStr">
        <is>
          <t>Materiales</t>
        </is>
      </c>
      <c r="C553" s="7" t="inlineStr">
        <is>
          <t>Angulares, planchuelas y barras</t>
        </is>
      </c>
      <c r="D553" s="5" t="inlineStr">
        <is>
          <t>Planchuela de hierro negro 1 1/4" x 3/8" x 20 pies</t>
        </is>
      </c>
      <c r="E553" s="5" t="inlineStr">
        <is>
          <t>Pletina de acero al carbono · 1 1/4" x 3/8" · barra de 20 pies</t>
        </is>
      </c>
      <c r="F553" s="5" t="inlineStr">
        <is>
          <t>Material retirado en almacén</t>
        </is>
      </c>
      <c r="G553" s="5" t="inlineStr">
        <is>
          <t>pletina, fleje de hierro, planchuela</t>
        </is>
      </c>
      <c r="H553" s="7" t="inlineStr">
        <is>
          <t>unidad</t>
        </is>
      </c>
      <c r="I553" s="7" t="inlineStr">
        <is>
          <t>Estructura</t>
        </is>
      </c>
      <c r="J553" s="7" t="inlineStr">
        <is>
          <t>estandar</t>
        </is>
      </c>
      <c r="K553" s="7" t="inlineStr">
        <is>
          <t>importado</t>
        </is>
      </c>
      <c r="L553" s="7" t="inlineStr">
        <is>
          <t>Verificado</t>
        </is>
      </c>
      <c r="M553" s="8" t="n">
        <v>1</v>
      </c>
      <c r="N553" s="9" t="n">
        <v>1115.73</v>
      </c>
      <c r="O553" s="9" t="n">
        <v>1115.73</v>
      </c>
      <c r="P553" s="9" t="n">
        <v>1115.73</v>
      </c>
      <c r="Q553" s="7" t="inlineStr">
        <is>
          <t>Sí</t>
        </is>
      </c>
      <c r="R553" s="9">
        <f>IF(N553="","",IF(Q553="Sí",ROUND(N553/1.18,2),N553))</f>
        <v/>
      </c>
      <c r="S553" s="7" t="inlineStr">
        <is>
          <t>2026-09-09</t>
        </is>
      </c>
      <c r="T553" s="5" t="inlineStr">
        <is>
          <t>1 cotización de proveedores</t>
        </is>
      </c>
    </row>
    <row r="554">
      <c r="A554" s="7" t="inlineStr">
        <is>
          <t>MAT-20-037</t>
        </is>
      </c>
      <c r="B554" s="7" t="inlineStr">
        <is>
          <t>Materiales</t>
        </is>
      </c>
      <c r="C554" s="7" t="inlineStr">
        <is>
          <t>Angulares, planchuelas y barras</t>
        </is>
      </c>
      <c r="D554" s="5" t="inlineStr">
        <is>
          <t>Planchuela de hierro negro 1 1/2" x 1/8" x 20 pies</t>
        </is>
      </c>
      <c r="E554" s="5" t="inlineStr">
        <is>
          <t>Pletina de acero al carbono · 1 1/2" x 1/8" · barra de 20 pies</t>
        </is>
      </c>
      <c r="F554" s="5" t="inlineStr">
        <is>
          <t>Material retirado en almacén</t>
        </is>
      </c>
      <c r="G554" s="5" t="inlineStr">
        <is>
          <t>pletina, fleje de hierro, planchuela</t>
        </is>
      </c>
      <c r="H554" s="7" t="inlineStr">
        <is>
          <t>unidad</t>
        </is>
      </c>
      <c r="I554" s="7" t="inlineStr">
        <is>
          <t>Estructura</t>
        </is>
      </c>
      <c r="J554" s="7" t="inlineStr">
        <is>
          <t>estandar</t>
        </is>
      </c>
      <c r="K554" s="7" t="inlineStr">
        <is>
          <t>importado</t>
        </is>
      </c>
      <c r="L554" s="7" t="inlineStr">
        <is>
          <t>Verificado</t>
        </is>
      </c>
      <c r="M554" s="8" t="n">
        <v>1</v>
      </c>
      <c r="N554" s="9" t="n">
        <v>451.7</v>
      </c>
      <c r="O554" s="9" t="n">
        <v>451.7</v>
      </c>
      <c r="P554" s="9" t="n">
        <v>451.7</v>
      </c>
      <c r="Q554" s="7" t="inlineStr">
        <is>
          <t>Sí</t>
        </is>
      </c>
      <c r="R554" s="9">
        <f>IF(N554="","",IF(Q554="Sí",ROUND(N554/1.18,2),N554))</f>
        <v/>
      </c>
      <c r="S554" s="7" t="inlineStr">
        <is>
          <t>2026-09-09</t>
        </is>
      </c>
      <c r="T554" s="5" t="inlineStr">
        <is>
          <t>1 cotización de proveedores</t>
        </is>
      </c>
    </row>
    <row r="555">
      <c r="A555" s="7" t="inlineStr">
        <is>
          <t>MAT-20-038</t>
        </is>
      </c>
      <c r="B555" s="7" t="inlineStr">
        <is>
          <t>Materiales</t>
        </is>
      </c>
      <c r="C555" s="7" t="inlineStr">
        <is>
          <t>Angulares, planchuelas y barras</t>
        </is>
      </c>
      <c r="D555" s="5" t="inlineStr">
        <is>
          <t>Planchuela de hierro negro 1 1/2" x 3/16" x 20 pies</t>
        </is>
      </c>
      <c r="E555" s="5" t="inlineStr">
        <is>
          <t>Pletina de acero al carbono · 1 1/2" x 3/16" · barra de 20 pies</t>
        </is>
      </c>
      <c r="F555" s="5" t="inlineStr">
        <is>
          <t>Material retirado en almacén</t>
        </is>
      </c>
      <c r="G555" s="5" t="inlineStr">
        <is>
          <t>pletina, fleje de hierro, planchuela</t>
        </is>
      </c>
      <c r="H555" s="7" t="inlineStr">
        <is>
          <t>unidad</t>
        </is>
      </c>
      <c r="I555" s="7" t="inlineStr">
        <is>
          <t>Estructura</t>
        </is>
      </c>
      <c r="J555" s="7" t="inlineStr">
        <is>
          <t>estandar</t>
        </is>
      </c>
      <c r="K555" s="7" t="inlineStr">
        <is>
          <t>importado</t>
        </is>
      </c>
      <c r="L555" s="7" t="inlineStr">
        <is>
          <t>Verificado</t>
        </is>
      </c>
      <c r="M555" s="8" t="n">
        <v>1</v>
      </c>
      <c r="N555" s="9" t="n">
        <v>682.5</v>
      </c>
      <c r="O555" s="9" t="n">
        <v>682.5</v>
      </c>
      <c r="P555" s="9" t="n">
        <v>682.5</v>
      </c>
      <c r="Q555" s="7" t="inlineStr">
        <is>
          <t>Sí</t>
        </is>
      </c>
      <c r="R555" s="9">
        <f>IF(N555="","",IF(Q555="Sí",ROUND(N555/1.18,2),N555))</f>
        <v/>
      </c>
      <c r="S555" s="7" t="inlineStr">
        <is>
          <t>2026-09-09</t>
        </is>
      </c>
      <c r="T555" s="5" t="inlineStr">
        <is>
          <t>1 cotización de proveedores</t>
        </is>
      </c>
    </row>
    <row r="556">
      <c r="A556" s="7" t="inlineStr">
        <is>
          <t>MAT-20-039</t>
        </is>
      </c>
      <c r="B556" s="7" t="inlineStr">
        <is>
          <t>Materiales</t>
        </is>
      </c>
      <c r="C556" s="7" t="inlineStr">
        <is>
          <t>Angulares, planchuelas y barras</t>
        </is>
      </c>
      <c r="D556" s="5" t="inlineStr">
        <is>
          <t>Planchuela de hierro negro 1 1/2" x 1/4" x 20 pies</t>
        </is>
      </c>
      <c r="E556" s="5" t="inlineStr">
        <is>
          <t>Pletina de acero al carbono · 1 1/2" x 1/4" · barra de 20 pies</t>
        </is>
      </c>
      <c r="F556" s="5" t="inlineStr">
        <is>
          <t>Material retirado en almacén</t>
        </is>
      </c>
      <c r="G556" s="5" t="inlineStr">
        <is>
          <t>pletina, fleje de hierro, planchuela</t>
        </is>
      </c>
      <c r="H556" s="7" t="inlineStr">
        <is>
          <t>unidad</t>
        </is>
      </c>
      <c r="I556" s="7" t="inlineStr">
        <is>
          <t>Estructura</t>
        </is>
      </c>
      <c r="J556" s="7" t="inlineStr">
        <is>
          <t>estandar</t>
        </is>
      </c>
      <c r="K556" s="7" t="inlineStr">
        <is>
          <t>importado</t>
        </is>
      </c>
      <c r="L556" s="7" t="inlineStr">
        <is>
          <t>Verificado</t>
        </is>
      </c>
      <c r="M556" s="8" t="n">
        <v>1</v>
      </c>
      <c r="N556" s="9" t="n">
        <v>892.5</v>
      </c>
      <c r="O556" s="9" t="n">
        <v>892.5</v>
      </c>
      <c r="P556" s="9" t="n">
        <v>892.5</v>
      </c>
      <c r="Q556" s="7" t="inlineStr">
        <is>
          <t>Sí</t>
        </is>
      </c>
      <c r="R556" s="9">
        <f>IF(N556="","",IF(Q556="Sí",ROUND(N556/1.18,2),N556))</f>
        <v/>
      </c>
      <c r="S556" s="7" t="inlineStr">
        <is>
          <t>2026-09-09</t>
        </is>
      </c>
      <c r="T556" s="5" t="inlineStr">
        <is>
          <t>1 cotización de proveedores</t>
        </is>
      </c>
    </row>
    <row r="557">
      <c r="A557" s="7" t="inlineStr">
        <is>
          <t>MAT-20-040</t>
        </is>
      </c>
      <c r="B557" s="7" t="inlineStr">
        <is>
          <t>Materiales</t>
        </is>
      </c>
      <c r="C557" s="7" t="inlineStr">
        <is>
          <t>Angulares, planchuelas y barras</t>
        </is>
      </c>
      <c r="D557" s="5" t="inlineStr">
        <is>
          <t>Planchuela de hierro negro 1 1/2" x 3/8" x 20 pies</t>
        </is>
      </c>
      <c r="E557" s="5" t="inlineStr">
        <is>
          <t>Pletina de acero al carbono · 1 1/2" x 3/8" · barra de 20 pies</t>
        </is>
      </c>
      <c r="F557" s="5" t="inlineStr">
        <is>
          <t>Material retirado en almacén</t>
        </is>
      </c>
      <c r="G557" s="5" t="inlineStr">
        <is>
          <t>pletina, fleje de hierro, planchuela</t>
        </is>
      </c>
      <c r="H557" s="7" t="inlineStr">
        <is>
          <t>unidad</t>
        </is>
      </c>
      <c r="I557" s="7" t="inlineStr">
        <is>
          <t>Estructura</t>
        </is>
      </c>
      <c r="J557" s="7" t="inlineStr">
        <is>
          <t>estandar</t>
        </is>
      </c>
      <c r="K557" s="7" t="inlineStr">
        <is>
          <t>importado</t>
        </is>
      </c>
      <c r="L557" s="7" t="inlineStr">
        <is>
          <t>Verificado</t>
        </is>
      </c>
      <c r="M557" s="8" t="n">
        <v>1</v>
      </c>
      <c r="N557" s="9" t="n">
        <v>1338.75</v>
      </c>
      <c r="O557" s="9" t="n">
        <v>1338.75</v>
      </c>
      <c r="P557" s="9" t="n">
        <v>1338.75</v>
      </c>
      <c r="Q557" s="7" t="inlineStr">
        <is>
          <t>Sí</t>
        </is>
      </c>
      <c r="R557" s="9">
        <f>IF(N557="","",IF(Q557="Sí",ROUND(N557/1.18,2),N557))</f>
        <v/>
      </c>
      <c r="S557" s="7" t="inlineStr">
        <is>
          <t>2026-09-09</t>
        </is>
      </c>
      <c r="T557" s="5" t="inlineStr">
        <is>
          <t>1 cotización de proveedores</t>
        </is>
      </c>
    </row>
    <row r="558">
      <c r="A558" s="7" t="inlineStr">
        <is>
          <t>MAT-20-041</t>
        </is>
      </c>
      <c r="B558" s="7" t="inlineStr">
        <is>
          <t>Materiales</t>
        </is>
      </c>
      <c r="C558" s="7" t="inlineStr">
        <is>
          <t>Angulares, planchuelas y barras</t>
        </is>
      </c>
      <c r="D558" s="5" t="inlineStr">
        <is>
          <t>Planchuela de hierro negro 1 1/2" x 1/2" x 20 pies</t>
        </is>
      </c>
      <c r="E558" s="5" t="inlineStr">
        <is>
          <t>Pletina de acero al carbono · 1 1/2" x 1/2" · barra de 20 pies</t>
        </is>
      </c>
      <c r="F558" s="5" t="inlineStr">
        <is>
          <t>Material retirado en almacén</t>
        </is>
      </c>
      <c r="G558" s="5" t="inlineStr">
        <is>
          <t>pletina, fleje de hierro, planchuela</t>
        </is>
      </c>
      <c r="H558" s="7" t="inlineStr">
        <is>
          <t>unidad</t>
        </is>
      </c>
      <c r="I558" s="7" t="inlineStr">
        <is>
          <t>Estructura</t>
        </is>
      </c>
      <c r="J558" s="7" t="inlineStr">
        <is>
          <t>estandar</t>
        </is>
      </c>
      <c r="K558" s="7" t="inlineStr">
        <is>
          <t>importado</t>
        </is>
      </c>
      <c r="L558" s="7" t="inlineStr">
        <is>
          <t>Verificado</t>
        </is>
      </c>
      <c r="M558" s="8" t="n">
        <v>1</v>
      </c>
      <c r="N558" s="9" t="n">
        <v>1991.13</v>
      </c>
      <c r="O558" s="9" t="n">
        <v>1991.13</v>
      </c>
      <c r="P558" s="9" t="n">
        <v>1991.13</v>
      </c>
      <c r="Q558" s="7" t="inlineStr">
        <is>
          <t>Sí</t>
        </is>
      </c>
      <c r="R558" s="9">
        <f>IF(N558="","",IF(Q558="Sí",ROUND(N558/1.18,2),N558))</f>
        <v/>
      </c>
      <c r="S558" s="7" t="inlineStr">
        <is>
          <t>2026-09-09</t>
        </is>
      </c>
      <c r="T558" s="5" t="inlineStr">
        <is>
          <t>1 cotización de proveedores</t>
        </is>
      </c>
    </row>
    <row r="559">
      <c r="A559" s="7" t="inlineStr">
        <is>
          <t>MAT-20-042</t>
        </is>
      </c>
      <c r="B559" s="7" t="inlineStr">
        <is>
          <t>Materiales</t>
        </is>
      </c>
      <c r="C559" s="7" t="inlineStr">
        <is>
          <t>Angulares, planchuelas y barras</t>
        </is>
      </c>
      <c r="D559" s="5" t="inlineStr">
        <is>
          <t>Planchuela de hierro negro 2" x 1/8" x 20 pies</t>
        </is>
      </c>
      <c r="E559" s="5" t="inlineStr">
        <is>
          <t>Pletina de acero al carbono · 2" x 1/8" · barra de 20 pies</t>
        </is>
      </c>
      <c r="F559" s="5" t="inlineStr">
        <is>
          <t>Material retirado en almacén</t>
        </is>
      </c>
      <c r="G559" s="5" t="inlineStr">
        <is>
          <t>pletina, fleje de hierro, planchuela</t>
        </is>
      </c>
      <c r="H559" s="7" t="inlineStr">
        <is>
          <t>unidad</t>
        </is>
      </c>
      <c r="I559" s="7" t="inlineStr">
        <is>
          <t>Estructura</t>
        </is>
      </c>
      <c r="J559" s="7" t="inlineStr">
        <is>
          <t>estandar</t>
        </is>
      </c>
      <c r="K559" s="7" t="inlineStr">
        <is>
          <t>importado</t>
        </is>
      </c>
      <c r="L559" s="7" t="inlineStr">
        <is>
          <t>Verificado</t>
        </is>
      </c>
      <c r="M559" s="8" t="n">
        <v>1</v>
      </c>
      <c r="N559" s="9" t="n">
        <v>595</v>
      </c>
      <c r="O559" s="9" t="n">
        <v>595</v>
      </c>
      <c r="P559" s="9" t="n">
        <v>595</v>
      </c>
      <c r="Q559" s="7" t="inlineStr">
        <is>
          <t>Sí</t>
        </is>
      </c>
      <c r="R559" s="9">
        <f>IF(N559="","",IF(Q559="Sí",ROUND(N559/1.18,2),N559))</f>
        <v/>
      </c>
      <c r="S559" s="7" t="inlineStr">
        <is>
          <t>2026-09-09</t>
        </is>
      </c>
      <c r="T559" s="5" t="inlineStr">
        <is>
          <t>1 cotización de proveedores</t>
        </is>
      </c>
    </row>
    <row r="560">
      <c r="A560" s="7" t="inlineStr">
        <is>
          <t>MAT-20-043</t>
        </is>
      </c>
      <c r="B560" s="7" t="inlineStr">
        <is>
          <t>Materiales</t>
        </is>
      </c>
      <c r="C560" s="7" t="inlineStr">
        <is>
          <t>Angulares, planchuelas y barras</t>
        </is>
      </c>
      <c r="D560" s="5" t="inlineStr">
        <is>
          <t>Planchuela de hierro negro 2" x 3/16" x 20 pies</t>
        </is>
      </c>
      <c r="E560" s="5" t="inlineStr">
        <is>
          <t>Pletina de acero al carbono · 2" x 3/16" · barra de 20 pies</t>
        </is>
      </c>
      <c r="F560" s="5" t="inlineStr">
        <is>
          <t>Material retirado en almacén</t>
        </is>
      </c>
      <c r="G560" s="5" t="inlineStr">
        <is>
          <t>pletina, fleje de hierro, planchuela</t>
        </is>
      </c>
      <c r="H560" s="7" t="inlineStr">
        <is>
          <t>unidad</t>
        </is>
      </c>
      <c r="I560" s="7" t="inlineStr">
        <is>
          <t>Estructura</t>
        </is>
      </c>
      <c r="J560" s="7" t="inlineStr">
        <is>
          <t>estandar</t>
        </is>
      </c>
      <c r="K560" s="7" t="inlineStr">
        <is>
          <t>importado</t>
        </is>
      </c>
      <c r="L560" s="7" t="inlineStr">
        <is>
          <t>Verificado</t>
        </is>
      </c>
      <c r="M560" s="8" t="n">
        <v>1</v>
      </c>
      <c r="N560" s="9" t="n">
        <v>892.5</v>
      </c>
      <c r="O560" s="9" t="n">
        <v>892.5</v>
      </c>
      <c r="P560" s="9" t="n">
        <v>892.5</v>
      </c>
      <c r="Q560" s="7" t="inlineStr">
        <is>
          <t>Sí</t>
        </is>
      </c>
      <c r="R560" s="9">
        <f>IF(N560="","",IF(Q560="Sí",ROUND(N560/1.18,2),N560))</f>
        <v/>
      </c>
      <c r="S560" s="7" t="inlineStr">
        <is>
          <t>2026-09-09</t>
        </is>
      </c>
      <c r="T560" s="5" t="inlineStr">
        <is>
          <t>1 cotización de proveedores</t>
        </is>
      </c>
    </row>
    <row r="561">
      <c r="A561" s="7" t="inlineStr">
        <is>
          <t>MAT-20-044</t>
        </is>
      </c>
      <c r="B561" s="7" t="inlineStr">
        <is>
          <t>Materiales</t>
        </is>
      </c>
      <c r="C561" s="7" t="inlineStr">
        <is>
          <t>Angulares, planchuelas y barras</t>
        </is>
      </c>
      <c r="D561" s="5" t="inlineStr">
        <is>
          <t>Planchuela de hierro negro 2" x 1/4" x 20 pies</t>
        </is>
      </c>
      <c r="E561" s="5" t="inlineStr">
        <is>
          <t>Pletina de acero al carbono · 2" x 1/4" · barra de 20 pies</t>
        </is>
      </c>
      <c r="F561" s="5" t="inlineStr">
        <is>
          <t>Material retirado en almacén</t>
        </is>
      </c>
      <c r="G561" s="5" t="inlineStr">
        <is>
          <t>pletina, fleje de hierro, planchuela</t>
        </is>
      </c>
      <c r="H561" s="7" t="inlineStr">
        <is>
          <t>unidad</t>
        </is>
      </c>
      <c r="I561" s="7" t="inlineStr">
        <is>
          <t>Estructura</t>
        </is>
      </c>
      <c r="J561" s="7" t="inlineStr">
        <is>
          <t>estandar</t>
        </is>
      </c>
      <c r="K561" s="7" t="inlineStr">
        <is>
          <t>importado</t>
        </is>
      </c>
      <c r="L561" s="7" t="inlineStr">
        <is>
          <t>Verificado</t>
        </is>
      </c>
      <c r="M561" s="8" t="n">
        <v>1</v>
      </c>
      <c r="N561" s="9" t="n">
        <v>1189.99</v>
      </c>
      <c r="O561" s="9" t="n">
        <v>1189.99</v>
      </c>
      <c r="P561" s="9" t="n">
        <v>1189.99</v>
      </c>
      <c r="Q561" s="7" t="inlineStr">
        <is>
          <t>Sí</t>
        </is>
      </c>
      <c r="R561" s="9">
        <f>IF(N561="","",IF(Q561="Sí",ROUND(N561/1.18,2),N561))</f>
        <v/>
      </c>
      <c r="S561" s="7" t="inlineStr">
        <is>
          <t>2026-09-09</t>
        </is>
      </c>
      <c r="T561" s="5" t="inlineStr">
        <is>
          <t>1 cotización de proveedores</t>
        </is>
      </c>
    </row>
    <row r="562">
      <c r="A562" s="7" t="inlineStr">
        <is>
          <t>MAT-20-045</t>
        </is>
      </c>
      <c r="B562" s="7" t="inlineStr">
        <is>
          <t>Materiales</t>
        </is>
      </c>
      <c r="C562" s="7" t="inlineStr">
        <is>
          <t>Angulares, planchuelas y barras</t>
        </is>
      </c>
      <c r="D562" s="5" t="inlineStr">
        <is>
          <t>Planchuela de hierro negro 2" x 3/8" x 20 pies</t>
        </is>
      </c>
      <c r="E562" s="5" t="inlineStr">
        <is>
          <t>Pletina de acero al carbono · 2" x 3/8" · barra de 20 pies</t>
        </is>
      </c>
      <c r="F562" s="5" t="inlineStr">
        <is>
          <t>Material retirado en almacén</t>
        </is>
      </c>
      <c r="G562" s="5" t="inlineStr">
        <is>
          <t>pletina, fleje de hierro, planchuela</t>
        </is>
      </c>
      <c r="H562" s="7" t="inlineStr">
        <is>
          <t>unidad</t>
        </is>
      </c>
      <c r="I562" s="7" t="inlineStr">
        <is>
          <t>Estructura</t>
        </is>
      </c>
      <c r="J562" s="7" t="inlineStr">
        <is>
          <t>estandar</t>
        </is>
      </c>
      <c r="K562" s="7" t="inlineStr">
        <is>
          <t>importado</t>
        </is>
      </c>
      <c r="L562" s="7" t="inlineStr">
        <is>
          <t>Verificado</t>
        </is>
      </c>
      <c r="M562" s="8" t="n">
        <v>1</v>
      </c>
      <c r="N562" s="9" t="n">
        <v>1785</v>
      </c>
      <c r="O562" s="9" t="n">
        <v>1785</v>
      </c>
      <c r="P562" s="9" t="n">
        <v>1785</v>
      </c>
      <c r="Q562" s="7" t="inlineStr">
        <is>
          <t>Sí</t>
        </is>
      </c>
      <c r="R562" s="9">
        <f>IF(N562="","",IF(Q562="Sí",ROUND(N562/1.18,2),N562))</f>
        <v/>
      </c>
      <c r="S562" s="7" t="inlineStr">
        <is>
          <t>2026-09-09</t>
        </is>
      </c>
      <c r="T562" s="5" t="inlineStr">
        <is>
          <t>1 cotización de proveedores</t>
        </is>
      </c>
    </row>
    <row r="563">
      <c r="A563" s="7" t="inlineStr">
        <is>
          <t>MAT-20-046</t>
        </is>
      </c>
      <c r="B563" s="7" t="inlineStr">
        <is>
          <t>Materiales</t>
        </is>
      </c>
      <c r="C563" s="7" t="inlineStr">
        <is>
          <t>Angulares, planchuelas y barras</t>
        </is>
      </c>
      <c r="D563" s="5" t="inlineStr">
        <is>
          <t>Planchuela de hierro negro 2" x 1/2" x 20 pies</t>
        </is>
      </c>
      <c r="E563" s="5" t="inlineStr">
        <is>
          <t>Pletina de acero al carbono · 2" x 1/2" · barra de 20 pies</t>
        </is>
      </c>
      <c r="F563" s="5" t="inlineStr">
        <is>
          <t>Material retirado en almacén</t>
        </is>
      </c>
      <c r="G563" s="5" t="inlineStr">
        <is>
          <t>pletina, fleje de hierro, planchuela</t>
        </is>
      </c>
      <c r="H563" s="7" t="inlineStr">
        <is>
          <t>unidad</t>
        </is>
      </c>
      <c r="I563" s="7" t="inlineStr">
        <is>
          <t>Estructura</t>
        </is>
      </c>
      <c r="J563" s="7" t="inlineStr">
        <is>
          <t>estandar</t>
        </is>
      </c>
      <c r="K563" s="7" t="inlineStr">
        <is>
          <t>importado</t>
        </is>
      </c>
      <c r="L563" s="7" t="inlineStr">
        <is>
          <t>Verificado</t>
        </is>
      </c>
      <c r="M563" s="8" t="n">
        <v>1</v>
      </c>
      <c r="N563" s="9" t="n">
        <v>2380</v>
      </c>
      <c r="O563" s="9" t="n">
        <v>2380</v>
      </c>
      <c r="P563" s="9" t="n">
        <v>2380</v>
      </c>
      <c r="Q563" s="7" t="inlineStr">
        <is>
          <t>Sí</t>
        </is>
      </c>
      <c r="R563" s="9">
        <f>IF(N563="","",IF(Q563="Sí",ROUND(N563/1.18,2),N563))</f>
        <v/>
      </c>
      <c r="S563" s="7" t="inlineStr">
        <is>
          <t>2026-09-09</t>
        </is>
      </c>
      <c r="T563" s="5" t="inlineStr">
        <is>
          <t>1 cotización de proveedores</t>
        </is>
      </c>
    </row>
    <row r="564">
      <c r="A564" s="7" t="inlineStr">
        <is>
          <t>MAT-20-047</t>
        </is>
      </c>
      <c r="B564" s="7" t="inlineStr">
        <is>
          <t>Materiales</t>
        </is>
      </c>
      <c r="C564" s="7" t="inlineStr">
        <is>
          <t>Angulares, planchuelas y barras</t>
        </is>
      </c>
      <c r="D564" s="5" t="inlineStr">
        <is>
          <t>Planchuela de hierro negro 2 1/2" x 1/4" x 20 pies</t>
        </is>
      </c>
      <c r="E564" s="5" t="inlineStr">
        <is>
          <t>Pletina de acero al carbono · 2 1/2" x 1/4" · barra de 20 pies</t>
        </is>
      </c>
      <c r="F564" s="5" t="inlineStr">
        <is>
          <t>Material retirado en almacén</t>
        </is>
      </c>
      <c r="G564" s="5" t="inlineStr">
        <is>
          <t>pletina, fleje de hierro, planchuela</t>
        </is>
      </c>
      <c r="H564" s="7" t="inlineStr">
        <is>
          <t>unidad</t>
        </is>
      </c>
      <c r="I564" s="7" t="inlineStr">
        <is>
          <t>Estructura</t>
        </is>
      </c>
      <c r="J564" s="7" t="inlineStr">
        <is>
          <t>estandar</t>
        </is>
      </c>
      <c r="K564" s="7" t="inlineStr">
        <is>
          <t>importado</t>
        </is>
      </c>
      <c r="L564" s="7" t="inlineStr">
        <is>
          <t>Verificado</t>
        </is>
      </c>
      <c r="M564" s="8" t="n">
        <v>1</v>
      </c>
      <c r="N564" s="9" t="n">
        <v>1487.5</v>
      </c>
      <c r="O564" s="9" t="n">
        <v>1487.5</v>
      </c>
      <c r="P564" s="9" t="n">
        <v>1487.5</v>
      </c>
      <c r="Q564" s="7" t="inlineStr">
        <is>
          <t>Sí</t>
        </is>
      </c>
      <c r="R564" s="9">
        <f>IF(N564="","",IF(Q564="Sí",ROUND(N564/1.18,2),N564))</f>
        <v/>
      </c>
      <c r="S564" s="7" t="inlineStr">
        <is>
          <t>2026-09-09</t>
        </is>
      </c>
      <c r="T564" s="5" t="inlineStr">
        <is>
          <t>1 cotización de proveedores</t>
        </is>
      </c>
    </row>
    <row r="565">
      <c r="A565" s="7" t="inlineStr">
        <is>
          <t>MAT-20-048</t>
        </is>
      </c>
      <c r="B565" s="7" t="inlineStr">
        <is>
          <t>Materiales</t>
        </is>
      </c>
      <c r="C565" s="7" t="inlineStr">
        <is>
          <t>Angulares, planchuelas y barras</t>
        </is>
      </c>
      <c r="D565" s="5" t="inlineStr">
        <is>
          <t>Planchuela de hierro negro 2 1/2" x 3/8" x 20 pies</t>
        </is>
      </c>
      <c r="E565" s="5" t="inlineStr">
        <is>
          <t>Pletina de acero al carbono · 2 1/2" x 3/8" · barra de 20 pies</t>
        </is>
      </c>
      <c r="F565" s="5" t="inlineStr">
        <is>
          <t>Material retirado en almacén</t>
        </is>
      </c>
      <c r="G565" s="5" t="inlineStr">
        <is>
          <t>pletina, fleje de hierro, planchuela</t>
        </is>
      </c>
      <c r="H565" s="7" t="inlineStr">
        <is>
          <t>unidad</t>
        </is>
      </c>
      <c r="I565" s="7" t="inlineStr">
        <is>
          <t>Estructura</t>
        </is>
      </c>
      <c r="J565" s="7" t="inlineStr">
        <is>
          <t>estandar</t>
        </is>
      </c>
      <c r="K565" s="7" t="inlineStr">
        <is>
          <t>importado</t>
        </is>
      </c>
      <c r="L565" s="7" t="inlineStr">
        <is>
          <t>Verificado</t>
        </is>
      </c>
      <c r="M565" s="8" t="n">
        <v>1</v>
      </c>
      <c r="N565" s="9" t="n">
        <v>2231.6</v>
      </c>
      <c r="O565" s="9" t="n">
        <v>2231.6</v>
      </c>
      <c r="P565" s="9" t="n">
        <v>2231.6</v>
      </c>
      <c r="Q565" s="7" t="inlineStr">
        <is>
          <t>Sí</t>
        </is>
      </c>
      <c r="R565" s="9">
        <f>IF(N565="","",IF(Q565="Sí",ROUND(N565/1.18,2),N565))</f>
        <v/>
      </c>
      <c r="S565" s="7" t="inlineStr">
        <is>
          <t>2026-09-09</t>
        </is>
      </c>
      <c r="T565" s="5" t="inlineStr">
        <is>
          <t>1 cotización de proveedores</t>
        </is>
      </c>
    </row>
    <row r="566">
      <c r="A566" s="7" t="inlineStr">
        <is>
          <t>MAT-20-049</t>
        </is>
      </c>
      <c r="B566" s="7" t="inlineStr">
        <is>
          <t>Materiales</t>
        </is>
      </c>
      <c r="C566" s="7" t="inlineStr">
        <is>
          <t>Angulares, planchuelas y barras</t>
        </is>
      </c>
      <c r="D566" s="5" t="inlineStr">
        <is>
          <t>Planchuela de hierro negro 3" x 1/4" x 20 pies</t>
        </is>
      </c>
      <c r="E566" s="5" t="inlineStr">
        <is>
          <t>Pletina de acero al carbono · 3" x 1/4" · barra de 20 pies</t>
        </is>
      </c>
      <c r="F566" s="5" t="inlineStr">
        <is>
          <t>Material retirado en almacén</t>
        </is>
      </c>
      <c r="G566" s="5" t="inlineStr">
        <is>
          <t>pletina, fleje de hierro, planchuela</t>
        </is>
      </c>
      <c r="H566" s="7" t="inlineStr">
        <is>
          <t>unidad</t>
        </is>
      </c>
      <c r="I566" s="7" t="inlineStr">
        <is>
          <t>Estructura</t>
        </is>
      </c>
      <c r="J566" s="7" t="inlineStr">
        <is>
          <t>estandar</t>
        </is>
      </c>
      <c r="K566" s="7" t="inlineStr">
        <is>
          <t>importado</t>
        </is>
      </c>
      <c r="L566" s="7" t="inlineStr">
        <is>
          <t>Verificado</t>
        </is>
      </c>
      <c r="M566" s="8" t="n">
        <v>1</v>
      </c>
      <c r="N566" s="9" t="n">
        <v>1785</v>
      </c>
      <c r="O566" s="9" t="n">
        <v>1785</v>
      </c>
      <c r="P566" s="9" t="n">
        <v>1785</v>
      </c>
      <c r="Q566" s="7" t="inlineStr">
        <is>
          <t>Sí</t>
        </is>
      </c>
      <c r="R566" s="9">
        <f>IF(N566="","",IF(Q566="Sí",ROUND(N566/1.18,2),N566))</f>
        <v/>
      </c>
      <c r="S566" s="7" t="inlineStr">
        <is>
          <t>2026-09-09</t>
        </is>
      </c>
      <c r="T566" s="5" t="inlineStr">
        <is>
          <t>1 cotización de proveedores</t>
        </is>
      </c>
    </row>
    <row r="567">
      <c r="A567" s="7" t="inlineStr">
        <is>
          <t>MAT-20-050</t>
        </is>
      </c>
      <c r="B567" s="7" t="inlineStr">
        <is>
          <t>Materiales</t>
        </is>
      </c>
      <c r="C567" s="7" t="inlineStr">
        <is>
          <t>Angulares, planchuelas y barras</t>
        </is>
      </c>
      <c r="D567" s="5" t="inlineStr">
        <is>
          <t>Planchuela de hierro negro 3" x 3/8" x 20 pies</t>
        </is>
      </c>
      <c r="E567" s="5" t="inlineStr">
        <is>
          <t>Pletina de acero al carbono · 3" x 3/8" · barra de 20 pies</t>
        </is>
      </c>
      <c r="F567" s="5" t="inlineStr">
        <is>
          <t>Material retirado en almacén</t>
        </is>
      </c>
      <c r="G567" s="5" t="inlineStr">
        <is>
          <t>pletina, fleje de hierro, planchuela</t>
        </is>
      </c>
      <c r="H567" s="7" t="inlineStr">
        <is>
          <t>unidad</t>
        </is>
      </c>
      <c r="I567" s="7" t="inlineStr">
        <is>
          <t>Estructura</t>
        </is>
      </c>
      <c r="J567" s="7" t="inlineStr">
        <is>
          <t>estandar</t>
        </is>
      </c>
      <c r="K567" s="7" t="inlineStr">
        <is>
          <t>importado</t>
        </is>
      </c>
      <c r="L567" s="7" t="inlineStr">
        <is>
          <t>Verificado</t>
        </is>
      </c>
      <c r="M567" s="8" t="n">
        <v>1</v>
      </c>
      <c r="N567" s="9" t="n">
        <v>2677.62</v>
      </c>
      <c r="O567" s="9" t="n">
        <v>2677.62</v>
      </c>
      <c r="P567" s="9" t="n">
        <v>2677.62</v>
      </c>
      <c r="Q567" s="7" t="inlineStr">
        <is>
          <t>Sí</t>
        </is>
      </c>
      <c r="R567" s="9">
        <f>IF(N567="","",IF(Q567="Sí",ROUND(N567/1.18,2),N567))</f>
        <v/>
      </c>
      <c r="S567" s="7" t="inlineStr">
        <is>
          <t>2026-09-09</t>
        </is>
      </c>
      <c r="T567" s="5" t="inlineStr">
        <is>
          <t>1 cotización de proveedores</t>
        </is>
      </c>
    </row>
    <row r="568">
      <c r="A568" s="7" t="inlineStr">
        <is>
          <t>MAT-20-051</t>
        </is>
      </c>
      <c r="B568" s="7" t="inlineStr">
        <is>
          <t>Materiales</t>
        </is>
      </c>
      <c r="C568" s="7" t="inlineStr">
        <is>
          <t>Angulares, planchuelas y barras</t>
        </is>
      </c>
      <c r="D568" s="5" t="inlineStr">
        <is>
          <t>Planchuela de hierro negro 4" x 1/4" x 20 pies</t>
        </is>
      </c>
      <c r="E568" s="5" t="inlineStr">
        <is>
          <t>Pletina de acero al carbono · 4" x 1/4" · barra de 20 pies</t>
        </is>
      </c>
      <c r="F568" s="5" t="inlineStr">
        <is>
          <t>Material retirado en almacén</t>
        </is>
      </c>
      <c r="G568" s="5" t="inlineStr">
        <is>
          <t>pletina, fleje de hierro, planchuela</t>
        </is>
      </c>
      <c r="H568" s="7" t="inlineStr">
        <is>
          <t>unidad</t>
        </is>
      </c>
      <c r="I568" s="7" t="inlineStr">
        <is>
          <t>Estructura</t>
        </is>
      </c>
      <c r="J568" s="7" t="inlineStr">
        <is>
          <t>estandar</t>
        </is>
      </c>
      <c r="K568" s="7" t="inlineStr">
        <is>
          <t>importado</t>
        </is>
      </c>
      <c r="L568" s="7" t="inlineStr">
        <is>
          <t>Verificado</t>
        </is>
      </c>
      <c r="M568" s="8" t="n">
        <v>1</v>
      </c>
      <c r="N568" s="9" t="n">
        <v>2380</v>
      </c>
      <c r="O568" s="9" t="n">
        <v>2380</v>
      </c>
      <c r="P568" s="9" t="n">
        <v>2380</v>
      </c>
      <c r="Q568" s="7" t="inlineStr">
        <is>
          <t>Sí</t>
        </is>
      </c>
      <c r="R568" s="9">
        <f>IF(N568="","",IF(Q568="Sí",ROUND(N568/1.18,2),N568))</f>
        <v/>
      </c>
      <c r="S568" s="7" t="inlineStr">
        <is>
          <t>2026-09-09</t>
        </is>
      </c>
      <c r="T568" s="5" t="inlineStr">
        <is>
          <t>1 cotización de proveedores</t>
        </is>
      </c>
    </row>
    <row r="569">
      <c r="A569" s="7" t="inlineStr">
        <is>
          <t>MAT-20-052</t>
        </is>
      </c>
      <c r="B569" s="7" t="inlineStr">
        <is>
          <t>Materiales</t>
        </is>
      </c>
      <c r="C569" s="7" t="inlineStr">
        <is>
          <t>Angulares, planchuelas y barras</t>
        </is>
      </c>
      <c r="D569" s="5" t="inlineStr">
        <is>
          <t>Planchuela de hierro negro 4" x 3/8" x 20 pies</t>
        </is>
      </c>
      <c r="E569" s="5" t="inlineStr">
        <is>
          <t>Pletina de acero al carbono · 4" x 3/8" · barra de 20 pies</t>
        </is>
      </c>
      <c r="F569" s="5" t="inlineStr">
        <is>
          <t>Material retirado en almacén</t>
        </is>
      </c>
      <c r="G569" s="5" t="inlineStr">
        <is>
          <t>pletina, fleje de hierro, planchuela</t>
        </is>
      </c>
      <c r="H569" s="7" t="inlineStr">
        <is>
          <t>unidad</t>
        </is>
      </c>
      <c r="I569" s="7" t="inlineStr">
        <is>
          <t>Estructura</t>
        </is>
      </c>
      <c r="J569" s="7" t="inlineStr">
        <is>
          <t>estandar</t>
        </is>
      </c>
      <c r="K569" s="7" t="inlineStr">
        <is>
          <t>importado</t>
        </is>
      </c>
      <c r="L569" s="7" t="inlineStr">
        <is>
          <t>Verificado</t>
        </is>
      </c>
      <c r="M569" s="8" t="n">
        <v>1</v>
      </c>
      <c r="N569" s="9" t="n">
        <v>3982.5</v>
      </c>
      <c r="O569" s="9" t="n">
        <v>3982.5</v>
      </c>
      <c r="P569" s="9" t="n">
        <v>3982.5</v>
      </c>
      <c r="Q569" s="7" t="inlineStr">
        <is>
          <t>Sí</t>
        </is>
      </c>
      <c r="R569" s="9">
        <f>IF(N569="","",IF(Q569="Sí",ROUND(N569/1.18,2),N569))</f>
        <v/>
      </c>
      <c r="S569" s="7" t="inlineStr">
        <is>
          <t>2026-09-09</t>
        </is>
      </c>
      <c r="T569" s="5" t="inlineStr">
        <is>
          <t>1 cotización de proveedores</t>
        </is>
      </c>
    </row>
    <row r="570">
      <c r="A570" s="7" t="inlineStr">
        <is>
          <t>MAT-20-053</t>
        </is>
      </c>
      <c r="B570" s="7" t="inlineStr">
        <is>
          <t>Materiales</t>
        </is>
      </c>
      <c r="C570" s="7" t="inlineStr">
        <is>
          <t>Angulares, planchuelas y barras</t>
        </is>
      </c>
      <c r="D570" s="5" t="inlineStr">
        <is>
          <t>Planchuela de acero inoxidable 2" x 1/8" x 20 pies</t>
        </is>
      </c>
      <c r="E570" s="5" t="inlineStr">
        <is>
          <t>Pletina de acero inoxidable · 2" x 1/8" · barra de 20 pies</t>
        </is>
      </c>
      <c r="F570" s="5" t="inlineStr">
        <is>
          <t>Material retirado en almacén</t>
        </is>
      </c>
      <c r="G570" s="5" t="inlineStr">
        <is>
          <t>pletina inoxidable, planchuela inox</t>
        </is>
      </c>
      <c r="H570" s="7" t="inlineStr">
        <is>
          <t>unidad</t>
        </is>
      </c>
      <c r="I570" s="7" t="inlineStr">
        <is>
          <t>Estructura</t>
        </is>
      </c>
      <c r="J570" s="7" t="inlineStr">
        <is>
          <t>premium</t>
        </is>
      </c>
      <c r="K570" s="7" t="inlineStr">
        <is>
          <t>importado</t>
        </is>
      </c>
      <c r="L570" s="7" t="inlineStr">
        <is>
          <t>Verificado</t>
        </is>
      </c>
      <c r="M570" s="8" t="n">
        <v>1</v>
      </c>
      <c r="N570" s="9" t="n">
        <v>1397.2</v>
      </c>
      <c r="O570" s="9" t="n">
        <v>1397.2</v>
      </c>
      <c r="P570" s="9" t="n">
        <v>1397.2</v>
      </c>
      <c r="Q570" s="7" t="inlineStr">
        <is>
          <t>Sí</t>
        </is>
      </c>
      <c r="R570" s="9">
        <f>IF(N570="","",IF(Q570="Sí",ROUND(N570/1.18,2),N570))</f>
        <v/>
      </c>
      <c r="S570" s="7" t="inlineStr">
        <is>
          <t>2026-09-09</t>
        </is>
      </c>
      <c r="T570" s="5" t="inlineStr">
        <is>
          <t>1 cotización de proveedores</t>
        </is>
      </c>
    </row>
    <row r="571">
      <c r="A571" s="7" t="inlineStr">
        <is>
          <t>MAT-20-054</t>
        </is>
      </c>
      <c r="B571" s="7" t="inlineStr">
        <is>
          <t>Materiales</t>
        </is>
      </c>
      <c r="C571" s="7" t="inlineStr">
        <is>
          <t>Angulares, planchuelas y barras</t>
        </is>
      </c>
      <c r="D571" s="5" t="inlineStr">
        <is>
          <t>Barra cuadrada de acero 7/16" x 20 pies</t>
        </is>
      </c>
      <c r="E571" s="5" t="inlineStr">
        <is>
          <t>Acero al carbono liso · sección cuadrada de 7/16" · barra de 20 pies</t>
        </is>
      </c>
      <c r="F571" s="5" t="inlineStr">
        <is>
          <t>Material retirado en almacén</t>
        </is>
      </c>
      <c r="G571" s="5" t="inlineStr">
        <is>
          <t>barra cuadrada, hierro cuadrado</t>
        </is>
      </c>
      <c r="H571" s="7" t="inlineStr">
        <is>
          <t>unidad</t>
        </is>
      </c>
      <c r="I571" s="7" t="inlineStr">
        <is>
          <t>Estructura</t>
        </is>
      </c>
      <c r="J571" s="7" t="inlineStr">
        <is>
          <t>estandar</t>
        </is>
      </c>
      <c r="K571" s="7" t="inlineStr">
        <is>
          <t>importado</t>
        </is>
      </c>
      <c r="L571" s="7" t="inlineStr">
        <is>
          <t>Verificado</t>
        </is>
      </c>
      <c r="M571" s="8" t="n">
        <v>1</v>
      </c>
      <c r="N571" s="9" t="n">
        <v>411.76</v>
      </c>
      <c r="O571" s="9" t="n">
        <v>411.76</v>
      </c>
      <c r="P571" s="9" t="n">
        <v>411.76</v>
      </c>
      <c r="Q571" s="7" t="inlineStr">
        <is>
          <t>Sí</t>
        </is>
      </c>
      <c r="R571" s="9">
        <f>IF(N571="","",IF(Q571="Sí",ROUND(N571/1.18,2),N571))</f>
        <v/>
      </c>
      <c r="S571" s="7" t="inlineStr">
        <is>
          <t>2026-09-09</t>
        </is>
      </c>
      <c r="T571" s="5" t="inlineStr">
        <is>
          <t>1 cotización de proveedores</t>
        </is>
      </c>
    </row>
    <row r="572">
      <c r="A572" s="7" t="inlineStr">
        <is>
          <t>MAT-20-055</t>
        </is>
      </c>
      <c r="B572" s="7" t="inlineStr">
        <is>
          <t>Materiales</t>
        </is>
      </c>
      <c r="C572" s="7" t="inlineStr">
        <is>
          <t>Angulares, planchuelas y barras</t>
        </is>
      </c>
      <c r="D572" s="5" t="inlineStr">
        <is>
          <t>Barra cuadrada de acero 1/2" x 20 pies</t>
        </is>
      </c>
      <c r="E572" s="5" t="inlineStr">
        <is>
          <t>Acero al carbono liso · sección cuadrada de 1/2" · barra de 20 pies</t>
        </is>
      </c>
      <c r="F572" s="5" t="inlineStr">
        <is>
          <t>Material retirado en almacén</t>
        </is>
      </c>
      <c r="G572" s="5" t="inlineStr">
        <is>
          <t>barra cuadrada, hierro cuadrado</t>
        </is>
      </c>
      <c r="H572" s="7" t="inlineStr">
        <is>
          <t>unidad</t>
        </is>
      </c>
      <c r="I572" s="7" t="inlineStr">
        <is>
          <t>Estructura</t>
        </is>
      </c>
      <c r="J572" s="7" t="inlineStr">
        <is>
          <t>estandar</t>
        </is>
      </c>
      <c r="K572" s="7" t="inlineStr">
        <is>
          <t>importado</t>
        </is>
      </c>
      <c r="L572" s="7" t="inlineStr">
        <is>
          <t>Verificado</t>
        </is>
      </c>
      <c r="M572" s="8" t="n">
        <v>1</v>
      </c>
      <c r="N572" s="9" t="n">
        <v>538.46</v>
      </c>
      <c r="O572" s="9" t="n">
        <v>538.46</v>
      </c>
      <c r="P572" s="9" t="n">
        <v>538.46</v>
      </c>
      <c r="Q572" s="7" t="inlineStr">
        <is>
          <t>Sí</t>
        </is>
      </c>
      <c r="R572" s="9">
        <f>IF(N572="","",IF(Q572="Sí",ROUND(N572/1.18,2),N572))</f>
        <v/>
      </c>
      <c r="S572" s="7" t="inlineStr">
        <is>
          <t>2026-09-09</t>
        </is>
      </c>
      <c r="T572" s="5" t="inlineStr">
        <is>
          <t>1 cotización de proveedores</t>
        </is>
      </c>
    </row>
    <row r="573">
      <c r="A573" s="7" t="inlineStr">
        <is>
          <t>MAT-20-056</t>
        </is>
      </c>
      <c r="B573" s="7" t="inlineStr">
        <is>
          <t>Materiales</t>
        </is>
      </c>
      <c r="C573" s="7" t="inlineStr">
        <is>
          <t>Angulares, planchuelas y barras</t>
        </is>
      </c>
      <c r="D573" s="5" t="inlineStr">
        <is>
          <t>Barra cuadrada de acero 5/8" x 20 pies</t>
        </is>
      </c>
      <c r="E573" s="5" t="inlineStr">
        <is>
          <t>Acero al carbono liso · sección cuadrada de 5/8" · barra de 20 pies</t>
        </is>
      </c>
      <c r="F573" s="5" t="inlineStr">
        <is>
          <t>Material retirado en almacén</t>
        </is>
      </c>
      <c r="G573" s="5" t="inlineStr">
        <is>
          <t>barra cuadrada, hierro cuadrado</t>
        </is>
      </c>
      <c r="H573" s="7" t="inlineStr">
        <is>
          <t>unidad</t>
        </is>
      </c>
      <c r="I573" s="7" t="inlineStr">
        <is>
          <t>Estructura</t>
        </is>
      </c>
      <c r="J573" s="7" t="inlineStr">
        <is>
          <t>estandar</t>
        </is>
      </c>
      <c r="K573" s="7" t="inlineStr">
        <is>
          <t>importado</t>
        </is>
      </c>
      <c r="L573" s="7" t="inlineStr">
        <is>
          <t>Verificado</t>
        </is>
      </c>
      <c r="M573" s="8" t="n">
        <v>1</v>
      </c>
      <c r="N573" s="9" t="n">
        <v>843.37</v>
      </c>
      <c r="O573" s="9" t="n">
        <v>843.37</v>
      </c>
      <c r="P573" s="9" t="n">
        <v>843.37</v>
      </c>
      <c r="Q573" s="7" t="inlineStr">
        <is>
          <t>Sí</t>
        </is>
      </c>
      <c r="R573" s="9">
        <f>IF(N573="","",IF(Q573="Sí",ROUND(N573/1.18,2),N573))</f>
        <v/>
      </c>
      <c r="S573" s="7" t="inlineStr">
        <is>
          <t>2026-09-09</t>
        </is>
      </c>
      <c r="T573" s="5" t="inlineStr">
        <is>
          <t>1 cotización de proveedores</t>
        </is>
      </c>
    </row>
    <row r="574">
      <c r="A574" s="7" t="inlineStr">
        <is>
          <t>MAT-20-057</t>
        </is>
      </c>
      <c r="B574" s="7" t="inlineStr">
        <is>
          <t>Materiales</t>
        </is>
      </c>
      <c r="C574" s="7" t="inlineStr">
        <is>
          <t>Angulares, planchuelas y barras</t>
        </is>
      </c>
      <c r="D574" s="5" t="inlineStr">
        <is>
          <t>Barra redonda de acero 3/8" x 20 pies</t>
        </is>
      </c>
      <c r="E574" s="5" t="inlineStr">
        <is>
          <t>Acero al carbono liso · sección redonda de 3/8" · barra de 20 pies</t>
        </is>
      </c>
      <c r="F574" s="5" t="inlineStr">
        <is>
          <t>Material retirado en almacén</t>
        </is>
      </c>
      <c r="G574" s="5" t="inlineStr">
        <is>
          <t>barra lisa, hierro redondo liso</t>
        </is>
      </c>
      <c r="H574" s="7" t="inlineStr">
        <is>
          <t>unidad</t>
        </is>
      </c>
      <c r="I574" s="7" t="inlineStr">
        <is>
          <t>Estructura</t>
        </is>
      </c>
      <c r="J574" s="7" t="inlineStr">
        <is>
          <t>estandar</t>
        </is>
      </c>
      <c r="K574" s="7" t="inlineStr">
        <is>
          <t>importado</t>
        </is>
      </c>
      <c r="L574" s="7" t="inlineStr">
        <is>
          <t>Verificado</t>
        </is>
      </c>
      <c r="M574" s="8" t="n">
        <v>1</v>
      </c>
      <c r="N574" s="9" t="n">
        <v>238.1</v>
      </c>
      <c r="O574" s="9" t="n">
        <v>238.1</v>
      </c>
      <c r="P574" s="9" t="n">
        <v>238.1</v>
      </c>
      <c r="Q574" s="7" t="inlineStr">
        <is>
          <t>Sí</t>
        </is>
      </c>
      <c r="R574" s="9">
        <f>IF(N574="","",IF(Q574="Sí",ROUND(N574/1.18,2),N574))</f>
        <v/>
      </c>
      <c r="S574" s="7" t="inlineStr">
        <is>
          <t>2026-09-09</t>
        </is>
      </c>
      <c r="T574" s="5" t="inlineStr">
        <is>
          <t>1 cotización de proveedores</t>
        </is>
      </c>
    </row>
    <row r="575">
      <c r="A575" s="7" t="inlineStr">
        <is>
          <t>MAT-20-058</t>
        </is>
      </c>
      <c r="B575" s="7" t="inlineStr">
        <is>
          <t>Materiales</t>
        </is>
      </c>
      <c r="C575" s="7" t="inlineStr">
        <is>
          <t>Angulares, planchuelas y barras</t>
        </is>
      </c>
      <c r="D575" s="5" t="inlineStr">
        <is>
          <t>Barra redonda de acero 1/2" x 20 pies</t>
        </is>
      </c>
      <c r="E575" s="5" t="inlineStr">
        <is>
          <t>Acero al carbono liso · sección redonda de 1/2" · barra de 20 pies</t>
        </is>
      </c>
      <c r="F575" s="5" t="inlineStr">
        <is>
          <t>Material retirado en almacén</t>
        </is>
      </c>
      <c r="G575" s="5" t="inlineStr">
        <is>
          <t>barra lisa, hierro redondo liso</t>
        </is>
      </c>
      <c r="H575" s="7" t="inlineStr">
        <is>
          <t>unidad</t>
        </is>
      </c>
      <c r="I575" s="7" t="inlineStr">
        <is>
          <t>Estructura</t>
        </is>
      </c>
      <c r="J575" s="7" t="inlineStr">
        <is>
          <t>estandar</t>
        </is>
      </c>
      <c r="K575" s="7" t="inlineStr">
        <is>
          <t>importado</t>
        </is>
      </c>
      <c r="L575" s="7" t="inlineStr">
        <is>
          <t>Verificado</t>
        </is>
      </c>
      <c r="M575" s="8" t="n">
        <v>1</v>
      </c>
      <c r="N575" s="9" t="n">
        <v>421.68</v>
      </c>
      <c r="O575" s="9" t="n">
        <v>421.68</v>
      </c>
      <c r="P575" s="9" t="n">
        <v>421.68</v>
      </c>
      <c r="Q575" s="7" t="inlineStr">
        <is>
          <t>Sí</t>
        </is>
      </c>
      <c r="R575" s="9">
        <f>IF(N575="","",IF(Q575="Sí",ROUND(N575/1.18,2),N575))</f>
        <v/>
      </c>
      <c r="S575" s="7" t="inlineStr">
        <is>
          <t>2026-09-09</t>
        </is>
      </c>
      <c r="T575" s="5" t="inlineStr">
        <is>
          <t>1 cotización de proveedores</t>
        </is>
      </c>
    </row>
    <row r="576">
      <c r="A576" s="7" t="inlineStr">
        <is>
          <t>MAT-20-059</t>
        </is>
      </c>
      <c r="B576" s="7" t="inlineStr">
        <is>
          <t>Materiales</t>
        </is>
      </c>
      <c r="C576" s="7" t="inlineStr">
        <is>
          <t>Angulares, planchuelas y barras</t>
        </is>
      </c>
      <c r="D576" s="5" t="inlineStr">
        <is>
          <t>Barra redonda de acero 5/8" x 20 pies</t>
        </is>
      </c>
      <c r="E576" s="5" t="inlineStr">
        <is>
          <t>Acero al carbono liso · sección redonda de 5/8" · barra de 20 pies</t>
        </is>
      </c>
      <c r="F576" s="5" t="inlineStr">
        <is>
          <t>Material retirado en almacén</t>
        </is>
      </c>
      <c r="G576" s="5" t="inlineStr">
        <is>
          <t>barra lisa, hierro redondo liso</t>
        </is>
      </c>
      <c r="H576" s="7" t="inlineStr">
        <is>
          <t>unidad</t>
        </is>
      </c>
      <c r="I576" s="7" t="inlineStr">
        <is>
          <t>Estructura</t>
        </is>
      </c>
      <c r="J576" s="7" t="inlineStr">
        <is>
          <t>estandar</t>
        </is>
      </c>
      <c r="K576" s="7" t="inlineStr">
        <is>
          <t>importado</t>
        </is>
      </c>
      <c r="L576" s="7" t="inlineStr">
        <is>
          <t>Verificado</t>
        </is>
      </c>
      <c r="M576" s="8" t="n">
        <v>1</v>
      </c>
      <c r="N576" s="9" t="n">
        <v>660.38</v>
      </c>
      <c r="O576" s="9" t="n">
        <v>660.38</v>
      </c>
      <c r="P576" s="9" t="n">
        <v>660.38</v>
      </c>
      <c r="Q576" s="7" t="inlineStr">
        <is>
          <t>Sí</t>
        </is>
      </c>
      <c r="R576" s="9">
        <f>IF(N576="","",IF(Q576="Sí",ROUND(N576/1.18,2),N576))</f>
        <v/>
      </c>
      <c r="S576" s="7" t="inlineStr">
        <is>
          <t>2026-09-09</t>
        </is>
      </c>
      <c r="T576" s="5" t="inlineStr">
        <is>
          <t>1 cotización de proveedores</t>
        </is>
      </c>
    </row>
    <row r="577">
      <c r="A577" s="7" t="inlineStr">
        <is>
          <t>MAT-20-060</t>
        </is>
      </c>
      <c r="B577" s="7" t="inlineStr">
        <is>
          <t>Materiales</t>
        </is>
      </c>
      <c r="C577" s="7" t="inlineStr">
        <is>
          <t>Angulares, planchuelas y barras</t>
        </is>
      </c>
      <c r="D577" s="5" t="inlineStr">
        <is>
          <t>Barra redonda de acero 3/4" x 20 pies</t>
        </is>
      </c>
      <c r="E577" s="5" t="inlineStr">
        <is>
          <t>Acero al carbono liso · sección redonda de 3/4" · barra de 20 pies</t>
        </is>
      </c>
      <c r="F577" s="5" t="inlineStr">
        <is>
          <t>Material retirado en almacén</t>
        </is>
      </c>
      <c r="G577" s="5" t="inlineStr">
        <is>
          <t>barra lisa, hierro redondo liso</t>
        </is>
      </c>
      <c r="H577" s="7" t="inlineStr">
        <is>
          <t>unidad</t>
        </is>
      </c>
      <c r="I577" s="7" t="inlineStr">
        <is>
          <t>Estructura</t>
        </is>
      </c>
      <c r="J577" s="7" t="inlineStr">
        <is>
          <t>estandar</t>
        </is>
      </c>
      <c r="K577" s="7" t="inlineStr">
        <is>
          <t>importado</t>
        </is>
      </c>
      <c r="L577" s="7" t="inlineStr">
        <is>
          <t>Verificado</t>
        </is>
      </c>
      <c r="M577" s="8" t="n">
        <v>1</v>
      </c>
      <c r="N577" s="9" t="n">
        <v>945.95</v>
      </c>
      <c r="O577" s="9" t="n">
        <v>945.95</v>
      </c>
      <c r="P577" s="9" t="n">
        <v>945.95</v>
      </c>
      <c r="Q577" s="7" t="inlineStr">
        <is>
          <t>Sí</t>
        </is>
      </c>
      <c r="R577" s="9">
        <f>IF(N577="","",IF(Q577="Sí",ROUND(N577/1.18,2),N577))</f>
        <v/>
      </c>
      <c r="S577" s="7" t="inlineStr">
        <is>
          <t>2026-09-09</t>
        </is>
      </c>
      <c r="T577" s="5" t="inlineStr">
        <is>
          <t>1 cotización de proveedores</t>
        </is>
      </c>
    </row>
    <row r="578">
      <c r="A578" s="7" t="inlineStr">
        <is>
          <t>MAT-20-061</t>
        </is>
      </c>
      <c r="B578" s="7" t="inlineStr">
        <is>
          <t>Materiales</t>
        </is>
      </c>
      <c r="C578" s="7" t="inlineStr">
        <is>
          <t>Angulares, planchuelas y barras</t>
        </is>
      </c>
      <c r="D578" s="5" t="inlineStr">
        <is>
          <t>Barra redonda de acero 1" x 20 pies</t>
        </is>
      </c>
      <c r="E578" s="5" t="inlineStr">
        <is>
          <t>Acero al carbono liso · sección redonda de 1" · barra de 20 pies</t>
        </is>
      </c>
      <c r="F578" s="5" t="inlineStr">
        <is>
          <t>Material retirado en almacén</t>
        </is>
      </c>
      <c r="G578" s="5" t="inlineStr">
        <is>
          <t>barra lisa, hierro redondo liso</t>
        </is>
      </c>
      <c r="H578" s="7" t="inlineStr">
        <is>
          <t>unidad</t>
        </is>
      </c>
      <c r="I578" s="7" t="inlineStr">
        <is>
          <t>Estructura</t>
        </is>
      </c>
      <c r="J578" s="7" t="inlineStr">
        <is>
          <t>estandar</t>
        </is>
      </c>
      <c r="K578" s="7" t="inlineStr">
        <is>
          <t>importado</t>
        </is>
      </c>
      <c r="L578" s="7" t="inlineStr">
        <is>
          <t>Verificado</t>
        </is>
      </c>
      <c r="M578" s="8" t="n">
        <v>1</v>
      </c>
      <c r="N578" s="9" t="n">
        <v>1666.67</v>
      </c>
      <c r="O578" s="9" t="n">
        <v>1666.67</v>
      </c>
      <c r="P578" s="9" t="n">
        <v>1666.67</v>
      </c>
      <c r="Q578" s="7" t="inlineStr">
        <is>
          <t>Sí</t>
        </is>
      </c>
      <c r="R578" s="9">
        <f>IF(N578="","",IF(Q578="Sí",ROUND(N578/1.18,2),N578))</f>
        <v/>
      </c>
      <c r="S578" s="7" t="inlineStr">
        <is>
          <t>2026-09-09</t>
        </is>
      </c>
      <c r="T578" s="5" t="inlineStr">
        <is>
          <t>1 cotización de proveedores</t>
        </is>
      </c>
    </row>
    <row r="579">
      <c r="A579" s="7" t="inlineStr">
        <is>
          <t>MAT-20-062</t>
        </is>
      </c>
      <c r="B579" s="7" t="inlineStr">
        <is>
          <t>Materiales</t>
        </is>
      </c>
      <c r="C579" s="7" t="inlineStr">
        <is>
          <t>Angulares, planchuelas y barras</t>
        </is>
      </c>
      <c r="D579" s="5" t="inlineStr">
        <is>
          <t>Barra redonda torneada de acero 7/16" x 20 pies</t>
        </is>
      </c>
      <c r="E579" s="5" t="inlineStr">
        <is>
          <t>Acero al carbono liso · sección redonda torneada de 7/16" · rectificada a medida · barra de 20 pies</t>
        </is>
      </c>
      <c r="F579" s="5" t="inlineStr">
        <is>
          <t>Material retirado en almacén</t>
        </is>
      </c>
      <c r="G579" s="5" t="inlineStr">
        <is>
          <t>barra torneada, eje de acero</t>
        </is>
      </c>
      <c r="H579" s="7" t="inlineStr">
        <is>
          <t>unidad</t>
        </is>
      </c>
      <c r="I579" s="7" t="inlineStr">
        <is>
          <t>Estructura</t>
        </is>
      </c>
      <c r="J579" s="7" t="inlineStr">
        <is>
          <t>estandar</t>
        </is>
      </c>
      <c r="K579" s="7" t="inlineStr">
        <is>
          <t>importado</t>
        </is>
      </c>
      <c r="L579" s="7" t="inlineStr">
        <is>
          <t>Verificado</t>
        </is>
      </c>
      <c r="M579" s="8" t="n">
        <v>1</v>
      </c>
      <c r="N579" s="9" t="n">
        <v>426.77</v>
      </c>
      <c r="O579" s="9" t="n">
        <v>426.77</v>
      </c>
      <c r="P579" s="9" t="n">
        <v>426.77</v>
      </c>
      <c r="Q579" s="7" t="inlineStr">
        <is>
          <t>Sí</t>
        </is>
      </c>
      <c r="R579" s="9">
        <f>IF(N579="","",IF(Q579="Sí",ROUND(N579/1.18,2),N579))</f>
        <v/>
      </c>
      <c r="S579" s="7" t="inlineStr">
        <is>
          <t>2026-09-09</t>
        </is>
      </c>
      <c r="T579" s="5" t="inlineStr">
        <is>
          <t>1 cotización de proveedores</t>
        </is>
      </c>
    </row>
    <row r="580">
      <c r="A580" s="7" t="inlineStr">
        <is>
          <t>MAT-20-063</t>
        </is>
      </c>
      <c r="B580" s="7" t="inlineStr">
        <is>
          <t>Materiales</t>
        </is>
      </c>
      <c r="C580" s="7" t="inlineStr">
        <is>
          <t>Angulares, planchuelas y barras</t>
        </is>
      </c>
      <c r="D580" s="5" t="inlineStr">
        <is>
          <t>Barra redonda torneada de acero 1/2" x 20 pies</t>
        </is>
      </c>
      <c r="E580" s="5" t="inlineStr">
        <is>
          <t>Acero al carbono liso · sección redonda torneada de 1/2" · rectificada a medida · barra de 20 pies</t>
        </is>
      </c>
      <c r="F580" s="5" t="inlineStr">
        <is>
          <t>Material retirado en almacén</t>
        </is>
      </c>
      <c r="G580" s="5" t="inlineStr">
        <is>
          <t>barra torneada, eje de acero</t>
        </is>
      </c>
      <c r="H580" s="7" t="inlineStr">
        <is>
          <t>unidad</t>
        </is>
      </c>
      <c r="I580" s="7" t="inlineStr">
        <is>
          <t>Estructura</t>
        </is>
      </c>
      <c r="J580" s="7" t="inlineStr">
        <is>
          <t>estandar</t>
        </is>
      </c>
      <c r="K580" s="7" t="inlineStr">
        <is>
          <t>importado</t>
        </is>
      </c>
      <c r="L580" s="7" t="inlineStr">
        <is>
          <t>Verificado</t>
        </is>
      </c>
      <c r="M580" s="8" t="n">
        <v>1</v>
      </c>
      <c r="N580" s="9" t="n">
        <v>553.47</v>
      </c>
      <c r="O580" s="9" t="n">
        <v>553.47</v>
      </c>
      <c r="P580" s="9" t="n">
        <v>553.47</v>
      </c>
      <c r="Q580" s="7" t="inlineStr">
        <is>
          <t>Sí</t>
        </is>
      </c>
      <c r="R580" s="9">
        <f>IF(N580="","",IF(Q580="Sí",ROUND(N580/1.18,2),N580))</f>
        <v/>
      </c>
      <c r="S580" s="7" t="inlineStr">
        <is>
          <t>2026-09-09</t>
        </is>
      </c>
      <c r="T580" s="5" t="inlineStr">
        <is>
          <t>1 cotización de proveedores</t>
        </is>
      </c>
    </row>
    <row r="581">
      <c r="A581" s="7" t="inlineStr">
        <is>
          <t>MAT-20-064</t>
        </is>
      </c>
      <c r="B581" s="7" t="inlineStr">
        <is>
          <t>Materiales</t>
        </is>
      </c>
      <c r="C581" s="7" t="inlineStr">
        <is>
          <t>Angulares, planchuelas y barras</t>
        </is>
      </c>
      <c r="D581" s="5" t="inlineStr">
        <is>
          <t>Barra redonda torneada de acero 5/8" x 20 pies</t>
        </is>
      </c>
      <c r="E581" s="5" t="inlineStr">
        <is>
          <t>Acero al carbono liso · sección redonda torneada de 5/8" · rectificada a medida · barra de 20 pies</t>
        </is>
      </c>
      <c r="F581" s="5" t="inlineStr">
        <is>
          <t>Material retirado en almacén</t>
        </is>
      </c>
      <c r="G581" s="5" t="inlineStr">
        <is>
          <t>barra torneada, eje de acero</t>
        </is>
      </c>
      <c r="H581" s="7" t="inlineStr">
        <is>
          <t>unidad</t>
        </is>
      </c>
      <c r="I581" s="7" t="inlineStr">
        <is>
          <t>Estructura</t>
        </is>
      </c>
      <c r="J581" s="7" t="inlineStr">
        <is>
          <t>estandar</t>
        </is>
      </c>
      <c r="K581" s="7" t="inlineStr">
        <is>
          <t>importado</t>
        </is>
      </c>
      <c r="L581" s="7" t="inlineStr">
        <is>
          <t>Verificado</t>
        </is>
      </c>
      <c r="M581" s="8" t="n">
        <v>1</v>
      </c>
      <c r="N581" s="9" t="n">
        <v>858.38</v>
      </c>
      <c r="O581" s="9" t="n">
        <v>858.38</v>
      </c>
      <c r="P581" s="9" t="n">
        <v>858.38</v>
      </c>
      <c r="Q581" s="7" t="inlineStr">
        <is>
          <t>Sí</t>
        </is>
      </c>
      <c r="R581" s="9">
        <f>IF(N581="","",IF(Q581="Sí",ROUND(N581/1.18,2),N581))</f>
        <v/>
      </c>
      <c r="S581" s="7" t="inlineStr">
        <is>
          <t>2026-09-09</t>
        </is>
      </c>
      <c r="T581" s="5" t="inlineStr">
        <is>
          <t>1 cotización de proveedores</t>
        </is>
      </c>
    </row>
    <row r="582">
      <c r="A582" s="7" t="inlineStr">
        <is>
          <t>MAT-21-001</t>
        </is>
      </c>
      <c r="B582" s="7" t="inlineStr">
        <is>
          <t>Materiales</t>
        </is>
      </c>
      <c r="C582" s="7" t="inlineStr">
        <is>
          <t>Tolas y láminas de acero</t>
        </is>
      </c>
      <c r="D582" s="5" t="inlineStr">
        <is>
          <t>Tola negra 1/32", plancha 4 x 8 pies</t>
        </is>
      </c>
      <c r="E582" s="5" t="inlineStr">
        <is>
          <t>Lámina de hierro negra laminada en frío · espesor 1/32" · plancha de 4 x 8 pies · 40.8 lb</t>
        </is>
      </c>
      <c r="F582" s="5" t="inlineStr">
        <is>
          <t>Material retirado en almacén</t>
        </is>
      </c>
      <c r="G582" s="5" t="inlineStr">
        <is>
          <t>lámina de hierro, plancha negra</t>
        </is>
      </c>
      <c r="H582" s="7" t="inlineStr">
        <is>
          <t>plancha</t>
        </is>
      </c>
      <c r="I582" s="7" t="inlineStr">
        <is>
          <t>Estructura</t>
        </is>
      </c>
      <c r="J582" s="7" t="inlineStr">
        <is>
          <t>estandar</t>
        </is>
      </c>
      <c r="K582" s="7" t="inlineStr">
        <is>
          <t>importado</t>
        </is>
      </c>
      <c r="L582" s="7" t="inlineStr">
        <is>
          <t>Verificado</t>
        </is>
      </c>
      <c r="M582" s="8" t="n">
        <v>1</v>
      </c>
      <c r="N582" s="9" t="n">
        <v>1113.61</v>
      </c>
      <c r="O582" s="9" t="n">
        <v>1113.61</v>
      </c>
      <c r="P582" s="9" t="n">
        <v>1113.61</v>
      </c>
      <c r="Q582" s="7" t="inlineStr">
        <is>
          <t>Sí</t>
        </is>
      </c>
      <c r="R582" s="9">
        <f>IF(N582="","",IF(Q582="Sí",ROUND(N582/1.18,2),N582))</f>
        <v/>
      </c>
      <c r="S582" s="7" t="inlineStr">
        <is>
          <t>2026-09-09</t>
        </is>
      </c>
      <c r="T582" s="5" t="inlineStr">
        <is>
          <t>1 cotización de proveedores</t>
        </is>
      </c>
    </row>
    <row r="583">
      <c r="A583" s="7" t="inlineStr">
        <is>
          <t>MAT-21-002</t>
        </is>
      </c>
      <c r="B583" s="7" t="inlineStr">
        <is>
          <t>Materiales</t>
        </is>
      </c>
      <c r="C583" s="7" t="inlineStr">
        <is>
          <t>Tolas y láminas de acero</t>
        </is>
      </c>
      <c r="D583" s="5" t="inlineStr">
        <is>
          <t>Tola negra 1/22", plancha 4 x 8 pies</t>
        </is>
      </c>
      <c r="E583" s="5" t="inlineStr">
        <is>
          <t>Lámina de hierro negra laminada en frío · espesor 1/22" · plancha de 4 x 8 pies · 59.34 lb</t>
        </is>
      </c>
      <c r="F583" s="5" t="inlineStr">
        <is>
          <t>Material retirado en almacén</t>
        </is>
      </c>
      <c r="G583" s="5" t="inlineStr">
        <is>
          <t>lámina de hierro, plancha negra</t>
        </is>
      </c>
      <c r="H583" s="7" t="inlineStr">
        <is>
          <t>plancha</t>
        </is>
      </c>
      <c r="I583" s="7" t="inlineStr">
        <is>
          <t>Estructura</t>
        </is>
      </c>
      <c r="J583" s="7" t="inlineStr">
        <is>
          <t>estandar</t>
        </is>
      </c>
      <c r="K583" s="7" t="inlineStr">
        <is>
          <t>importado</t>
        </is>
      </c>
      <c r="L583" s="7" t="inlineStr">
        <is>
          <t>Verificado</t>
        </is>
      </c>
      <c r="M583" s="8" t="n">
        <v>1</v>
      </c>
      <c r="N583" s="9" t="n">
        <v>1497.04</v>
      </c>
      <c r="O583" s="9" t="n">
        <v>1497.04</v>
      </c>
      <c r="P583" s="9" t="n">
        <v>1497.04</v>
      </c>
      <c r="Q583" s="7" t="inlineStr">
        <is>
          <t>Sí</t>
        </is>
      </c>
      <c r="R583" s="9">
        <f>IF(N583="","",IF(Q583="Sí",ROUND(N583/1.18,2),N583))</f>
        <v/>
      </c>
      <c r="S583" s="7" t="inlineStr">
        <is>
          <t>2026-09-09</t>
        </is>
      </c>
      <c r="T583" s="5" t="inlineStr">
        <is>
          <t>1 cotización de proveedores</t>
        </is>
      </c>
    </row>
    <row r="584">
      <c r="A584" s="7" t="inlineStr">
        <is>
          <t>MAT-21-003</t>
        </is>
      </c>
      <c r="B584" s="7" t="inlineStr">
        <is>
          <t>Materiales</t>
        </is>
      </c>
      <c r="C584" s="7" t="inlineStr">
        <is>
          <t>Tolas y láminas de acero</t>
        </is>
      </c>
      <c r="D584" s="5" t="inlineStr">
        <is>
          <t>Tola negra 1/16", plancha 4 x 10 pies</t>
        </is>
      </c>
      <c r="E584" s="5" t="inlineStr">
        <is>
          <t>Lámina de hierro negra laminada en frío · espesor 1/16" · plancha de 4 x 10 pies · 102 lb</t>
        </is>
      </c>
      <c r="F584" s="5" t="inlineStr">
        <is>
          <t>Material retirado en almacén</t>
        </is>
      </c>
      <c r="G584" s="5" t="inlineStr">
        <is>
          <t>lámina de hierro, plancha negra</t>
        </is>
      </c>
      <c r="H584" s="7" t="inlineStr">
        <is>
          <t>plancha</t>
        </is>
      </c>
      <c r="I584" s="7" t="inlineStr">
        <is>
          <t>Estructura</t>
        </is>
      </c>
      <c r="J584" s="7" t="inlineStr">
        <is>
          <t>estandar</t>
        </is>
      </c>
      <c r="K584" s="7" t="inlineStr">
        <is>
          <t>importado</t>
        </is>
      </c>
      <c r="L584" s="7" t="inlineStr">
        <is>
          <t>Verificado</t>
        </is>
      </c>
      <c r="M584" s="8" t="n">
        <v>1</v>
      </c>
      <c r="N584" s="9" t="n">
        <v>2938.54</v>
      </c>
      <c r="O584" s="9" t="n">
        <v>2938.54</v>
      </c>
      <c r="P584" s="9" t="n">
        <v>2938.54</v>
      </c>
      <c r="Q584" s="7" t="inlineStr">
        <is>
          <t>Sí</t>
        </is>
      </c>
      <c r="R584" s="9">
        <f>IF(N584="","",IF(Q584="Sí",ROUND(N584/1.18,2),N584))</f>
        <v/>
      </c>
      <c r="S584" s="7" t="inlineStr">
        <is>
          <t>2026-09-09</t>
        </is>
      </c>
      <c r="T584" s="5" t="inlineStr">
        <is>
          <t>1 cotización de proveedores</t>
        </is>
      </c>
    </row>
    <row r="585">
      <c r="A585" s="7" t="inlineStr">
        <is>
          <t>MAT-21-004</t>
        </is>
      </c>
      <c r="B585" s="7" t="inlineStr">
        <is>
          <t>Materiales</t>
        </is>
      </c>
      <c r="C585" s="7" t="inlineStr">
        <is>
          <t>Tolas y láminas de acero</t>
        </is>
      </c>
      <c r="D585" s="5" t="inlineStr">
        <is>
          <t>Tola negra 1/16", plancha 4 x 8 pies</t>
        </is>
      </c>
      <c r="E585" s="5" t="inlineStr">
        <is>
          <t>Lámina de hierro negra laminada en frío · espesor 1/16" · plancha de 4 x 8 pies · 81.61 lb</t>
        </is>
      </c>
      <c r="F585" s="5" t="inlineStr">
        <is>
          <t>Material retirado en almacén</t>
        </is>
      </c>
      <c r="G585" s="5" t="inlineStr">
        <is>
          <t>lámina de hierro, plancha negra</t>
        </is>
      </c>
      <c r="H585" s="7" t="inlineStr">
        <is>
          <t>plancha</t>
        </is>
      </c>
      <c r="I585" s="7" t="inlineStr">
        <is>
          <t>Estructura</t>
        </is>
      </c>
      <c r="J585" s="7" t="inlineStr">
        <is>
          <t>estandar</t>
        </is>
      </c>
      <c r="K585" s="7" t="inlineStr">
        <is>
          <t>importado</t>
        </is>
      </c>
      <c r="L585" s="7" t="inlineStr">
        <is>
          <t>Verificado</t>
        </is>
      </c>
      <c r="M585" s="8" t="n">
        <v>1</v>
      </c>
      <c r="N585" s="9" t="n">
        <v>2224.54</v>
      </c>
      <c r="O585" s="9" t="n">
        <v>2224.54</v>
      </c>
      <c r="P585" s="9" t="n">
        <v>2224.54</v>
      </c>
      <c r="Q585" s="7" t="inlineStr">
        <is>
          <t>Sí</t>
        </is>
      </c>
      <c r="R585" s="9">
        <f>IF(N585="","",IF(Q585="Sí",ROUND(N585/1.18,2),N585))</f>
        <v/>
      </c>
      <c r="S585" s="7" t="inlineStr">
        <is>
          <t>2026-09-09</t>
        </is>
      </c>
      <c r="T585" s="5" t="inlineStr">
        <is>
          <t>1 cotización de proveedores</t>
        </is>
      </c>
    </row>
    <row r="586">
      <c r="A586" s="7" t="inlineStr">
        <is>
          <t>MAT-21-005</t>
        </is>
      </c>
      <c r="B586" s="7" t="inlineStr">
        <is>
          <t>Materiales</t>
        </is>
      </c>
      <c r="C586" s="7" t="inlineStr">
        <is>
          <t>Tolas y láminas de acero</t>
        </is>
      </c>
      <c r="D586" s="5" t="inlineStr">
        <is>
          <t>Tola negra 3/32", plancha 4 x 8 pies</t>
        </is>
      </c>
      <c r="E586" s="5" t="inlineStr">
        <is>
          <t>Lámina de hierro negra laminada en frío · espesor 3/32" · plancha de 4 x 8 pies · 122.4 lb</t>
        </is>
      </c>
      <c r="F586" s="5" t="inlineStr">
        <is>
          <t>Material retirado en almacén</t>
        </is>
      </c>
      <c r="G586" s="5" t="inlineStr">
        <is>
          <t>lámina de hierro, plancha negra</t>
        </is>
      </c>
      <c r="H586" s="7" t="inlineStr">
        <is>
          <t>plancha</t>
        </is>
      </c>
      <c r="I586" s="7" t="inlineStr">
        <is>
          <t>Estructura</t>
        </is>
      </c>
      <c r="J586" s="7" t="inlineStr">
        <is>
          <t>estandar</t>
        </is>
      </c>
      <c r="K586" s="7" t="inlineStr">
        <is>
          <t>importado</t>
        </is>
      </c>
      <c r="L586" s="7" t="inlineStr">
        <is>
          <t>Verificado</t>
        </is>
      </c>
      <c r="M586" s="8" t="n">
        <v>1</v>
      </c>
      <c r="N586" s="9" t="n">
        <v>3132.92</v>
      </c>
      <c r="O586" s="9" t="n">
        <v>3132.92</v>
      </c>
      <c r="P586" s="9" t="n">
        <v>3132.92</v>
      </c>
      <c r="Q586" s="7" t="inlineStr">
        <is>
          <t>Sí</t>
        </is>
      </c>
      <c r="R586" s="9">
        <f>IF(N586="","",IF(Q586="Sí",ROUND(N586/1.18,2),N586))</f>
        <v/>
      </c>
      <c r="S586" s="7" t="inlineStr">
        <is>
          <t>2026-09-09</t>
        </is>
      </c>
      <c r="T586" s="5" t="inlineStr">
        <is>
          <t>1 cotización de proveedores</t>
        </is>
      </c>
    </row>
    <row r="587">
      <c r="A587" s="7" t="inlineStr">
        <is>
          <t>MAT-21-006</t>
        </is>
      </c>
      <c r="B587" s="7" t="inlineStr">
        <is>
          <t>Materiales</t>
        </is>
      </c>
      <c r="C587" s="7" t="inlineStr">
        <is>
          <t>Tolas y láminas de acero</t>
        </is>
      </c>
      <c r="D587" s="5" t="inlineStr">
        <is>
          <t>Tola negra 1/8", plancha 4 x 10 pies</t>
        </is>
      </c>
      <c r="E587" s="5" t="inlineStr">
        <is>
          <t>Lámina de hierro negra laminada en frío · espesor 1/8" · plancha de 4 x 10 pies · 204 lb</t>
        </is>
      </c>
      <c r="F587" s="5" t="inlineStr">
        <is>
          <t>Material retirado en almacén</t>
        </is>
      </c>
      <c r="G587" s="5" t="inlineStr">
        <is>
          <t>lámina de hierro, plancha negra</t>
        </is>
      </c>
      <c r="H587" s="7" t="inlineStr">
        <is>
          <t>plancha</t>
        </is>
      </c>
      <c r="I587" s="7" t="inlineStr">
        <is>
          <t>Estructura</t>
        </is>
      </c>
      <c r="J587" s="7" t="inlineStr">
        <is>
          <t>estandar</t>
        </is>
      </c>
      <c r="K587" s="7" t="inlineStr">
        <is>
          <t>importado</t>
        </is>
      </c>
      <c r="L587" s="7" t="inlineStr">
        <is>
          <t>Verificado</t>
        </is>
      </c>
      <c r="M587" s="8" t="n">
        <v>1</v>
      </c>
      <c r="N587" s="9" t="n">
        <v>5622.83</v>
      </c>
      <c r="O587" s="9" t="n">
        <v>5622.83</v>
      </c>
      <c r="P587" s="9" t="n">
        <v>5622.83</v>
      </c>
      <c r="Q587" s="7" t="inlineStr">
        <is>
          <t>Sí</t>
        </is>
      </c>
      <c r="R587" s="9">
        <f>IF(N587="","",IF(Q587="Sí",ROUND(N587/1.18,2),N587))</f>
        <v/>
      </c>
      <c r="S587" s="7" t="inlineStr">
        <is>
          <t>2026-09-09</t>
        </is>
      </c>
      <c r="T587" s="5" t="inlineStr">
        <is>
          <t>1 cotización de proveedores</t>
        </is>
      </c>
    </row>
    <row r="588">
      <c r="A588" s="7" t="inlineStr">
        <is>
          <t>MAT-21-007</t>
        </is>
      </c>
      <c r="B588" s="7" t="inlineStr">
        <is>
          <t>Materiales</t>
        </is>
      </c>
      <c r="C588" s="7" t="inlineStr">
        <is>
          <t>Tolas y láminas de acero</t>
        </is>
      </c>
      <c r="D588" s="5" t="inlineStr">
        <is>
          <t>Tola negra 1/8", plancha 4 x 8 pies</t>
        </is>
      </c>
      <c r="E588" s="5" t="inlineStr">
        <is>
          <t>Lámina de hierro negra laminada en frío · espesor 1/8" · plancha de 4 x 8 pies · 163.2 lb</t>
        </is>
      </c>
      <c r="F588" s="5" t="inlineStr">
        <is>
          <t>Material retirado en almacén</t>
        </is>
      </c>
      <c r="G588" s="5" t="inlineStr">
        <is>
          <t>lámina de hierro, plancha negra</t>
        </is>
      </c>
      <c r="H588" s="7" t="inlineStr">
        <is>
          <t>plancha</t>
        </is>
      </c>
      <c r="I588" s="7" t="inlineStr">
        <is>
          <t>Estructura</t>
        </is>
      </c>
      <c r="J588" s="7" t="inlineStr">
        <is>
          <t>estandar</t>
        </is>
      </c>
      <c r="K588" s="7" t="inlineStr">
        <is>
          <t>importado</t>
        </is>
      </c>
      <c r="L588" s="7" t="inlineStr">
        <is>
          <t>Verificado</t>
        </is>
      </c>
      <c r="M588" s="8" t="n">
        <v>1</v>
      </c>
      <c r="N588" s="9" t="n">
        <v>4104.8</v>
      </c>
      <c r="O588" s="9" t="n">
        <v>4104.8</v>
      </c>
      <c r="P588" s="9" t="n">
        <v>4104.8</v>
      </c>
      <c r="Q588" s="7" t="inlineStr">
        <is>
          <t>Sí</t>
        </is>
      </c>
      <c r="R588" s="9">
        <f>IF(N588="","",IF(Q588="Sí",ROUND(N588/1.18,2),N588))</f>
        <v/>
      </c>
      <c r="S588" s="7" t="inlineStr">
        <is>
          <t>2026-09-09</t>
        </is>
      </c>
      <c r="T588" s="5" t="inlineStr">
        <is>
          <t>1 cotización de proveedores</t>
        </is>
      </c>
    </row>
    <row r="589">
      <c r="A589" s="7" t="inlineStr">
        <is>
          <t>MAT-21-008</t>
        </is>
      </c>
      <c r="B589" s="7" t="inlineStr">
        <is>
          <t>Materiales</t>
        </is>
      </c>
      <c r="C589" s="7" t="inlineStr">
        <is>
          <t>Tolas y láminas de acero</t>
        </is>
      </c>
      <c r="D589" s="5" t="inlineStr">
        <is>
          <t>Tola negra 1/8", plancha 5 x 10 pies</t>
        </is>
      </c>
      <c r="E589" s="5" t="inlineStr">
        <is>
          <t>Lámina de hierro negra laminada en frío · espesor 1/8" · plancha de 5 x 10 pies · 255 lb</t>
        </is>
      </c>
      <c r="F589" s="5" t="inlineStr">
        <is>
          <t>Material retirado en almacén</t>
        </is>
      </c>
      <c r="G589" s="5" t="inlineStr">
        <is>
          <t>lámina de hierro, plancha negra</t>
        </is>
      </c>
      <c r="H589" s="7" t="inlineStr">
        <is>
          <t>plancha</t>
        </is>
      </c>
      <c r="I589" s="7" t="inlineStr">
        <is>
          <t>Estructura</t>
        </is>
      </c>
      <c r="J589" s="7" t="inlineStr">
        <is>
          <t>estandar</t>
        </is>
      </c>
      <c r="K589" s="7" t="inlineStr">
        <is>
          <t>importado</t>
        </is>
      </c>
      <c r="L589" s="7" t="inlineStr">
        <is>
          <t>Verificado</t>
        </is>
      </c>
      <c r="M589" s="8" t="n">
        <v>1</v>
      </c>
      <c r="N589" s="9" t="n">
        <v>6428.83</v>
      </c>
      <c r="O589" s="9" t="n">
        <v>6428.83</v>
      </c>
      <c r="P589" s="9" t="n">
        <v>6428.83</v>
      </c>
      <c r="Q589" s="7" t="inlineStr">
        <is>
          <t>Sí</t>
        </is>
      </c>
      <c r="R589" s="9">
        <f>IF(N589="","",IF(Q589="Sí",ROUND(N589/1.18,2),N589))</f>
        <v/>
      </c>
      <c r="S589" s="7" t="inlineStr">
        <is>
          <t>2026-09-09</t>
        </is>
      </c>
      <c r="T589" s="5" t="inlineStr">
        <is>
          <t>1 cotización de proveedores</t>
        </is>
      </c>
    </row>
    <row r="590">
      <c r="A590" s="7" t="inlineStr">
        <is>
          <t>MAT-21-009</t>
        </is>
      </c>
      <c r="B590" s="7" t="inlineStr">
        <is>
          <t>Materiales</t>
        </is>
      </c>
      <c r="C590" s="7" t="inlineStr">
        <is>
          <t>Tolas y láminas de acero</t>
        </is>
      </c>
      <c r="D590" s="5" t="inlineStr">
        <is>
          <t>Tola negra 3/16", plancha 4 x 8 pies</t>
        </is>
      </c>
      <c r="E590" s="5" t="inlineStr">
        <is>
          <t>Lámina de hierro negra laminada en frío · espesor 3/16" · plancha de 4 x 8 pies · 244.8 lb</t>
        </is>
      </c>
      <c r="F590" s="5" t="inlineStr">
        <is>
          <t>Material retirado en almacén</t>
        </is>
      </c>
      <c r="G590" s="5" t="inlineStr">
        <is>
          <t>lámina de hierro, plancha negra</t>
        </is>
      </c>
      <c r="H590" s="7" t="inlineStr">
        <is>
          <t>plancha</t>
        </is>
      </c>
      <c r="I590" s="7" t="inlineStr">
        <is>
          <t>Estructura</t>
        </is>
      </c>
      <c r="J590" s="7" t="inlineStr">
        <is>
          <t>estandar</t>
        </is>
      </c>
      <c r="K590" s="7" t="inlineStr">
        <is>
          <t>importado</t>
        </is>
      </c>
      <c r="L590" s="7" t="inlineStr">
        <is>
          <t>Verificado</t>
        </is>
      </c>
      <c r="M590" s="8" t="n">
        <v>1</v>
      </c>
      <c r="N590" s="9" t="n">
        <v>6678.8</v>
      </c>
      <c r="O590" s="9" t="n">
        <v>6678.8</v>
      </c>
      <c r="P590" s="9" t="n">
        <v>6678.8</v>
      </c>
      <c r="Q590" s="7" t="inlineStr">
        <is>
          <t>Sí</t>
        </is>
      </c>
      <c r="R590" s="9">
        <f>IF(N590="","",IF(Q590="Sí",ROUND(N590/1.18,2),N590))</f>
        <v/>
      </c>
      <c r="S590" s="7" t="inlineStr">
        <is>
          <t>2026-09-09</t>
        </is>
      </c>
      <c r="T590" s="5" t="inlineStr">
        <is>
          <t>1 cotización de proveedores</t>
        </is>
      </c>
    </row>
    <row r="591">
      <c r="A591" s="7" t="inlineStr">
        <is>
          <t>MAT-21-010</t>
        </is>
      </c>
      <c r="B591" s="7" t="inlineStr">
        <is>
          <t>Materiales</t>
        </is>
      </c>
      <c r="C591" s="7" t="inlineStr">
        <is>
          <t>Tolas y láminas de acero</t>
        </is>
      </c>
      <c r="D591" s="5" t="inlineStr">
        <is>
          <t>Tola negra 3/16", plancha 5 x 10 pies</t>
        </is>
      </c>
      <c r="E591" s="5" t="inlineStr">
        <is>
          <t>Lámina de hierro negra laminada en frío · espesor 3/16" · plancha de 5 x 10 pies · 382.5 lb</t>
        </is>
      </c>
      <c r="F591" s="5" t="inlineStr">
        <is>
          <t>Material retirado en almacén</t>
        </is>
      </c>
      <c r="G591" s="5" t="inlineStr">
        <is>
          <t>lámina de hierro, plancha negra</t>
        </is>
      </c>
      <c r="H591" s="7" t="inlineStr">
        <is>
          <t>plancha</t>
        </is>
      </c>
      <c r="I591" s="7" t="inlineStr">
        <is>
          <t>Estructura</t>
        </is>
      </c>
      <c r="J591" s="7" t="inlineStr">
        <is>
          <t>estandar</t>
        </is>
      </c>
      <c r="K591" s="7" t="inlineStr">
        <is>
          <t>importado</t>
        </is>
      </c>
      <c r="L591" s="7" t="inlineStr">
        <is>
          <t>Verificado</t>
        </is>
      </c>
      <c r="M591" s="8" t="n">
        <v>1</v>
      </c>
      <c r="N591" s="9" t="n">
        <v>10410.48</v>
      </c>
      <c r="O591" s="9" t="n">
        <v>10410.48</v>
      </c>
      <c r="P591" s="9" t="n">
        <v>10410.48</v>
      </c>
      <c r="Q591" s="7" t="inlineStr">
        <is>
          <t>Sí</t>
        </is>
      </c>
      <c r="R591" s="9">
        <f>IF(N591="","",IF(Q591="Sí",ROUND(N591/1.18,2),N591))</f>
        <v/>
      </c>
      <c r="S591" s="7" t="inlineStr">
        <is>
          <t>2026-09-09</t>
        </is>
      </c>
      <c r="T591" s="5" t="inlineStr">
        <is>
          <t>1 cotización de proveedores</t>
        </is>
      </c>
    </row>
    <row r="592">
      <c r="A592" s="7" t="inlineStr">
        <is>
          <t>MAT-21-011</t>
        </is>
      </c>
      <c r="B592" s="7" t="inlineStr">
        <is>
          <t>Materiales</t>
        </is>
      </c>
      <c r="C592" s="7" t="inlineStr">
        <is>
          <t>Tolas y láminas de acero</t>
        </is>
      </c>
      <c r="D592" s="5" t="inlineStr">
        <is>
          <t>Tola negra 3/16", plancha 6 x 10 pies</t>
        </is>
      </c>
      <c r="E592" s="5" t="inlineStr">
        <is>
          <t>Lámina de hierro negra laminada en frío · espesor 3/16" · plancha de 6 x 10 pies · 459 lb</t>
        </is>
      </c>
      <c r="F592" s="5" t="inlineStr">
        <is>
          <t>Material retirado en almacén</t>
        </is>
      </c>
      <c r="G592" s="5" t="inlineStr">
        <is>
          <t>lámina de hierro, plancha negra</t>
        </is>
      </c>
      <c r="H592" s="7" t="inlineStr">
        <is>
          <t>plancha</t>
        </is>
      </c>
      <c r="I592" s="7" t="inlineStr">
        <is>
          <t>Estructura</t>
        </is>
      </c>
      <c r="J592" s="7" t="inlineStr">
        <is>
          <t>estandar</t>
        </is>
      </c>
      <c r="K592" s="7" t="inlineStr">
        <is>
          <t>importado</t>
        </is>
      </c>
      <c r="L592" s="7" t="inlineStr">
        <is>
          <t>Verificado</t>
        </is>
      </c>
      <c r="M592" s="8" t="n">
        <v>1</v>
      </c>
      <c r="N592" s="9" t="n">
        <v>12392.84</v>
      </c>
      <c r="O592" s="9" t="n">
        <v>12392.84</v>
      </c>
      <c r="P592" s="9" t="n">
        <v>12392.84</v>
      </c>
      <c r="Q592" s="7" t="inlineStr">
        <is>
          <t>Sí</t>
        </is>
      </c>
      <c r="R592" s="9">
        <f>IF(N592="","",IF(Q592="Sí",ROUND(N592/1.18,2),N592))</f>
        <v/>
      </c>
      <c r="S592" s="7" t="inlineStr">
        <is>
          <t>2026-09-09</t>
        </is>
      </c>
      <c r="T592" s="5" t="inlineStr">
        <is>
          <t>1 cotización de proveedores</t>
        </is>
      </c>
    </row>
    <row r="593">
      <c r="A593" s="7" t="inlineStr">
        <is>
          <t>MAT-21-012</t>
        </is>
      </c>
      <c r="B593" s="7" t="inlineStr">
        <is>
          <t>Materiales</t>
        </is>
      </c>
      <c r="C593" s="7" t="inlineStr">
        <is>
          <t>Tolas y láminas de acero</t>
        </is>
      </c>
      <c r="D593" s="5" t="inlineStr">
        <is>
          <t>Tola negra 1/4", plancha 4 x 8 pies</t>
        </is>
      </c>
      <c r="E593" s="5" t="inlineStr">
        <is>
          <t>Lámina de hierro negra laminada en frío · espesor 1/4" · plancha de 4 x 8 pies · 326.4 lb</t>
        </is>
      </c>
      <c r="F593" s="5" t="inlineStr">
        <is>
          <t>Material retirado en almacén</t>
        </is>
      </c>
      <c r="G593" s="5" t="inlineStr">
        <is>
          <t>lámina de hierro, plancha negra</t>
        </is>
      </c>
      <c r="H593" s="7" t="inlineStr">
        <is>
          <t>plancha</t>
        </is>
      </c>
      <c r="I593" s="7" t="inlineStr">
        <is>
          <t>Estructura</t>
        </is>
      </c>
      <c r="J593" s="7" t="inlineStr">
        <is>
          <t>estandar</t>
        </is>
      </c>
      <c r="K593" s="7" t="inlineStr">
        <is>
          <t>importado</t>
        </is>
      </c>
      <c r="L593" s="7" t="inlineStr">
        <is>
          <t>Verificado</t>
        </is>
      </c>
      <c r="M593" s="8" t="n">
        <v>1</v>
      </c>
      <c r="N593" s="9" t="n">
        <v>8276.58</v>
      </c>
      <c r="O593" s="9" t="n">
        <v>8276.58</v>
      </c>
      <c r="P593" s="9" t="n">
        <v>8276.58</v>
      </c>
      <c r="Q593" s="7" t="inlineStr">
        <is>
          <t>Sí</t>
        </is>
      </c>
      <c r="R593" s="9">
        <f>IF(N593="","",IF(Q593="Sí",ROUND(N593/1.18,2),N593))</f>
        <v/>
      </c>
      <c r="S593" s="7" t="inlineStr">
        <is>
          <t>2026-09-09</t>
        </is>
      </c>
      <c r="T593" s="5" t="inlineStr">
        <is>
          <t>1 cotización de proveedores</t>
        </is>
      </c>
    </row>
    <row r="594">
      <c r="A594" s="7" t="inlineStr">
        <is>
          <t>MAT-21-013</t>
        </is>
      </c>
      <c r="B594" s="7" t="inlineStr">
        <is>
          <t>Materiales</t>
        </is>
      </c>
      <c r="C594" s="7" t="inlineStr">
        <is>
          <t>Tolas y láminas de acero</t>
        </is>
      </c>
      <c r="D594" s="5" t="inlineStr">
        <is>
          <t>Tola negra 1/4", plancha 6 x 10 pies</t>
        </is>
      </c>
      <c r="E594" s="5" t="inlineStr">
        <is>
          <t>Lámina de hierro negra laminada en frío · espesor 1/4" · plancha de 6 x 10 pies · 612 lb</t>
        </is>
      </c>
      <c r="F594" s="5" t="inlineStr">
        <is>
          <t>Material retirado en almacén</t>
        </is>
      </c>
      <c r="G594" s="5" t="inlineStr">
        <is>
          <t>lámina de hierro, plancha negra</t>
        </is>
      </c>
      <c r="H594" s="7" t="inlineStr">
        <is>
          <t>plancha</t>
        </is>
      </c>
      <c r="I594" s="7" t="inlineStr">
        <is>
          <t>Estructura</t>
        </is>
      </c>
      <c r="J594" s="7" t="inlineStr">
        <is>
          <t>estandar</t>
        </is>
      </c>
      <c r="K594" s="7" t="inlineStr">
        <is>
          <t>importado</t>
        </is>
      </c>
      <c r="L594" s="7" t="inlineStr">
        <is>
          <t>Verificado</t>
        </is>
      </c>
      <c r="M594" s="8" t="n">
        <v>1</v>
      </c>
      <c r="N594" s="9" t="n">
        <v>16280.34</v>
      </c>
      <c r="O594" s="9" t="n">
        <v>16280.34</v>
      </c>
      <c r="P594" s="9" t="n">
        <v>16280.34</v>
      </c>
      <c r="Q594" s="7" t="inlineStr">
        <is>
          <t>Sí</t>
        </is>
      </c>
      <c r="R594" s="9">
        <f>IF(N594="","",IF(Q594="Sí",ROUND(N594/1.18,2),N594))</f>
        <v/>
      </c>
      <c r="S594" s="7" t="inlineStr">
        <is>
          <t>2026-09-09</t>
        </is>
      </c>
      <c r="T594" s="5" t="inlineStr">
        <is>
          <t>1 cotización de proveedores</t>
        </is>
      </c>
    </row>
    <row r="595">
      <c r="A595" s="7" t="inlineStr">
        <is>
          <t>MAT-21-014</t>
        </is>
      </c>
      <c r="B595" s="7" t="inlineStr">
        <is>
          <t>Materiales</t>
        </is>
      </c>
      <c r="C595" s="7" t="inlineStr">
        <is>
          <t>Tolas y láminas de acero</t>
        </is>
      </c>
      <c r="D595" s="5" t="inlineStr">
        <is>
          <t>Tola negra 3/8", plancha 4 x 8 pies</t>
        </is>
      </c>
      <c r="E595" s="5" t="inlineStr">
        <is>
          <t>Lámina de hierro negra laminada en frío · espesor 3/8" · plancha de 4 x 8 pies · 489.6 lb</t>
        </is>
      </c>
      <c r="F595" s="5" t="inlineStr">
        <is>
          <t>Material retirado en almacén</t>
        </is>
      </c>
      <c r="G595" s="5" t="inlineStr">
        <is>
          <t>lámina de hierro, plancha negra</t>
        </is>
      </c>
      <c r="H595" s="7" t="inlineStr">
        <is>
          <t>plancha</t>
        </is>
      </c>
      <c r="I595" s="7" t="inlineStr">
        <is>
          <t>Estructura</t>
        </is>
      </c>
      <c r="J595" s="7" t="inlineStr">
        <is>
          <t>estandar</t>
        </is>
      </c>
      <c r="K595" s="7" t="inlineStr">
        <is>
          <t>importado</t>
        </is>
      </c>
      <c r="L595" s="7" t="inlineStr">
        <is>
          <t>Verificado</t>
        </is>
      </c>
      <c r="M595" s="8" t="n">
        <v>1</v>
      </c>
      <c r="N595" s="9" t="n">
        <v>12665.86</v>
      </c>
      <c r="O595" s="9" t="n">
        <v>12665.86</v>
      </c>
      <c r="P595" s="9" t="n">
        <v>12665.86</v>
      </c>
      <c r="Q595" s="7" t="inlineStr">
        <is>
          <t>Sí</t>
        </is>
      </c>
      <c r="R595" s="9">
        <f>IF(N595="","",IF(Q595="Sí",ROUND(N595/1.18,2),N595))</f>
        <v/>
      </c>
      <c r="S595" s="7" t="inlineStr">
        <is>
          <t>2026-09-09</t>
        </is>
      </c>
      <c r="T595" s="5" t="inlineStr">
        <is>
          <t>1 cotización de proveedores</t>
        </is>
      </c>
    </row>
    <row r="596">
      <c r="A596" s="7" t="inlineStr">
        <is>
          <t>MAT-21-015</t>
        </is>
      </c>
      <c r="B596" s="7" t="inlineStr">
        <is>
          <t>Materiales</t>
        </is>
      </c>
      <c r="C596" s="7" t="inlineStr">
        <is>
          <t>Tolas y láminas de acero</t>
        </is>
      </c>
      <c r="D596" s="5" t="inlineStr">
        <is>
          <t>Tola negra 5/8", plancha 4 x 8 pies</t>
        </is>
      </c>
      <c r="E596" s="5" t="inlineStr">
        <is>
          <t>Lámina de hierro negra laminada en frío · espesor 5/8" · plancha de 4 x 8 pies · 819.2 lb</t>
        </is>
      </c>
      <c r="F596" s="5" t="inlineStr">
        <is>
          <t>Material retirado en almacén</t>
        </is>
      </c>
      <c r="G596" s="5" t="inlineStr">
        <is>
          <t>lámina de hierro, plancha negra</t>
        </is>
      </c>
      <c r="H596" s="7" t="inlineStr">
        <is>
          <t>plancha</t>
        </is>
      </c>
      <c r="I596" s="7" t="inlineStr">
        <is>
          <t>Estructura</t>
        </is>
      </c>
      <c r="J596" s="7" t="inlineStr">
        <is>
          <t>estandar</t>
        </is>
      </c>
      <c r="K596" s="7" t="inlineStr">
        <is>
          <t>importado</t>
        </is>
      </c>
      <c r="L596" s="7" t="inlineStr">
        <is>
          <t>Verificado</t>
        </is>
      </c>
      <c r="M596" s="8" t="n">
        <v>1</v>
      </c>
      <c r="N596" s="9" t="n">
        <v>21001.52</v>
      </c>
      <c r="O596" s="9" t="n">
        <v>21001.52</v>
      </c>
      <c r="P596" s="9" t="n">
        <v>21001.52</v>
      </c>
      <c r="Q596" s="7" t="inlineStr">
        <is>
          <t>Sí</t>
        </is>
      </c>
      <c r="R596" s="9">
        <f>IF(N596="","",IF(Q596="Sí",ROUND(N596/1.18,2),N596))</f>
        <v/>
      </c>
      <c r="S596" s="7" t="inlineStr">
        <is>
          <t>2026-09-09</t>
        </is>
      </c>
      <c r="T596" s="5" t="inlineStr">
        <is>
          <t>1 cotización de proveedores</t>
        </is>
      </c>
    </row>
    <row r="597">
      <c r="A597" s="7" t="inlineStr">
        <is>
          <t>MAT-21-016</t>
        </is>
      </c>
      <c r="B597" s="7" t="inlineStr">
        <is>
          <t>Materiales</t>
        </is>
      </c>
      <c r="C597" s="7" t="inlineStr">
        <is>
          <t>Tolas y láminas de acero</t>
        </is>
      </c>
      <c r="D597" s="5" t="inlineStr">
        <is>
          <t>Tola negra 1", plancha 4 x 8 pies</t>
        </is>
      </c>
      <c r="E597" s="5" t="inlineStr">
        <is>
          <t>Lámina de hierro negra laminada en frío · espesor 1" · plancha de 4 x 8 pies · 1305.6 lb</t>
        </is>
      </c>
      <c r="F597" s="5" t="inlineStr">
        <is>
          <t>Material retirado en almacén</t>
        </is>
      </c>
      <c r="G597" s="5" t="inlineStr">
        <is>
          <t>lámina de hierro, plancha negra</t>
        </is>
      </c>
      <c r="H597" s="7" t="inlineStr">
        <is>
          <t>plancha</t>
        </is>
      </c>
      <c r="I597" s="7" t="inlineStr">
        <is>
          <t>Estructura</t>
        </is>
      </c>
      <c r="J597" s="7" t="inlineStr">
        <is>
          <t>estandar</t>
        </is>
      </c>
      <c r="K597" s="7" t="inlineStr">
        <is>
          <t>importado</t>
        </is>
      </c>
      <c r="L597" s="7" t="inlineStr">
        <is>
          <t>Verificado</t>
        </is>
      </c>
      <c r="M597" s="8" t="n">
        <v>1</v>
      </c>
      <c r="N597" s="9" t="n">
        <v>37319.49</v>
      </c>
      <c r="O597" s="9" t="n">
        <v>37319.49</v>
      </c>
      <c r="P597" s="9" t="n">
        <v>37319.49</v>
      </c>
      <c r="Q597" s="7" t="inlineStr">
        <is>
          <t>Sí</t>
        </is>
      </c>
      <c r="R597" s="9">
        <f>IF(N597="","",IF(Q597="Sí",ROUND(N597/1.18,2),N597))</f>
        <v/>
      </c>
      <c r="S597" s="7" t="inlineStr">
        <is>
          <t>2026-09-09</t>
        </is>
      </c>
      <c r="T597" s="5" t="inlineStr">
        <is>
          <t>1 cotización de proveedores</t>
        </is>
      </c>
    </row>
    <row r="598">
      <c r="A598" s="7" t="inlineStr">
        <is>
          <t>MAT-21-017</t>
        </is>
      </c>
      <c r="B598" s="7" t="inlineStr">
        <is>
          <t>Materiales</t>
        </is>
      </c>
      <c r="C598" s="7" t="inlineStr">
        <is>
          <t>Tolas y láminas de acero</t>
        </is>
      </c>
      <c r="D598" s="5" t="inlineStr">
        <is>
          <t>Tola corrugada 3/32", plancha 4 x 8 pies</t>
        </is>
      </c>
      <c r="E598" s="5" t="inlineStr">
        <is>
          <t>Lámina de hierro corrugada antideslizante · espesor 3/32" · plancha de 4 x 8 pies · 133 lb</t>
        </is>
      </c>
      <c r="F598" s="5" t="inlineStr">
        <is>
          <t>Material retirado en almacén</t>
        </is>
      </c>
      <c r="G598" s="5" t="inlineStr">
        <is>
          <t>lámina antiderrapante, plancha corrugada</t>
        </is>
      </c>
      <c r="H598" s="7" t="inlineStr">
        <is>
          <t>plancha</t>
        </is>
      </c>
      <c r="I598" s="7" t="inlineStr">
        <is>
          <t>Estructura</t>
        </is>
      </c>
      <c r="J598" s="7" t="inlineStr">
        <is>
          <t>estandar</t>
        </is>
      </c>
      <c r="K598" s="7" t="inlineStr">
        <is>
          <t>importado</t>
        </is>
      </c>
      <c r="L598" s="7" t="inlineStr">
        <is>
          <t>Verificado</t>
        </is>
      </c>
      <c r="M598" s="8" t="n">
        <v>1</v>
      </c>
      <c r="N598" s="9" t="n">
        <v>3253.65</v>
      </c>
      <c r="O598" s="9" t="n">
        <v>3253.65</v>
      </c>
      <c r="P598" s="9" t="n">
        <v>3253.65</v>
      </c>
      <c r="Q598" s="7" t="inlineStr">
        <is>
          <t>Sí</t>
        </is>
      </c>
      <c r="R598" s="9">
        <f>IF(N598="","",IF(Q598="Sí",ROUND(N598/1.18,2),N598))</f>
        <v/>
      </c>
      <c r="S598" s="7" t="inlineStr">
        <is>
          <t>2026-09-09</t>
        </is>
      </c>
      <c r="T598" s="5" t="inlineStr">
        <is>
          <t>1 cotización de proveedores</t>
        </is>
      </c>
    </row>
    <row r="599">
      <c r="A599" s="7" t="inlineStr">
        <is>
          <t>MAT-21-018</t>
        </is>
      </c>
      <c r="B599" s="7" t="inlineStr">
        <is>
          <t>Materiales</t>
        </is>
      </c>
      <c r="C599" s="7" t="inlineStr">
        <is>
          <t>Tolas y láminas de acero</t>
        </is>
      </c>
      <c r="D599" s="5" t="inlineStr">
        <is>
          <t>Tola corrugada 1/8", plancha 4 x 8 pies</t>
        </is>
      </c>
      <c r="E599" s="5" t="inlineStr">
        <is>
          <t>Lámina de hierro corrugada antideslizante · espesor 1/8" · plancha de 4 x 8 pies · 186.5 lb</t>
        </is>
      </c>
      <c r="F599" s="5" t="inlineStr">
        <is>
          <t>Material retirado en almacén</t>
        </is>
      </c>
      <c r="G599" s="5" t="inlineStr">
        <is>
          <t>lámina antiderrapante, plancha corrugada</t>
        </is>
      </c>
      <c r="H599" s="7" t="inlineStr">
        <is>
          <t>plancha</t>
        </is>
      </c>
      <c r="I599" s="7" t="inlineStr">
        <is>
          <t>Estructura</t>
        </is>
      </c>
      <c r="J599" s="7" t="inlineStr">
        <is>
          <t>estandar</t>
        </is>
      </c>
      <c r="K599" s="7" t="inlineStr">
        <is>
          <t>importado</t>
        </is>
      </c>
      <c r="L599" s="7" t="inlineStr">
        <is>
          <t>Verificado</t>
        </is>
      </c>
      <c r="M599" s="8" t="n">
        <v>1</v>
      </c>
      <c r="N599" s="9" t="n">
        <v>4279.86</v>
      </c>
      <c r="O599" s="9" t="n">
        <v>4279.86</v>
      </c>
      <c r="P599" s="9" t="n">
        <v>4279.86</v>
      </c>
      <c r="Q599" s="7" t="inlineStr">
        <is>
          <t>Sí</t>
        </is>
      </c>
      <c r="R599" s="9">
        <f>IF(N599="","",IF(Q599="Sí",ROUND(N599/1.18,2),N599))</f>
        <v/>
      </c>
      <c r="S599" s="7" t="inlineStr">
        <is>
          <t>2026-09-09</t>
        </is>
      </c>
      <c r="T599" s="5" t="inlineStr">
        <is>
          <t>1 cotización de proveedores</t>
        </is>
      </c>
    </row>
    <row r="600">
      <c r="A600" s="7" t="inlineStr">
        <is>
          <t>MAT-21-019</t>
        </is>
      </c>
      <c r="B600" s="7" t="inlineStr">
        <is>
          <t>Materiales</t>
        </is>
      </c>
      <c r="C600" s="7" t="inlineStr">
        <is>
          <t>Tolas y láminas de acero</t>
        </is>
      </c>
      <c r="D600" s="5" t="inlineStr">
        <is>
          <t>Tola corrugada 3/16", plancha 4 x 8 pies</t>
        </is>
      </c>
      <c r="E600" s="5" t="inlineStr">
        <is>
          <t>Lámina de hierro corrugada antideslizante · espesor 3/16" · plancha de 4 x 8 pies · 244.8 lb</t>
        </is>
      </c>
      <c r="F600" s="5" t="inlineStr">
        <is>
          <t>Material retirado en almacén</t>
        </is>
      </c>
      <c r="G600" s="5" t="inlineStr">
        <is>
          <t>lámina antiderrapante, plancha corrugada</t>
        </is>
      </c>
      <c r="H600" s="7" t="inlineStr">
        <is>
          <t>plancha</t>
        </is>
      </c>
      <c r="I600" s="7" t="inlineStr">
        <is>
          <t>Estructura</t>
        </is>
      </c>
      <c r="J600" s="7" t="inlineStr">
        <is>
          <t>estandar</t>
        </is>
      </c>
      <c r="K600" s="7" t="inlineStr">
        <is>
          <t>importado</t>
        </is>
      </c>
      <c r="L600" s="7" t="inlineStr">
        <is>
          <t>Verificado</t>
        </is>
      </c>
      <c r="M600" s="8" t="n">
        <v>1</v>
      </c>
      <c r="N600" s="9" t="n">
        <v>6433.47</v>
      </c>
      <c r="O600" s="9" t="n">
        <v>6433.47</v>
      </c>
      <c r="P600" s="9" t="n">
        <v>6433.47</v>
      </c>
      <c r="Q600" s="7" t="inlineStr">
        <is>
          <t>Sí</t>
        </is>
      </c>
      <c r="R600" s="9">
        <f>IF(N600="","",IF(Q600="Sí",ROUND(N600/1.18,2),N600))</f>
        <v/>
      </c>
      <c r="S600" s="7" t="inlineStr">
        <is>
          <t>2026-09-09</t>
        </is>
      </c>
      <c r="T600" s="5" t="inlineStr">
        <is>
          <t>1 cotización de proveedores</t>
        </is>
      </c>
    </row>
    <row r="601">
      <c r="A601" s="7" t="inlineStr">
        <is>
          <t>MAT-21-020</t>
        </is>
      </c>
      <c r="B601" s="7" t="inlineStr">
        <is>
          <t>Materiales</t>
        </is>
      </c>
      <c r="C601" s="7" t="inlineStr">
        <is>
          <t>Tolas y láminas de acero</t>
        </is>
      </c>
      <c r="D601" s="5" t="inlineStr">
        <is>
          <t>Tola galvanizada 4 x 8 pies, 25 lb</t>
        </is>
      </c>
      <c r="E601" s="5" t="inlineStr">
        <is>
          <t>Lámina de acero galvanizada · plancha de 4 x 8 pies · 25 lb</t>
        </is>
      </c>
      <c r="F601" s="5" t="inlineStr">
        <is>
          <t>Material retirado en almacén</t>
        </is>
      </c>
      <c r="G601" s="5" t="inlineStr">
        <is>
          <t>lámina galvanizada, tola galvanizada</t>
        </is>
      </c>
      <c r="H601" s="7" t="inlineStr">
        <is>
          <t>plancha</t>
        </is>
      </c>
      <c r="I601" s="7" t="inlineStr">
        <is>
          <t>Estructura</t>
        </is>
      </c>
      <c r="J601" s="7" t="inlineStr">
        <is>
          <t>estandar</t>
        </is>
      </c>
      <c r="K601" s="7" t="inlineStr">
        <is>
          <t>importado</t>
        </is>
      </c>
      <c r="L601" s="7" t="inlineStr">
        <is>
          <t>Verificado</t>
        </is>
      </c>
      <c r="M601" s="8" t="n">
        <v>1</v>
      </c>
      <c r="N601" s="9" t="n">
        <v>825.17</v>
      </c>
      <c r="O601" s="9" t="n">
        <v>825.17</v>
      </c>
      <c r="P601" s="9" t="n">
        <v>825.17</v>
      </c>
      <c r="Q601" s="7" t="inlineStr">
        <is>
          <t>Sí</t>
        </is>
      </c>
      <c r="R601" s="9">
        <f>IF(N601="","",IF(Q601="Sí",ROUND(N601/1.18,2),N601))</f>
        <v/>
      </c>
      <c r="S601" s="7" t="inlineStr">
        <is>
          <t>2026-09-09</t>
        </is>
      </c>
      <c r="T601" s="5" t="inlineStr">
        <is>
          <t>1 cotización de proveedores</t>
        </is>
      </c>
    </row>
    <row r="602">
      <c r="A602" s="7" t="inlineStr">
        <is>
          <t>MAT-21-021</t>
        </is>
      </c>
      <c r="B602" s="7" t="inlineStr">
        <is>
          <t>Materiales</t>
        </is>
      </c>
      <c r="C602" s="7" t="inlineStr">
        <is>
          <t>Tolas y láminas de acero</t>
        </is>
      </c>
      <c r="D602" s="5" t="inlineStr">
        <is>
          <t>Tola galvanizada 4 x 8 pies, 32 lb</t>
        </is>
      </c>
      <c r="E602" s="5" t="inlineStr">
        <is>
          <t>Lámina de acero galvanizada · plancha de 4 x 8 pies · 32 lb</t>
        </is>
      </c>
      <c r="F602" s="5" t="inlineStr">
        <is>
          <t>Material retirado en almacén</t>
        </is>
      </c>
      <c r="G602" s="5" t="inlineStr">
        <is>
          <t>lámina galvanizada, tola galvanizada</t>
        </is>
      </c>
      <c r="H602" s="7" t="inlineStr">
        <is>
          <t>plancha</t>
        </is>
      </c>
      <c r="I602" s="7" t="inlineStr">
        <is>
          <t>Estructura</t>
        </is>
      </c>
      <c r="J602" s="7" t="inlineStr">
        <is>
          <t>estandar</t>
        </is>
      </c>
      <c r="K602" s="7" t="inlineStr">
        <is>
          <t>importado</t>
        </is>
      </c>
      <c r="L602" s="7" t="inlineStr">
        <is>
          <t>Verificado</t>
        </is>
      </c>
      <c r="M602" s="8" t="n">
        <v>1</v>
      </c>
      <c r="N602" s="9" t="n">
        <v>952.1900000000001</v>
      </c>
      <c r="O602" s="9" t="n">
        <v>952.1900000000001</v>
      </c>
      <c r="P602" s="9" t="n">
        <v>952.1900000000001</v>
      </c>
      <c r="Q602" s="7" t="inlineStr">
        <is>
          <t>Sí</t>
        </is>
      </c>
      <c r="R602" s="9">
        <f>IF(N602="","",IF(Q602="Sí",ROUND(N602/1.18,2),N602))</f>
        <v/>
      </c>
      <c r="S602" s="7" t="inlineStr">
        <is>
          <t>2026-09-09</t>
        </is>
      </c>
      <c r="T602" s="5" t="inlineStr">
        <is>
          <t>1 cotización de proveedores</t>
        </is>
      </c>
    </row>
    <row r="603">
      <c r="A603" s="7" t="inlineStr">
        <is>
          <t>MAT-21-022</t>
        </is>
      </c>
      <c r="B603" s="7" t="inlineStr">
        <is>
          <t>Materiales</t>
        </is>
      </c>
      <c r="C603" s="7" t="inlineStr">
        <is>
          <t>Tolas y láminas de acero</t>
        </is>
      </c>
      <c r="D603" s="5" t="inlineStr">
        <is>
          <t>Tola galvanizada 4 x 8 pies, 44 lb</t>
        </is>
      </c>
      <c r="E603" s="5" t="inlineStr">
        <is>
          <t>Lámina de acero galvanizada · plancha de 4 x 8 pies · 44 lb</t>
        </is>
      </c>
      <c r="F603" s="5" t="inlineStr">
        <is>
          <t>Material retirado en almacén</t>
        </is>
      </c>
      <c r="G603" s="5" t="inlineStr">
        <is>
          <t>lámina galvanizada, tola galvanizada</t>
        </is>
      </c>
      <c r="H603" s="7" t="inlineStr">
        <is>
          <t>plancha</t>
        </is>
      </c>
      <c r="I603" s="7" t="inlineStr">
        <is>
          <t>Estructura</t>
        </is>
      </c>
      <c r="J603" s="7" t="inlineStr">
        <is>
          <t>estandar</t>
        </is>
      </c>
      <c r="K603" s="7" t="inlineStr">
        <is>
          <t>importado</t>
        </is>
      </c>
      <c r="L603" s="7" t="inlineStr">
        <is>
          <t>Verificado</t>
        </is>
      </c>
      <c r="M603" s="8" t="n">
        <v>1</v>
      </c>
      <c r="N603" s="9" t="n">
        <v>1169.6</v>
      </c>
      <c r="O603" s="9" t="n">
        <v>1169.6</v>
      </c>
      <c r="P603" s="9" t="n">
        <v>1169.6</v>
      </c>
      <c r="Q603" s="7" t="inlineStr">
        <is>
          <t>Sí</t>
        </is>
      </c>
      <c r="R603" s="9">
        <f>IF(N603="","",IF(Q603="Sí",ROUND(N603/1.18,2),N603))</f>
        <v/>
      </c>
      <c r="S603" s="7" t="inlineStr">
        <is>
          <t>2026-09-09</t>
        </is>
      </c>
      <c r="T603" s="5" t="inlineStr">
        <is>
          <t>1 cotización de proveedores</t>
        </is>
      </c>
    </row>
    <row r="604">
      <c r="A604" s="7" t="inlineStr">
        <is>
          <t>MAT-21-023</t>
        </is>
      </c>
      <c r="B604" s="7" t="inlineStr">
        <is>
          <t>Materiales</t>
        </is>
      </c>
      <c r="C604" s="7" t="inlineStr">
        <is>
          <t>Tolas y láminas de acero</t>
        </is>
      </c>
      <c r="D604" s="5" t="inlineStr">
        <is>
          <t>Tola galvanizada 4 x 8 pies, 52 lb</t>
        </is>
      </c>
      <c r="E604" s="5" t="inlineStr">
        <is>
          <t>Lámina de acero galvanizada · plancha de 4 x 8 pies · 52 lb</t>
        </is>
      </c>
      <c r="F604" s="5" t="inlineStr">
        <is>
          <t>Material retirado en almacén</t>
        </is>
      </c>
      <c r="G604" s="5" t="inlineStr">
        <is>
          <t>lámina galvanizada, tola galvanizada</t>
        </is>
      </c>
      <c r="H604" s="7" t="inlineStr">
        <is>
          <t>plancha</t>
        </is>
      </c>
      <c r="I604" s="7" t="inlineStr">
        <is>
          <t>Estructura</t>
        </is>
      </c>
      <c r="J604" s="7" t="inlineStr">
        <is>
          <t>estandar</t>
        </is>
      </c>
      <c r="K604" s="7" t="inlineStr">
        <is>
          <t>importado</t>
        </is>
      </c>
      <c r="L604" s="7" t="inlineStr">
        <is>
          <t>Verificado</t>
        </is>
      </c>
      <c r="M604" s="8" t="n">
        <v>1</v>
      </c>
      <c r="N604" s="9" t="n">
        <v>1551.37</v>
      </c>
      <c r="O604" s="9" t="n">
        <v>1551.37</v>
      </c>
      <c r="P604" s="9" t="n">
        <v>1551.37</v>
      </c>
      <c r="Q604" s="7" t="inlineStr">
        <is>
          <t>Sí</t>
        </is>
      </c>
      <c r="R604" s="9">
        <f>IF(N604="","",IF(Q604="Sí",ROUND(N604/1.18,2),N604))</f>
        <v/>
      </c>
      <c r="S604" s="7" t="inlineStr">
        <is>
          <t>2026-09-09</t>
        </is>
      </c>
      <c r="T604" s="5" t="inlineStr">
        <is>
          <t>1 cotización de proveedores</t>
        </is>
      </c>
    </row>
    <row r="605">
      <c r="A605" s="7" t="inlineStr">
        <is>
          <t>MAT-21-024</t>
        </is>
      </c>
      <c r="B605" s="7" t="inlineStr">
        <is>
          <t>Materiales</t>
        </is>
      </c>
      <c r="C605" s="7" t="inlineStr">
        <is>
          <t>Tolas y láminas de acero</t>
        </is>
      </c>
      <c r="D605" s="5" t="inlineStr">
        <is>
          <t>Tola galvanizada 4 x 8 pies, 83.75 lb</t>
        </is>
      </c>
      <c r="E605" s="5" t="inlineStr">
        <is>
          <t>Lámina de acero galvanizada · plancha de 4 x 8 pies · 83.75 lb</t>
        </is>
      </c>
      <c r="F605" s="5" t="inlineStr">
        <is>
          <t>Material retirado en almacén</t>
        </is>
      </c>
      <c r="G605" s="5" t="inlineStr">
        <is>
          <t>lámina galvanizada, tola galvanizada</t>
        </is>
      </c>
      <c r="H605" s="7" t="inlineStr">
        <is>
          <t>plancha</t>
        </is>
      </c>
      <c r="I605" s="7" t="inlineStr">
        <is>
          <t>Estructura</t>
        </is>
      </c>
      <c r="J605" s="7" t="inlineStr">
        <is>
          <t>estandar</t>
        </is>
      </c>
      <c r="K605" s="7" t="inlineStr">
        <is>
          <t>importado</t>
        </is>
      </c>
      <c r="L605" s="7" t="inlineStr">
        <is>
          <t>Verificado</t>
        </is>
      </c>
      <c r="M605" s="8" t="n">
        <v>1</v>
      </c>
      <c r="N605" s="9" t="n">
        <v>2364.86</v>
      </c>
      <c r="O605" s="9" t="n">
        <v>2364.86</v>
      </c>
      <c r="P605" s="9" t="n">
        <v>2364.86</v>
      </c>
      <c r="Q605" s="7" t="inlineStr">
        <is>
          <t>Sí</t>
        </is>
      </c>
      <c r="R605" s="9">
        <f>IF(N605="","",IF(Q605="Sí",ROUND(N605/1.18,2),N605))</f>
        <v/>
      </c>
      <c r="S605" s="7" t="inlineStr">
        <is>
          <t>2026-09-09</t>
        </is>
      </c>
      <c r="T605" s="5" t="inlineStr">
        <is>
          <t>1 cotización de proveedores</t>
        </is>
      </c>
    </row>
    <row r="606">
      <c r="A606" s="7" t="inlineStr">
        <is>
          <t>MAT-21-025</t>
        </is>
      </c>
      <c r="B606" s="7" t="inlineStr">
        <is>
          <t>Materiales</t>
        </is>
      </c>
      <c r="C606" s="7" t="inlineStr">
        <is>
          <t>Tolas y láminas de acero</t>
        </is>
      </c>
      <c r="D606" s="5" t="inlineStr">
        <is>
          <t>Metal desplegable plano 3/8", plancha 4 x 8 pies</t>
        </is>
      </c>
      <c r="E606" s="5" t="inlineStr">
        <is>
          <t>Lámina expandida de acero · rombo de 3/8" · plancha de 4 x 8 pies</t>
        </is>
      </c>
      <c r="F606" s="5" t="inlineStr">
        <is>
          <t>Material retirado en almacén</t>
        </is>
      </c>
      <c r="G606" s="5" t="inlineStr">
        <is>
          <t>metal desplegado, lámina expandida</t>
        </is>
      </c>
      <c r="H606" s="7" t="inlineStr">
        <is>
          <t>plancha</t>
        </is>
      </c>
      <c r="I606" s="7" t="inlineStr">
        <is>
          <t>Estructura</t>
        </is>
      </c>
      <c r="J606" s="7" t="inlineStr">
        <is>
          <t>estandar</t>
        </is>
      </c>
      <c r="K606" s="7" t="inlineStr">
        <is>
          <t>importado</t>
        </is>
      </c>
      <c r="L606" s="7" t="inlineStr">
        <is>
          <t>Verificado</t>
        </is>
      </c>
      <c r="M606" s="8" t="n">
        <v>1</v>
      </c>
      <c r="N606" s="9" t="n">
        <v>2209.05</v>
      </c>
      <c r="O606" s="9" t="n">
        <v>2209.05</v>
      </c>
      <c r="P606" s="9" t="n">
        <v>2209.05</v>
      </c>
      <c r="Q606" s="7" t="inlineStr">
        <is>
          <t>Sí</t>
        </is>
      </c>
      <c r="R606" s="9">
        <f>IF(N606="","",IF(Q606="Sí",ROUND(N606/1.18,2),N606))</f>
        <v/>
      </c>
      <c r="S606" s="7" t="inlineStr">
        <is>
          <t>2026-09-09</t>
        </is>
      </c>
      <c r="T606" s="5" t="inlineStr">
        <is>
          <t>1 cotización de proveedores</t>
        </is>
      </c>
    </row>
    <row r="607">
      <c r="A607" s="7" t="inlineStr">
        <is>
          <t>MAT-21-026</t>
        </is>
      </c>
      <c r="B607" s="7" t="inlineStr">
        <is>
          <t>Materiales</t>
        </is>
      </c>
      <c r="C607" s="7" t="inlineStr">
        <is>
          <t>Tolas y láminas de acero</t>
        </is>
      </c>
      <c r="D607" s="5" t="inlineStr">
        <is>
          <t>Metal desplegable plano 1/2", plancha 4 x 8 pies</t>
        </is>
      </c>
      <c r="E607" s="5" t="inlineStr">
        <is>
          <t>Lámina expandida de acero · rombo de 1/2" · plancha de 4 x 8 pies</t>
        </is>
      </c>
      <c r="F607" s="5" t="inlineStr">
        <is>
          <t>Material retirado en almacén</t>
        </is>
      </c>
      <c r="G607" s="5" t="inlineStr">
        <is>
          <t>metal desplegado, lámina expandida</t>
        </is>
      </c>
      <c r="H607" s="7" t="inlineStr">
        <is>
          <t>plancha</t>
        </is>
      </c>
      <c r="I607" s="7" t="inlineStr">
        <is>
          <t>Estructura</t>
        </is>
      </c>
      <c r="J607" s="7" t="inlineStr">
        <is>
          <t>estandar</t>
        </is>
      </c>
      <c r="K607" s="7" t="inlineStr">
        <is>
          <t>importado</t>
        </is>
      </c>
      <c r="L607" s="7" t="inlineStr">
        <is>
          <t>Verificado</t>
        </is>
      </c>
      <c r="M607" s="8" t="n">
        <v>1</v>
      </c>
      <c r="N607" s="9" t="n">
        <v>765.55</v>
      </c>
      <c r="O607" s="9" t="n">
        <v>765.55</v>
      </c>
      <c r="P607" s="9" t="n">
        <v>765.55</v>
      </c>
      <c r="Q607" s="7" t="inlineStr">
        <is>
          <t>Sí</t>
        </is>
      </c>
      <c r="R607" s="9">
        <f>IF(N607="","",IF(Q607="Sí",ROUND(N607/1.18,2),N607))</f>
        <v/>
      </c>
      <c r="S607" s="7" t="inlineStr">
        <is>
          <t>2026-09-09</t>
        </is>
      </c>
      <c r="T607" s="5" t="inlineStr">
        <is>
          <t>1 cotización de proveedores</t>
        </is>
      </c>
    </row>
    <row r="608">
      <c r="A608" s="7" t="inlineStr">
        <is>
          <t>MAT-21-027</t>
        </is>
      </c>
      <c r="B608" s="7" t="inlineStr">
        <is>
          <t>Materiales</t>
        </is>
      </c>
      <c r="C608" s="7" t="inlineStr">
        <is>
          <t>Tolas y láminas de acero</t>
        </is>
      </c>
      <c r="D608" s="5" t="inlineStr">
        <is>
          <t>Metal desplegable plano 3/4", plancha 4 x 8 pies</t>
        </is>
      </c>
      <c r="E608" s="5" t="inlineStr">
        <is>
          <t>Lámina expandida de acero · rombo de 3/4" · plancha de 4 x 8 pies</t>
        </is>
      </c>
      <c r="F608" s="5" t="inlineStr">
        <is>
          <t>Material retirado en almacén</t>
        </is>
      </c>
      <c r="G608" s="5" t="inlineStr">
        <is>
          <t>metal desplegado, lámina expandida</t>
        </is>
      </c>
      <c r="H608" s="7" t="inlineStr">
        <is>
          <t>plancha</t>
        </is>
      </c>
      <c r="I608" s="7" t="inlineStr">
        <is>
          <t>Estructura</t>
        </is>
      </c>
      <c r="J608" s="7" t="inlineStr">
        <is>
          <t>estandar</t>
        </is>
      </c>
      <c r="K608" s="7" t="inlineStr">
        <is>
          <t>importado</t>
        </is>
      </c>
      <c r="L608" s="7" t="inlineStr">
        <is>
          <t>Verificado</t>
        </is>
      </c>
      <c r="M608" s="8" t="n">
        <v>1</v>
      </c>
      <c r="N608" s="9" t="n">
        <v>850</v>
      </c>
      <c r="O608" s="9" t="n">
        <v>850</v>
      </c>
      <c r="P608" s="9" t="n">
        <v>850</v>
      </c>
      <c r="Q608" s="7" t="inlineStr">
        <is>
          <t>Sí</t>
        </is>
      </c>
      <c r="R608" s="9">
        <f>IF(N608="","",IF(Q608="Sí",ROUND(N608/1.18,2),N608))</f>
        <v/>
      </c>
      <c r="S608" s="7" t="inlineStr">
        <is>
          <t>2026-09-09</t>
        </is>
      </c>
      <c r="T608" s="5" t="inlineStr">
        <is>
          <t>1 cotización de proveedores</t>
        </is>
      </c>
    </row>
    <row r="609">
      <c r="A609" s="7" t="inlineStr">
        <is>
          <t>MAT-21-028</t>
        </is>
      </c>
      <c r="B609" s="7" t="inlineStr">
        <is>
          <t>Materiales</t>
        </is>
      </c>
      <c r="C609" s="7" t="inlineStr">
        <is>
          <t>Tolas y láminas de acero</t>
        </is>
      </c>
      <c r="D609" s="5" t="inlineStr">
        <is>
          <t>Metal desplegable plano 1", plancha 4 x 8 pies</t>
        </is>
      </c>
      <c r="E609" s="5" t="inlineStr">
        <is>
          <t>Lámina expandida de acero · rombo de 1" · plancha de 4 x 8 pies</t>
        </is>
      </c>
      <c r="F609" s="5" t="inlineStr">
        <is>
          <t>Material retirado en almacén</t>
        </is>
      </c>
      <c r="G609" s="5" t="inlineStr">
        <is>
          <t>metal desplegado, lámina expandida</t>
        </is>
      </c>
      <c r="H609" s="7" t="inlineStr">
        <is>
          <t>plancha</t>
        </is>
      </c>
      <c r="I609" s="7" t="inlineStr">
        <is>
          <t>Estructura</t>
        </is>
      </c>
      <c r="J609" s="7" t="inlineStr">
        <is>
          <t>estandar</t>
        </is>
      </c>
      <c r="K609" s="7" t="inlineStr">
        <is>
          <t>importado</t>
        </is>
      </c>
      <c r="L609" s="7" t="inlineStr">
        <is>
          <t>Verificado</t>
        </is>
      </c>
      <c r="M609" s="8" t="n">
        <v>1</v>
      </c>
      <c r="N609" s="9" t="n">
        <v>1080.47</v>
      </c>
      <c r="O609" s="9" t="n">
        <v>1080.47</v>
      </c>
      <c r="P609" s="9" t="n">
        <v>1080.47</v>
      </c>
      <c r="Q609" s="7" t="inlineStr">
        <is>
          <t>Sí</t>
        </is>
      </c>
      <c r="R609" s="9">
        <f>IF(N609="","",IF(Q609="Sí",ROUND(N609/1.18,2),N609))</f>
        <v/>
      </c>
      <c r="S609" s="7" t="inlineStr">
        <is>
          <t>2026-09-09</t>
        </is>
      </c>
      <c r="T609" s="5" t="inlineStr">
        <is>
          <t>1 cotización de proveedores</t>
        </is>
      </c>
    </row>
    <row r="610">
      <c r="A610" s="7" t="inlineStr">
        <is>
          <t>MAT-21-029</t>
        </is>
      </c>
      <c r="B610" s="7" t="inlineStr">
        <is>
          <t>Materiales</t>
        </is>
      </c>
      <c r="C610" s="7" t="inlineStr">
        <is>
          <t>Tolas y láminas de acero</t>
        </is>
      </c>
      <c r="D610" s="5" t="inlineStr">
        <is>
          <t>Metal desplegable plano 1 1/2", plancha 4 x 8 pies</t>
        </is>
      </c>
      <c r="E610" s="5" t="inlineStr">
        <is>
          <t>Lámina expandida de acero · rombo de 1 1/2" · plancha de 4 x 8 pies</t>
        </is>
      </c>
      <c r="F610" s="5" t="inlineStr">
        <is>
          <t>Material retirado en almacén</t>
        </is>
      </c>
      <c r="G610" s="5" t="inlineStr">
        <is>
          <t>metal desplegado, lámina expandida</t>
        </is>
      </c>
      <c r="H610" s="7" t="inlineStr">
        <is>
          <t>plancha</t>
        </is>
      </c>
      <c r="I610" s="7" t="inlineStr">
        <is>
          <t>Estructura</t>
        </is>
      </c>
      <c r="J610" s="7" t="inlineStr">
        <is>
          <t>estandar</t>
        </is>
      </c>
      <c r="K610" s="7" t="inlineStr">
        <is>
          <t>importado</t>
        </is>
      </c>
      <c r="L610" s="7" t="inlineStr">
        <is>
          <t>Verificado</t>
        </is>
      </c>
      <c r="M610" s="8" t="n">
        <v>1</v>
      </c>
      <c r="N610" s="9" t="n">
        <v>939.35</v>
      </c>
      <c r="O610" s="9" t="n">
        <v>939.35</v>
      </c>
      <c r="P610" s="9" t="n">
        <v>939.35</v>
      </c>
      <c r="Q610" s="7" t="inlineStr">
        <is>
          <t>Sí</t>
        </is>
      </c>
      <c r="R610" s="9">
        <f>IF(N610="","",IF(Q610="Sí",ROUND(N610/1.18,2),N610))</f>
        <v/>
      </c>
      <c r="S610" s="7" t="inlineStr">
        <is>
          <t>2026-09-09</t>
        </is>
      </c>
      <c r="T610" s="5" t="inlineStr">
        <is>
          <t>1 cotización de proveedores</t>
        </is>
      </c>
    </row>
    <row r="611">
      <c r="A611" s="7" t="inlineStr">
        <is>
          <t>MAT-22-001</t>
        </is>
      </c>
      <c r="B611" s="7" t="inlineStr">
        <is>
          <t>Materiales</t>
        </is>
      </c>
      <c r="C611" s="7" t="inlineStr">
        <is>
          <t>Cerramiento perimetral</t>
        </is>
      </c>
      <c r="D611" s="5" t="inlineStr">
        <is>
          <t>Malla ciclónica calibre 9, 3 pies de alto, rollo de 50 pies</t>
        </is>
      </c>
      <c r="E611" s="5" t="inlineStr">
        <is>
          <t>Malla de alambre galvanizado tejido en rombo · calibre 9 · 3 pies de alto · rollo de 50 pies</t>
        </is>
      </c>
      <c r="F611" s="5" t="inlineStr">
        <is>
          <t>Material retirado en almacén</t>
        </is>
      </c>
      <c r="G611" s="5" t="inlineStr">
        <is>
          <t>malla ciclónica, verja de alambre, cyclone</t>
        </is>
      </c>
      <c r="H611" s="7" t="inlineStr">
        <is>
          <t>rollo</t>
        </is>
      </c>
      <c r="I611" s="7" t="inlineStr">
        <is>
          <t>Exteriores</t>
        </is>
      </c>
      <c r="J611" s="7" t="inlineStr">
        <is>
          <t>estandar</t>
        </is>
      </c>
      <c r="K611" s="7" t="inlineStr">
        <is>
          <t>importado</t>
        </is>
      </c>
      <c r="L611" s="7" t="inlineStr">
        <is>
          <t>Verificado</t>
        </is>
      </c>
      <c r="M611" s="8" t="n">
        <v>1</v>
      </c>
      <c r="N611" s="9" t="n">
        <v>5223.1</v>
      </c>
      <c r="O611" s="9" t="n">
        <v>5223.1</v>
      </c>
      <c r="P611" s="9" t="n">
        <v>5223.1</v>
      </c>
      <c r="Q611" s="7" t="inlineStr">
        <is>
          <t>Sí</t>
        </is>
      </c>
      <c r="R611" s="9">
        <f>IF(N611="","",IF(Q611="Sí",ROUND(N611/1.18,2),N611))</f>
        <v/>
      </c>
      <c r="S611" s="7" t="inlineStr">
        <is>
          <t>2026-09-09</t>
        </is>
      </c>
      <c r="T611" s="5" t="inlineStr">
        <is>
          <t>1 cotización de proveedores</t>
        </is>
      </c>
    </row>
    <row r="612">
      <c r="A612" s="7" t="inlineStr">
        <is>
          <t>MAT-22-002</t>
        </is>
      </c>
      <c r="B612" s="7" t="inlineStr">
        <is>
          <t>Materiales</t>
        </is>
      </c>
      <c r="C612" s="7" t="inlineStr">
        <is>
          <t>Cerramiento perimetral</t>
        </is>
      </c>
      <c r="D612" s="5" t="inlineStr">
        <is>
          <t>Malla ciclónica calibre 9, 4 pies de alto, rollo de 50 pies</t>
        </is>
      </c>
      <c r="E612" s="5" t="inlineStr">
        <is>
          <t>Malla de alambre galvanizado tejido en rombo · calibre 9 · 4 pies de alto · rollo de 50 pies</t>
        </is>
      </c>
      <c r="F612" s="5" t="inlineStr">
        <is>
          <t>Material retirado en almacén</t>
        </is>
      </c>
      <c r="G612" s="5" t="inlineStr">
        <is>
          <t>malla ciclónica, verja de alambre, cyclone</t>
        </is>
      </c>
      <c r="H612" s="7" t="inlineStr">
        <is>
          <t>rollo</t>
        </is>
      </c>
      <c r="I612" s="7" t="inlineStr">
        <is>
          <t>Exteriores</t>
        </is>
      </c>
      <c r="J612" s="7" t="inlineStr">
        <is>
          <t>estandar</t>
        </is>
      </c>
      <c r="K612" s="7" t="inlineStr">
        <is>
          <t>importado</t>
        </is>
      </c>
      <c r="L612" s="7" t="inlineStr">
        <is>
          <t>Verificado</t>
        </is>
      </c>
      <c r="M612" s="8" t="n">
        <v>1</v>
      </c>
      <c r="N612" s="9" t="n">
        <v>6121.98</v>
      </c>
      <c r="O612" s="9" t="n">
        <v>6121.98</v>
      </c>
      <c r="P612" s="9" t="n">
        <v>6121.98</v>
      </c>
      <c r="Q612" s="7" t="inlineStr">
        <is>
          <t>Sí</t>
        </is>
      </c>
      <c r="R612" s="9">
        <f>IF(N612="","",IF(Q612="Sí",ROUND(N612/1.18,2),N612))</f>
        <v/>
      </c>
      <c r="S612" s="7" t="inlineStr">
        <is>
          <t>2026-09-09</t>
        </is>
      </c>
      <c r="T612" s="5" t="inlineStr">
        <is>
          <t>1 cotización de proveedores</t>
        </is>
      </c>
    </row>
    <row r="613">
      <c r="A613" s="7" t="inlineStr">
        <is>
          <t>MAT-22-003</t>
        </is>
      </c>
      <c r="B613" s="7" t="inlineStr">
        <is>
          <t>Materiales</t>
        </is>
      </c>
      <c r="C613" s="7" t="inlineStr">
        <is>
          <t>Cerramiento perimetral</t>
        </is>
      </c>
      <c r="D613" s="5" t="inlineStr">
        <is>
          <t>Malla ciclónica calibre 9, 6 pies de alto, rollo de 50 pies</t>
        </is>
      </c>
      <c r="E613" s="5" t="inlineStr">
        <is>
          <t>Malla de alambre galvanizado tejido en rombo · calibre 9 · 6 pies de alto · rollo de 50 pies</t>
        </is>
      </c>
      <c r="F613" s="5" t="inlineStr">
        <is>
          <t>Material retirado en almacén</t>
        </is>
      </c>
      <c r="G613" s="5" t="inlineStr">
        <is>
          <t>malla ciclónica, verja de alambre, cyclone</t>
        </is>
      </c>
      <c r="H613" s="7" t="inlineStr">
        <is>
          <t>rollo</t>
        </is>
      </c>
      <c r="I613" s="7" t="inlineStr">
        <is>
          <t>Exteriores</t>
        </is>
      </c>
      <c r="J613" s="7" t="inlineStr">
        <is>
          <t>estandar</t>
        </is>
      </c>
      <c r="K613" s="7" t="inlineStr">
        <is>
          <t>importado</t>
        </is>
      </c>
      <c r="L613" s="7" t="inlineStr">
        <is>
          <t>Verificado</t>
        </is>
      </c>
      <c r="M613" s="8" t="n">
        <v>1</v>
      </c>
      <c r="N613" s="9" t="n">
        <v>9867.16</v>
      </c>
      <c r="O613" s="9" t="n">
        <v>9867.16</v>
      </c>
      <c r="P613" s="9" t="n">
        <v>9867.16</v>
      </c>
      <c r="Q613" s="7" t="inlineStr">
        <is>
          <t>Sí</t>
        </is>
      </c>
      <c r="R613" s="9">
        <f>IF(N613="","",IF(Q613="Sí",ROUND(N613/1.18,2),N613))</f>
        <v/>
      </c>
      <c r="S613" s="7" t="inlineStr">
        <is>
          <t>2026-09-09</t>
        </is>
      </c>
      <c r="T613" s="5" t="inlineStr">
        <is>
          <t>1 cotización de proveedores</t>
        </is>
      </c>
    </row>
    <row r="614">
      <c r="A614" s="7" t="inlineStr">
        <is>
          <t>MAT-22-004</t>
        </is>
      </c>
      <c r="B614" s="7" t="inlineStr">
        <is>
          <t>Materiales</t>
        </is>
      </c>
      <c r="C614" s="7" t="inlineStr">
        <is>
          <t>Cerramiento perimetral</t>
        </is>
      </c>
      <c r="D614" s="5" t="inlineStr">
        <is>
          <t>Malla ciclónica calibre 9 revestida en PVC, 6 pies de alto, rollo de 50 pies</t>
        </is>
      </c>
      <c r="E614" s="5" t="inlineStr">
        <is>
          <t>Malla de alambre galvanizado tejido en rombo · calibre 9 con revestimiento de PVC · 6 pies de alto · rollo de 50 pies</t>
        </is>
      </c>
      <c r="F614" s="5" t="inlineStr">
        <is>
          <t>Material retirado en almacén</t>
        </is>
      </c>
      <c r="G614" s="5" t="inlineStr">
        <is>
          <t>malla ciclónica, verja de alambre, cyclone</t>
        </is>
      </c>
      <c r="H614" s="7" t="inlineStr">
        <is>
          <t>rollo</t>
        </is>
      </c>
      <c r="I614" s="7" t="inlineStr">
        <is>
          <t>Exteriores</t>
        </is>
      </c>
      <c r="J614" s="7" t="inlineStr">
        <is>
          <t>estandar</t>
        </is>
      </c>
      <c r="K614" s="7" t="inlineStr">
        <is>
          <t>importado</t>
        </is>
      </c>
      <c r="L614" s="7" t="inlineStr">
        <is>
          <t>Verificado</t>
        </is>
      </c>
      <c r="M614" s="8" t="n">
        <v>2</v>
      </c>
      <c r="N614" s="9" t="n">
        <v>13223.83</v>
      </c>
      <c r="O614" s="9" t="n">
        <v>11757.65</v>
      </c>
      <c r="P614" s="9" t="n">
        <v>14690</v>
      </c>
      <c r="Q614" s="7" t="inlineStr">
        <is>
          <t>Sí</t>
        </is>
      </c>
      <c r="R614" s="9">
        <f>IF(N614="","",IF(Q614="Sí",ROUND(N614/1.18,2),N614))</f>
        <v/>
      </c>
      <c r="S614" s="7" t="inlineStr">
        <is>
          <t>2026-09-09</t>
        </is>
      </c>
      <c r="T614" s="5" t="inlineStr">
        <is>
          <t>2 cotizaciones de proveedores</t>
        </is>
      </c>
    </row>
    <row r="615">
      <c r="A615" s="7" t="inlineStr">
        <is>
          <t>MAT-22-005</t>
        </is>
      </c>
      <c r="B615" s="7" t="inlineStr">
        <is>
          <t>Materiales</t>
        </is>
      </c>
      <c r="C615" s="7" t="inlineStr">
        <is>
          <t>Cerramiento perimetral</t>
        </is>
      </c>
      <c r="D615" s="5" t="inlineStr">
        <is>
          <t>Malla ciclónica calibre 9, 8 pies de alto, rollo de 50 pies</t>
        </is>
      </c>
      <c r="E615" s="5" t="inlineStr">
        <is>
          <t>Malla de alambre galvanizado tejido en rombo · calibre 9 · 8 pies de alto · rollo de 50 pies</t>
        </is>
      </c>
      <c r="F615" s="5" t="inlineStr">
        <is>
          <t>Material retirado en almacén</t>
        </is>
      </c>
      <c r="G615" s="5" t="inlineStr">
        <is>
          <t>malla ciclónica, verja de alambre, cyclone</t>
        </is>
      </c>
      <c r="H615" s="7" t="inlineStr">
        <is>
          <t>rollo</t>
        </is>
      </c>
      <c r="I615" s="7" t="inlineStr">
        <is>
          <t>Exteriores</t>
        </is>
      </c>
      <c r="J615" s="7" t="inlineStr">
        <is>
          <t>estandar</t>
        </is>
      </c>
      <c r="K615" s="7" t="inlineStr">
        <is>
          <t>importado</t>
        </is>
      </c>
      <c r="L615" s="7" t="inlineStr">
        <is>
          <t>Verificado</t>
        </is>
      </c>
      <c r="M615" s="8" t="n">
        <v>1</v>
      </c>
      <c r="N615" s="9" t="n">
        <v>13273.54</v>
      </c>
      <c r="O615" s="9" t="n">
        <v>13273.54</v>
      </c>
      <c r="P615" s="9" t="n">
        <v>13273.54</v>
      </c>
      <c r="Q615" s="7" t="inlineStr">
        <is>
          <t>Sí</t>
        </is>
      </c>
      <c r="R615" s="9">
        <f>IF(N615="","",IF(Q615="Sí",ROUND(N615/1.18,2),N615))</f>
        <v/>
      </c>
      <c r="S615" s="7" t="inlineStr">
        <is>
          <t>2026-09-09</t>
        </is>
      </c>
      <c r="T615" s="5" t="inlineStr">
        <is>
          <t>1 cotización de proveedores</t>
        </is>
      </c>
    </row>
    <row r="616">
      <c r="A616" s="7" t="inlineStr">
        <is>
          <t>MAT-22-006</t>
        </is>
      </c>
      <c r="B616" s="7" t="inlineStr">
        <is>
          <t>Materiales</t>
        </is>
      </c>
      <c r="C616" s="7" t="inlineStr">
        <is>
          <t>Cerramiento perimetral</t>
        </is>
      </c>
      <c r="D616" s="5" t="inlineStr">
        <is>
          <t>Tubo galvanizado para malla ciclónica 1 1/4" x 20 pies</t>
        </is>
      </c>
      <c r="E616" s="5" t="inlineStr">
        <is>
          <t>Poste tubular galvanizado para cerramiento · 1 1/4" · tramo de 20 pies</t>
        </is>
      </c>
      <c r="F616" s="5" t="inlineStr">
        <is>
          <t>Material retirado en almacén</t>
        </is>
      </c>
      <c r="G616" s="5" t="inlineStr">
        <is>
          <t>poste de malla, tubo de verja</t>
        </is>
      </c>
      <c r="H616" s="7" t="inlineStr">
        <is>
          <t>unidad</t>
        </is>
      </c>
      <c r="I616" s="7" t="inlineStr">
        <is>
          <t>Exteriores</t>
        </is>
      </c>
      <c r="J616" s="7" t="inlineStr">
        <is>
          <t>estandar</t>
        </is>
      </c>
      <c r="K616" s="7" t="inlineStr">
        <is>
          <t>importado</t>
        </is>
      </c>
      <c r="L616" s="7" t="inlineStr">
        <is>
          <t>Verificado</t>
        </is>
      </c>
      <c r="M616" s="8" t="n">
        <v>2</v>
      </c>
      <c r="N616" s="9" t="n">
        <v>628.53</v>
      </c>
      <c r="O616" s="9" t="n">
        <v>527.0599999999999</v>
      </c>
      <c r="P616" s="9" t="n">
        <v>730</v>
      </c>
      <c r="Q616" s="7" t="inlineStr">
        <is>
          <t>Sí</t>
        </is>
      </c>
      <c r="R616" s="9">
        <f>IF(N616="","",IF(Q616="Sí",ROUND(N616/1.18,2),N616))</f>
        <v/>
      </c>
      <c r="S616" s="7" t="inlineStr">
        <is>
          <t>2026-09-09</t>
        </is>
      </c>
      <c r="T616" s="5" t="inlineStr">
        <is>
          <t>2 cotizaciones de proveedores</t>
        </is>
      </c>
    </row>
    <row r="617">
      <c r="A617" s="7" t="inlineStr">
        <is>
          <t>MAT-22-007</t>
        </is>
      </c>
      <c r="B617" s="7" t="inlineStr">
        <is>
          <t>Materiales</t>
        </is>
      </c>
      <c r="C617" s="7" t="inlineStr">
        <is>
          <t>Cerramiento perimetral</t>
        </is>
      </c>
      <c r="D617" s="5" t="inlineStr">
        <is>
          <t>Tubo galvanizado para malla ciclónica 1 1/2" x 15 pies</t>
        </is>
      </c>
      <c r="E617" s="5" t="inlineStr">
        <is>
          <t>Poste tubular galvanizado para cerramiento · 1 1/2" · tramo de 15 pies</t>
        </is>
      </c>
      <c r="F617" s="5" t="inlineStr">
        <is>
          <t>Material retirado en almacén</t>
        </is>
      </c>
      <c r="G617" s="5" t="inlineStr">
        <is>
          <t>poste de malla, tubo de verja</t>
        </is>
      </c>
      <c r="H617" s="7" t="inlineStr">
        <is>
          <t>unidad</t>
        </is>
      </c>
      <c r="I617" s="7" t="inlineStr">
        <is>
          <t>Exteriores</t>
        </is>
      </c>
      <c r="J617" s="7" t="inlineStr">
        <is>
          <t>estandar</t>
        </is>
      </c>
      <c r="K617" s="7" t="inlineStr">
        <is>
          <t>importado</t>
        </is>
      </c>
      <c r="L617" s="7" t="inlineStr">
        <is>
          <t>Verificado</t>
        </is>
      </c>
      <c r="M617" s="8" t="n">
        <v>2</v>
      </c>
      <c r="N617" s="9" t="n">
        <v>543.8099999999999</v>
      </c>
      <c r="O617" s="9" t="n">
        <v>462.61</v>
      </c>
      <c r="P617" s="9" t="n">
        <v>625</v>
      </c>
      <c r="Q617" s="7" t="inlineStr">
        <is>
          <t>Sí</t>
        </is>
      </c>
      <c r="R617" s="9">
        <f>IF(N617="","",IF(Q617="Sí",ROUND(N617/1.18,2),N617))</f>
        <v/>
      </c>
      <c r="S617" s="7" t="inlineStr">
        <is>
          <t>2026-09-09</t>
        </is>
      </c>
      <c r="T617" s="5" t="inlineStr">
        <is>
          <t>2 cotizaciones de proveedores</t>
        </is>
      </c>
    </row>
    <row r="618">
      <c r="A618" s="7" t="inlineStr">
        <is>
          <t>MAT-22-008</t>
        </is>
      </c>
      <c r="B618" s="7" t="inlineStr">
        <is>
          <t>Materiales</t>
        </is>
      </c>
      <c r="C618" s="7" t="inlineStr">
        <is>
          <t>Cerramiento perimetral</t>
        </is>
      </c>
      <c r="D618" s="5" t="inlineStr">
        <is>
          <t>Tubo galvanizado para malla ciclónica 2" x 20 pies</t>
        </is>
      </c>
      <c r="E618" s="5" t="inlineStr">
        <is>
          <t>Poste tubular galvanizado para cerramiento · 2" · tramo de 20 pies</t>
        </is>
      </c>
      <c r="F618" s="5" t="inlineStr">
        <is>
          <t>Material retirado en almacén</t>
        </is>
      </c>
      <c r="G618" s="5" t="inlineStr">
        <is>
          <t>poste de malla, tubo de verja</t>
        </is>
      </c>
      <c r="H618" s="7" t="inlineStr">
        <is>
          <t>unidad</t>
        </is>
      </c>
      <c r="I618" s="7" t="inlineStr">
        <is>
          <t>Exteriores</t>
        </is>
      </c>
      <c r="J618" s="7" t="inlineStr">
        <is>
          <t>estandar</t>
        </is>
      </c>
      <c r="K618" s="7" t="inlineStr">
        <is>
          <t>importado</t>
        </is>
      </c>
      <c r="L618" s="7" t="inlineStr">
        <is>
          <t>Verificado</t>
        </is>
      </c>
      <c r="M618" s="8" t="n">
        <v>1</v>
      </c>
      <c r="N618" s="9" t="n">
        <v>699.92</v>
      </c>
      <c r="O618" s="9" t="n">
        <v>699.92</v>
      </c>
      <c r="P618" s="9" t="n">
        <v>699.92</v>
      </c>
      <c r="Q618" s="7" t="inlineStr">
        <is>
          <t>Sí</t>
        </is>
      </c>
      <c r="R618" s="9">
        <f>IF(N618="","",IF(Q618="Sí",ROUND(N618/1.18,2),N618))</f>
        <v/>
      </c>
      <c r="S618" s="7" t="inlineStr">
        <is>
          <t>2026-09-09</t>
        </is>
      </c>
      <c r="T618" s="5" t="inlineStr">
        <is>
          <t>1 cotización de proveedores</t>
        </is>
      </c>
    </row>
    <row r="619">
      <c r="A619" s="7" t="inlineStr">
        <is>
          <t>MAT-22-009</t>
        </is>
      </c>
      <c r="B619" s="7" t="inlineStr">
        <is>
          <t>Materiales</t>
        </is>
      </c>
      <c r="C619" s="7" t="inlineStr">
        <is>
          <t>Cerramiento perimetral</t>
        </is>
      </c>
      <c r="D619" s="5" t="inlineStr">
        <is>
          <t>Malla ciclónica calibre 11, 3 pies de alto, rollo de 50 pies</t>
        </is>
      </c>
      <c r="E619" s="5" t="inlineStr">
        <is>
          <t>Malla de alambre galvanizado tejido en rombo · calibre 11 · 3 pies de alto · rollo de 50 pies</t>
        </is>
      </c>
      <c r="F619" s="5" t="inlineStr">
        <is>
          <t>Material retirado en almacén</t>
        </is>
      </c>
      <c r="G619" s="5" t="inlineStr">
        <is>
          <t>malla ciclónica, verja de alambre, cyclone</t>
        </is>
      </c>
      <c r="H619" s="7" t="inlineStr">
        <is>
          <t>rollo</t>
        </is>
      </c>
      <c r="I619" s="7" t="inlineStr">
        <is>
          <t>Exteriores</t>
        </is>
      </c>
      <c r="J619" s="7" t="inlineStr">
        <is>
          <t>estandar</t>
        </is>
      </c>
      <c r="K619" s="7" t="inlineStr">
        <is>
          <t>importado</t>
        </is>
      </c>
      <c r="L619" s="7" t="inlineStr">
        <is>
          <t>Verificado</t>
        </is>
      </c>
      <c r="M619" s="8" t="n">
        <v>1</v>
      </c>
      <c r="N619" s="9" t="n">
        <v>4335.91</v>
      </c>
      <c r="O619" s="9" t="n">
        <v>4335.91</v>
      </c>
      <c r="P619" s="9" t="n">
        <v>4335.91</v>
      </c>
      <c r="Q619" s="7" t="inlineStr">
        <is>
          <t>Sí</t>
        </is>
      </c>
      <c r="R619" s="9">
        <f>IF(N619="","",IF(Q619="Sí",ROUND(N619/1.18,2),N619))</f>
        <v/>
      </c>
      <c r="S619" s="7" t="inlineStr">
        <is>
          <t>2026-09-09</t>
        </is>
      </c>
      <c r="T619" s="5" t="inlineStr">
        <is>
          <t>1 cotización de proveedores</t>
        </is>
      </c>
    </row>
    <row r="620">
      <c r="A620" s="7" t="inlineStr">
        <is>
          <t>MAT-22-010</t>
        </is>
      </c>
      <c r="B620" s="7" t="inlineStr">
        <is>
          <t>Materiales</t>
        </is>
      </c>
      <c r="C620" s="7" t="inlineStr">
        <is>
          <t>Cerramiento perimetral</t>
        </is>
      </c>
      <c r="D620" s="5" t="inlineStr">
        <is>
          <t>Malla ciclónica calibre 11, 6 pies de alto, rollo de 50 pies</t>
        </is>
      </c>
      <c r="E620" s="5" t="inlineStr">
        <is>
          <t>Malla de alambre galvanizado tejido en rombo · calibre 11 · 6 pies de alto · rollo de 50 pies</t>
        </is>
      </c>
      <c r="F620" s="5" t="inlineStr">
        <is>
          <t>Material retirado en almacén</t>
        </is>
      </c>
      <c r="G620" s="5" t="inlineStr">
        <is>
          <t>malla ciclónica, verja de alambre, cyclone</t>
        </is>
      </c>
      <c r="H620" s="7" t="inlineStr">
        <is>
          <t>rollo</t>
        </is>
      </c>
      <c r="I620" s="7" t="inlineStr">
        <is>
          <t>Exteriores</t>
        </is>
      </c>
      <c r="J620" s="7" t="inlineStr">
        <is>
          <t>estandar</t>
        </is>
      </c>
      <c r="K620" s="7" t="inlineStr">
        <is>
          <t>importado</t>
        </is>
      </c>
      <c r="L620" s="7" t="inlineStr">
        <is>
          <t>Verificado</t>
        </is>
      </c>
      <c r="M620" s="8" t="n">
        <v>2</v>
      </c>
      <c r="N620" s="9" t="n">
        <v>9472.23</v>
      </c>
      <c r="O620" s="9" t="n">
        <v>8694.459999999999</v>
      </c>
      <c r="P620" s="9" t="n">
        <v>10250</v>
      </c>
      <c r="Q620" s="7" t="inlineStr">
        <is>
          <t>Sí</t>
        </is>
      </c>
      <c r="R620" s="9">
        <f>IF(N620="","",IF(Q620="Sí",ROUND(N620/1.18,2),N620))</f>
        <v/>
      </c>
      <c r="S620" s="7" t="inlineStr">
        <is>
          <t>2026-09-09</t>
        </is>
      </c>
      <c r="T620" s="5" t="inlineStr">
        <is>
          <t>2 cotizaciones de proveedores</t>
        </is>
      </c>
    </row>
    <row r="621">
      <c r="A621" s="7" t="inlineStr">
        <is>
          <t>MAT-22-011</t>
        </is>
      </c>
      <c r="B621" s="7" t="inlineStr">
        <is>
          <t>Materiales</t>
        </is>
      </c>
      <c r="C621" s="7" t="inlineStr">
        <is>
          <t>Cerramiento perimetral</t>
        </is>
      </c>
      <c r="D621" s="5" t="inlineStr">
        <is>
          <t>Alambre de púas 1.50 mm, rollo de 250 metros</t>
        </is>
      </c>
      <c r="E621" s="5" t="inlineStr">
        <is>
          <t>Alambre galvanizado con púas entrelazadas · 1.50 mm de diámetro · rollo de 250 metros</t>
        </is>
      </c>
      <c r="F621" s="5" t="inlineStr">
        <is>
          <t>Material retirado en almacén</t>
        </is>
      </c>
      <c r="G621" s="5" t="inlineStr">
        <is>
          <t>alambre de púas, púa, alambre de espino</t>
        </is>
      </c>
      <c r="H621" s="7" t="inlineStr">
        <is>
          <t>rollo</t>
        </is>
      </c>
      <c r="I621" s="7" t="inlineStr">
        <is>
          <t>Exteriores</t>
        </is>
      </c>
      <c r="J621" s="7" t="inlineStr">
        <is>
          <t>estandar</t>
        </is>
      </c>
      <c r="K621" s="7" t="inlineStr">
        <is>
          <t>importado</t>
        </is>
      </c>
      <c r="L621" s="7" t="inlineStr">
        <is>
          <t>Verificado</t>
        </is>
      </c>
      <c r="M621" s="8" t="n">
        <v>1</v>
      </c>
      <c r="N621" s="9" t="n">
        <v>2601.2</v>
      </c>
      <c r="O621" s="9" t="n">
        <v>2601.2</v>
      </c>
      <c r="P621" s="9" t="n">
        <v>2601.2</v>
      </c>
      <c r="Q621" s="7" t="inlineStr">
        <is>
          <t>Sí</t>
        </is>
      </c>
      <c r="R621" s="9">
        <f>IF(N621="","",IF(Q621="Sí",ROUND(N621/1.18,2),N621))</f>
        <v/>
      </c>
      <c r="S621" s="7" t="inlineStr">
        <is>
          <t>2026-09-09</t>
        </is>
      </c>
      <c r="T621" s="5" t="inlineStr">
        <is>
          <t>1 cotización de proveedores</t>
        </is>
      </c>
    </row>
    <row r="622">
      <c r="A622" s="7" t="inlineStr">
        <is>
          <t>MAT-22-012</t>
        </is>
      </c>
      <c r="B622" s="7" t="inlineStr">
        <is>
          <t>Materiales</t>
        </is>
      </c>
      <c r="C622" s="7" t="inlineStr">
        <is>
          <t>Cerramiento perimetral</t>
        </is>
      </c>
      <c r="D622" s="5" t="inlineStr">
        <is>
          <t>Alambre de púas calibre 15, rollo de 250 metros</t>
        </is>
      </c>
      <c r="E622" s="5" t="inlineStr">
        <is>
          <t>Alambre galvanizado con púas entrelazadas · calibre 15 · rollo de 250 metros</t>
        </is>
      </c>
      <c r="F622" s="5" t="inlineStr">
        <is>
          <t>Material retirado en almacén</t>
        </is>
      </c>
      <c r="G622" s="5" t="inlineStr">
        <is>
          <t>alambre de púas, púa, alambre de espino</t>
        </is>
      </c>
      <c r="H622" s="7" t="inlineStr">
        <is>
          <t>rollo</t>
        </is>
      </c>
      <c r="I622" s="7" t="inlineStr">
        <is>
          <t>Exteriores</t>
        </is>
      </c>
      <c r="J622" s="7" t="inlineStr">
        <is>
          <t>estandar</t>
        </is>
      </c>
      <c r="K622" s="7" t="inlineStr">
        <is>
          <t>importado</t>
        </is>
      </c>
      <c r="L622" s="7" t="inlineStr">
        <is>
          <t>Verificado</t>
        </is>
      </c>
      <c r="M622" s="8" t="n">
        <v>1</v>
      </c>
      <c r="N622" s="9" t="n">
        <v>2541.47</v>
      </c>
      <c r="O622" s="9" t="n">
        <v>2541.47</v>
      </c>
      <c r="P622" s="9" t="n">
        <v>2541.47</v>
      </c>
      <c r="Q622" s="7" t="inlineStr">
        <is>
          <t>Sí</t>
        </is>
      </c>
      <c r="R622" s="9">
        <f>IF(N622="","",IF(Q622="Sí",ROUND(N622/1.18,2),N622))</f>
        <v/>
      </c>
      <c r="S622" s="7" t="inlineStr">
        <is>
          <t>2026-09-09</t>
        </is>
      </c>
      <c r="T622" s="5" t="inlineStr">
        <is>
          <t>1 cotización de proveedores</t>
        </is>
      </c>
    </row>
    <row r="623">
      <c r="A623" s="7" t="inlineStr">
        <is>
          <t>MAT-22-013</t>
        </is>
      </c>
      <c r="B623" s="7" t="inlineStr">
        <is>
          <t>Materiales</t>
        </is>
      </c>
      <c r="C623" s="7" t="inlineStr">
        <is>
          <t>Cerramiento perimetral</t>
        </is>
      </c>
      <c r="D623" s="5" t="inlineStr">
        <is>
          <t>Alambre de púas calibre 16, rollo de 110 metros</t>
        </is>
      </c>
      <c r="E623" s="5" t="inlineStr">
        <is>
          <t>Alambre galvanizado con púas entrelazadas · calibre 16 · rollo de 110 metros</t>
        </is>
      </c>
      <c r="F623" s="5" t="inlineStr">
        <is>
          <t>Material retirado en almacén</t>
        </is>
      </c>
      <c r="G623" s="5" t="inlineStr">
        <is>
          <t>alambre de púas, púa, alambre de espino</t>
        </is>
      </c>
      <c r="H623" s="7" t="inlineStr">
        <is>
          <t>rollo</t>
        </is>
      </c>
      <c r="I623" s="7" t="inlineStr">
        <is>
          <t>Exteriores</t>
        </is>
      </c>
      <c r="J623" s="7" t="inlineStr">
        <is>
          <t>estandar</t>
        </is>
      </c>
      <c r="K623" s="7" t="inlineStr">
        <is>
          <t>importado</t>
        </is>
      </c>
      <c r="L623" s="7" t="inlineStr">
        <is>
          <t>Verificado</t>
        </is>
      </c>
      <c r="M623" s="8" t="n">
        <v>2</v>
      </c>
      <c r="N623" s="9" t="n">
        <v>904.5599999999999</v>
      </c>
      <c r="O623" s="9" t="n">
        <v>845</v>
      </c>
      <c r="P623" s="9" t="n">
        <v>964.11</v>
      </c>
      <c r="Q623" s="7" t="inlineStr">
        <is>
          <t>Sí</t>
        </is>
      </c>
      <c r="R623" s="9">
        <f>IF(N623="","",IF(Q623="Sí",ROUND(N623/1.18,2),N623))</f>
        <v/>
      </c>
      <c r="S623" s="7" t="inlineStr">
        <is>
          <t>2026-09-09</t>
        </is>
      </c>
      <c r="T623" s="5" t="inlineStr">
        <is>
          <t>2 cotizaciones de proveedores</t>
        </is>
      </c>
    </row>
    <row r="624">
      <c r="A624" s="7" t="inlineStr">
        <is>
          <t>MAT-22-014</t>
        </is>
      </c>
      <c r="B624" s="7" t="inlineStr">
        <is>
          <t>Materiales</t>
        </is>
      </c>
      <c r="C624" s="7" t="inlineStr">
        <is>
          <t>Cerramiento perimetral</t>
        </is>
      </c>
      <c r="D624" s="5" t="inlineStr">
        <is>
          <t>Alambre de púas calibre 16, rollo de 250 metros</t>
        </is>
      </c>
      <c r="E624" s="5" t="inlineStr">
        <is>
          <t>Alambre galvanizado con púas entrelazadas · calibre 16 · rollo de 250 metros</t>
        </is>
      </c>
      <c r="F624" s="5" t="inlineStr">
        <is>
          <t>Material retirado en almacén</t>
        </is>
      </c>
      <c r="G624" s="5" t="inlineStr">
        <is>
          <t>alambre de púas, púa, alambre de espino</t>
        </is>
      </c>
      <c r="H624" s="7" t="inlineStr">
        <is>
          <t>rollo</t>
        </is>
      </c>
      <c r="I624" s="7" t="inlineStr">
        <is>
          <t>Exteriores</t>
        </is>
      </c>
      <c r="J624" s="7" t="inlineStr">
        <is>
          <t>estandar</t>
        </is>
      </c>
      <c r="K624" s="7" t="inlineStr">
        <is>
          <t>importado</t>
        </is>
      </c>
      <c r="L624" s="7" t="inlineStr">
        <is>
          <t>Verificado</t>
        </is>
      </c>
      <c r="M624" s="8" t="n">
        <v>2</v>
      </c>
      <c r="N624" s="9" t="n">
        <v>2533.09</v>
      </c>
      <c r="O624" s="9" t="n">
        <v>1885</v>
      </c>
      <c r="P624" s="9" t="n">
        <v>3770</v>
      </c>
      <c r="Q624" s="7" t="inlineStr">
        <is>
          <t>Sí</t>
        </is>
      </c>
      <c r="R624" s="9">
        <f>IF(N624="","",IF(Q624="Sí",ROUND(N624/1.18,2),N624))</f>
        <v/>
      </c>
      <c r="S624" s="7" t="inlineStr">
        <is>
          <t>2026-09-09</t>
        </is>
      </c>
      <c r="T624" s="5" t="inlineStr">
        <is>
          <t>6 cotizaciones de proveedores</t>
        </is>
      </c>
    </row>
    <row r="625">
      <c r="A625" s="7" t="inlineStr">
        <is>
          <t>MAT-22-015</t>
        </is>
      </c>
      <c r="B625" s="7" t="inlineStr">
        <is>
          <t>Materiales</t>
        </is>
      </c>
      <c r="C625" s="7" t="inlineStr">
        <is>
          <t>Cerramiento perimetral</t>
        </is>
      </c>
      <c r="D625" s="5" t="inlineStr">
        <is>
          <t>Alambre de púas calibre 17, rollo de 250 metros</t>
        </is>
      </c>
      <c r="E625" s="5" t="inlineStr">
        <is>
          <t>Alambre galvanizado con púas entrelazadas · calibre 17 · rollo de 250 metros</t>
        </is>
      </c>
      <c r="F625" s="5" t="inlineStr">
        <is>
          <t>Material retirado en almacén</t>
        </is>
      </c>
      <c r="G625" s="5" t="inlineStr">
        <is>
          <t>alambre de púas, púa, alambre de espino</t>
        </is>
      </c>
      <c r="H625" s="7" t="inlineStr">
        <is>
          <t>rollo</t>
        </is>
      </c>
      <c r="I625" s="7" t="inlineStr">
        <is>
          <t>Exteriores</t>
        </is>
      </c>
      <c r="J625" s="7" t="inlineStr">
        <is>
          <t>estandar</t>
        </is>
      </c>
      <c r="K625" s="7" t="inlineStr">
        <is>
          <t>importado</t>
        </is>
      </c>
      <c r="L625" s="7" t="inlineStr">
        <is>
          <t>Verificado</t>
        </is>
      </c>
      <c r="M625" s="8" t="n">
        <v>1</v>
      </c>
      <c r="N625" s="9" t="n">
        <v>1933.36</v>
      </c>
      <c r="O625" s="9" t="n">
        <v>1933.36</v>
      </c>
      <c r="P625" s="9" t="n">
        <v>1933.36</v>
      </c>
      <c r="Q625" s="7" t="inlineStr">
        <is>
          <t>Sí</t>
        </is>
      </c>
      <c r="R625" s="9">
        <f>IF(N625="","",IF(Q625="Sí",ROUND(N625/1.18,2),N625))</f>
        <v/>
      </c>
      <c r="S625" s="7" t="inlineStr">
        <is>
          <t>2026-09-09</t>
        </is>
      </c>
      <c r="T625" s="5" t="inlineStr">
        <is>
          <t>1 cotización de proveedores</t>
        </is>
      </c>
    </row>
    <row r="626">
      <c r="A626" s="7" t="inlineStr">
        <is>
          <t>MAT-22-016</t>
        </is>
      </c>
      <c r="B626" s="7" t="inlineStr">
        <is>
          <t>Materiales</t>
        </is>
      </c>
      <c r="C626" s="7" t="inlineStr">
        <is>
          <t>Cerramiento perimetral</t>
        </is>
      </c>
      <c r="D626" s="5" t="inlineStr">
        <is>
          <t>Tela metálica calibre 16, retícula 1" x 2", 4 pies de alto</t>
        </is>
      </c>
      <c r="E626" s="5" t="inlineStr">
        <is>
          <t>Malla de alambre tejido en cuadro · calibre 16 · retícula 1" x 2" · 4 pies de alto · rollo de 100 pies</t>
        </is>
      </c>
      <c r="F626" s="5" t="inlineStr">
        <is>
          <t>Material retirado en almacén</t>
        </is>
      </c>
      <c r="G626" s="5" t="inlineStr">
        <is>
          <t>tela metálica, malla de cuadrito, tela para conejo</t>
        </is>
      </c>
      <c r="H626" s="7" t="inlineStr">
        <is>
          <t>yarda</t>
        </is>
      </c>
      <c r="I626" s="7" t="inlineStr">
        <is>
          <t>Exteriores</t>
        </is>
      </c>
      <c r="J626" s="7" t="inlineStr">
        <is>
          <t>estandar</t>
        </is>
      </c>
      <c r="K626" s="7" t="inlineStr">
        <is>
          <t>importado</t>
        </is>
      </c>
      <c r="L626" s="7" t="inlineStr">
        <is>
          <t>Verificado</t>
        </is>
      </c>
      <c r="M626" s="8" t="n">
        <v>1</v>
      </c>
      <c r="N626" s="9" t="n">
        <v>113.78</v>
      </c>
      <c r="O626" s="9" t="n">
        <v>113.78</v>
      </c>
      <c r="P626" s="9" t="n">
        <v>113.78</v>
      </c>
      <c r="Q626" s="7" t="inlineStr">
        <is>
          <t>Sí</t>
        </is>
      </c>
      <c r="R626" s="9">
        <f>IF(N626="","",IF(Q626="Sí",ROUND(N626/1.18,2),N626))</f>
        <v/>
      </c>
      <c r="S626" s="7" t="inlineStr">
        <is>
          <t>2026-09-09</t>
        </is>
      </c>
      <c r="T626" s="5" t="inlineStr">
        <is>
          <t>1 cotización de proveedores</t>
        </is>
      </c>
    </row>
    <row r="627">
      <c r="A627" s="7" t="inlineStr">
        <is>
          <t>MAT-22-017</t>
        </is>
      </c>
      <c r="B627" s="7" t="inlineStr">
        <is>
          <t>Materiales</t>
        </is>
      </c>
      <c r="C627" s="7" t="inlineStr">
        <is>
          <t>Cerramiento perimetral</t>
        </is>
      </c>
      <c r="D627" s="5" t="inlineStr">
        <is>
          <t>Tela metálica calibre 18, retícula 1/2" x 1/2", 4 pies de alto</t>
        </is>
      </c>
      <c r="E627" s="5" t="inlineStr">
        <is>
          <t>Malla de alambre tejido en cuadro · calibre 18 · retícula 1/2" x 1/2" · 4 pies de alto · rollo de 100 pies</t>
        </is>
      </c>
      <c r="F627" s="5" t="inlineStr">
        <is>
          <t>Material retirado en almacén</t>
        </is>
      </c>
      <c r="G627" s="5" t="inlineStr">
        <is>
          <t>tela metálica, malla de cuadrito, tela para conejo</t>
        </is>
      </c>
      <c r="H627" s="7" t="inlineStr">
        <is>
          <t>yarda</t>
        </is>
      </c>
      <c r="I627" s="7" t="inlineStr">
        <is>
          <t>Exteriores</t>
        </is>
      </c>
      <c r="J627" s="7" t="inlineStr">
        <is>
          <t>estandar</t>
        </is>
      </c>
      <c r="K627" s="7" t="inlineStr">
        <is>
          <t>importado</t>
        </is>
      </c>
      <c r="L627" s="7" t="inlineStr">
        <is>
          <t>Verificado</t>
        </is>
      </c>
      <c r="M627" s="8" t="n">
        <v>1</v>
      </c>
      <c r="N627" s="9" t="n">
        <v>192.26</v>
      </c>
      <c r="O627" s="9" t="n">
        <v>192.26</v>
      </c>
      <c r="P627" s="9" t="n">
        <v>192.26</v>
      </c>
      <c r="Q627" s="7" t="inlineStr">
        <is>
          <t>Sí</t>
        </is>
      </c>
      <c r="R627" s="9">
        <f>IF(N627="","",IF(Q627="Sí",ROUND(N627/1.18,2),N627))</f>
        <v/>
      </c>
      <c r="S627" s="7" t="inlineStr">
        <is>
          <t>2026-09-09</t>
        </is>
      </c>
      <c r="T627" s="5" t="inlineStr">
        <is>
          <t>1 cotización de proveedores</t>
        </is>
      </c>
    </row>
    <row r="628">
      <c r="A628" s="7" t="inlineStr">
        <is>
          <t>MAT-22-018</t>
        </is>
      </c>
      <c r="B628" s="7" t="inlineStr">
        <is>
          <t>Materiales</t>
        </is>
      </c>
      <c r="C628" s="7" t="inlineStr">
        <is>
          <t>Cerramiento perimetral</t>
        </is>
      </c>
      <c r="D628" s="5" t="inlineStr">
        <is>
          <t>Tela metálica calibre 18, retícula 1" x 1/2", 3 pies de alto</t>
        </is>
      </c>
      <c r="E628" s="5" t="inlineStr">
        <is>
          <t>Malla de alambre tejido en cuadro · calibre 18 · retícula 1" x 1/2" · 3 pies de alto · rollo de 100 pies</t>
        </is>
      </c>
      <c r="F628" s="5" t="inlineStr">
        <is>
          <t>Material retirado en almacén</t>
        </is>
      </c>
      <c r="G628" s="5" t="inlineStr">
        <is>
          <t>tela metálica, malla de cuadrito, tela para conejo</t>
        </is>
      </c>
      <c r="H628" s="7" t="inlineStr">
        <is>
          <t>yarda</t>
        </is>
      </c>
      <c r="I628" s="7" t="inlineStr">
        <is>
          <t>Exteriores</t>
        </is>
      </c>
      <c r="J628" s="7" t="inlineStr">
        <is>
          <t>estandar</t>
        </is>
      </c>
      <c r="K628" s="7" t="inlineStr">
        <is>
          <t>importado</t>
        </is>
      </c>
      <c r="L628" s="7" t="inlineStr">
        <is>
          <t>Verificado</t>
        </is>
      </c>
      <c r="M628" s="8" t="n">
        <v>1</v>
      </c>
      <c r="N628" s="9" t="n">
        <v>106.11</v>
      </c>
      <c r="O628" s="9" t="n">
        <v>106.11</v>
      </c>
      <c r="P628" s="9" t="n">
        <v>106.11</v>
      </c>
      <c r="Q628" s="7" t="inlineStr">
        <is>
          <t>Sí</t>
        </is>
      </c>
      <c r="R628" s="9">
        <f>IF(N628="","",IF(Q628="Sí",ROUND(N628/1.18,2),N628))</f>
        <v/>
      </c>
      <c r="S628" s="7" t="inlineStr">
        <is>
          <t>2026-09-09</t>
        </is>
      </c>
      <c r="T628" s="5" t="inlineStr">
        <is>
          <t>1 cotización de proveedores</t>
        </is>
      </c>
    </row>
    <row r="629">
      <c r="A629" s="7" t="inlineStr">
        <is>
          <t>MAT-22-019</t>
        </is>
      </c>
      <c r="B629" s="7" t="inlineStr">
        <is>
          <t>Materiales</t>
        </is>
      </c>
      <c r="C629" s="7" t="inlineStr">
        <is>
          <t>Cerramiento perimetral</t>
        </is>
      </c>
      <c r="D629" s="5" t="inlineStr">
        <is>
          <t>Tela metálica calibre 18, retícula 1" x 1/2", 4 pies de alto</t>
        </is>
      </c>
      <c r="E629" s="5" t="inlineStr">
        <is>
          <t>Malla de alambre tejido en cuadro · calibre 18 · retícula 1" x 1/2" · 4 pies de alto · rollo de 100 pies</t>
        </is>
      </c>
      <c r="F629" s="5" t="inlineStr">
        <is>
          <t>Material retirado en almacén</t>
        </is>
      </c>
      <c r="G629" s="5" t="inlineStr">
        <is>
          <t>tela metálica, malla de cuadrito, tela para conejo</t>
        </is>
      </c>
      <c r="H629" s="7" t="inlineStr">
        <is>
          <t>yarda</t>
        </is>
      </c>
      <c r="I629" s="7" t="inlineStr">
        <is>
          <t>Exteriores</t>
        </is>
      </c>
      <c r="J629" s="7" t="inlineStr">
        <is>
          <t>estandar</t>
        </is>
      </c>
      <c r="K629" s="7" t="inlineStr">
        <is>
          <t>importado</t>
        </is>
      </c>
      <c r="L629" s="7" t="inlineStr">
        <is>
          <t>Verificado</t>
        </is>
      </c>
      <c r="M629" s="8" t="n">
        <v>1</v>
      </c>
      <c r="N629" s="9" t="n">
        <v>145.1</v>
      </c>
      <c r="O629" s="9" t="n">
        <v>145.1</v>
      </c>
      <c r="P629" s="9" t="n">
        <v>145.1</v>
      </c>
      <c r="Q629" s="7" t="inlineStr">
        <is>
          <t>Sí</t>
        </is>
      </c>
      <c r="R629" s="9">
        <f>IF(N629="","",IF(Q629="Sí",ROUND(N629/1.18,2),N629))</f>
        <v/>
      </c>
      <c r="S629" s="7" t="inlineStr">
        <is>
          <t>2026-09-09</t>
        </is>
      </c>
      <c r="T629" s="5" t="inlineStr">
        <is>
          <t>1 cotización de proveedores</t>
        </is>
      </c>
    </row>
    <row r="630">
      <c r="A630" s="7" t="inlineStr">
        <is>
          <t>MAT-22-020</t>
        </is>
      </c>
      <c r="B630" s="7" t="inlineStr">
        <is>
          <t>Materiales</t>
        </is>
      </c>
      <c r="C630" s="7" t="inlineStr">
        <is>
          <t>Cerramiento perimetral</t>
        </is>
      </c>
      <c r="D630" s="5" t="inlineStr">
        <is>
          <t>Tela metálica calibre 20, retícula 1" x 2", 3 pies de alto</t>
        </is>
      </c>
      <c r="E630" s="5" t="inlineStr">
        <is>
          <t>Malla de alambre tejido en cuadro · calibre 20 · retícula 1" x 2" · 3 pies de alto · rollo de 100 pies</t>
        </is>
      </c>
      <c r="F630" s="5" t="inlineStr">
        <is>
          <t>Material retirado en almacén</t>
        </is>
      </c>
      <c r="G630" s="5" t="inlineStr">
        <is>
          <t>tela metálica, malla de cuadrito, tela para conejo</t>
        </is>
      </c>
      <c r="H630" s="7" t="inlineStr">
        <is>
          <t>yarda</t>
        </is>
      </c>
      <c r="I630" s="7" t="inlineStr">
        <is>
          <t>Exteriores</t>
        </is>
      </c>
      <c r="J630" s="7" t="inlineStr">
        <is>
          <t>estandar</t>
        </is>
      </c>
      <c r="K630" s="7" t="inlineStr">
        <is>
          <t>importado</t>
        </is>
      </c>
      <c r="L630" s="7" t="inlineStr">
        <is>
          <t>Verificado</t>
        </is>
      </c>
      <c r="M630" s="8" t="n">
        <v>1</v>
      </c>
      <c r="N630" s="9" t="n">
        <v>37.54</v>
      </c>
      <c r="O630" s="9" t="n">
        <v>37.54</v>
      </c>
      <c r="P630" s="9" t="n">
        <v>37.54</v>
      </c>
      <c r="Q630" s="7" t="inlineStr">
        <is>
          <t>Sí</t>
        </is>
      </c>
      <c r="R630" s="9">
        <f>IF(N630="","",IF(Q630="Sí",ROUND(N630/1.18,2),N630))</f>
        <v/>
      </c>
      <c r="S630" s="7" t="inlineStr">
        <is>
          <t>2026-09-09</t>
        </is>
      </c>
      <c r="T630" s="5" t="inlineStr">
        <is>
          <t>1 cotización de proveedores</t>
        </is>
      </c>
    </row>
    <row r="631">
      <c r="A631" s="7" t="inlineStr">
        <is>
          <t>MAT-22-021</t>
        </is>
      </c>
      <c r="B631" s="7" t="inlineStr">
        <is>
          <t>Materiales</t>
        </is>
      </c>
      <c r="C631" s="7" t="inlineStr">
        <is>
          <t>Cerramiento perimetral</t>
        </is>
      </c>
      <c r="D631" s="5" t="inlineStr">
        <is>
          <t>Tela metálica calibre 21, retícula 3/8" x 3/8", 3 pies de alto</t>
        </is>
      </c>
      <c r="E631" s="5" t="inlineStr">
        <is>
          <t>Malla de alambre tejido en cuadro · calibre 21 · retícula 3/8" x 3/8" · 3 pies de alto · rollo de 100 pies</t>
        </is>
      </c>
      <c r="F631" s="5" t="inlineStr">
        <is>
          <t>Material retirado en almacén</t>
        </is>
      </c>
      <c r="G631" s="5" t="inlineStr">
        <is>
          <t>tela metálica, malla de cuadrito, tela para conejo</t>
        </is>
      </c>
      <c r="H631" s="7" t="inlineStr">
        <is>
          <t>yarda</t>
        </is>
      </c>
      <c r="I631" s="7" t="inlineStr">
        <is>
          <t>Exteriores</t>
        </is>
      </c>
      <c r="J631" s="7" t="inlineStr">
        <is>
          <t>estandar</t>
        </is>
      </c>
      <c r="K631" s="7" t="inlineStr">
        <is>
          <t>importado</t>
        </is>
      </c>
      <c r="L631" s="7" t="inlineStr">
        <is>
          <t>Verificado</t>
        </is>
      </c>
      <c r="M631" s="8" t="n">
        <v>1</v>
      </c>
      <c r="N631" s="9" t="n">
        <v>72.61</v>
      </c>
      <c r="O631" s="9" t="n">
        <v>72.61</v>
      </c>
      <c r="P631" s="9" t="n">
        <v>72.61</v>
      </c>
      <c r="Q631" s="7" t="inlineStr">
        <is>
          <t>Sí</t>
        </is>
      </c>
      <c r="R631" s="9">
        <f>IF(N631="","",IF(Q631="Sí",ROUND(N631/1.18,2),N631))</f>
        <v/>
      </c>
      <c r="S631" s="7" t="inlineStr">
        <is>
          <t>2026-09-09</t>
        </is>
      </c>
      <c r="T631" s="5" t="inlineStr">
        <is>
          <t>1 cotización de proveedores</t>
        </is>
      </c>
    </row>
    <row r="632">
      <c r="A632" s="7" t="inlineStr">
        <is>
          <t>MAT-22-022</t>
        </is>
      </c>
      <c r="B632" s="7" t="inlineStr">
        <is>
          <t>Materiales</t>
        </is>
      </c>
      <c r="C632" s="7" t="inlineStr">
        <is>
          <t>Cerramiento perimetral</t>
        </is>
      </c>
      <c r="D632" s="5" t="inlineStr">
        <is>
          <t>Tela para gallinero calibre 19, 3 pies de alto</t>
        </is>
      </c>
      <c r="E632" s="5" t="inlineStr">
        <is>
          <t>Malla hexagonal galvanizada · calibre 19 · 3 pies de alto · rollo de 100 pies</t>
        </is>
      </c>
      <c r="F632" s="5" t="inlineStr">
        <is>
          <t>Material retirado en almacén</t>
        </is>
      </c>
      <c r="G632" s="5" t="inlineStr">
        <is>
          <t>tela de gallinero, malla hexagonal</t>
        </is>
      </c>
      <c r="H632" s="7" t="inlineStr">
        <is>
          <t>yarda</t>
        </is>
      </c>
      <c r="I632" s="7" t="inlineStr">
        <is>
          <t>Exteriores</t>
        </is>
      </c>
      <c r="J632" s="7" t="inlineStr">
        <is>
          <t>estandar</t>
        </is>
      </c>
      <c r="K632" s="7" t="inlineStr">
        <is>
          <t>importado</t>
        </is>
      </c>
      <c r="L632" s="7" t="inlineStr">
        <is>
          <t>Verificado</t>
        </is>
      </c>
      <c r="M632" s="8" t="n">
        <v>1</v>
      </c>
      <c r="N632" s="9" t="n">
        <v>54.04</v>
      </c>
      <c r="O632" s="9" t="n">
        <v>54.04</v>
      </c>
      <c r="P632" s="9" t="n">
        <v>54.04</v>
      </c>
      <c r="Q632" s="7" t="inlineStr">
        <is>
          <t>Sí</t>
        </is>
      </c>
      <c r="R632" s="9">
        <f>IF(N632="","",IF(Q632="Sí",ROUND(N632/1.18,2),N632))</f>
        <v/>
      </c>
      <c r="S632" s="7" t="inlineStr">
        <is>
          <t>2026-09-09</t>
        </is>
      </c>
      <c r="T632" s="5" t="inlineStr">
        <is>
          <t>1 cotización de proveedores</t>
        </is>
      </c>
    </row>
    <row r="633">
      <c r="A633" s="7" t="inlineStr">
        <is>
          <t>MAT-22-023</t>
        </is>
      </c>
      <c r="B633" s="7" t="inlineStr">
        <is>
          <t>Materiales</t>
        </is>
      </c>
      <c r="C633" s="7" t="inlineStr">
        <is>
          <t>Cerramiento perimetral</t>
        </is>
      </c>
      <c r="D633" s="5" t="inlineStr">
        <is>
          <t>Tela para gallinero calibre 20, 3 pies de alto</t>
        </is>
      </c>
      <c r="E633" s="5" t="inlineStr">
        <is>
          <t>Malla hexagonal galvanizada · calibre 20 · 3 pies de alto · rollo de 100 pies</t>
        </is>
      </c>
      <c r="F633" s="5" t="inlineStr">
        <is>
          <t>Material retirado en almacén</t>
        </is>
      </c>
      <c r="G633" s="5" t="inlineStr">
        <is>
          <t>tela de gallinero, malla hexagonal</t>
        </is>
      </c>
      <c r="H633" s="7" t="inlineStr">
        <is>
          <t>yarda</t>
        </is>
      </c>
      <c r="I633" s="7" t="inlineStr">
        <is>
          <t>Exteriores</t>
        </is>
      </c>
      <c r="J633" s="7" t="inlineStr">
        <is>
          <t>estandar</t>
        </is>
      </c>
      <c r="K633" s="7" t="inlineStr">
        <is>
          <t>importado</t>
        </is>
      </c>
      <c r="L633" s="7" t="inlineStr">
        <is>
          <t>Verificado</t>
        </is>
      </c>
      <c r="M633" s="8" t="n">
        <v>1</v>
      </c>
      <c r="N633" s="9" t="n">
        <v>46.53</v>
      </c>
      <c r="O633" s="9" t="n">
        <v>46.53</v>
      </c>
      <c r="P633" s="9" t="n">
        <v>46.53</v>
      </c>
      <c r="Q633" s="7" t="inlineStr">
        <is>
          <t>Sí</t>
        </is>
      </c>
      <c r="R633" s="9">
        <f>IF(N633="","",IF(Q633="Sí",ROUND(N633/1.18,2),N633))</f>
        <v/>
      </c>
      <c r="S633" s="7" t="inlineStr">
        <is>
          <t>2026-09-09</t>
        </is>
      </c>
      <c r="T633" s="5" t="inlineStr">
        <is>
          <t>1 cotización de proveedores</t>
        </is>
      </c>
    </row>
    <row r="634">
      <c r="A634" s="7" t="inlineStr">
        <is>
          <t>MAT-22-024</t>
        </is>
      </c>
      <c r="B634" s="7" t="inlineStr">
        <is>
          <t>Materiales</t>
        </is>
      </c>
      <c r="C634" s="7" t="inlineStr">
        <is>
          <t>Cerramiento perimetral</t>
        </is>
      </c>
      <c r="D634" s="5" t="inlineStr">
        <is>
          <t>Alambre de trinchera, 45 Mts</t>
        </is>
      </c>
      <c r="E634" s="5" t="inlineStr"/>
      <c r="F634" s="5" t="inlineStr">
        <is>
          <t>Material retirado en almacén</t>
        </is>
      </c>
      <c r="G634" s="5" t="inlineStr">
        <is>
          <t>alambre de trinchera</t>
        </is>
      </c>
      <c r="H634" s="7" t="inlineStr">
        <is>
          <t>rollo</t>
        </is>
      </c>
      <c r="I634" s="7" t="inlineStr">
        <is>
          <t>Exteriores</t>
        </is>
      </c>
      <c r="J634" s="7" t="inlineStr">
        <is>
          <t>estandar</t>
        </is>
      </c>
      <c r="K634" s="7" t="inlineStr">
        <is>
          <t>importado</t>
        </is>
      </c>
      <c r="L634" s="7" t="inlineStr">
        <is>
          <t>Verificado</t>
        </is>
      </c>
      <c r="M634" s="8" t="n">
        <v>1</v>
      </c>
      <c r="N634" s="9" t="n">
        <v>595</v>
      </c>
      <c r="O634" s="9" t="n">
        <v>595</v>
      </c>
      <c r="P634" s="9" t="n">
        <v>595</v>
      </c>
      <c r="Q634" s="7" t="inlineStr">
        <is>
          <t>Sí</t>
        </is>
      </c>
      <c r="R634" s="9">
        <f>IF(N634="","",IF(Q634="Sí",ROUND(N634/1.18,2),N634))</f>
        <v/>
      </c>
      <c r="S634" s="7" t="inlineStr">
        <is>
          <t>2026-09-09</t>
        </is>
      </c>
      <c r="T634" s="5" t="inlineStr">
        <is>
          <t>1 cotización de proveedores</t>
        </is>
      </c>
      <c r="AH634" s="4" t="inlineStr">
        <is>
          <t>45 Mts</t>
        </is>
      </c>
    </row>
    <row r="635">
      <c r="A635" s="7" t="inlineStr">
        <is>
          <t>MAT-22-025</t>
        </is>
      </c>
      <c r="B635" s="7" t="inlineStr">
        <is>
          <t>Materiales</t>
        </is>
      </c>
      <c r="C635" s="7" t="inlineStr">
        <is>
          <t>Cerramiento perimetral</t>
        </is>
      </c>
      <c r="D635" s="5" t="inlineStr">
        <is>
          <t>Protección de verja, 1mt</t>
        </is>
      </c>
      <c r="E635" s="5" t="inlineStr"/>
      <c r="F635" s="5" t="inlineStr">
        <is>
          <t>Material retirado en almacén</t>
        </is>
      </c>
      <c r="G635" s="5" t="inlineStr">
        <is>
          <t>puya, protección de verja</t>
        </is>
      </c>
      <c r="H635" s="7" t="inlineStr">
        <is>
          <t>unidad</t>
        </is>
      </c>
      <c r="I635" s="7" t="inlineStr">
        <is>
          <t>Exteriores</t>
        </is>
      </c>
      <c r="J635" s="7" t="inlineStr">
        <is>
          <t>estandar</t>
        </is>
      </c>
      <c r="K635" s="7" t="inlineStr">
        <is>
          <t>importado</t>
        </is>
      </c>
      <c r="L635" s="7" t="inlineStr">
        <is>
          <t>Verificado</t>
        </is>
      </c>
      <c r="M635" s="8" t="n">
        <v>1</v>
      </c>
      <c r="N635" s="9" t="n">
        <v>990</v>
      </c>
      <c r="O635" s="9" t="n">
        <v>985</v>
      </c>
      <c r="P635" s="9" t="n">
        <v>995</v>
      </c>
      <c r="Q635" s="7" t="inlineStr">
        <is>
          <t>Sí</t>
        </is>
      </c>
      <c r="R635" s="9">
        <f>IF(N635="","",IF(Q635="Sí",ROUND(N635/1.18,2),N635))</f>
        <v/>
      </c>
      <c r="S635" s="7" t="inlineStr">
        <is>
          <t>2026-09-09</t>
        </is>
      </c>
      <c r="T635" s="5" t="inlineStr">
        <is>
          <t>2 cotizaciones de proveedores</t>
        </is>
      </c>
      <c r="AH635" s="4" t="inlineStr">
        <is>
          <t>1mt</t>
        </is>
      </c>
    </row>
    <row r="636">
      <c r="A636" s="7" t="inlineStr">
        <is>
          <t>MAT-22-026</t>
        </is>
      </c>
      <c r="B636" s="7" t="inlineStr">
        <is>
          <t>Materiales</t>
        </is>
      </c>
      <c r="C636" s="7" t="inlineStr">
        <is>
          <t>Cerramiento perimetral</t>
        </is>
      </c>
      <c r="D636" s="5" t="inlineStr">
        <is>
          <t>Abrazadera corta para malla ciclónica 1 1/4"</t>
        </is>
      </c>
      <c r="E636" s="5" t="inlineStr">
        <is>
          <t>Herraje galvanizado de cerramiento · 1 1/4" · corta</t>
        </is>
      </c>
      <c r="F636" s="5" t="inlineStr">
        <is>
          <t>Material retirado en almacén</t>
        </is>
      </c>
      <c r="G636" s="5" t="inlineStr">
        <is>
          <t>accesorio de verja, herraje de malla ciclónica</t>
        </is>
      </c>
      <c r="H636" s="7" t="inlineStr">
        <is>
          <t>unidad</t>
        </is>
      </c>
      <c r="I636" s="7" t="inlineStr">
        <is>
          <t>Exteriores</t>
        </is>
      </c>
      <c r="J636" s="7" t="inlineStr">
        <is>
          <t>estandar</t>
        </is>
      </c>
      <c r="K636" s="7" t="inlineStr">
        <is>
          <t>importado</t>
        </is>
      </c>
      <c r="L636" s="7" t="inlineStr">
        <is>
          <t>Verificado</t>
        </is>
      </c>
      <c r="M636" s="8" t="n">
        <v>1</v>
      </c>
      <c r="N636" s="9" t="n">
        <v>16.91</v>
      </c>
      <c r="O636" s="9" t="n">
        <v>16.91</v>
      </c>
      <c r="P636" s="9" t="n">
        <v>16.91</v>
      </c>
      <c r="Q636" s="7" t="inlineStr">
        <is>
          <t>Sí</t>
        </is>
      </c>
      <c r="R636" s="9">
        <f>IF(N636="","",IF(Q636="Sí",ROUND(N636/1.18,2),N636))</f>
        <v/>
      </c>
      <c r="S636" s="7" t="inlineStr">
        <is>
          <t>2026-09-09</t>
        </is>
      </c>
      <c r="T636" s="5" t="inlineStr">
        <is>
          <t>1 cotización de proveedores</t>
        </is>
      </c>
    </row>
    <row r="637">
      <c r="A637" s="7" t="inlineStr">
        <is>
          <t>MAT-22-027</t>
        </is>
      </c>
      <c r="B637" s="7" t="inlineStr">
        <is>
          <t>Materiales</t>
        </is>
      </c>
      <c r="C637" s="7" t="inlineStr">
        <is>
          <t>Cerramiento perimetral</t>
        </is>
      </c>
      <c r="D637" s="5" t="inlineStr">
        <is>
          <t>Copa pasante para malla ciclónica 1 1/4" x 1 1/2"</t>
        </is>
      </c>
      <c r="E637" s="5" t="inlineStr">
        <is>
          <t>Herraje galvanizado de cerramiento · 1 1/4" x 1 1/2"</t>
        </is>
      </c>
      <c r="F637" s="5" t="inlineStr">
        <is>
          <t>Material retirado en almacén</t>
        </is>
      </c>
      <c r="G637" s="5" t="inlineStr">
        <is>
          <t>accesorio de verja, herraje de malla ciclónica</t>
        </is>
      </c>
      <c r="H637" s="7" t="inlineStr">
        <is>
          <t>unidad</t>
        </is>
      </c>
      <c r="I637" s="7" t="inlineStr">
        <is>
          <t>Exteriores</t>
        </is>
      </c>
      <c r="J637" s="7" t="inlineStr">
        <is>
          <t>estandar</t>
        </is>
      </c>
      <c r="K637" s="7" t="inlineStr">
        <is>
          <t>importado</t>
        </is>
      </c>
      <c r="L637" s="7" t="inlineStr">
        <is>
          <t>Verificado</t>
        </is>
      </c>
      <c r="M637" s="8" t="n">
        <v>2</v>
      </c>
      <c r="N637" s="9" t="n">
        <v>87.33</v>
      </c>
      <c r="O637" s="9" t="n">
        <v>76.66</v>
      </c>
      <c r="P637" s="9" t="n">
        <v>98</v>
      </c>
      <c r="Q637" s="7" t="inlineStr">
        <is>
          <t>Sí</t>
        </is>
      </c>
      <c r="R637" s="9">
        <f>IF(N637="","",IF(Q637="Sí",ROUND(N637/1.18,2),N637))</f>
        <v/>
      </c>
      <c r="S637" s="7" t="inlineStr">
        <is>
          <t>2026-09-09</t>
        </is>
      </c>
      <c r="T637" s="5" t="inlineStr">
        <is>
          <t>2 cotizaciones de proveedores</t>
        </is>
      </c>
    </row>
    <row r="638">
      <c r="A638" s="7" t="inlineStr">
        <is>
          <t>MAT-22-028</t>
        </is>
      </c>
      <c r="B638" s="7" t="inlineStr">
        <is>
          <t>Materiales</t>
        </is>
      </c>
      <c r="C638" s="7" t="inlineStr">
        <is>
          <t>Cerramiento perimetral</t>
        </is>
      </c>
      <c r="D638" s="5" t="inlineStr">
        <is>
          <t>Copa tensora para malla ciclónica 1 1/4"</t>
        </is>
      </c>
      <c r="E638" s="5" t="inlineStr">
        <is>
          <t>Herraje galvanizado de cerramiento · 1 1/4"</t>
        </is>
      </c>
      <c r="F638" s="5" t="inlineStr">
        <is>
          <t>Material retirado en almacén</t>
        </is>
      </c>
      <c r="G638" s="5" t="inlineStr">
        <is>
          <t>accesorio de verja, herraje de malla ciclónica</t>
        </is>
      </c>
      <c r="H638" s="7" t="inlineStr">
        <is>
          <t>unidad</t>
        </is>
      </c>
      <c r="I638" s="7" t="inlineStr">
        <is>
          <t>Exteriores</t>
        </is>
      </c>
      <c r="J638" s="7" t="inlineStr">
        <is>
          <t>estandar</t>
        </is>
      </c>
      <c r="K638" s="7" t="inlineStr">
        <is>
          <t>importado</t>
        </is>
      </c>
      <c r="L638" s="7" t="inlineStr">
        <is>
          <t>Verificado</t>
        </is>
      </c>
      <c r="M638" s="8" t="n">
        <v>1</v>
      </c>
      <c r="N638" s="9" t="n">
        <v>55.61</v>
      </c>
      <c r="O638" s="9" t="n">
        <v>55.61</v>
      </c>
      <c r="P638" s="9" t="n">
        <v>55.61</v>
      </c>
      <c r="Q638" s="7" t="inlineStr">
        <is>
          <t>Sí</t>
        </is>
      </c>
      <c r="R638" s="9">
        <f>IF(N638="","",IF(Q638="Sí",ROUND(N638/1.18,2),N638))</f>
        <v/>
      </c>
      <c r="S638" s="7" t="inlineStr">
        <is>
          <t>2026-09-09</t>
        </is>
      </c>
      <c r="T638" s="5" t="inlineStr">
        <is>
          <t>1 cotización de proveedores</t>
        </is>
      </c>
    </row>
    <row r="639">
      <c r="A639" s="7" t="inlineStr">
        <is>
          <t>MAT-22-029</t>
        </is>
      </c>
      <c r="B639" s="7" t="inlineStr">
        <is>
          <t>Materiales</t>
        </is>
      </c>
      <c r="C639" s="7" t="inlineStr">
        <is>
          <t>Cerramiento perimetral</t>
        </is>
      </c>
      <c r="D639" s="5" t="inlineStr">
        <is>
          <t>Copa terminal para malla ciclónica 1 1/4"</t>
        </is>
      </c>
      <c r="E639" s="5" t="inlineStr">
        <is>
          <t>Herraje galvanizado de cerramiento · 1 1/4"</t>
        </is>
      </c>
      <c r="F639" s="5" t="inlineStr">
        <is>
          <t>Material retirado en almacén</t>
        </is>
      </c>
      <c r="G639" s="5" t="inlineStr">
        <is>
          <t>accesorio de verja, herraje de malla ciclónica</t>
        </is>
      </c>
      <c r="H639" s="7" t="inlineStr">
        <is>
          <t>unidad</t>
        </is>
      </c>
      <c r="I639" s="7" t="inlineStr">
        <is>
          <t>Exteriores</t>
        </is>
      </c>
      <c r="J639" s="7" t="inlineStr">
        <is>
          <t>estandar</t>
        </is>
      </c>
      <c r="K639" s="7" t="inlineStr">
        <is>
          <t>importado</t>
        </is>
      </c>
      <c r="L639" s="7" t="inlineStr">
        <is>
          <t>Verificado</t>
        </is>
      </c>
      <c r="M639" s="8" t="n">
        <v>1</v>
      </c>
      <c r="N639" s="9" t="n">
        <v>36.96</v>
      </c>
      <c r="O639" s="9" t="n">
        <v>36.96</v>
      </c>
      <c r="P639" s="9" t="n">
        <v>36.96</v>
      </c>
      <c r="Q639" s="7" t="inlineStr">
        <is>
          <t>Sí</t>
        </is>
      </c>
      <c r="R639" s="9">
        <f>IF(N639="","",IF(Q639="Sí",ROUND(N639/1.18,2),N639))</f>
        <v/>
      </c>
      <c r="S639" s="7" t="inlineStr">
        <is>
          <t>2026-09-09</t>
        </is>
      </c>
      <c r="T639" s="5" t="inlineStr">
        <is>
          <t>1 cotización de proveedores</t>
        </is>
      </c>
    </row>
    <row r="640">
      <c r="A640" s="7" t="inlineStr">
        <is>
          <t>MAT-22-030</t>
        </is>
      </c>
      <c r="B640" s="7" t="inlineStr">
        <is>
          <t>Materiales</t>
        </is>
      </c>
      <c r="C640" s="7" t="inlineStr">
        <is>
          <t>Cerramiento perimetral</t>
        </is>
      </c>
      <c r="D640" s="5" t="inlineStr">
        <is>
          <t>Unión reforzada para malla ciclónica 1 1/4"</t>
        </is>
      </c>
      <c r="E640" s="5" t="inlineStr">
        <is>
          <t>Herraje galvanizado de cerramiento · 1 1/4" · reforzada</t>
        </is>
      </c>
      <c r="F640" s="5" t="inlineStr">
        <is>
          <t>Material retirado en almacén</t>
        </is>
      </c>
      <c r="G640" s="5" t="inlineStr">
        <is>
          <t>accesorio de verja, herraje de malla ciclónica</t>
        </is>
      </c>
      <c r="H640" s="7" t="inlineStr">
        <is>
          <t>unidad</t>
        </is>
      </c>
      <c r="I640" s="7" t="inlineStr">
        <is>
          <t>Exteriores</t>
        </is>
      </c>
      <c r="J640" s="7" t="inlineStr">
        <is>
          <t>estandar</t>
        </is>
      </c>
      <c r="K640" s="7" t="inlineStr">
        <is>
          <t>importado</t>
        </is>
      </c>
      <c r="L640" s="7" t="inlineStr">
        <is>
          <t>Verificado</t>
        </is>
      </c>
      <c r="M640" s="8" t="n">
        <v>1</v>
      </c>
      <c r="N640" s="9" t="n">
        <v>60.03</v>
      </c>
      <c r="O640" s="9" t="n">
        <v>60.03</v>
      </c>
      <c r="P640" s="9" t="n">
        <v>60.03</v>
      </c>
      <c r="Q640" s="7" t="inlineStr">
        <is>
          <t>Sí</t>
        </is>
      </c>
      <c r="R640" s="9">
        <f>IF(N640="","",IF(Q640="Sí",ROUND(N640/1.18,2),N640))</f>
        <v/>
      </c>
      <c r="S640" s="7" t="inlineStr">
        <is>
          <t>2026-09-09</t>
        </is>
      </c>
      <c r="T640" s="5" t="inlineStr">
        <is>
          <t>1 cotización de proveedores</t>
        </is>
      </c>
    </row>
    <row r="641">
      <c r="A641" s="7" t="inlineStr">
        <is>
          <t>MAT-22-031</t>
        </is>
      </c>
      <c r="B641" s="7" t="inlineStr">
        <is>
          <t>Materiales</t>
        </is>
      </c>
      <c r="C641" s="7" t="inlineStr">
        <is>
          <t>Cerramiento perimetral</t>
        </is>
      </c>
      <c r="D641" s="5" t="inlineStr">
        <is>
          <t>Abrazadera corta para malla ciclónica 1 1/2"</t>
        </is>
      </c>
      <c r="E641" s="5" t="inlineStr">
        <is>
          <t>Herraje galvanizado de cerramiento · 1 1/2" · corta</t>
        </is>
      </c>
      <c r="F641" s="5" t="inlineStr">
        <is>
          <t>Material retirado en almacén</t>
        </is>
      </c>
      <c r="G641" s="5" t="inlineStr">
        <is>
          <t>accesorio de verja, herraje de malla ciclónica</t>
        </is>
      </c>
      <c r="H641" s="7" t="inlineStr">
        <is>
          <t>unidad</t>
        </is>
      </c>
      <c r="I641" s="7" t="inlineStr">
        <is>
          <t>Exteriores</t>
        </is>
      </c>
      <c r="J641" s="7" t="inlineStr">
        <is>
          <t>estandar</t>
        </is>
      </c>
      <c r="K641" s="7" t="inlineStr">
        <is>
          <t>importado</t>
        </is>
      </c>
      <c r="L641" s="7" t="inlineStr">
        <is>
          <t>Verificado</t>
        </is>
      </c>
      <c r="M641" s="8" t="n">
        <v>1</v>
      </c>
      <c r="N641" s="9" t="n">
        <v>19.14</v>
      </c>
      <c r="O641" s="9" t="n">
        <v>19.14</v>
      </c>
      <c r="P641" s="9" t="n">
        <v>19.14</v>
      </c>
      <c r="Q641" s="7" t="inlineStr">
        <is>
          <t>Sí</t>
        </is>
      </c>
      <c r="R641" s="9">
        <f>IF(N641="","",IF(Q641="Sí",ROUND(N641/1.18,2),N641))</f>
        <v/>
      </c>
      <c r="S641" s="7" t="inlineStr">
        <is>
          <t>2026-09-09</t>
        </is>
      </c>
      <c r="T641" s="5" t="inlineStr">
        <is>
          <t>1 cotización de proveedores</t>
        </is>
      </c>
    </row>
    <row r="642">
      <c r="A642" s="7" t="inlineStr">
        <is>
          <t>MAT-22-032</t>
        </is>
      </c>
      <c r="B642" s="7" t="inlineStr">
        <is>
          <t>Materiales</t>
        </is>
      </c>
      <c r="C642" s="7" t="inlineStr">
        <is>
          <t>Cerramiento perimetral</t>
        </is>
      </c>
      <c r="D642" s="5" t="inlineStr">
        <is>
          <t>Abrazadera larga para malla ciclónica 1 1/2"</t>
        </is>
      </c>
      <c r="E642" s="5" t="inlineStr">
        <is>
          <t>Herraje galvanizado de cerramiento · 1 1/2" · larga</t>
        </is>
      </c>
      <c r="F642" s="5" t="inlineStr">
        <is>
          <t>Material retirado en almacén</t>
        </is>
      </c>
      <c r="G642" s="5" t="inlineStr">
        <is>
          <t>accesorio de verja, herraje de malla ciclónica</t>
        </is>
      </c>
      <c r="H642" s="7" t="inlineStr">
        <is>
          <t>unidad</t>
        </is>
      </c>
      <c r="I642" s="7" t="inlineStr">
        <is>
          <t>Exteriores</t>
        </is>
      </c>
      <c r="J642" s="7" t="inlineStr">
        <is>
          <t>estandar</t>
        </is>
      </c>
      <c r="K642" s="7" t="inlineStr">
        <is>
          <t>importado</t>
        </is>
      </c>
      <c r="L642" s="7" t="inlineStr">
        <is>
          <t>Verificado</t>
        </is>
      </c>
      <c r="M642" s="8" t="n">
        <v>2</v>
      </c>
      <c r="N642" s="9" t="n">
        <v>37.39</v>
      </c>
      <c r="O642" s="9" t="n">
        <v>28.77</v>
      </c>
      <c r="P642" s="9" t="n">
        <v>46</v>
      </c>
      <c r="Q642" s="7" t="inlineStr">
        <is>
          <t>Sí</t>
        </is>
      </c>
      <c r="R642" s="9">
        <f>IF(N642="","",IF(Q642="Sí",ROUND(N642/1.18,2),N642))</f>
        <v/>
      </c>
      <c r="S642" s="7" t="inlineStr">
        <is>
          <t>2026-09-09</t>
        </is>
      </c>
      <c r="T642" s="5" t="inlineStr">
        <is>
          <t>2 cotizaciones de proveedores</t>
        </is>
      </c>
    </row>
    <row r="643">
      <c r="A643" s="7" t="inlineStr">
        <is>
          <t>MAT-22-033</t>
        </is>
      </c>
      <c r="B643" s="7" t="inlineStr">
        <is>
          <t>Materiales</t>
        </is>
      </c>
      <c r="C643" s="7" t="inlineStr">
        <is>
          <t>Cerramiento perimetral</t>
        </is>
      </c>
      <c r="D643" s="5" t="inlineStr">
        <is>
          <t>Brazo doble para malla ciclónica 1 1/2" x 1 1/4"</t>
        </is>
      </c>
      <c r="E643" s="5" t="inlineStr">
        <is>
          <t>Herraje galvanizado de cerramiento · 1 1/2" x 1 1/4" · doble</t>
        </is>
      </c>
      <c r="F643" s="5" t="inlineStr">
        <is>
          <t>Material retirado en almacén</t>
        </is>
      </c>
      <c r="G643" s="5" t="inlineStr">
        <is>
          <t>accesorio de verja, herraje de malla ciclónica</t>
        </is>
      </c>
      <c r="H643" s="7" t="inlineStr">
        <is>
          <t>unidad</t>
        </is>
      </c>
      <c r="I643" s="7" t="inlineStr">
        <is>
          <t>Exteriores</t>
        </is>
      </c>
      <c r="J643" s="7" t="inlineStr">
        <is>
          <t>estandar</t>
        </is>
      </c>
      <c r="K643" s="7" t="inlineStr">
        <is>
          <t>importado</t>
        </is>
      </c>
      <c r="L643" s="7" t="inlineStr">
        <is>
          <t>Verificado</t>
        </is>
      </c>
      <c r="M643" s="8" t="n">
        <v>2</v>
      </c>
      <c r="N643" s="9" t="n">
        <v>232.45</v>
      </c>
      <c r="O643" s="9" t="n">
        <v>187.9</v>
      </c>
      <c r="P643" s="9" t="n">
        <v>277</v>
      </c>
      <c r="Q643" s="7" t="inlineStr">
        <is>
          <t>Sí</t>
        </is>
      </c>
      <c r="R643" s="9">
        <f>IF(N643="","",IF(Q643="Sí",ROUND(N643/1.18,2),N643))</f>
        <v/>
      </c>
      <c r="S643" s="7" t="inlineStr">
        <is>
          <t>2026-09-09</t>
        </is>
      </c>
      <c r="T643" s="5" t="inlineStr">
        <is>
          <t>2 cotizaciones de proveedores</t>
        </is>
      </c>
    </row>
    <row r="644">
      <c r="A644" s="7" t="inlineStr">
        <is>
          <t>MAT-22-034</t>
        </is>
      </c>
      <c r="B644" s="7" t="inlineStr">
        <is>
          <t>Materiales</t>
        </is>
      </c>
      <c r="C644" s="7" t="inlineStr">
        <is>
          <t>Cerramiento perimetral</t>
        </is>
      </c>
      <c r="D644" s="5" t="inlineStr">
        <is>
          <t>Brazo sencillo para malla ciclónica 1 1/2" x 1 1/4"</t>
        </is>
      </c>
      <c r="E644" s="5" t="inlineStr">
        <is>
          <t>Herraje galvanizado de cerramiento · 1 1/2" x 1 1/4" · sencillo</t>
        </is>
      </c>
      <c r="F644" s="5" t="inlineStr">
        <is>
          <t>Material retirado en almacén</t>
        </is>
      </c>
      <c r="G644" s="5" t="inlineStr">
        <is>
          <t>accesorio de verja, herraje de malla ciclónica</t>
        </is>
      </c>
      <c r="H644" s="7" t="inlineStr">
        <is>
          <t>unidad</t>
        </is>
      </c>
      <c r="I644" s="7" t="inlineStr">
        <is>
          <t>Exteriores</t>
        </is>
      </c>
      <c r="J644" s="7" t="inlineStr">
        <is>
          <t>estandar</t>
        </is>
      </c>
      <c r="K644" s="7" t="inlineStr">
        <is>
          <t>importado</t>
        </is>
      </c>
      <c r="L644" s="7" t="inlineStr">
        <is>
          <t>Verificado</t>
        </is>
      </c>
      <c r="M644" s="8" t="n">
        <v>2</v>
      </c>
      <c r="N644" s="9" t="n">
        <v>146.38</v>
      </c>
      <c r="O644" s="9" t="n">
        <v>124.76</v>
      </c>
      <c r="P644" s="9" t="n">
        <v>168</v>
      </c>
      <c r="Q644" s="7" t="inlineStr">
        <is>
          <t>Sí</t>
        </is>
      </c>
      <c r="R644" s="9">
        <f>IF(N644="","",IF(Q644="Sí",ROUND(N644/1.18,2),N644))</f>
        <v/>
      </c>
      <c r="S644" s="7" t="inlineStr">
        <is>
          <t>2026-09-09</t>
        </is>
      </c>
      <c r="T644" s="5" t="inlineStr">
        <is>
          <t>2 cotizaciones de proveedores</t>
        </is>
      </c>
    </row>
    <row r="645">
      <c r="A645" s="7" t="inlineStr">
        <is>
          <t>MAT-22-035</t>
        </is>
      </c>
      <c r="B645" s="7" t="inlineStr">
        <is>
          <t>Materiales</t>
        </is>
      </c>
      <c r="C645" s="7" t="inlineStr">
        <is>
          <t>Cerramiento perimetral</t>
        </is>
      </c>
      <c r="D645" s="5" t="inlineStr">
        <is>
          <t>Copa pasante para malla ciclónica 1 1/2" x 1 1/2"</t>
        </is>
      </c>
      <c r="E645" s="5" t="inlineStr">
        <is>
          <t>Herraje galvanizado de cerramiento · 1 1/2" x 1 1/2"</t>
        </is>
      </c>
      <c r="F645" s="5" t="inlineStr">
        <is>
          <t>Material retirado en almacén</t>
        </is>
      </c>
      <c r="G645" s="5" t="inlineStr">
        <is>
          <t>accesorio de verja, herraje de malla ciclónica</t>
        </is>
      </c>
      <c r="H645" s="7" t="inlineStr">
        <is>
          <t>unidad</t>
        </is>
      </c>
      <c r="I645" s="7" t="inlineStr">
        <is>
          <t>Exteriores</t>
        </is>
      </c>
      <c r="J645" s="7" t="inlineStr">
        <is>
          <t>estandar</t>
        </is>
      </c>
      <c r="K645" s="7" t="inlineStr">
        <is>
          <t>importado</t>
        </is>
      </c>
      <c r="L645" s="7" t="inlineStr">
        <is>
          <t>Verificado</t>
        </is>
      </c>
      <c r="M645" s="8" t="n">
        <v>1</v>
      </c>
      <c r="N645" s="9" t="n">
        <v>76.66</v>
      </c>
      <c r="O645" s="9" t="n">
        <v>76.66</v>
      </c>
      <c r="P645" s="9" t="n">
        <v>76.66</v>
      </c>
      <c r="Q645" s="7" t="inlineStr">
        <is>
          <t>Sí</t>
        </is>
      </c>
      <c r="R645" s="9">
        <f>IF(N645="","",IF(Q645="Sí",ROUND(N645/1.18,2),N645))</f>
        <v/>
      </c>
      <c r="S645" s="7" t="inlineStr">
        <is>
          <t>2026-09-09</t>
        </is>
      </c>
      <c r="T645" s="5" t="inlineStr">
        <is>
          <t>1 cotización de proveedores</t>
        </is>
      </c>
    </row>
    <row r="646">
      <c r="A646" s="7" t="inlineStr">
        <is>
          <t>MAT-22-036</t>
        </is>
      </c>
      <c r="B646" s="7" t="inlineStr">
        <is>
          <t>Materiales</t>
        </is>
      </c>
      <c r="C646" s="7" t="inlineStr">
        <is>
          <t>Cerramiento perimetral</t>
        </is>
      </c>
      <c r="D646" s="5" t="inlineStr">
        <is>
          <t>Copa terminal para malla ciclónica 1 1/2"</t>
        </is>
      </c>
      <c r="E646" s="5" t="inlineStr">
        <is>
          <t>Herraje galvanizado de cerramiento · 1 1/2"</t>
        </is>
      </c>
      <c r="F646" s="5" t="inlineStr">
        <is>
          <t>Material retirado en almacén</t>
        </is>
      </c>
      <c r="G646" s="5" t="inlineStr">
        <is>
          <t>accesorio de verja, herraje de malla ciclónica</t>
        </is>
      </c>
      <c r="H646" s="7" t="inlineStr">
        <is>
          <t>unidad</t>
        </is>
      </c>
      <c r="I646" s="7" t="inlineStr">
        <is>
          <t>Exteriores</t>
        </is>
      </c>
      <c r="J646" s="7" t="inlineStr">
        <is>
          <t>estandar</t>
        </is>
      </c>
      <c r="K646" s="7" t="inlineStr">
        <is>
          <t>importado</t>
        </is>
      </c>
      <c r="L646" s="7" t="inlineStr">
        <is>
          <t>Verificado</t>
        </is>
      </c>
      <c r="M646" s="8" t="n">
        <v>2</v>
      </c>
      <c r="N646" s="9" t="n">
        <v>83.31999999999999</v>
      </c>
      <c r="O646" s="9" t="n">
        <v>61.63</v>
      </c>
      <c r="P646" s="9" t="n">
        <v>105</v>
      </c>
      <c r="Q646" s="7" t="inlineStr">
        <is>
          <t>Sí</t>
        </is>
      </c>
      <c r="R646" s="9">
        <f>IF(N646="","",IF(Q646="Sí",ROUND(N646/1.18,2),N646))</f>
        <v/>
      </c>
      <c r="S646" s="7" t="inlineStr">
        <is>
          <t>2026-09-09</t>
        </is>
      </c>
      <c r="T646" s="5" t="inlineStr">
        <is>
          <t>2 cotizaciones de proveedores</t>
        </is>
      </c>
    </row>
    <row r="647">
      <c r="A647" s="7" t="inlineStr">
        <is>
          <t>MAT-22-037</t>
        </is>
      </c>
      <c r="B647" s="7" t="inlineStr">
        <is>
          <t>Materiales</t>
        </is>
      </c>
      <c r="C647" s="7" t="inlineStr">
        <is>
          <t>Cerramiento perimetral</t>
        </is>
      </c>
      <c r="D647" s="5" t="inlineStr">
        <is>
          <t>Abrazadera corta para malla ciclónica 2"</t>
        </is>
      </c>
      <c r="E647" s="5" t="inlineStr">
        <is>
          <t>Herraje galvanizado de cerramiento · 2" · corta</t>
        </is>
      </c>
      <c r="F647" s="5" t="inlineStr">
        <is>
          <t>Material retirado en almacén</t>
        </is>
      </c>
      <c r="G647" s="5" t="inlineStr">
        <is>
          <t>accesorio de verja, herraje de malla ciclónica</t>
        </is>
      </c>
      <c r="H647" s="7" t="inlineStr">
        <is>
          <t>unidad</t>
        </is>
      </c>
      <c r="I647" s="7" t="inlineStr">
        <is>
          <t>Exteriores</t>
        </is>
      </c>
      <c r="J647" s="7" t="inlineStr">
        <is>
          <t>estandar</t>
        </is>
      </c>
      <c r="K647" s="7" t="inlineStr">
        <is>
          <t>importado</t>
        </is>
      </c>
      <c r="L647" s="7" t="inlineStr">
        <is>
          <t>Verificado</t>
        </is>
      </c>
      <c r="M647" s="8" t="n">
        <v>1</v>
      </c>
      <c r="N647" s="9" t="n">
        <v>21.04</v>
      </c>
      <c r="O647" s="9" t="n">
        <v>21.04</v>
      </c>
      <c r="P647" s="9" t="n">
        <v>21.04</v>
      </c>
      <c r="Q647" s="7" t="inlineStr">
        <is>
          <t>Sí</t>
        </is>
      </c>
      <c r="R647" s="9">
        <f>IF(N647="","",IF(Q647="Sí",ROUND(N647/1.18,2),N647))</f>
        <v/>
      </c>
      <c r="S647" s="7" t="inlineStr">
        <is>
          <t>2026-09-09</t>
        </is>
      </c>
      <c r="T647" s="5" t="inlineStr">
        <is>
          <t>1 cotización de proveedores</t>
        </is>
      </c>
    </row>
    <row r="648">
      <c r="A648" s="7" t="inlineStr">
        <is>
          <t>MAT-22-038</t>
        </is>
      </c>
      <c r="B648" s="7" t="inlineStr">
        <is>
          <t>Materiales</t>
        </is>
      </c>
      <c r="C648" s="7" t="inlineStr">
        <is>
          <t>Cerramiento perimetral</t>
        </is>
      </c>
      <c r="D648" s="5" t="inlineStr">
        <is>
          <t>Abrazadera larga para malla ciclónica 2"</t>
        </is>
      </c>
      <c r="E648" s="5" t="inlineStr">
        <is>
          <t>Herraje galvanizado de cerramiento · 2" · larga</t>
        </is>
      </c>
      <c r="F648" s="5" t="inlineStr">
        <is>
          <t>Material retirado en almacén</t>
        </is>
      </c>
      <c r="G648" s="5" t="inlineStr">
        <is>
          <t>accesorio de verja, herraje de malla ciclónica</t>
        </is>
      </c>
      <c r="H648" s="7" t="inlineStr">
        <is>
          <t>unidad</t>
        </is>
      </c>
      <c r="I648" s="7" t="inlineStr">
        <is>
          <t>Exteriores</t>
        </is>
      </c>
      <c r="J648" s="7" t="inlineStr">
        <is>
          <t>estandar</t>
        </is>
      </c>
      <c r="K648" s="7" t="inlineStr">
        <is>
          <t>importado</t>
        </is>
      </c>
      <c r="L648" s="7" t="inlineStr">
        <is>
          <t>Verificado</t>
        </is>
      </c>
      <c r="M648" s="8" t="n">
        <v>1</v>
      </c>
      <c r="N648" s="9" t="n">
        <v>20.38</v>
      </c>
      <c r="O648" s="9" t="n">
        <v>20.38</v>
      </c>
      <c r="P648" s="9" t="n">
        <v>20.38</v>
      </c>
      <c r="Q648" s="7" t="inlineStr">
        <is>
          <t>Sí</t>
        </is>
      </c>
      <c r="R648" s="9">
        <f>IF(N648="","",IF(Q648="Sí",ROUND(N648/1.18,2),N648))</f>
        <v/>
      </c>
      <c r="S648" s="7" t="inlineStr">
        <is>
          <t>2026-09-09</t>
        </is>
      </c>
      <c r="T648" s="5" t="inlineStr">
        <is>
          <t>1 cotización de proveedores</t>
        </is>
      </c>
    </row>
    <row r="649">
      <c r="A649" s="7" t="inlineStr">
        <is>
          <t>MAT-22-039</t>
        </is>
      </c>
      <c r="B649" s="7" t="inlineStr">
        <is>
          <t>Materiales</t>
        </is>
      </c>
      <c r="C649" s="7" t="inlineStr">
        <is>
          <t>Cerramiento perimetral</t>
        </is>
      </c>
      <c r="D649" s="5" t="inlineStr">
        <is>
          <t>Brazo sencillo para malla ciclónica 2" x 1 1/4"</t>
        </is>
      </c>
      <c r="E649" s="5" t="inlineStr">
        <is>
          <t>Herraje galvanizado de cerramiento · 2" x 1 1/4" · sencillo</t>
        </is>
      </c>
      <c r="F649" s="5" t="inlineStr">
        <is>
          <t>Material retirado en almacén</t>
        </is>
      </c>
      <c r="G649" s="5" t="inlineStr">
        <is>
          <t>accesorio de verja, herraje de malla ciclónica</t>
        </is>
      </c>
      <c r="H649" s="7" t="inlineStr">
        <is>
          <t>unidad</t>
        </is>
      </c>
      <c r="I649" s="7" t="inlineStr">
        <is>
          <t>Exteriores</t>
        </is>
      </c>
      <c r="J649" s="7" t="inlineStr">
        <is>
          <t>estandar</t>
        </is>
      </c>
      <c r="K649" s="7" t="inlineStr">
        <is>
          <t>importado</t>
        </is>
      </c>
      <c r="L649" s="7" t="inlineStr">
        <is>
          <t>Verificado</t>
        </is>
      </c>
      <c r="M649" s="8" t="n">
        <v>1</v>
      </c>
      <c r="N649" s="9" t="n">
        <v>187.9</v>
      </c>
      <c r="O649" s="9" t="n">
        <v>187.9</v>
      </c>
      <c r="P649" s="9" t="n">
        <v>187.9</v>
      </c>
      <c r="Q649" s="7" t="inlineStr">
        <is>
          <t>Sí</t>
        </is>
      </c>
      <c r="R649" s="9">
        <f>IF(N649="","",IF(Q649="Sí",ROUND(N649/1.18,2),N649))</f>
        <v/>
      </c>
      <c r="S649" s="7" t="inlineStr">
        <is>
          <t>2026-09-09</t>
        </is>
      </c>
      <c r="T649" s="5" t="inlineStr">
        <is>
          <t>1 cotización de proveedores</t>
        </is>
      </c>
    </row>
    <row r="650">
      <c r="A650" s="7" t="inlineStr">
        <is>
          <t>MAT-22-040</t>
        </is>
      </c>
      <c r="B650" s="7" t="inlineStr">
        <is>
          <t>Materiales</t>
        </is>
      </c>
      <c r="C650" s="7" t="inlineStr">
        <is>
          <t>Cerramiento perimetral</t>
        </is>
      </c>
      <c r="D650" s="5" t="inlineStr">
        <is>
          <t>Brazo doble para malla ciclónica 2" x 1 1/2"</t>
        </is>
      </c>
      <c r="E650" s="5" t="inlineStr">
        <is>
          <t>Herraje galvanizado de cerramiento · 2" x 1 1/2" · doble</t>
        </is>
      </c>
      <c r="F650" s="5" t="inlineStr">
        <is>
          <t>Material retirado en almacén</t>
        </is>
      </c>
      <c r="G650" s="5" t="inlineStr">
        <is>
          <t>accesorio de verja, herraje de malla ciclónica</t>
        </is>
      </c>
      <c r="H650" s="7" t="inlineStr">
        <is>
          <t>unidad</t>
        </is>
      </c>
      <c r="I650" s="7" t="inlineStr">
        <is>
          <t>Exteriores</t>
        </is>
      </c>
      <c r="J650" s="7" t="inlineStr">
        <is>
          <t>estandar</t>
        </is>
      </c>
      <c r="K650" s="7" t="inlineStr">
        <is>
          <t>importado</t>
        </is>
      </c>
      <c r="L650" s="7" t="inlineStr">
        <is>
          <t>Verificado</t>
        </is>
      </c>
      <c r="M650" s="8" t="n">
        <v>1</v>
      </c>
      <c r="N650" s="9" t="n">
        <v>373.18</v>
      </c>
      <c r="O650" s="9" t="n">
        <v>373.18</v>
      </c>
      <c r="P650" s="9" t="n">
        <v>373.18</v>
      </c>
      <c r="Q650" s="7" t="inlineStr">
        <is>
          <t>Sí</t>
        </is>
      </c>
      <c r="R650" s="9">
        <f>IF(N650="","",IF(Q650="Sí",ROUND(N650/1.18,2),N650))</f>
        <v/>
      </c>
      <c r="S650" s="7" t="inlineStr">
        <is>
          <t>2026-09-09</t>
        </is>
      </c>
      <c r="T650" s="5" t="inlineStr">
        <is>
          <t>1 cotización de proveedores</t>
        </is>
      </c>
    </row>
    <row r="651">
      <c r="A651" s="7" t="inlineStr">
        <is>
          <t>MAT-22-041</t>
        </is>
      </c>
      <c r="B651" s="7" t="inlineStr">
        <is>
          <t>Materiales</t>
        </is>
      </c>
      <c r="C651" s="7" t="inlineStr">
        <is>
          <t>Cerramiento perimetral</t>
        </is>
      </c>
      <c r="D651" s="5" t="inlineStr">
        <is>
          <t>Copa terminal para malla ciclónica 2"</t>
        </is>
      </c>
      <c r="E651" s="5" t="inlineStr">
        <is>
          <t>Herraje galvanizado de cerramiento · 2"</t>
        </is>
      </c>
      <c r="F651" s="5" t="inlineStr">
        <is>
          <t>Material retirado en almacén</t>
        </is>
      </c>
      <c r="G651" s="5" t="inlineStr">
        <is>
          <t>accesorio de verja, herraje de malla ciclónica</t>
        </is>
      </c>
      <c r="H651" s="7" t="inlineStr">
        <is>
          <t>unidad</t>
        </is>
      </c>
      <c r="I651" s="7" t="inlineStr">
        <is>
          <t>Exteriores</t>
        </is>
      </c>
      <c r="J651" s="7" t="inlineStr">
        <is>
          <t>estandar</t>
        </is>
      </c>
      <c r="K651" s="7" t="inlineStr">
        <is>
          <t>importado</t>
        </is>
      </c>
      <c r="L651" s="7" t="inlineStr">
        <is>
          <t>Verificado</t>
        </is>
      </c>
      <c r="M651" s="8" t="n">
        <v>1</v>
      </c>
      <c r="N651" s="9" t="n">
        <v>51.11</v>
      </c>
      <c r="O651" s="9" t="n">
        <v>51.11</v>
      </c>
      <c r="P651" s="9" t="n">
        <v>51.11</v>
      </c>
      <c r="Q651" s="7" t="inlineStr">
        <is>
          <t>Sí</t>
        </is>
      </c>
      <c r="R651" s="9">
        <f>IF(N651="","",IF(Q651="Sí",ROUND(N651/1.18,2),N651))</f>
        <v/>
      </c>
      <c r="S651" s="7" t="inlineStr">
        <is>
          <t>2026-09-09</t>
        </is>
      </c>
      <c r="T651" s="5" t="inlineStr">
        <is>
          <t>1 cotización de proveedores</t>
        </is>
      </c>
    </row>
    <row r="652">
      <c r="A652" s="7" t="inlineStr">
        <is>
          <t>MAT-22-042</t>
        </is>
      </c>
      <c r="B652" s="7" t="inlineStr">
        <is>
          <t>Materiales</t>
        </is>
      </c>
      <c r="C652" s="7" t="inlineStr">
        <is>
          <t>Cerramiento perimetral</t>
        </is>
      </c>
      <c r="D652" s="5" t="inlineStr">
        <is>
          <t>Brazo para malla ciclónica 2 3/8" x 1 1/2"</t>
        </is>
      </c>
      <c r="E652" s="5" t="inlineStr">
        <is>
          <t>Herraje galvanizado de cerramiento · 2 3/8" x 1 1/2"</t>
        </is>
      </c>
      <c r="F652" s="5" t="inlineStr">
        <is>
          <t>Material retirado en almacén</t>
        </is>
      </c>
      <c r="G652" s="5" t="inlineStr">
        <is>
          <t>accesorio de verja, herraje de malla ciclónica</t>
        </is>
      </c>
      <c r="H652" s="7" t="inlineStr">
        <is>
          <t>unidad</t>
        </is>
      </c>
      <c r="I652" s="7" t="inlineStr">
        <is>
          <t>Exteriores</t>
        </is>
      </c>
      <c r="J652" s="7" t="inlineStr">
        <is>
          <t>estandar</t>
        </is>
      </c>
      <c r="K652" s="7" t="inlineStr">
        <is>
          <t>importado</t>
        </is>
      </c>
      <c r="L652" s="7" t="inlineStr">
        <is>
          <t>Verificado</t>
        </is>
      </c>
      <c r="M652" s="8" t="n">
        <v>1</v>
      </c>
      <c r="N652" s="9" t="n">
        <v>300.64</v>
      </c>
      <c r="O652" s="9" t="n">
        <v>300.64</v>
      </c>
      <c r="P652" s="9" t="n">
        <v>300.64</v>
      </c>
      <c r="Q652" s="7" t="inlineStr">
        <is>
          <t>Sí</t>
        </is>
      </c>
      <c r="R652" s="9">
        <f>IF(N652="","",IF(Q652="Sí",ROUND(N652/1.18,2),N652))</f>
        <v/>
      </c>
      <c r="S652" s="7" t="inlineStr">
        <is>
          <t>2026-09-09</t>
        </is>
      </c>
      <c r="T652" s="5" t="inlineStr">
        <is>
          <t>1 cotización de proveedores</t>
        </is>
      </c>
    </row>
    <row r="653">
      <c r="A653" s="7" t="inlineStr">
        <is>
          <t>MAT-22-043</t>
        </is>
      </c>
      <c r="B653" s="7" t="inlineStr">
        <is>
          <t>Materiales</t>
        </is>
      </c>
      <c r="C653" s="7" t="inlineStr">
        <is>
          <t>Cerramiento perimetral</t>
        </is>
      </c>
      <c r="D653" s="5" t="inlineStr">
        <is>
          <t>Copa terminal para malla ciclónica 3"</t>
        </is>
      </c>
      <c r="E653" s="5" t="inlineStr">
        <is>
          <t>Herraje galvanizado de cerramiento · 3"</t>
        </is>
      </c>
      <c r="F653" s="5" t="inlineStr">
        <is>
          <t>Material retirado en almacén</t>
        </is>
      </c>
      <c r="G653" s="5" t="inlineStr">
        <is>
          <t>accesorio de verja, herraje de malla ciclónica</t>
        </is>
      </c>
      <c r="H653" s="7" t="inlineStr">
        <is>
          <t>unidad</t>
        </is>
      </c>
      <c r="I653" s="7" t="inlineStr">
        <is>
          <t>Exteriores</t>
        </is>
      </c>
      <c r="J653" s="7" t="inlineStr">
        <is>
          <t>estandar</t>
        </is>
      </c>
      <c r="K653" s="7" t="inlineStr">
        <is>
          <t>importado</t>
        </is>
      </c>
      <c r="L653" s="7" t="inlineStr">
        <is>
          <t>Verificado</t>
        </is>
      </c>
      <c r="M653" s="8" t="n">
        <v>1</v>
      </c>
      <c r="N653" s="9" t="n">
        <v>36.5</v>
      </c>
      <c r="O653" s="9" t="n">
        <v>36.5</v>
      </c>
      <c r="P653" s="9" t="n">
        <v>36.5</v>
      </c>
      <c r="Q653" s="7" t="inlineStr">
        <is>
          <t>Sí</t>
        </is>
      </c>
      <c r="R653" s="9">
        <f>IF(N653="","",IF(Q653="Sí",ROUND(N653/1.18,2),N653))</f>
        <v/>
      </c>
      <c r="S653" s="7" t="inlineStr">
        <is>
          <t>2026-09-09</t>
        </is>
      </c>
      <c r="T653" s="5" t="inlineStr">
        <is>
          <t>1 cotización de proveedores</t>
        </is>
      </c>
    </row>
    <row r="654">
      <c r="A654" s="7" t="inlineStr">
        <is>
          <t>MAT-23-001</t>
        </is>
      </c>
      <c r="B654" s="7" t="inlineStr">
        <is>
          <t>Materiales</t>
        </is>
      </c>
      <c r="C654" s="7" t="inlineStr">
        <is>
          <t>Perfilería de aluminio</t>
        </is>
      </c>
      <c r="D654" s="5" t="inlineStr">
        <is>
          <t>Tubo redondo de aluminio 3/8" x 19.20 pies</t>
        </is>
      </c>
      <c r="E654" s="5" t="inlineStr">
        <is>
          <t>Tubería redonda de aluminio extruido · 3/8" · tramo de 19.20 pies</t>
        </is>
      </c>
      <c r="F654" s="5" t="inlineStr">
        <is>
          <t>Material retirado en almacén</t>
        </is>
      </c>
      <c r="G654" s="5" t="inlineStr">
        <is>
          <t>tubo de aluminio</t>
        </is>
      </c>
      <c r="H654" s="7" t="inlineStr">
        <is>
          <t>unidad</t>
        </is>
      </c>
      <c r="I654" s="7" t="inlineStr">
        <is>
          <t>Puertas y ventanas</t>
        </is>
      </c>
      <c r="J654" s="7" t="inlineStr">
        <is>
          <t>estandar</t>
        </is>
      </c>
      <c r="K654" s="7" t="inlineStr">
        <is>
          <t>importado</t>
        </is>
      </c>
      <c r="L654" s="7" t="inlineStr">
        <is>
          <t>Verificado</t>
        </is>
      </c>
      <c r="M654" s="8" t="n">
        <v>1</v>
      </c>
      <c r="N654" s="9" t="n">
        <v>299.9</v>
      </c>
      <c r="O654" s="9" t="n">
        <v>299.9</v>
      </c>
      <c r="P654" s="9" t="n">
        <v>299.9</v>
      </c>
      <c r="Q654" s="7" t="inlineStr">
        <is>
          <t>Sí</t>
        </is>
      </c>
      <c r="R654" s="9">
        <f>IF(N654="","",IF(Q654="Sí",ROUND(N654/1.18,2),N654))</f>
        <v/>
      </c>
      <c r="S654" s="7" t="inlineStr">
        <is>
          <t>2026-09-09</t>
        </is>
      </c>
      <c r="T654" s="5" t="inlineStr">
        <is>
          <t>1 cotización de proveedores</t>
        </is>
      </c>
    </row>
    <row r="655">
      <c r="A655" s="7" t="inlineStr">
        <is>
          <t>MAT-23-002</t>
        </is>
      </c>
      <c r="B655" s="7" t="inlineStr">
        <is>
          <t>Materiales</t>
        </is>
      </c>
      <c r="C655" s="7" t="inlineStr">
        <is>
          <t>Perfilería de aluminio</t>
        </is>
      </c>
      <c r="D655" s="5" t="inlineStr">
        <is>
          <t>Tubo redondo de aluminio 1/2" x 19.20 pies</t>
        </is>
      </c>
      <c r="E655" s="5" t="inlineStr">
        <is>
          <t>Tubería redonda de aluminio extruido · 1/2" · tramo de 19.20 pies</t>
        </is>
      </c>
      <c r="F655" s="5" t="inlineStr">
        <is>
          <t>Material retirado en almacén</t>
        </is>
      </c>
      <c r="G655" s="5" t="inlineStr">
        <is>
          <t>tubo de aluminio</t>
        </is>
      </c>
      <c r="H655" s="7" t="inlineStr">
        <is>
          <t>unidad</t>
        </is>
      </c>
      <c r="I655" s="7" t="inlineStr">
        <is>
          <t>Puertas y ventanas</t>
        </is>
      </c>
      <c r="J655" s="7" t="inlineStr">
        <is>
          <t>estandar</t>
        </is>
      </c>
      <c r="K655" s="7" t="inlineStr">
        <is>
          <t>importado</t>
        </is>
      </c>
      <c r="L655" s="7" t="inlineStr">
        <is>
          <t>Verificado</t>
        </is>
      </c>
      <c r="M655" s="8" t="n">
        <v>1</v>
      </c>
      <c r="N655" s="9" t="n">
        <v>373.61</v>
      </c>
      <c r="O655" s="9" t="n">
        <v>373.61</v>
      </c>
      <c r="P655" s="9" t="n">
        <v>373.61</v>
      </c>
      <c r="Q655" s="7" t="inlineStr">
        <is>
          <t>Sí</t>
        </is>
      </c>
      <c r="R655" s="9">
        <f>IF(N655="","",IF(Q655="Sí",ROUND(N655/1.18,2),N655))</f>
        <v/>
      </c>
      <c r="S655" s="7" t="inlineStr">
        <is>
          <t>2026-09-09</t>
        </is>
      </c>
      <c r="T655" s="5" t="inlineStr">
        <is>
          <t>1 cotización de proveedores</t>
        </is>
      </c>
    </row>
    <row r="656">
      <c r="A656" s="7" t="inlineStr">
        <is>
          <t>MAT-23-003</t>
        </is>
      </c>
      <c r="B656" s="7" t="inlineStr">
        <is>
          <t>Materiales</t>
        </is>
      </c>
      <c r="C656" s="7" t="inlineStr">
        <is>
          <t>Perfilería de aluminio</t>
        </is>
      </c>
      <c r="D656" s="5" t="inlineStr">
        <is>
          <t>Planchuela de aluminio 1/2" x 1/8" x 19.20 pies</t>
        </is>
      </c>
      <c r="E656" s="5" t="inlineStr">
        <is>
          <t>Pletina de aluminio extruido · 1/2" x 1/8" · tramo de 19.20 pies</t>
        </is>
      </c>
      <c r="F656" s="5" t="inlineStr">
        <is>
          <t>Material retirado en almacén</t>
        </is>
      </c>
      <c r="G656" s="5" t="inlineStr">
        <is>
          <t>pletina de aluminio, planchuela</t>
        </is>
      </c>
      <c r="H656" s="7" t="inlineStr">
        <is>
          <t>unidad</t>
        </is>
      </c>
      <c r="I656" s="7" t="inlineStr">
        <is>
          <t>Puertas y ventanas</t>
        </is>
      </c>
      <c r="J656" s="7" t="inlineStr">
        <is>
          <t>estandar</t>
        </is>
      </c>
      <c r="K656" s="7" t="inlineStr">
        <is>
          <t>importado</t>
        </is>
      </c>
      <c r="L656" s="7" t="inlineStr">
        <is>
          <t>Verificado</t>
        </is>
      </c>
      <c r="M656" s="8" t="n">
        <v>1</v>
      </c>
      <c r="N656" s="9" t="n">
        <v>452.36</v>
      </c>
      <c r="O656" s="9" t="n">
        <v>452.36</v>
      </c>
      <c r="P656" s="9" t="n">
        <v>452.36</v>
      </c>
      <c r="Q656" s="7" t="inlineStr">
        <is>
          <t>Sí</t>
        </is>
      </c>
      <c r="R656" s="9">
        <f>IF(N656="","",IF(Q656="Sí",ROUND(N656/1.18,2),N656))</f>
        <v/>
      </c>
      <c r="S656" s="7" t="inlineStr">
        <is>
          <t>2026-09-09</t>
        </is>
      </c>
      <c r="T656" s="5" t="inlineStr">
        <is>
          <t>1 cotización de proveedores</t>
        </is>
      </c>
    </row>
    <row r="657">
      <c r="A657" s="7" t="inlineStr">
        <is>
          <t>MAT-23-004</t>
        </is>
      </c>
      <c r="B657" s="7" t="inlineStr">
        <is>
          <t>Materiales</t>
        </is>
      </c>
      <c r="C657" s="7" t="inlineStr">
        <is>
          <t>Perfilería de aluminio</t>
        </is>
      </c>
      <c r="D657" s="5" t="inlineStr">
        <is>
          <t>Angular de aluminio 1/2" x 1/2" x 19.20 pies</t>
        </is>
      </c>
      <c r="E657" s="5" t="inlineStr">
        <is>
          <t>Perfil L de aluminio extruido · 1/2" x 1/2" · tramo de 19.20 pies</t>
        </is>
      </c>
      <c r="F657" s="5" t="inlineStr">
        <is>
          <t>Material retirado en almacén</t>
        </is>
      </c>
      <c r="G657" s="5" t="inlineStr">
        <is>
          <t>angular de aluminio, perfil L</t>
        </is>
      </c>
      <c r="H657" s="7" t="inlineStr">
        <is>
          <t>unidad</t>
        </is>
      </c>
      <c r="I657" s="7" t="inlineStr">
        <is>
          <t>Puertas y ventanas</t>
        </is>
      </c>
      <c r="J657" s="7" t="inlineStr">
        <is>
          <t>estandar</t>
        </is>
      </c>
      <c r="K657" s="7" t="inlineStr">
        <is>
          <t>importado</t>
        </is>
      </c>
      <c r="L657" s="7" t="inlineStr">
        <is>
          <t>Verificado</t>
        </is>
      </c>
      <c r="M657" s="8" t="n">
        <v>2</v>
      </c>
      <c r="N657" s="9" t="n">
        <v>344.86</v>
      </c>
      <c r="O657" s="9" t="n">
        <v>295</v>
      </c>
      <c r="P657" s="9" t="n">
        <v>394.72</v>
      </c>
      <c r="Q657" s="7" t="inlineStr">
        <is>
          <t>Sí</t>
        </is>
      </c>
      <c r="R657" s="9">
        <f>IF(N657="","",IF(Q657="Sí",ROUND(N657/1.18,2),N657))</f>
        <v/>
      </c>
      <c r="S657" s="7" t="inlineStr">
        <is>
          <t>2026-09-09</t>
        </is>
      </c>
      <c r="T657" s="5" t="inlineStr">
        <is>
          <t>2 cotizaciones de proveedores</t>
        </is>
      </c>
    </row>
    <row r="658">
      <c r="A658" s="7" t="inlineStr">
        <is>
          <t>MAT-23-005</t>
        </is>
      </c>
      <c r="B658" s="7" t="inlineStr">
        <is>
          <t>Materiales</t>
        </is>
      </c>
      <c r="C658" s="7" t="inlineStr">
        <is>
          <t>Perfilería de aluminio</t>
        </is>
      </c>
      <c r="D658" s="5" t="inlineStr">
        <is>
          <t>Moldura U de aluminio 1/2" x 1/2" x 19.20 pies</t>
        </is>
      </c>
      <c r="E658" s="5" t="inlineStr">
        <is>
          <t>Moldura en U de aluminio extruido · 1/2" x 1/2" · tramo de 19.20 pies</t>
        </is>
      </c>
      <c r="F658" s="5" t="inlineStr">
        <is>
          <t>Material retirado en almacén</t>
        </is>
      </c>
      <c r="G658" s="5" t="inlineStr">
        <is>
          <t>moldura U, canal de aluminio</t>
        </is>
      </c>
      <c r="H658" s="7" t="inlineStr">
        <is>
          <t>unidad</t>
        </is>
      </c>
      <c r="I658" s="7" t="inlineStr">
        <is>
          <t>Puertas y ventanas</t>
        </is>
      </c>
      <c r="J658" s="7" t="inlineStr">
        <is>
          <t>estandar</t>
        </is>
      </c>
      <c r="K658" s="7" t="inlineStr">
        <is>
          <t>importado</t>
        </is>
      </c>
      <c r="L658" s="7" t="inlineStr">
        <is>
          <t>Verificado</t>
        </is>
      </c>
      <c r="M658" s="8" t="n">
        <v>1</v>
      </c>
      <c r="N658" s="9" t="n">
        <v>377.71</v>
      </c>
      <c r="O658" s="9" t="n">
        <v>377.71</v>
      </c>
      <c r="P658" s="9" t="n">
        <v>377.71</v>
      </c>
      <c r="Q658" s="7" t="inlineStr">
        <is>
          <t>Sí</t>
        </is>
      </c>
      <c r="R658" s="9">
        <f>IF(N658="","",IF(Q658="Sí",ROUND(N658/1.18,2),N658))</f>
        <v/>
      </c>
      <c r="S658" s="7" t="inlineStr">
        <is>
          <t>2026-09-09</t>
        </is>
      </c>
      <c r="T658" s="5" t="inlineStr">
        <is>
          <t>1 cotización de proveedores</t>
        </is>
      </c>
    </row>
    <row r="659">
      <c r="A659" s="7" t="inlineStr">
        <is>
          <t>MAT-23-006</t>
        </is>
      </c>
      <c r="B659" s="7" t="inlineStr">
        <is>
          <t>Materiales</t>
        </is>
      </c>
      <c r="C659" s="7" t="inlineStr">
        <is>
          <t>Perfilería de aluminio</t>
        </is>
      </c>
      <c r="D659" s="5" t="inlineStr">
        <is>
          <t>Moldura U de aluminio 5/8" x 5/8" x 19.20 pies</t>
        </is>
      </c>
      <c r="E659" s="5" t="inlineStr">
        <is>
          <t>Moldura en U de aluminio extruido · 5/8" x 5/8" · tramo de 19.20 pies</t>
        </is>
      </c>
      <c r="F659" s="5" t="inlineStr">
        <is>
          <t>Material retirado en almacén</t>
        </is>
      </c>
      <c r="G659" s="5" t="inlineStr">
        <is>
          <t>moldura U, canal de aluminio</t>
        </is>
      </c>
      <c r="H659" s="7" t="inlineStr">
        <is>
          <t>unidad</t>
        </is>
      </c>
      <c r="I659" s="7" t="inlineStr">
        <is>
          <t>Puertas y ventanas</t>
        </is>
      </c>
      <c r="J659" s="7" t="inlineStr">
        <is>
          <t>estandar</t>
        </is>
      </c>
      <c r="K659" s="7" t="inlineStr">
        <is>
          <t>importado</t>
        </is>
      </c>
      <c r="L659" s="7" t="inlineStr">
        <is>
          <t>Verificado</t>
        </is>
      </c>
      <c r="M659" s="8" t="n">
        <v>1</v>
      </c>
      <c r="N659" s="9" t="n">
        <v>827.9</v>
      </c>
      <c r="O659" s="9" t="n">
        <v>827.9</v>
      </c>
      <c r="P659" s="9" t="n">
        <v>827.9</v>
      </c>
      <c r="Q659" s="7" t="inlineStr">
        <is>
          <t>Sí</t>
        </is>
      </c>
      <c r="R659" s="9">
        <f>IF(N659="","",IF(Q659="Sí",ROUND(N659/1.18,2),N659))</f>
        <v/>
      </c>
      <c r="S659" s="7" t="inlineStr">
        <is>
          <t>2026-09-09</t>
        </is>
      </c>
      <c r="T659" s="5" t="inlineStr">
        <is>
          <t>1 cotización de proveedores</t>
        </is>
      </c>
    </row>
    <row r="660">
      <c r="A660" s="7" t="inlineStr">
        <is>
          <t>MAT-23-007</t>
        </is>
      </c>
      <c r="B660" s="7" t="inlineStr">
        <is>
          <t>Materiales</t>
        </is>
      </c>
      <c r="C660" s="7" t="inlineStr">
        <is>
          <t>Perfilería de aluminio</t>
        </is>
      </c>
      <c r="D660" s="5" t="inlineStr">
        <is>
          <t>Tubo redondo de aluminio 3/4" x 19.20 pies</t>
        </is>
      </c>
      <c r="E660" s="5" t="inlineStr">
        <is>
          <t>Tubería redonda de aluminio extruido · 3/4" · tramo de 19.20 pies</t>
        </is>
      </c>
      <c r="F660" s="5" t="inlineStr">
        <is>
          <t>Material retirado en almacén</t>
        </is>
      </c>
      <c r="G660" s="5" t="inlineStr">
        <is>
          <t>tubo de aluminio</t>
        </is>
      </c>
      <c r="H660" s="7" t="inlineStr">
        <is>
          <t>unidad</t>
        </is>
      </c>
      <c r="I660" s="7" t="inlineStr">
        <is>
          <t>Puertas y ventanas</t>
        </is>
      </c>
      <c r="J660" s="7" t="inlineStr">
        <is>
          <t>estandar</t>
        </is>
      </c>
      <c r="K660" s="7" t="inlineStr">
        <is>
          <t>importado</t>
        </is>
      </c>
      <c r="L660" s="7" t="inlineStr">
        <is>
          <t>Verificado</t>
        </is>
      </c>
      <c r="M660" s="8" t="n">
        <v>1</v>
      </c>
      <c r="N660" s="9" t="n">
        <v>772.42</v>
      </c>
      <c r="O660" s="9" t="n">
        <v>772.42</v>
      </c>
      <c r="P660" s="9" t="n">
        <v>772.42</v>
      </c>
      <c r="Q660" s="7" t="inlineStr">
        <is>
          <t>Sí</t>
        </is>
      </c>
      <c r="R660" s="9">
        <f>IF(N660="","",IF(Q660="Sí",ROUND(N660/1.18,2),N660))</f>
        <v/>
      </c>
      <c r="S660" s="7" t="inlineStr">
        <is>
          <t>2026-09-09</t>
        </is>
      </c>
      <c r="T660" s="5" t="inlineStr">
        <is>
          <t>1 cotización de proveedores</t>
        </is>
      </c>
    </row>
    <row r="661">
      <c r="A661" s="7" t="inlineStr">
        <is>
          <t>MAT-23-008</t>
        </is>
      </c>
      <c r="B661" s="7" t="inlineStr">
        <is>
          <t>Materiales</t>
        </is>
      </c>
      <c r="C661" s="7" t="inlineStr">
        <is>
          <t>Perfilería de aluminio</t>
        </is>
      </c>
      <c r="D661" s="5" t="inlineStr">
        <is>
          <t>Angular de aluminio 3/4" x 3/4" x 19.20 pies</t>
        </is>
      </c>
      <c r="E661" s="5" t="inlineStr">
        <is>
          <t>Perfil L de aluminio extruido · 3/4" x 3/4" · tramo de 19.20 pies</t>
        </is>
      </c>
      <c r="F661" s="5" t="inlineStr">
        <is>
          <t>Material retirado en almacén</t>
        </is>
      </c>
      <c r="G661" s="5" t="inlineStr">
        <is>
          <t>angular de aluminio, perfil L</t>
        </is>
      </c>
      <c r="H661" s="7" t="inlineStr">
        <is>
          <t>unidad</t>
        </is>
      </c>
      <c r="I661" s="7" t="inlineStr">
        <is>
          <t>Puertas y ventanas</t>
        </is>
      </c>
      <c r="J661" s="7" t="inlineStr">
        <is>
          <t>estandar</t>
        </is>
      </c>
      <c r="K661" s="7" t="inlineStr">
        <is>
          <t>importado</t>
        </is>
      </c>
      <c r="L661" s="7" t="inlineStr">
        <is>
          <t>Verificado</t>
        </is>
      </c>
      <c r="M661" s="8" t="n">
        <v>2</v>
      </c>
      <c r="N661" s="9" t="n">
        <v>440.65</v>
      </c>
      <c r="O661" s="9" t="n">
        <v>436.29</v>
      </c>
      <c r="P661" s="9" t="n">
        <v>445</v>
      </c>
      <c r="Q661" s="7" t="inlineStr">
        <is>
          <t>Sí</t>
        </is>
      </c>
      <c r="R661" s="9">
        <f>IF(N661="","",IF(Q661="Sí",ROUND(N661/1.18,2),N661))</f>
        <v/>
      </c>
      <c r="S661" s="7" t="inlineStr">
        <is>
          <t>2026-09-09</t>
        </is>
      </c>
      <c r="T661" s="5" t="inlineStr">
        <is>
          <t>2 cotizaciones de proveedores</t>
        </is>
      </c>
    </row>
    <row r="662">
      <c r="A662" s="7" t="inlineStr">
        <is>
          <t>MAT-23-009</t>
        </is>
      </c>
      <c r="B662" s="7" t="inlineStr">
        <is>
          <t>Materiales</t>
        </is>
      </c>
      <c r="C662" s="7" t="inlineStr">
        <is>
          <t>Perfilería de aluminio</t>
        </is>
      </c>
      <c r="D662" s="5" t="inlineStr">
        <is>
          <t>Tubo redondo de aluminio 1" x 19.20 pies</t>
        </is>
      </c>
      <c r="E662" s="5" t="inlineStr">
        <is>
          <t>Tubería redonda de aluminio extruido · 1" · tramo de 19.20 pies</t>
        </is>
      </c>
      <c r="F662" s="5" t="inlineStr">
        <is>
          <t>Material retirado en almacén</t>
        </is>
      </c>
      <c r="G662" s="5" t="inlineStr">
        <is>
          <t>tubo de aluminio</t>
        </is>
      </c>
      <c r="H662" s="7" t="inlineStr">
        <is>
          <t>unidad</t>
        </is>
      </c>
      <c r="I662" s="7" t="inlineStr">
        <is>
          <t>Puertas y ventanas</t>
        </is>
      </c>
      <c r="J662" s="7" t="inlineStr">
        <is>
          <t>estandar</t>
        </is>
      </c>
      <c r="K662" s="7" t="inlineStr">
        <is>
          <t>importado</t>
        </is>
      </c>
      <c r="L662" s="7" t="inlineStr">
        <is>
          <t>Verificado</t>
        </is>
      </c>
      <c r="M662" s="8" t="n">
        <v>1</v>
      </c>
      <c r="N662" s="9" t="n">
        <v>957.33</v>
      </c>
      <c r="O662" s="9" t="n">
        <v>957.33</v>
      </c>
      <c r="P662" s="9" t="n">
        <v>957.33</v>
      </c>
      <c r="Q662" s="7" t="inlineStr">
        <is>
          <t>Sí</t>
        </is>
      </c>
      <c r="R662" s="9">
        <f>IF(N662="","",IF(Q662="Sí",ROUND(N662/1.18,2),N662))</f>
        <v/>
      </c>
      <c r="S662" s="7" t="inlineStr">
        <is>
          <t>2026-09-09</t>
        </is>
      </c>
      <c r="T662" s="5" t="inlineStr">
        <is>
          <t>1 cotización de proveedores</t>
        </is>
      </c>
    </row>
    <row r="663">
      <c r="A663" s="7" t="inlineStr">
        <is>
          <t>MAT-23-010</t>
        </is>
      </c>
      <c r="B663" s="7" t="inlineStr">
        <is>
          <t>Materiales</t>
        </is>
      </c>
      <c r="C663" s="7" t="inlineStr">
        <is>
          <t>Perfilería de aluminio</t>
        </is>
      </c>
      <c r="D663" s="5" t="inlineStr">
        <is>
          <t>Planchuela de aluminio 1" x 1/4" x 19.20 pies</t>
        </is>
      </c>
      <c r="E663" s="5" t="inlineStr">
        <is>
          <t>Pletina de aluminio extruido · 1" x 1/4" · tramo de 19.20 pies</t>
        </is>
      </c>
      <c r="F663" s="5" t="inlineStr">
        <is>
          <t>Material retirado en almacén</t>
        </is>
      </c>
      <c r="G663" s="5" t="inlineStr">
        <is>
          <t>pletina de aluminio, planchuela</t>
        </is>
      </c>
      <c r="H663" s="7" t="inlineStr">
        <is>
          <t>unidad</t>
        </is>
      </c>
      <c r="I663" s="7" t="inlineStr">
        <is>
          <t>Puertas y ventanas</t>
        </is>
      </c>
      <c r="J663" s="7" t="inlineStr">
        <is>
          <t>estandar</t>
        </is>
      </c>
      <c r="K663" s="7" t="inlineStr">
        <is>
          <t>importado</t>
        </is>
      </c>
      <c r="L663" s="7" t="inlineStr">
        <is>
          <t>Verificado</t>
        </is>
      </c>
      <c r="M663" s="8" t="n">
        <v>1</v>
      </c>
      <c r="N663" s="9" t="n">
        <v>1709.91</v>
      </c>
      <c r="O663" s="9" t="n">
        <v>1709.91</v>
      </c>
      <c r="P663" s="9" t="n">
        <v>1709.91</v>
      </c>
      <c r="Q663" s="7" t="inlineStr">
        <is>
          <t>Sí</t>
        </is>
      </c>
      <c r="R663" s="9">
        <f>IF(N663="","",IF(Q663="Sí",ROUND(N663/1.18,2),N663))</f>
        <v/>
      </c>
      <c r="S663" s="7" t="inlineStr">
        <is>
          <t>2026-09-09</t>
        </is>
      </c>
      <c r="T663" s="5" t="inlineStr">
        <is>
          <t>1 cotización de proveedores</t>
        </is>
      </c>
    </row>
    <row r="664">
      <c r="A664" s="7" t="inlineStr">
        <is>
          <t>MAT-23-011</t>
        </is>
      </c>
      <c r="B664" s="7" t="inlineStr">
        <is>
          <t>Materiales</t>
        </is>
      </c>
      <c r="C664" s="7" t="inlineStr">
        <is>
          <t>Perfilería de aluminio</t>
        </is>
      </c>
      <c r="D664" s="5" t="inlineStr">
        <is>
          <t>Angular de aluminio 1" x 3/4" x 19.20 pies</t>
        </is>
      </c>
      <c r="E664" s="5" t="inlineStr">
        <is>
          <t>Perfil L de aluminio extruido · 1" x 3/4" · tramo de 19.20 pies</t>
        </is>
      </c>
      <c r="F664" s="5" t="inlineStr">
        <is>
          <t>Material retirado en almacén</t>
        </is>
      </c>
      <c r="G664" s="5" t="inlineStr">
        <is>
          <t>angular de aluminio, perfil L</t>
        </is>
      </c>
      <c r="H664" s="7" t="inlineStr">
        <is>
          <t>unidad</t>
        </is>
      </c>
      <c r="I664" s="7" t="inlineStr">
        <is>
          <t>Puertas y ventanas</t>
        </is>
      </c>
      <c r="J664" s="7" t="inlineStr">
        <is>
          <t>estandar</t>
        </is>
      </c>
      <c r="K664" s="7" t="inlineStr">
        <is>
          <t>importado</t>
        </is>
      </c>
      <c r="L664" s="7" t="inlineStr">
        <is>
          <t>Verificado</t>
        </is>
      </c>
      <c r="M664" s="8" t="n">
        <v>2</v>
      </c>
      <c r="N664" s="9" t="n">
        <v>690.79</v>
      </c>
      <c r="O664" s="9" t="n">
        <v>626.5700000000001</v>
      </c>
      <c r="P664" s="9" t="n">
        <v>755</v>
      </c>
      <c r="Q664" s="7" t="inlineStr">
        <is>
          <t>Sí</t>
        </is>
      </c>
      <c r="R664" s="9">
        <f>IF(N664="","",IF(Q664="Sí",ROUND(N664/1.18,2),N664))</f>
        <v/>
      </c>
      <c r="S664" s="7" t="inlineStr">
        <is>
          <t>2026-09-09</t>
        </is>
      </c>
      <c r="T664" s="5" t="inlineStr">
        <is>
          <t>2 cotizaciones de proveedores</t>
        </is>
      </c>
    </row>
    <row r="665">
      <c r="A665" s="7" t="inlineStr">
        <is>
          <t>MAT-23-012</t>
        </is>
      </c>
      <c r="B665" s="7" t="inlineStr">
        <is>
          <t>Materiales</t>
        </is>
      </c>
      <c r="C665" s="7" t="inlineStr">
        <is>
          <t>Perfilería de aluminio</t>
        </is>
      </c>
      <c r="D665" s="5" t="inlineStr">
        <is>
          <t>Perfil de aluminio 1" x 1" x 19.20 pies</t>
        </is>
      </c>
      <c r="E665" s="5" t="inlineStr">
        <is>
          <t>Perfil tubular de aluminio extruido · 1" x 1" · tramo de 19.20 pies</t>
        </is>
      </c>
      <c r="F665" s="5" t="inlineStr">
        <is>
          <t>Material retirado en almacén</t>
        </is>
      </c>
      <c r="G665" s="5" t="inlineStr">
        <is>
          <t>perfilería de aluminio</t>
        </is>
      </c>
      <c r="H665" s="7" t="inlineStr">
        <is>
          <t>unidad</t>
        </is>
      </c>
      <c r="I665" s="7" t="inlineStr">
        <is>
          <t>Puertas y ventanas</t>
        </is>
      </c>
      <c r="J665" s="7" t="inlineStr">
        <is>
          <t>estandar</t>
        </is>
      </c>
      <c r="K665" s="7" t="inlineStr">
        <is>
          <t>importado</t>
        </is>
      </c>
      <c r="L665" s="7" t="inlineStr">
        <is>
          <t>Verificado</t>
        </is>
      </c>
      <c r="M665" s="8" t="n">
        <v>1</v>
      </c>
      <c r="N665" s="9" t="n">
        <v>1336.93</v>
      </c>
      <c r="O665" s="9" t="n">
        <v>1336.93</v>
      </c>
      <c r="P665" s="9" t="n">
        <v>1336.93</v>
      </c>
      <c r="Q665" s="7" t="inlineStr">
        <is>
          <t>Sí</t>
        </is>
      </c>
      <c r="R665" s="9">
        <f>IF(N665="","",IF(Q665="Sí",ROUND(N665/1.18,2),N665))</f>
        <v/>
      </c>
      <c r="S665" s="7" t="inlineStr">
        <is>
          <t>2026-09-09</t>
        </is>
      </c>
      <c r="T665" s="5" t="inlineStr">
        <is>
          <t>1 cotización de proveedores</t>
        </is>
      </c>
    </row>
    <row r="666">
      <c r="A666" s="7" t="inlineStr">
        <is>
          <t>MAT-23-013</t>
        </is>
      </c>
      <c r="B666" s="7" t="inlineStr">
        <is>
          <t>Materiales</t>
        </is>
      </c>
      <c r="C666" s="7" t="inlineStr">
        <is>
          <t>Perfilería de aluminio</t>
        </is>
      </c>
      <c r="D666" s="5" t="inlineStr">
        <is>
          <t>Tubo redondo de aluminio 1 1/4" x 19.20 pies</t>
        </is>
      </c>
      <c r="E666" s="5" t="inlineStr">
        <is>
          <t>Tubería redonda de aluminio extruido · 1 1/4" · tramo de 19.20 pies</t>
        </is>
      </c>
      <c r="F666" s="5" t="inlineStr">
        <is>
          <t>Material retirado en almacén</t>
        </is>
      </c>
      <c r="G666" s="5" t="inlineStr">
        <is>
          <t>tubo de aluminio</t>
        </is>
      </c>
      <c r="H666" s="7" t="inlineStr">
        <is>
          <t>unidad</t>
        </is>
      </c>
      <c r="I666" s="7" t="inlineStr">
        <is>
          <t>Puertas y ventanas</t>
        </is>
      </c>
      <c r="J666" s="7" t="inlineStr">
        <is>
          <t>estandar</t>
        </is>
      </c>
      <c r="K666" s="7" t="inlineStr">
        <is>
          <t>importado</t>
        </is>
      </c>
      <c r="L666" s="7" t="inlineStr">
        <is>
          <t>Verificado</t>
        </is>
      </c>
      <c r="M666" s="8" t="n">
        <v>1</v>
      </c>
      <c r="N666" s="9" t="n">
        <v>2185.58</v>
      </c>
      <c r="O666" s="9" t="n">
        <v>2185.58</v>
      </c>
      <c r="P666" s="9" t="n">
        <v>2185.58</v>
      </c>
      <c r="Q666" s="7" t="inlineStr">
        <is>
          <t>Sí</t>
        </is>
      </c>
      <c r="R666" s="9">
        <f>IF(N666="","",IF(Q666="Sí",ROUND(N666/1.18,2),N666))</f>
        <v/>
      </c>
      <c r="S666" s="7" t="inlineStr">
        <is>
          <t>2026-09-09</t>
        </is>
      </c>
      <c r="T666" s="5" t="inlineStr">
        <is>
          <t>1 cotización de proveedores</t>
        </is>
      </c>
    </row>
    <row r="667">
      <c r="A667" s="7" t="inlineStr">
        <is>
          <t>MAT-23-014</t>
        </is>
      </c>
      <c r="B667" s="7" t="inlineStr">
        <is>
          <t>Materiales</t>
        </is>
      </c>
      <c r="C667" s="7" t="inlineStr">
        <is>
          <t>Perfilería de aluminio</t>
        </is>
      </c>
      <c r="D667" s="5" t="inlineStr">
        <is>
          <t>Angular de aluminio 1 1/4" x 1 1/4" x 19.20 pies</t>
        </is>
      </c>
      <c r="E667" s="5" t="inlineStr">
        <is>
          <t>Perfil L de aluminio extruido · 1 1/4" x 1 1/4" · tramo de 19.20 pies</t>
        </is>
      </c>
      <c r="F667" s="5" t="inlineStr">
        <is>
          <t>Material retirado en almacén</t>
        </is>
      </c>
      <c r="G667" s="5" t="inlineStr">
        <is>
          <t>angular de aluminio, perfil L</t>
        </is>
      </c>
      <c r="H667" s="7" t="inlineStr">
        <is>
          <t>unidad</t>
        </is>
      </c>
      <c r="I667" s="7" t="inlineStr">
        <is>
          <t>Puertas y ventanas</t>
        </is>
      </c>
      <c r="J667" s="7" t="inlineStr">
        <is>
          <t>estandar</t>
        </is>
      </c>
      <c r="K667" s="7" t="inlineStr">
        <is>
          <t>importado</t>
        </is>
      </c>
      <c r="L667" s="7" t="inlineStr">
        <is>
          <t>Verificado</t>
        </is>
      </c>
      <c r="M667" s="8" t="n">
        <v>2</v>
      </c>
      <c r="N667" s="9" t="n">
        <v>1073.61</v>
      </c>
      <c r="O667" s="9" t="n">
        <v>982.22</v>
      </c>
      <c r="P667" s="9" t="n">
        <v>1165</v>
      </c>
      <c r="Q667" s="7" t="inlineStr">
        <is>
          <t>Sí</t>
        </is>
      </c>
      <c r="R667" s="9">
        <f>IF(N667="","",IF(Q667="Sí",ROUND(N667/1.18,2),N667))</f>
        <v/>
      </c>
      <c r="S667" s="7" t="inlineStr">
        <is>
          <t>2026-09-09</t>
        </is>
      </c>
      <c r="T667" s="5" t="inlineStr">
        <is>
          <t>2 cotizaciones de proveedores</t>
        </is>
      </c>
    </row>
    <row r="668">
      <c r="A668" s="7" t="inlineStr">
        <is>
          <t>MAT-23-015</t>
        </is>
      </c>
      <c r="B668" s="7" t="inlineStr">
        <is>
          <t>Materiales</t>
        </is>
      </c>
      <c r="C668" s="7" t="inlineStr">
        <is>
          <t>Perfilería de aluminio</t>
        </is>
      </c>
      <c r="D668" s="5" t="inlineStr">
        <is>
          <t>Planchuela de aluminio 1 1/2" x 1/4" x 19.20 pies</t>
        </is>
      </c>
      <c r="E668" s="5" t="inlineStr">
        <is>
          <t>Pletina de aluminio extruido · 1 1/2" x 1/4" · tramo de 19.20 pies</t>
        </is>
      </c>
      <c r="F668" s="5" t="inlineStr">
        <is>
          <t>Material retirado en almacén</t>
        </is>
      </c>
      <c r="G668" s="5" t="inlineStr">
        <is>
          <t>pletina de aluminio, planchuela</t>
        </is>
      </c>
      <c r="H668" s="7" t="inlineStr">
        <is>
          <t>unidad</t>
        </is>
      </c>
      <c r="I668" s="7" t="inlineStr">
        <is>
          <t>Puertas y ventanas</t>
        </is>
      </c>
      <c r="J668" s="7" t="inlineStr">
        <is>
          <t>estandar</t>
        </is>
      </c>
      <c r="K668" s="7" t="inlineStr">
        <is>
          <t>importado</t>
        </is>
      </c>
      <c r="L668" s="7" t="inlineStr">
        <is>
          <t>Verificado</t>
        </is>
      </c>
      <c r="M668" s="8" t="n">
        <v>1</v>
      </c>
      <c r="N668" s="9" t="n">
        <v>2567.7</v>
      </c>
      <c r="O668" s="9" t="n">
        <v>2567.7</v>
      </c>
      <c r="P668" s="9" t="n">
        <v>2567.7</v>
      </c>
      <c r="Q668" s="7" t="inlineStr">
        <is>
          <t>Sí</t>
        </is>
      </c>
      <c r="R668" s="9">
        <f>IF(N668="","",IF(Q668="Sí",ROUND(N668/1.18,2),N668))</f>
        <v/>
      </c>
      <c r="S668" s="7" t="inlineStr">
        <is>
          <t>2026-09-09</t>
        </is>
      </c>
      <c r="T668" s="5" t="inlineStr">
        <is>
          <t>1 cotización de proveedores</t>
        </is>
      </c>
    </row>
    <row r="669">
      <c r="A669" s="7" t="inlineStr">
        <is>
          <t>MAT-23-016</t>
        </is>
      </c>
      <c r="B669" s="7" t="inlineStr">
        <is>
          <t>Materiales</t>
        </is>
      </c>
      <c r="C669" s="7" t="inlineStr">
        <is>
          <t>Perfilería de aluminio</t>
        </is>
      </c>
      <c r="D669" s="5" t="inlineStr">
        <is>
          <t>Moldura U de aluminio 1 1/2" x 3/4" x 19.20 pies</t>
        </is>
      </c>
      <c r="E669" s="5" t="inlineStr">
        <is>
          <t>Moldura en U de aluminio extruido · 1 1/2" x 3/4" · tramo de 19.20 pies</t>
        </is>
      </c>
      <c r="F669" s="5" t="inlineStr">
        <is>
          <t>Material retirado en almacén</t>
        </is>
      </c>
      <c r="G669" s="5" t="inlineStr">
        <is>
          <t>moldura U, canal de aluminio</t>
        </is>
      </c>
      <c r="H669" s="7" t="inlineStr">
        <is>
          <t>unidad</t>
        </is>
      </c>
      <c r="I669" s="7" t="inlineStr">
        <is>
          <t>Puertas y ventanas</t>
        </is>
      </c>
      <c r="J669" s="7" t="inlineStr">
        <is>
          <t>estandar</t>
        </is>
      </c>
      <c r="K669" s="7" t="inlineStr">
        <is>
          <t>importado</t>
        </is>
      </c>
      <c r="L669" s="7" t="inlineStr">
        <is>
          <t>Verificado</t>
        </is>
      </c>
      <c r="M669" s="8" t="n">
        <v>1</v>
      </c>
      <c r="N669" s="9" t="n">
        <v>1117.37</v>
      </c>
      <c r="O669" s="9" t="n">
        <v>1117.37</v>
      </c>
      <c r="P669" s="9" t="n">
        <v>1117.37</v>
      </c>
      <c r="Q669" s="7" t="inlineStr">
        <is>
          <t>Sí</t>
        </is>
      </c>
      <c r="R669" s="9">
        <f>IF(N669="","",IF(Q669="Sí",ROUND(N669/1.18,2),N669))</f>
        <v/>
      </c>
      <c r="S669" s="7" t="inlineStr">
        <is>
          <t>2026-09-09</t>
        </is>
      </c>
      <c r="T669" s="5" t="inlineStr">
        <is>
          <t>1 cotización de proveedores</t>
        </is>
      </c>
    </row>
    <row r="670">
      <c r="A670" s="7" t="inlineStr">
        <is>
          <t>MAT-23-017</t>
        </is>
      </c>
      <c r="B670" s="7" t="inlineStr">
        <is>
          <t>Materiales</t>
        </is>
      </c>
      <c r="C670" s="7" t="inlineStr">
        <is>
          <t>Perfilería de aluminio</t>
        </is>
      </c>
      <c r="D670" s="5" t="inlineStr">
        <is>
          <t>Angular de aluminio 1 1/2" x 1 1/2" x 19.20 pies</t>
        </is>
      </c>
      <c r="E670" s="5" t="inlineStr">
        <is>
          <t>Perfil L de aluminio extruido · 1 1/2" x 1 1/2" · tramo de 19.20 pies</t>
        </is>
      </c>
      <c r="F670" s="5" t="inlineStr">
        <is>
          <t>Material retirado en almacén</t>
        </is>
      </c>
      <c r="G670" s="5" t="inlineStr">
        <is>
          <t>angular de aluminio, perfil L</t>
        </is>
      </c>
      <c r="H670" s="7" t="inlineStr">
        <is>
          <t>unidad</t>
        </is>
      </c>
      <c r="I670" s="7" t="inlineStr">
        <is>
          <t>Puertas y ventanas</t>
        </is>
      </c>
      <c r="J670" s="7" t="inlineStr">
        <is>
          <t>estandar</t>
        </is>
      </c>
      <c r="K670" s="7" t="inlineStr">
        <is>
          <t>importado</t>
        </is>
      </c>
      <c r="L670" s="7" t="inlineStr">
        <is>
          <t>Verificado</t>
        </is>
      </c>
      <c r="M670" s="8" t="n">
        <v>1</v>
      </c>
      <c r="N670" s="9" t="n">
        <v>2473.52</v>
      </c>
      <c r="O670" s="9" t="n">
        <v>2473.52</v>
      </c>
      <c r="P670" s="9" t="n">
        <v>2473.52</v>
      </c>
      <c r="Q670" s="7" t="inlineStr">
        <is>
          <t>Sí</t>
        </is>
      </c>
      <c r="R670" s="9">
        <f>IF(N670="","",IF(Q670="Sí",ROUND(N670/1.18,2),N670))</f>
        <v/>
      </c>
      <c r="S670" s="7" t="inlineStr">
        <is>
          <t>2026-09-09</t>
        </is>
      </c>
      <c r="T670" s="5" t="inlineStr">
        <is>
          <t>1 cotización de proveedores</t>
        </is>
      </c>
    </row>
    <row r="671">
      <c r="A671" s="7" t="inlineStr">
        <is>
          <t>MAT-23-018</t>
        </is>
      </c>
      <c r="B671" s="7" t="inlineStr">
        <is>
          <t>Materiales</t>
        </is>
      </c>
      <c r="C671" s="7" t="inlineStr">
        <is>
          <t>Perfilería de aluminio</t>
        </is>
      </c>
      <c r="D671" s="5" t="inlineStr">
        <is>
          <t>Perfil cuadrado de aluminio 1 1/2" x 1 1/2" x 19.20 pies</t>
        </is>
      </c>
      <c r="E671" s="5" t="inlineStr">
        <is>
          <t>Perfil tubular de aluminio extruido · 1 1/2" x 1 1/2" · tramo de 19.20 pies</t>
        </is>
      </c>
      <c r="F671" s="5" t="inlineStr">
        <is>
          <t>Material retirado en almacén</t>
        </is>
      </c>
      <c r="G671" s="5" t="inlineStr">
        <is>
          <t>perfilería de aluminio</t>
        </is>
      </c>
      <c r="H671" s="7" t="inlineStr">
        <is>
          <t>unidad</t>
        </is>
      </c>
      <c r="I671" s="7" t="inlineStr">
        <is>
          <t>Puertas y ventanas</t>
        </is>
      </c>
      <c r="J671" s="7" t="inlineStr">
        <is>
          <t>estandar</t>
        </is>
      </c>
      <c r="K671" s="7" t="inlineStr">
        <is>
          <t>importado</t>
        </is>
      </c>
      <c r="L671" s="7" t="inlineStr">
        <is>
          <t>Verificado</t>
        </is>
      </c>
      <c r="M671" s="8" t="n">
        <v>1</v>
      </c>
      <c r="N671" s="9" t="n">
        <v>1701.73</v>
      </c>
      <c r="O671" s="9" t="n">
        <v>1701.73</v>
      </c>
      <c r="P671" s="9" t="n">
        <v>1701.73</v>
      </c>
      <c r="Q671" s="7" t="inlineStr">
        <is>
          <t>Sí</t>
        </is>
      </c>
      <c r="R671" s="9">
        <f>IF(N671="","",IF(Q671="Sí",ROUND(N671/1.18,2),N671))</f>
        <v/>
      </c>
      <c r="S671" s="7" t="inlineStr">
        <is>
          <t>2026-09-09</t>
        </is>
      </c>
      <c r="T671" s="5" t="inlineStr">
        <is>
          <t>1 cotización de proveedores</t>
        </is>
      </c>
    </row>
    <row r="672">
      <c r="A672" s="7" t="inlineStr">
        <is>
          <t>MAT-23-019</t>
        </is>
      </c>
      <c r="B672" s="7" t="inlineStr">
        <is>
          <t>Materiales</t>
        </is>
      </c>
      <c r="C672" s="7" t="inlineStr">
        <is>
          <t>Perfilería de aluminio</t>
        </is>
      </c>
      <c r="D672" s="5" t="inlineStr">
        <is>
          <t>Perfil rectangular de aluminio 2" x 1" x 19.20 pies</t>
        </is>
      </c>
      <c r="E672" s="5" t="inlineStr">
        <is>
          <t>Perfil tubular de aluminio extruido · 2" x 1" · tramo de 19.20 pies</t>
        </is>
      </c>
      <c r="F672" s="5" t="inlineStr">
        <is>
          <t>Material retirado en almacén</t>
        </is>
      </c>
      <c r="G672" s="5" t="inlineStr">
        <is>
          <t>perfilería de aluminio</t>
        </is>
      </c>
      <c r="H672" s="7" t="inlineStr">
        <is>
          <t>unidad</t>
        </is>
      </c>
      <c r="I672" s="7" t="inlineStr">
        <is>
          <t>Puertas y ventanas</t>
        </is>
      </c>
      <c r="J672" s="7" t="inlineStr">
        <is>
          <t>estandar</t>
        </is>
      </c>
      <c r="K672" s="7" t="inlineStr">
        <is>
          <t>importado</t>
        </is>
      </c>
      <c r="L672" s="7" t="inlineStr">
        <is>
          <t>Verificado</t>
        </is>
      </c>
      <c r="M672" s="8" t="n">
        <v>1</v>
      </c>
      <c r="N672" s="9" t="n">
        <v>1846.63</v>
      </c>
      <c r="O672" s="9" t="n">
        <v>1846.63</v>
      </c>
      <c r="P672" s="9" t="n">
        <v>1846.63</v>
      </c>
      <c r="Q672" s="7" t="inlineStr">
        <is>
          <t>Sí</t>
        </is>
      </c>
      <c r="R672" s="9">
        <f>IF(N672="","",IF(Q672="Sí",ROUND(N672/1.18,2),N672))</f>
        <v/>
      </c>
      <c r="S672" s="7" t="inlineStr">
        <is>
          <t>2026-09-09</t>
        </is>
      </c>
      <c r="T672" s="5" t="inlineStr">
        <is>
          <t>1 cotización de proveedores</t>
        </is>
      </c>
    </row>
    <row r="673">
      <c r="A673" s="7" t="inlineStr">
        <is>
          <t>MAT-23-020</t>
        </is>
      </c>
      <c r="B673" s="7" t="inlineStr">
        <is>
          <t>Materiales</t>
        </is>
      </c>
      <c r="C673" s="7" t="inlineStr">
        <is>
          <t>Perfilería de aluminio</t>
        </is>
      </c>
      <c r="D673" s="5" t="inlineStr">
        <is>
          <t>Angular de aluminio 2" x 2" x 19.20 pies</t>
        </is>
      </c>
      <c r="E673" s="5" t="inlineStr">
        <is>
          <t>Perfil L de aluminio extruido · 2" x 2" · tramo de 19.20 pies</t>
        </is>
      </c>
      <c r="F673" s="5" t="inlineStr">
        <is>
          <t>Material retirado en almacén</t>
        </is>
      </c>
      <c r="G673" s="5" t="inlineStr">
        <is>
          <t>angular de aluminio, perfil L</t>
        </is>
      </c>
      <c r="H673" s="7" t="inlineStr">
        <is>
          <t>unidad</t>
        </is>
      </c>
      <c r="I673" s="7" t="inlineStr">
        <is>
          <t>Puertas y ventanas</t>
        </is>
      </c>
      <c r="J673" s="7" t="inlineStr">
        <is>
          <t>estandar</t>
        </is>
      </c>
      <c r="K673" s="7" t="inlineStr">
        <is>
          <t>importado</t>
        </is>
      </c>
      <c r="L673" s="7" t="inlineStr">
        <is>
          <t>Verificado</t>
        </is>
      </c>
      <c r="M673" s="8" t="n">
        <v>1</v>
      </c>
      <c r="N673" s="9" t="n">
        <v>3334.76</v>
      </c>
      <c r="O673" s="9" t="n">
        <v>3334.76</v>
      </c>
      <c r="P673" s="9" t="n">
        <v>3334.76</v>
      </c>
      <c r="Q673" s="7" t="inlineStr">
        <is>
          <t>Sí</t>
        </is>
      </c>
      <c r="R673" s="9">
        <f>IF(N673="","",IF(Q673="Sí",ROUND(N673/1.18,2),N673))</f>
        <v/>
      </c>
      <c r="S673" s="7" t="inlineStr">
        <is>
          <t>2026-09-09</t>
        </is>
      </c>
      <c r="T673" s="5" t="inlineStr">
        <is>
          <t>1 cotización de proveedores</t>
        </is>
      </c>
    </row>
    <row r="674">
      <c r="A674" s="7" t="inlineStr">
        <is>
          <t>MAT-23-021</t>
        </is>
      </c>
      <c r="B674" s="7" t="inlineStr">
        <is>
          <t>Materiales</t>
        </is>
      </c>
      <c r="C674" s="7" t="inlineStr">
        <is>
          <t>Perfilería de aluminio</t>
        </is>
      </c>
      <c r="D674" s="5" t="inlineStr">
        <is>
          <t>Planchuela de aluminio 3" x 3/16" x 19.20 pies</t>
        </is>
      </c>
      <c r="E674" s="5" t="inlineStr">
        <is>
          <t>Pletina de aluminio extruido · 3" x 3/16" · tramo de 19.20 pies</t>
        </is>
      </c>
      <c r="F674" s="5" t="inlineStr">
        <is>
          <t>Material retirado en almacén</t>
        </is>
      </c>
      <c r="G674" s="5" t="inlineStr">
        <is>
          <t>pletina de aluminio, planchuela</t>
        </is>
      </c>
      <c r="H674" s="7" t="inlineStr">
        <is>
          <t>unidad</t>
        </is>
      </c>
      <c r="I674" s="7" t="inlineStr">
        <is>
          <t>Puertas y ventanas</t>
        </is>
      </c>
      <c r="J674" s="7" t="inlineStr">
        <is>
          <t>estandar</t>
        </is>
      </c>
      <c r="K674" s="7" t="inlineStr">
        <is>
          <t>importado</t>
        </is>
      </c>
      <c r="L674" s="7" t="inlineStr">
        <is>
          <t>Verificado</t>
        </is>
      </c>
      <c r="M674" s="8" t="n">
        <v>1</v>
      </c>
      <c r="N674" s="9" t="n">
        <v>2695.59</v>
      </c>
      <c r="O674" s="9" t="n">
        <v>2695.59</v>
      </c>
      <c r="P674" s="9" t="n">
        <v>2695.59</v>
      </c>
      <c r="Q674" s="7" t="inlineStr">
        <is>
          <t>Sí</t>
        </is>
      </c>
      <c r="R674" s="9">
        <f>IF(N674="","",IF(Q674="Sí",ROUND(N674/1.18,2),N674))</f>
        <v/>
      </c>
      <c r="S674" s="7" t="inlineStr">
        <is>
          <t>2026-09-09</t>
        </is>
      </c>
      <c r="T674" s="5" t="inlineStr">
        <is>
          <t>1 cotización de proveedores</t>
        </is>
      </c>
    </row>
    <row r="675">
      <c r="A675" s="7" t="inlineStr">
        <is>
          <t>MAT-23-022</t>
        </is>
      </c>
      <c r="B675" s="7" t="inlineStr">
        <is>
          <t>Materiales</t>
        </is>
      </c>
      <c r="C675" s="7" t="inlineStr">
        <is>
          <t>Perfilería de aluminio</t>
        </is>
      </c>
      <c r="D675" s="5" t="inlineStr">
        <is>
          <t>Perfil rectangular de aluminio 3" x 1 1/2" x 19.20 pies</t>
        </is>
      </c>
      <c r="E675" s="5" t="inlineStr">
        <is>
          <t>Perfil tubular de aluminio extruido · 3" x 1 1/2" · tramo de 19.20 pies</t>
        </is>
      </c>
      <c r="F675" s="5" t="inlineStr">
        <is>
          <t>Material retirado en almacén</t>
        </is>
      </c>
      <c r="G675" s="5" t="inlineStr">
        <is>
          <t>perfilería de aluminio</t>
        </is>
      </c>
      <c r="H675" s="7" t="inlineStr">
        <is>
          <t>unidad</t>
        </is>
      </c>
      <c r="I675" s="7" t="inlineStr">
        <is>
          <t>Puertas y ventanas</t>
        </is>
      </c>
      <c r="J675" s="7" t="inlineStr">
        <is>
          <t>estandar</t>
        </is>
      </c>
      <c r="K675" s="7" t="inlineStr">
        <is>
          <t>importado</t>
        </is>
      </c>
      <c r="L675" s="7" t="inlineStr">
        <is>
          <t>Verificado</t>
        </is>
      </c>
      <c r="M675" s="8" t="n">
        <v>1</v>
      </c>
      <c r="N675" s="9" t="n">
        <v>3956.93</v>
      </c>
      <c r="O675" s="9" t="n">
        <v>3956.93</v>
      </c>
      <c r="P675" s="9" t="n">
        <v>3956.93</v>
      </c>
      <c r="Q675" s="7" t="inlineStr">
        <is>
          <t>Sí</t>
        </is>
      </c>
      <c r="R675" s="9">
        <f>IF(N675="","",IF(Q675="Sí",ROUND(N675/1.18,2),N675))</f>
        <v/>
      </c>
      <c r="S675" s="7" t="inlineStr">
        <is>
          <t>2026-09-09</t>
        </is>
      </c>
      <c r="T675" s="5" t="inlineStr">
        <is>
          <t>1 cotización de proveedores</t>
        </is>
      </c>
    </row>
    <row r="676">
      <c r="A676" s="7" t="inlineStr">
        <is>
          <t>MAT-23-023</t>
        </is>
      </c>
      <c r="B676" s="7" t="inlineStr">
        <is>
          <t>Materiales</t>
        </is>
      </c>
      <c r="C676" s="7" t="inlineStr">
        <is>
          <t>Perfilería de aluminio</t>
        </is>
      </c>
      <c r="D676" s="5" t="inlineStr">
        <is>
          <t>Planchuela de aluminio 4" x 1/8" x 19.20 pies</t>
        </is>
      </c>
      <c r="E676" s="5" t="inlineStr">
        <is>
          <t>Pletina de aluminio extruido · 4" x 1/8" · tramo de 19.20 pies</t>
        </is>
      </c>
      <c r="F676" s="5" t="inlineStr">
        <is>
          <t>Material retirado en almacén</t>
        </is>
      </c>
      <c r="G676" s="5" t="inlineStr">
        <is>
          <t>pletina de aluminio, planchuela</t>
        </is>
      </c>
      <c r="H676" s="7" t="inlineStr">
        <is>
          <t>unidad</t>
        </is>
      </c>
      <c r="I676" s="7" t="inlineStr">
        <is>
          <t>Puertas y ventanas</t>
        </is>
      </c>
      <c r="J676" s="7" t="inlineStr">
        <is>
          <t>estandar</t>
        </is>
      </c>
      <c r="K676" s="7" t="inlineStr">
        <is>
          <t>importado</t>
        </is>
      </c>
      <c r="L676" s="7" t="inlineStr">
        <is>
          <t>Verificado</t>
        </is>
      </c>
      <c r="M676" s="8" t="n">
        <v>1</v>
      </c>
      <c r="N676" s="9" t="n">
        <v>3464.55</v>
      </c>
      <c r="O676" s="9" t="n">
        <v>3464.55</v>
      </c>
      <c r="P676" s="9" t="n">
        <v>3464.55</v>
      </c>
      <c r="Q676" s="7" t="inlineStr">
        <is>
          <t>Sí</t>
        </is>
      </c>
      <c r="R676" s="9">
        <f>IF(N676="","",IF(Q676="Sí",ROUND(N676/1.18,2),N676))</f>
        <v/>
      </c>
      <c r="S676" s="7" t="inlineStr">
        <is>
          <t>2026-09-09</t>
        </is>
      </c>
      <c r="T676" s="5" t="inlineStr">
        <is>
          <t>1 cotización de proveedores</t>
        </is>
      </c>
    </row>
    <row r="677">
      <c r="A677" s="7" t="inlineStr">
        <is>
          <t>MAT-23-024</t>
        </is>
      </c>
      <c r="B677" s="7" t="inlineStr">
        <is>
          <t>Materiales</t>
        </is>
      </c>
      <c r="C677" s="7" t="inlineStr">
        <is>
          <t>Perfilería de aluminio</t>
        </is>
      </c>
      <c r="D677" s="5" t="inlineStr">
        <is>
          <t>Perfil rectangular de aluminio 4" x 1 3/4" x 19.20 pies</t>
        </is>
      </c>
      <c r="E677" s="5" t="inlineStr">
        <is>
          <t>Perfil tubular de aluminio extruido · 4" x 1 3/4" · tramo de 19.20 pies</t>
        </is>
      </c>
      <c r="F677" s="5" t="inlineStr">
        <is>
          <t>Material retirado en almacén</t>
        </is>
      </c>
      <c r="G677" s="5" t="inlineStr">
        <is>
          <t>perfilería de aluminio</t>
        </is>
      </c>
      <c r="H677" s="7" t="inlineStr">
        <is>
          <t>unidad</t>
        </is>
      </c>
      <c r="I677" s="7" t="inlineStr">
        <is>
          <t>Puertas y ventanas</t>
        </is>
      </c>
      <c r="J677" s="7" t="inlineStr">
        <is>
          <t>estandar</t>
        </is>
      </c>
      <c r="K677" s="7" t="inlineStr">
        <is>
          <t>importado</t>
        </is>
      </c>
      <c r="L677" s="7" t="inlineStr">
        <is>
          <t>Verificado</t>
        </is>
      </c>
      <c r="M677" s="8" t="n">
        <v>1</v>
      </c>
      <c r="N677" s="9" t="n">
        <v>5142.65</v>
      </c>
      <c r="O677" s="9" t="n">
        <v>5142.65</v>
      </c>
      <c r="P677" s="9" t="n">
        <v>5142.65</v>
      </c>
      <c r="Q677" s="7" t="inlineStr">
        <is>
          <t>Sí</t>
        </is>
      </c>
      <c r="R677" s="9">
        <f>IF(N677="","",IF(Q677="Sí",ROUND(N677/1.18,2),N677))</f>
        <v/>
      </c>
      <c r="S677" s="7" t="inlineStr">
        <is>
          <t>2026-09-09</t>
        </is>
      </c>
      <c r="T677" s="5" t="inlineStr">
        <is>
          <t>1 cotización de proveedores</t>
        </is>
      </c>
    </row>
    <row r="678">
      <c r="A678" s="7" t="inlineStr">
        <is>
          <t>MAT-23-025</t>
        </is>
      </c>
      <c r="B678" s="7" t="inlineStr">
        <is>
          <t>Materiales</t>
        </is>
      </c>
      <c r="C678" s="7" t="inlineStr">
        <is>
          <t>Perfilería de aluminio</t>
        </is>
      </c>
      <c r="D678" s="5" t="inlineStr">
        <is>
          <t>Angular de aluminio, 1X1"X19'</t>
        </is>
      </c>
      <c r="E678" s="5" t="inlineStr"/>
      <c r="F678" s="5" t="inlineStr">
        <is>
          <t>Material retirado en almacén</t>
        </is>
      </c>
      <c r="G678" s="5" t="inlineStr">
        <is>
          <t>angular de aluminio</t>
        </is>
      </c>
      <c r="H678" s="7" t="inlineStr">
        <is>
          <t>unidad</t>
        </is>
      </c>
      <c r="I678" s="7" t="inlineStr">
        <is>
          <t>Puertas y ventanas</t>
        </is>
      </c>
      <c r="J678" s="7" t="inlineStr">
        <is>
          <t>estandar</t>
        </is>
      </c>
      <c r="K678" s="7" t="inlineStr">
        <is>
          <t>importado</t>
        </is>
      </c>
      <c r="L678" s="7" t="inlineStr">
        <is>
          <t>Verificado</t>
        </is>
      </c>
      <c r="M678" s="8" t="n">
        <v>1</v>
      </c>
      <c r="N678" s="9" t="n">
        <v>750</v>
      </c>
      <c r="O678" s="9" t="n">
        <v>750</v>
      </c>
      <c r="P678" s="9" t="n">
        <v>750</v>
      </c>
      <c r="Q678" s="7" t="inlineStr">
        <is>
          <t>Sí</t>
        </is>
      </c>
      <c r="R678" s="9">
        <f>IF(N678="","",IF(Q678="Sí",ROUND(N678/1.18,2),N678))</f>
        <v/>
      </c>
      <c r="S678" s="7" t="inlineStr">
        <is>
          <t>2026-09-09</t>
        </is>
      </c>
      <c r="T678" s="5" t="inlineStr">
        <is>
          <t>1 cotización de proveedores</t>
        </is>
      </c>
      <c r="AH678" s="4" t="inlineStr">
        <is>
          <t>1X1"X19'</t>
        </is>
      </c>
    </row>
    <row r="679">
      <c r="A679" s="7" t="inlineStr">
        <is>
          <t>MAT-23-026</t>
        </is>
      </c>
      <c r="B679" s="7" t="inlineStr">
        <is>
          <t>Materiales</t>
        </is>
      </c>
      <c r="C679" s="7" t="inlineStr">
        <is>
          <t>Perfilería de aluminio</t>
        </is>
      </c>
      <c r="D679" s="5" t="inlineStr">
        <is>
          <t>Angular de aluminio, 3/4X1/2"X19'</t>
        </is>
      </c>
      <c r="E679" s="5" t="inlineStr"/>
      <c r="F679" s="5" t="inlineStr">
        <is>
          <t>Material retirado en almacén</t>
        </is>
      </c>
      <c r="G679" s="5" t="inlineStr">
        <is>
          <t>angular de aluminio</t>
        </is>
      </c>
      <c r="H679" s="7" t="inlineStr">
        <is>
          <t>unidad</t>
        </is>
      </c>
      <c r="I679" s="7" t="inlineStr">
        <is>
          <t>Puertas y ventanas</t>
        </is>
      </c>
      <c r="J679" s="7" t="inlineStr">
        <is>
          <t>estandar</t>
        </is>
      </c>
      <c r="K679" s="7" t="inlineStr">
        <is>
          <t>importado</t>
        </is>
      </c>
      <c r="L679" s="7" t="inlineStr">
        <is>
          <t>Verificado</t>
        </is>
      </c>
      <c r="M679" s="8" t="n">
        <v>1</v>
      </c>
      <c r="N679" s="9" t="n">
        <v>398</v>
      </c>
      <c r="O679" s="9" t="n">
        <v>398</v>
      </c>
      <c r="P679" s="9" t="n">
        <v>398</v>
      </c>
      <c r="Q679" s="7" t="inlineStr">
        <is>
          <t>Sí</t>
        </is>
      </c>
      <c r="R679" s="9">
        <f>IF(N679="","",IF(Q679="Sí",ROUND(N679/1.18,2),N679))</f>
        <v/>
      </c>
      <c r="S679" s="7" t="inlineStr">
        <is>
          <t>2026-09-09</t>
        </is>
      </c>
      <c r="T679" s="5" t="inlineStr">
        <is>
          <t>1 cotización de proveedores</t>
        </is>
      </c>
      <c r="AH679" s="4" t="inlineStr">
        <is>
          <t>3/4X1/2"X19'</t>
        </is>
      </c>
    </row>
    <row r="680">
      <c r="A680" s="7" t="inlineStr">
        <is>
          <t>MAT-24-001</t>
        </is>
      </c>
      <c r="B680" s="7" t="inlineStr">
        <is>
          <t>Materiales</t>
        </is>
      </c>
      <c r="C680" s="7" t="inlineStr">
        <is>
          <t>Inodoros y urinarios</t>
        </is>
      </c>
      <c r="D680" s="5" t="inlineStr">
        <is>
          <t>Inodoro de una pieza</t>
        </is>
      </c>
      <c r="E680" s="5" t="inlineStr">
        <is>
          <t>Inodoro monobloque de cerámica, tanque y taza en una sola pieza</t>
        </is>
      </c>
      <c r="F680" s="5" t="inlineStr">
        <is>
          <t>Material retirado en almacén</t>
        </is>
      </c>
      <c r="G680" s="5" t="inlineStr">
        <is>
          <t>inodoro, taza de baño, wc, one piece</t>
        </is>
      </c>
      <c r="H680" s="7" t="inlineStr">
        <is>
          <t>unidad</t>
        </is>
      </c>
      <c r="I680" s="7" t="inlineStr">
        <is>
          <t>Instalaciones</t>
        </is>
      </c>
      <c r="J680" s="7" t="inlineStr">
        <is>
          <t>estandar</t>
        </is>
      </c>
      <c r="K680" s="7" t="inlineStr">
        <is>
          <t>importado</t>
        </is>
      </c>
      <c r="L680" s="7" t="inlineStr">
        <is>
          <t>Verificado</t>
        </is>
      </c>
      <c r="M680" s="8" t="n">
        <v>1</v>
      </c>
      <c r="N680" s="9" t="n">
        <v>12350.18</v>
      </c>
      <c r="O680" s="9" t="n">
        <v>5981.36</v>
      </c>
      <c r="P680" s="9" t="n">
        <v>34487.85</v>
      </c>
      <c r="Q680" s="7" t="inlineStr">
        <is>
          <t>Sí</t>
        </is>
      </c>
      <c r="R680" s="9">
        <f>IF(N680="","",IF(Q680="Sí",ROUND(N680/1.18,2),N680))</f>
        <v/>
      </c>
      <c r="S680" s="7" t="inlineStr">
        <is>
          <t>2026-09-09</t>
        </is>
      </c>
      <c r="T680" s="5" t="inlineStr">
        <is>
          <t>12 cotizaciones de proveedores</t>
        </is>
      </c>
      <c r="AJ680" s="5" t="inlineStr">
        <is>
          <t>Descarga (L): 4.8</t>
        </is>
      </c>
    </row>
    <row r="681">
      <c r="A681" s="7" t="inlineStr">
        <is>
          <t>MAT-24-002</t>
        </is>
      </c>
      <c r="B681" s="7" t="inlineStr">
        <is>
          <t>Materiales</t>
        </is>
      </c>
      <c r="C681" s="7" t="inlineStr">
        <is>
          <t>Inodoros y urinarios</t>
        </is>
      </c>
      <c r="D681" s="5" t="inlineStr">
        <is>
          <t>Inodoro de una pieza, elongado</t>
        </is>
      </c>
      <c r="E681" s="5" t="inlineStr">
        <is>
          <t>Inodoro monobloque de cerámica, tanque y taza en una sola pieza</t>
        </is>
      </c>
      <c r="F681" s="5" t="inlineStr">
        <is>
          <t>Material retirado en almacén</t>
        </is>
      </c>
      <c r="G681" s="5" t="inlineStr">
        <is>
          <t>inodoro, taza de baño, wc, one piece</t>
        </is>
      </c>
      <c r="H681" s="7" t="inlineStr">
        <is>
          <t>unidad</t>
        </is>
      </c>
      <c r="I681" s="7" t="inlineStr">
        <is>
          <t>Instalaciones</t>
        </is>
      </c>
      <c r="J681" s="7" t="inlineStr">
        <is>
          <t>estandar</t>
        </is>
      </c>
      <c r="K681" s="7" t="inlineStr">
        <is>
          <t>importado</t>
        </is>
      </c>
      <c r="L681" s="7" t="inlineStr">
        <is>
          <t>Verificado</t>
        </is>
      </c>
      <c r="M681" s="8" t="n">
        <v>2</v>
      </c>
      <c r="N681" s="9" t="n">
        <v>8426.5</v>
      </c>
      <c r="O681" s="9" t="n">
        <v>4225</v>
      </c>
      <c r="P681" s="9" t="n">
        <v>19389.02</v>
      </c>
      <c r="Q681" s="7" t="inlineStr">
        <is>
          <t>Sí</t>
        </is>
      </c>
      <c r="R681" s="9">
        <f>IF(N681="","",IF(Q681="Sí",ROUND(N681/1.18,2),N681))</f>
        <v/>
      </c>
      <c r="S681" s="7" t="inlineStr">
        <is>
          <t>2026-09-09</t>
        </is>
      </c>
      <c r="T681" s="5" t="inlineStr">
        <is>
          <t>44 cotizaciones de proveedores</t>
        </is>
      </c>
      <c r="U681" s="4" t="inlineStr">
        <is>
          <t>elongado</t>
        </is>
      </c>
      <c r="W681" s="4" t="n">
        <v>710</v>
      </c>
      <c r="X681" s="4" t="n">
        <v>380</v>
      </c>
      <c r="Y681" s="4" t="n">
        <v>750</v>
      </c>
      <c r="AJ681" s="5" t="inlineStr">
        <is>
          <t>Descarga (L): 3.8 · Descarga: palanca</t>
        </is>
      </c>
    </row>
    <row r="682">
      <c r="A682" s="7" t="inlineStr">
        <is>
          <t>MAT-24-003</t>
        </is>
      </c>
      <c r="B682" s="7" t="inlineStr">
        <is>
          <t>Materiales</t>
        </is>
      </c>
      <c r="C682" s="7" t="inlineStr">
        <is>
          <t>Inodoros y urinarios</t>
        </is>
      </c>
      <c r="D682" s="5" t="inlineStr">
        <is>
          <t>Inodoro de una pieza, redondo</t>
        </is>
      </c>
      <c r="E682" s="5" t="inlineStr">
        <is>
          <t>Inodoro monobloque de cerámica, tanque y taza en una sola pieza</t>
        </is>
      </c>
      <c r="F682" s="5" t="inlineStr">
        <is>
          <t>Material retirado en almacén</t>
        </is>
      </c>
      <c r="G682" s="5" t="inlineStr">
        <is>
          <t>inodoro, taza de baño, wc, one piece</t>
        </is>
      </c>
      <c r="H682" s="7" t="inlineStr">
        <is>
          <t>unidad</t>
        </is>
      </c>
      <c r="I682" s="7" t="inlineStr">
        <is>
          <t>Instalaciones</t>
        </is>
      </c>
      <c r="J682" s="7" t="inlineStr">
        <is>
          <t>estandar</t>
        </is>
      </c>
      <c r="K682" s="7" t="inlineStr">
        <is>
          <t>importado</t>
        </is>
      </c>
      <c r="L682" s="7" t="inlineStr">
        <is>
          <t>Verificado</t>
        </is>
      </c>
      <c r="M682" s="8" t="n">
        <v>2</v>
      </c>
      <c r="N682" s="9" t="n">
        <v>7263.45</v>
      </c>
      <c r="O682" s="9" t="n">
        <v>4855</v>
      </c>
      <c r="P682" s="9" t="n">
        <v>12495</v>
      </c>
      <c r="Q682" s="7" t="inlineStr">
        <is>
          <t>Sí</t>
        </is>
      </c>
      <c r="R682" s="9">
        <f>IF(N682="","",IF(Q682="Sí",ROUND(N682/1.18,2),N682))</f>
        <v/>
      </c>
      <c r="S682" s="7" t="inlineStr">
        <is>
          <t>2026-09-09</t>
        </is>
      </c>
      <c r="T682" s="5" t="inlineStr">
        <is>
          <t>7 cotizaciones de proveedores</t>
        </is>
      </c>
      <c r="U682" s="4" t="inlineStr">
        <is>
          <t>redondo</t>
        </is>
      </c>
      <c r="AJ682" s="5" t="inlineStr">
        <is>
          <t>Descarga: push button</t>
        </is>
      </c>
    </row>
    <row r="683">
      <c r="A683" s="7" t="inlineStr">
        <is>
          <t>MAT-24-004</t>
        </is>
      </c>
      <c r="B683" s="7" t="inlineStr">
        <is>
          <t>Materiales</t>
        </is>
      </c>
      <c r="C683" s="7" t="inlineStr">
        <is>
          <t>Inodoros y urinarios</t>
        </is>
      </c>
      <c r="D683" s="5" t="inlineStr">
        <is>
          <t>Tanque para inodoro de dos piezas</t>
        </is>
      </c>
      <c r="E683" s="5" t="inlineStr">
        <is>
          <t>Solo el tanque. La basineta se compra aparte y es la otra mitad del inodoro</t>
        </is>
      </c>
      <c r="F683" s="5" t="inlineStr">
        <is>
          <t>Material retirado en almacén</t>
        </is>
      </c>
      <c r="G683" s="5" t="inlineStr">
        <is>
          <t>tanque de inodoro, cisterna</t>
        </is>
      </c>
      <c r="H683" s="7" t="inlineStr">
        <is>
          <t>unidad</t>
        </is>
      </c>
      <c r="I683" s="7" t="inlineStr">
        <is>
          <t>Instalaciones</t>
        </is>
      </c>
      <c r="J683" s="7" t="inlineStr">
        <is>
          <t>estandar</t>
        </is>
      </c>
      <c r="K683" s="7" t="inlineStr">
        <is>
          <t>importado</t>
        </is>
      </c>
      <c r="L683" s="7" t="inlineStr">
        <is>
          <t>Verificado</t>
        </is>
      </c>
      <c r="M683" s="8" t="n">
        <v>2</v>
      </c>
      <c r="N683" s="9" t="n">
        <v>4198.79</v>
      </c>
      <c r="O683" s="9" t="n">
        <v>586.47</v>
      </c>
      <c r="P683" s="9" t="n">
        <v>18906.72</v>
      </c>
      <c r="Q683" s="7" t="inlineStr">
        <is>
          <t>Sí</t>
        </is>
      </c>
      <c r="R683" s="9">
        <f>IF(N683="","",IF(Q683="Sí",ROUND(N683/1.18,2),N683))</f>
        <v/>
      </c>
      <c r="S683" s="7" t="inlineStr">
        <is>
          <t>2026-09-09</t>
        </is>
      </c>
      <c r="T683" s="5" t="inlineStr">
        <is>
          <t>40 cotizaciones de proveedores</t>
        </is>
      </c>
      <c r="U683" s="4" t="inlineStr">
        <is>
          <t>redondo</t>
        </is>
      </c>
      <c r="W683" s="4" t="n">
        <v>710</v>
      </c>
      <c r="X683" s="4" t="n">
        <v>415</v>
      </c>
      <c r="Y683" s="4" t="n">
        <v>800</v>
      </c>
      <c r="AJ683" s="5" t="inlineStr">
        <is>
          <t>Descarga: push button · Descarga (L): 4.8</t>
        </is>
      </c>
    </row>
    <row r="684">
      <c r="A684" s="7" t="inlineStr">
        <is>
          <t>MAT-24-005</t>
        </is>
      </c>
      <c r="B684" s="7" t="inlineStr">
        <is>
          <t>Materiales</t>
        </is>
      </c>
      <c r="C684" s="7" t="inlineStr">
        <is>
          <t>Inodoros y urinarios</t>
        </is>
      </c>
      <c r="D684" s="5" t="inlineStr">
        <is>
          <t>Basineta para inodoro de dos piezas</t>
        </is>
      </c>
      <c r="E684" s="5" t="inlineStr">
        <is>
          <t>Solo la taza. El tanque se compra aparte y es la otra mitad del inodoro</t>
        </is>
      </c>
      <c r="F684" s="5" t="inlineStr">
        <is>
          <t>Material retirado en almacén</t>
        </is>
      </c>
      <c r="G684" s="5" t="inlineStr">
        <is>
          <t>basineta, taza, cuerpo del inodoro</t>
        </is>
      </c>
      <c r="H684" s="7" t="inlineStr">
        <is>
          <t>unidad</t>
        </is>
      </c>
      <c r="I684" s="7" t="inlineStr">
        <is>
          <t>Instalaciones</t>
        </is>
      </c>
      <c r="J684" s="7" t="inlineStr">
        <is>
          <t>estandar</t>
        </is>
      </c>
      <c r="K684" s="7" t="inlineStr">
        <is>
          <t>importado</t>
        </is>
      </c>
      <c r="L684" s="7" t="inlineStr">
        <is>
          <t>Verificado</t>
        </is>
      </c>
      <c r="M684" s="8" t="n">
        <v>1</v>
      </c>
      <c r="N684" s="9" t="n">
        <v>7537.55</v>
      </c>
      <c r="O684" s="9" t="n">
        <v>2129.12</v>
      </c>
      <c r="P684" s="9" t="n">
        <v>19696.42</v>
      </c>
      <c r="Q684" s="7" t="inlineStr">
        <is>
          <t>Sí</t>
        </is>
      </c>
      <c r="R684" s="9">
        <f>IF(N684="","",IF(Q684="Sí",ROUND(N684/1.18,2),N684))</f>
        <v/>
      </c>
      <c r="S684" s="7" t="inlineStr">
        <is>
          <t>2026-09-09</t>
        </is>
      </c>
      <c r="T684" s="5" t="inlineStr">
        <is>
          <t>19 cotizaciones de proveedores</t>
        </is>
      </c>
      <c r="W684" s="4" t="n">
        <v>700</v>
      </c>
      <c r="X684" s="4" t="n">
        <v>360</v>
      </c>
      <c r="Y684" s="4" t="n">
        <v>740</v>
      </c>
      <c r="AJ684" s="5" t="inlineStr">
        <is>
          <t>Descarga (L): 6</t>
        </is>
      </c>
    </row>
    <row r="685">
      <c r="A685" s="7" t="inlineStr">
        <is>
          <t>MAT-24-006</t>
        </is>
      </c>
      <c r="B685" s="7" t="inlineStr">
        <is>
          <t>Materiales</t>
        </is>
      </c>
      <c r="C685" s="7" t="inlineStr">
        <is>
          <t>Inodoros y urinarios</t>
        </is>
      </c>
      <c r="D685" s="5" t="inlineStr">
        <is>
          <t>Basineta para inodoro de dos piezas, elongado</t>
        </is>
      </c>
      <c r="E685" s="5" t="inlineStr">
        <is>
          <t>Solo la taza. El tanque se compra aparte y es la otra mitad del inodoro</t>
        </is>
      </c>
      <c r="F685" s="5" t="inlineStr">
        <is>
          <t>Material retirado en almacén</t>
        </is>
      </c>
      <c r="G685" s="5" t="inlineStr">
        <is>
          <t>basineta, taza, cuerpo del inodoro</t>
        </is>
      </c>
      <c r="H685" s="7" t="inlineStr">
        <is>
          <t>unidad</t>
        </is>
      </c>
      <c r="I685" s="7" t="inlineStr">
        <is>
          <t>Instalaciones</t>
        </is>
      </c>
      <c r="J685" s="7" t="inlineStr">
        <is>
          <t>estandar</t>
        </is>
      </c>
      <c r="K685" s="7" t="inlineStr">
        <is>
          <t>importado</t>
        </is>
      </c>
      <c r="L685" s="7" t="inlineStr">
        <is>
          <t>Verificado</t>
        </is>
      </c>
      <c r="M685" s="8" t="n">
        <v>1</v>
      </c>
      <c r="N685" s="9" t="n">
        <v>5347.93</v>
      </c>
      <c r="O685" s="9" t="n">
        <v>2176.6</v>
      </c>
      <c r="P685" s="9" t="n">
        <v>8277.43</v>
      </c>
      <c r="Q685" s="7" t="inlineStr">
        <is>
          <t>Sí</t>
        </is>
      </c>
      <c r="R685" s="9">
        <f>IF(N685="","",IF(Q685="Sí",ROUND(N685/1.18,2),N685))</f>
        <v/>
      </c>
      <c r="S685" s="7" t="inlineStr">
        <is>
          <t>2026-09-09</t>
        </is>
      </c>
      <c r="T685" s="5" t="inlineStr">
        <is>
          <t>16 cotizaciones de proveedores</t>
        </is>
      </c>
      <c r="U685" s="4" t="inlineStr">
        <is>
          <t>elongado</t>
        </is>
      </c>
      <c r="AJ685" s="5" t="inlineStr">
        <is>
          <t>Descarga (L): 3.8</t>
        </is>
      </c>
    </row>
    <row r="686">
      <c r="A686" s="7" t="inlineStr">
        <is>
          <t>MAT-24-007</t>
        </is>
      </c>
      <c r="B686" s="7" t="inlineStr">
        <is>
          <t>Materiales</t>
        </is>
      </c>
      <c r="C686" s="7" t="inlineStr">
        <is>
          <t>Inodoros y urinarios</t>
        </is>
      </c>
      <c r="D686" s="5" t="inlineStr">
        <is>
          <t>Basineta para inodoro de dos piezas, redondo</t>
        </is>
      </c>
      <c r="E686" s="5" t="inlineStr">
        <is>
          <t>Solo la taza. El tanque se compra aparte y es la otra mitad del inodoro</t>
        </is>
      </c>
      <c r="F686" s="5" t="inlineStr">
        <is>
          <t>Material retirado en almacén</t>
        </is>
      </c>
      <c r="G686" s="5" t="inlineStr">
        <is>
          <t>basineta, taza, cuerpo del inodoro</t>
        </is>
      </c>
      <c r="H686" s="7" t="inlineStr">
        <is>
          <t>unidad</t>
        </is>
      </c>
      <c r="I686" s="7" t="inlineStr">
        <is>
          <t>Instalaciones</t>
        </is>
      </c>
      <c r="J686" s="7" t="inlineStr">
        <is>
          <t>estandar</t>
        </is>
      </c>
      <c r="K686" s="7" t="inlineStr">
        <is>
          <t>importado</t>
        </is>
      </c>
      <c r="L686" s="7" t="inlineStr">
        <is>
          <t>Verificado</t>
        </is>
      </c>
      <c r="M686" s="8" t="n">
        <v>1</v>
      </c>
      <c r="N686" s="9" t="n">
        <v>3298.27</v>
      </c>
      <c r="O686" s="9" t="n">
        <v>2501.14</v>
      </c>
      <c r="P686" s="9" t="n">
        <v>6768.83</v>
      </c>
      <c r="Q686" s="7" t="inlineStr">
        <is>
          <t>Sí</t>
        </is>
      </c>
      <c r="R686" s="9">
        <f>IF(N686="","",IF(Q686="Sí",ROUND(N686/1.18,2),N686))</f>
        <v/>
      </c>
      <c r="S686" s="7" t="inlineStr">
        <is>
          <t>2026-09-09</t>
        </is>
      </c>
      <c r="T686" s="5" t="inlineStr">
        <is>
          <t>8 cotizaciones de proveedores</t>
        </is>
      </c>
      <c r="U686" s="4" t="inlineStr">
        <is>
          <t>redondo</t>
        </is>
      </c>
      <c r="AJ686" s="5" t="inlineStr">
        <is>
          <t>Descarga (L): 4.8</t>
        </is>
      </c>
    </row>
    <row r="687">
      <c r="A687" s="7" t="inlineStr">
        <is>
          <t>MAT-24-008</t>
        </is>
      </c>
      <c r="B687" s="7" t="inlineStr">
        <is>
          <t>Materiales</t>
        </is>
      </c>
      <c r="C687" s="7" t="inlineStr">
        <is>
          <t>Inodoros y urinarios</t>
        </is>
      </c>
      <c r="D687" s="5" t="inlineStr">
        <is>
          <t>Taza para fluxómetro, elongado</t>
        </is>
      </c>
      <c r="E687" s="5" t="inlineStr">
        <is>
          <t>Taza sin tanque, para válvula de descarga. Uso comercial e institucional</t>
        </is>
      </c>
      <c r="F687" s="5" t="inlineStr">
        <is>
          <t>Material retirado en almacén</t>
        </is>
      </c>
      <c r="G687" s="5" t="inlineStr">
        <is>
          <t>taza de fluxómetro, inodoro comercial</t>
        </is>
      </c>
      <c r="H687" s="7" t="inlineStr">
        <is>
          <t>unidad</t>
        </is>
      </c>
      <c r="I687" s="7" t="inlineStr">
        <is>
          <t>Instalaciones</t>
        </is>
      </c>
      <c r="J687" s="7" t="inlineStr">
        <is>
          <t>estandar</t>
        </is>
      </c>
      <c r="K687" s="7" t="inlineStr">
        <is>
          <t>importado</t>
        </is>
      </c>
      <c r="L687" s="7" t="inlineStr">
        <is>
          <t>Verificado</t>
        </is>
      </c>
      <c r="M687" s="8" t="n">
        <v>1</v>
      </c>
      <c r="N687" s="9" t="n">
        <v>8995</v>
      </c>
      <c r="O687" s="9" t="n">
        <v>3925</v>
      </c>
      <c r="P687" s="9" t="n">
        <v>9187</v>
      </c>
      <c r="Q687" s="7" t="inlineStr">
        <is>
          <t>Sí</t>
        </is>
      </c>
      <c r="R687" s="9">
        <f>IF(N687="","",IF(Q687="Sí",ROUND(N687/1.18,2),N687))</f>
        <v/>
      </c>
      <c r="S687" s="7" t="inlineStr">
        <is>
          <t>2026-09-09</t>
        </is>
      </c>
      <c r="T687" s="5" t="inlineStr">
        <is>
          <t>3 cotizaciones de proveedores</t>
        </is>
      </c>
      <c r="U687" s="4" t="inlineStr">
        <is>
          <t>elongado</t>
        </is>
      </c>
      <c r="X687" s="4" t="n">
        <v>370</v>
      </c>
    </row>
    <row r="688">
      <c r="A688" s="7" t="inlineStr">
        <is>
          <t>MAT-24-009</t>
        </is>
      </c>
      <c r="B688" s="7" t="inlineStr">
        <is>
          <t>Materiales</t>
        </is>
      </c>
      <c r="C688" s="7" t="inlineStr">
        <is>
          <t>Inodoros y urinarios</t>
        </is>
      </c>
      <c r="D688" s="5" t="inlineStr">
        <is>
          <t>Urinario de porcelana</t>
        </is>
      </c>
      <c r="E688" s="5" t="inlineStr"/>
      <c r="F688" s="5" t="inlineStr">
        <is>
          <t>Material retirado en almacén</t>
        </is>
      </c>
      <c r="G688" s="5" t="inlineStr">
        <is>
          <t>orinal, mingitorio, urinario</t>
        </is>
      </c>
      <c r="H688" s="7" t="inlineStr">
        <is>
          <t>unidad</t>
        </is>
      </c>
      <c r="I688" s="7" t="inlineStr">
        <is>
          <t>Instalaciones</t>
        </is>
      </c>
      <c r="J688" s="7" t="inlineStr">
        <is>
          <t>estandar</t>
        </is>
      </c>
      <c r="K688" s="7" t="inlineStr">
        <is>
          <t>importado</t>
        </is>
      </c>
      <c r="L688" s="7" t="inlineStr">
        <is>
          <t>Verificado</t>
        </is>
      </c>
      <c r="M688" s="8" t="n">
        <v>2</v>
      </c>
      <c r="N688" s="9" t="n">
        <v>6631.07</v>
      </c>
      <c r="O688" s="9" t="n">
        <v>4362</v>
      </c>
      <c r="P688" s="9" t="n">
        <v>21399.06</v>
      </c>
      <c r="Q688" s="7" t="inlineStr">
        <is>
          <t>Sí</t>
        </is>
      </c>
      <c r="R688" s="9">
        <f>IF(N688="","",IF(Q688="Sí",ROUND(N688/1.18,2),N688))</f>
        <v/>
      </c>
      <c r="S688" s="7" t="inlineStr">
        <is>
          <t>2026-09-09</t>
        </is>
      </c>
      <c r="T688" s="5" t="inlineStr">
        <is>
          <t>10 cotizaciones de proveedores</t>
        </is>
      </c>
      <c r="X688" s="4" t="n">
        <v>325</v>
      </c>
    </row>
    <row r="689">
      <c r="A689" s="7" t="inlineStr">
        <is>
          <t>MAT-24-010</t>
        </is>
      </c>
      <c r="B689" s="7" t="inlineStr">
        <is>
          <t>Materiales</t>
        </is>
      </c>
      <c r="C689" s="7" t="inlineStr">
        <is>
          <t>Inodoros y urinarios</t>
        </is>
      </c>
      <c r="D689" s="5" t="inlineStr">
        <is>
          <t>Bidé</t>
        </is>
      </c>
      <c r="E689" s="5" t="inlineStr"/>
      <c r="F689" s="5" t="inlineStr">
        <is>
          <t>Material retirado en almacén</t>
        </is>
      </c>
      <c r="G689" s="5" t="inlineStr">
        <is>
          <t>bidé, bidet</t>
        </is>
      </c>
      <c r="H689" s="7" t="inlineStr">
        <is>
          <t>unidad</t>
        </is>
      </c>
      <c r="I689" s="7" t="inlineStr">
        <is>
          <t>Instalaciones</t>
        </is>
      </c>
      <c r="J689" s="7" t="inlineStr">
        <is>
          <t>estandar</t>
        </is>
      </c>
      <c r="K689" s="7" t="inlineStr">
        <is>
          <t>importado</t>
        </is>
      </c>
      <c r="L689" s="7" t="inlineStr">
        <is>
          <t>Verificado</t>
        </is>
      </c>
      <c r="M689" s="8" t="n">
        <v>1</v>
      </c>
      <c r="N689" s="9" t="n">
        <v>5937</v>
      </c>
      <c r="O689" s="9" t="n">
        <v>5937</v>
      </c>
      <c r="P689" s="9" t="n">
        <v>5937</v>
      </c>
      <c r="Q689" s="7" t="inlineStr">
        <is>
          <t>Sí</t>
        </is>
      </c>
      <c r="R689" s="9">
        <f>IF(N689="","",IF(Q689="Sí",ROUND(N689/1.18,2),N689))</f>
        <v/>
      </c>
      <c r="S689" s="7" t="inlineStr">
        <is>
          <t>2026-09-09</t>
        </is>
      </c>
      <c r="T689" s="5" t="inlineStr">
        <is>
          <t>1 cotización de proveedores</t>
        </is>
      </c>
    </row>
    <row r="690">
      <c r="A690" s="7" t="inlineStr">
        <is>
          <t>MAT-24-011</t>
        </is>
      </c>
      <c r="B690" s="7" t="inlineStr">
        <is>
          <t>Materiales</t>
        </is>
      </c>
      <c r="C690" s="7" t="inlineStr">
        <is>
          <t>Inodoros y urinarios</t>
        </is>
      </c>
      <c r="D690" s="5" t="inlineStr">
        <is>
          <t>Kit de instalación de inodoro</t>
        </is>
      </c>
      <c r="E690" s="5" t="inlineStr">
        <is>
          <t>Lo que el plomero compra por cada aparato que monta</t>
        </is>
      </c>
      <c r="F690" s="5" t="inlineStr">
        <is>
          <t>Material retirado en almacén</t>
        </is>
      </c>
      <c r="G690" s="5" t="inlineStr">
        <is>
          <t>kit de instalación, cera y tornillos de inodoro</t>
        </is>
      </c>
      <c r="H690" s="7" t="inlineStr">
        <is>
          <t>juego</t>
        </is>
      </c>
      <c r="I690" s="7" t="inlineStr">
        <is>
          <t>Instalaciones</t>
        </is>
      </c>
      <c r="J690" s="7" t="inlineStr">
        <is>
          <t>estandar</t>
        </is>
      </c>
      <c r="K690" s="7" t="inlineStr">
        <is>
          <t>importado</t>
        </is>
      </c>
      <c r="L690" s="7" t="inlineStr">
        <is>
          <t>Verificado</t>
        </is>
      </c>
      <c r="M690" s="8" t="n">
        <v>1</v>
      </c>
      <c r="N690" s="9" t="n">
        <v>1773</v>
      </c>
      <c r="O690" s="9" t="n">
        <v>1773</v>
      </c>
      <c r="P690" s="9" t="n">
        <v>1773</v>
      </c>
      <c r="Q690" s="7" t="inlineStr">
        <is>
          <t>Sí</t>
        </is>
      </c>
      <c r="R690" s="9">
        <f>IF(N690="","",IF(Q690="Sí",ROUND(N690/1.18,2),N690))</f>
        <v/>
      </c>
      <c r="S690" s="7" t="inlineStr">
        <is>
          <t>2026-09-09</t>
        </is>
      </c>
      <c r="T690" s="5" t="inlineStr">
        <is>
          <t>1 cotización de proveedores</t>
        </is>
      </c>
    </row>
    <row r="691">
      <c r="A691" s="7" t="inlineStr">
        <is>
          <t>MAT-25-001</t>
        </is>
      </c>
      <c r="B691" s="7" t="inlineStr">
        <is>
          <t>Materiales</t>
        </is>
      </c>
      <c r="C691" s="7" t="inlineStr">
        <is>
          <t>Lavamanos y pedestales</t>
        </is>
      </c>
      <c r="D691" s="5" t="inlineStr">
        <is>
          <t>Lavamanos</t>
        </is>
      </c>
      <c r="E691" s="5" t="inlineStr"/>
      <c r="F691" s="5" t="inlineStr">
        <is>
          <t>Material retirado en almacén</t>
        </is>
      </c>
      <c r="G691" s="5" t="inlineStr">
        <is>
          <t>lavamanos, lavabo, lavatorio</t>
        </is>
      </c>
      <c r="H691" s="7" t="inlineStr">
        <is>
          <t>unidad</t>
        </is>
      </c>
      <c r="I691" s="7" t="inlineStr">
        <is>
          <t>Instalaciones</t>
        </is>
      </c>
      <c r="J691" s="7" t="inlineStr">
        <is>
          <t>estandar</t>
        </is>
      </c>
      <c r="K691" s="7" t="inlineStr">
        <is>
          <t>importado</t>
        </is>
      </c>
      <c r="L691" s="7" t="inlineStr">
        <is>
          <t>Verificado</t>
        </is>
      </c>
      <c r="M691" s="8" t="n">
        <v>1</v>
      </c>
      <c r="N691" s="9" t="n">
        <v>8402.389999999999</v>
      </c>
      <c r="O691" s="9" t="n">
        <v>5360.96</v>
      </c>
      <c r="P691" s="9" t="n">
        <v>17608.28</v>
      </c>
      <c r="Q691" s="7" t="inlineStr">
        <is>
          <t>Sí</t>
        </is>
      </c>
      <c r="R691" s="9">
        <f>IF(N691="","",IF(Q691="Sí",ROUND(N691/1.18,2),N691))</f>
        <v/>
      </c>
      <c r="S691" s="7" t="inlineStr">
        <is>
          <t>2026-09-09</t>
        </is>
      </c>
      <c r="T691" s="5" t="inlineStr">
        <is>
          <t>8 cotizaciones de proveedores</t>
        </is>
      </c>
      <c r="W691" s="4" t="n">
        <v>810</v>
      </c>
      <c r="X691" s="4" t="n">
        <v>460</v>
      </c>
      <c r="Y691" s="4" t="n">
        <v>170</v>
      </c>
    </row>
    <row r="692">
      <c r="A692" s="7" t="inlineStr">
        <is>
          <t>MAT-25-002</t>
        </is>
      </c>
      <c r="B692" s="7" t="inlineStr">
        <is>
          <t>Materiales</t>
        </is>
      </c>
      <c r="C692" s="7" t="inlineStr">
        <is>
          <t>Lavamanos y pedestales</t>
        </is>
      </c>
      <c r="D692" s="5" t="inlineStr">
        <is>
          <t>Lavamanos, de empotrar</t>
        </is>
      </c>
      <c r="E692" s="5" t="inlineStr"/>
      <c r="F692" s="5" t="inlineStr">
        <is>
          <t>Material retirado en almacén</t>
        </is>
      </c>
      <c r="G692" s="5" t="inlineStr">
        <is>
          <t>lavamanos, lavabo, lavatorio</t>
        </is>
      </c>
      <c r="H692" s="7" t="inlineStr">
        <is>
          <t>unidad</t>
        </is>
      </c>
      <c r="I692" s="7" t="inlineStr">
        <is>
          <t>Instalaciones</t>
        </is>
      </c>
      <c r="J692" s="7" t="inlineStr">
        <is>
          <t>estandar</t>
        </is>
      </c>
      <c r="K692" s="7" t="inlineStr">
        <is>
          <t>importado</t>
        </is>
      </c>
      <c r="L692" s="7" t="inlineStr">
        <is>
          <t>Verificado</t>
        </is>
      </c>
      <c r="M692" s="8" t="n">
        <v>2</v>
      </c>
      <c r="N692" s="9" t="n">
        <v>2807.64</v>
      </c>
      <c r="O692" s="9" t="n">
        <v>684.67</v>
      </c>
      <c r="P692" s="9" t="n">
        <v>8893.91</v>
      </c>
      <c r="Q692" s="7" t="inlineStr">
        <is>
          <t>Sí</t>
        </is>
      </c>
      <c r="R692" s="9">
        <f>IF(N692="","",IF(Q692="Sí",ROUND(N692/1.18,2),N692))</f>
        <v/>
      </c>
      <c r="S692" s="7" t="inlineStr">
        <is>
          <t>2026-09-09</t>
        </is>
      </c>
      <c r="T692" s="5" t="inlineStr">
        <is>
          <t>21 cotizaciones de proveedores</t>
        </is>
      </c>
      <c r="W692" s="4" t="n">
        <v>615</v>
      </c>
      <c r="X692" s="4" t="n">
        <v>380</v>
      </c>
      <c r="Y692" s="4" t="n">
        <v>175</v>
      </c>
      <c r="AJ692" s="5" t="inlineStr">
        <is>
          <t>Montaje: empotrar</t>
        </is>
      </c>
    </row>
    <row r="693">
      <c r="A693" s="7" t="inlineStr">
        <is>
          <t>MAT-25-003</t>
        </is>
      </c>
      <c r="B693" s="7" t="inlineStr">
        <is>
          <t>Materiales</t>
        </is>
      </c>
      <c r="C693" s="7" t="inlineStr">
        <is>
          <t>Lavamanos y pedestales</t>
        </is>
      </c>
      <c r="D693" s="5" t="inlineStr">
        <is>
          <t>Lavamanos, de pared</t>
        </is>
      </c>
      <c r="E693" s="5" t="inlineStr"/>
      <c r="F693" s="5" t="inlineStr">
        <is>
          <t>Material retirado en almacén</t>
        </is>
      </c>
      <c r="G693" s="5" t="inlineStr">
        <is>
          <t>lavamanos, lavabo, lavatorio</t>
        </is>
      </c>
      <c r="H693" s="7" t="inlineStr">
        <is>
          <t>unidad</t>
        </is>
      </c>
      <c r="I693" s="7" t="inlineStr">
        <is>
          <t>Instalaciones</t>
        </is>
      </c>
      <c r="J693" s="7" t="inlineStr">
        <is>
          <t>estandar</t>
        </is>
      </c>
      <c r="K693" s="7" t="inlineStr">
        <is>
          <t>importado</t>
        </is>
      </c>
      <c r="L693" s="7" t="inlineStr">
        <is>
          <t>Verificado</t>
        </is>
      </c>
      <c r="M693" s="8" t="n">
        <v>1</v>
      </c>
      <c r="N693" s="9" t="n">
        <v>1995</v>
      </c>
      <c r="O693" s="9" t="n">
        <v>995</v>
      </c>
      <c r="P693" s="9" t="n">
        <v>9457</v>
      </c>
      <c r="Q693" s="7" t="inlineStr">
        <is>
          <t>Sí</t>
        </is>
      </c>
      <c r="R693" s="9">
        <f>IF(N693="","",IF(Q693="Sí",ROUND(N693/1.18,2),N693))</f>
        <v/>
      </c>
      <c r="S693" s="7" t="inlineStr">
        <is>
          <t>2026-09-09</t>
        </is>
      </c>
      <c r="T693" s="5" t="inlineStr">
        <is>
          <t>9 cotizaciones de proveedores</t>
        </is>
      </c>
      <c r="W693" s="4" t="n">
        <v>400</v>
      </c>
      <c r="X693" s="4" t="n">
        <v>640</v>
      </c>
      <c r="Y693" s="4" t="n">
        <v>160</v>
      </c>
      <c r="AJ693" s="5" t="inlineStr">
        <is>
          <t>Montaje: pared</t>
        </is>
      </c>
    </row>
    <row r="694">
      <c r="A694" s="7" t="inlineStr">
        <is>
          <t>MAT-25-004</t>
        </is>
      </c>
      <c r="B694" s="7" t="inlineStr">
        <is>
          <t>Materiales</t>
        </is>
      </c>
      <c r="C694" s="7" t="inlineStr">
        <is>
          <t>Lavamanos y pedestales</t>
        </is>
      </c>
      <c r="D694" s="5" t="inlineStr">
        <is>
          <t>Lavamanos, de pedestal</t>
        </is>
      </c>
      <c r="E694" s="5" t="inlineStr"/>
      <c r="F694" s="5" t="inlineStr">
        <is>
          <t>Material retirado en almacén</t>
        </is>
      </c>
      <c r="G694" s="5" t="inlineStr">
        <is>
          <t>lavamanos, lavabo, lavatorio</t>
        </is>
      </c>
      <c r="H694" s="7" t="inlineStr">
        <is>
          <t>unidad</t>
        </is>
      </c>
      <c r="I694" s="7" t="inlineStr">
        <is>
          <t>Instalaciones</t>
        </is>
      </c>
      <c r="J694" s="7" t="inlineStr">
        <is>
          <t>estandar</t>
        </is>
      </c>
      <c r="K694" s="7" t="inlineStr">
        <is>
          <t>importado</t>
        </is>
      </c>
      <c r="L694" s="7" t="inlineStr">
        <is>
          <t>Verificado</t>
        </is>
      </c>
      <c r="M694" s="8" t="n">
        <v>2</v>
      </c>
      <c r="N694" s="9" t="n">
        <v>2565.83</v>
      </c>
      <c r="O694" s="9" t="n">
        <v>216</v>
      </c>
      <c r="P694" s="9" t="n">
        <v>17783.95</v>
      </c>
      <c r="Q694" s="7" t="inlineStr">
        <is>
          <t>Sí</t>
        </is>
      </c>
      <c r="R694" s="9">
        <f>IF(N694="","",IF(Q694="Sí",ROUND(N694/1.18,2),N694))</f>
        <v/>
      </c>
      <c r="S694" s="7" t="inlineStr">
        <is>
          <t>2026-09-09</t>
        </is>
      </c>
      <c r="T694" s="5" t="inlineStr">
        <is>
          <t>45 cotizaciones de proveedores</t>
        </is>
      </c>
      <c r="W694" s="4" t="n">
        <v>310</v>
      </c>
      <c r="X694" s="4" t="n">
        <v>570</v>
      </c>
      <c r="Y694" s="4" t="n">
        <v>110</v>
      </c>
      <c r="AJ694" s="5" t="inlineStr">
        <is>
          <t>Montaje: pedestal · Agujeros: 1</t>
        </is>
      </c>
    </row>
    <row r="695">
      <c r="A695" s="7" t="inlineStr">
        <is>
          <t>MAT-25-005</t>
        </is>
      </c>
      <c r="B695" s="7" t="inlineStr">
        <is>
          <t>Materiales</t>
        </is>
      </c>
      <c r="C695" s="7" t="inlineStr">
        <is>
          <t>Lavamanos y pedestales</t>
        </is>
      </c>
      <c r="D695" s="5" t="inlineStr">
        <is>
          <t>Lavamanos, de sobreponer</t>
        </is>
      </c>
      <c r="E695" s="5" t="inlineStr"/>
      <c r="F695" s="5" t="inlineStr">
        <is>
          <t>Material retirado en almacén</t>
        </is>
      </c>
      <c r="G695" s="5" t="inlineStr">
        <is>
          <t>lavamanos, lavabo, lavatorio</t>
        </is>
      </c>
      <c r="H695" s="7" t="inlineStr">
        <is>
          <t>unidad</t>
        </is>
      </c>
      <c r="I695" s="7" t="inlineStr">
        <is>
          <t>Instalaciones</t>
        </is>
      </c>
      <c r="J695" s="7" t="inlineStr">
        <is>
          <t>estandar</t>
        </is>
      </c>
      <c r="K695" s="7" t="inlineStr">
        <is>
          <t>importado</t>
        </is>
      </c>
      <c r="L695" s="7" t="inlineStr">
        <is>
          <t>Verificado</t>
        </is>
      </c>
      <c r="M695" s="8" t="n">
        <v>2</v>
      </c>
      <c r="N695" s="9" t="n">
        <v>3529</v>
      </c>
      <c r="O695" s="9" t="n">
        <v>1495</v>
      </c>
      <c r="P695" s="9" t="n">
        <v>13554.16</v>
      </c>
      <c r="Q695" s="7" t="inlineStr">
        <is>
          <t>Sí</t>
        </is>
      </c>
      <c r="R695" s="9">
        <f>IF(N695="","",IF(Q695="Sí",ROUND(N695/1.18,2),N695))</f>
        <v/>
      </c>
      <c r="S695" s="7" t="inlineStr">
        <is>
          <t>2026-09-09</t>
        </is>
      </c>
      <c r="T695" s="5" t="inlineStr">
        <is>
          <t>57 cotizaciones de proveedores</t>
        </is>
      </c>
      <c r="X695" s="4" t="n">
        <v>590</v>
      </c>
      <c r="AJ695" s="5" t="inlineStr">
        <is>
          <t>Montaje: sobreponer · Agujeros: 1</t>
        </is>
      </c>
    </row>
    <row r="696">
      <c r="A696" s="7" t="inlineStr">
        <is>
          <t>MAT-25-006</t>
        </is>
      </c>
      <c r="B696" s="7" t="inlineStr">
        <is>
          <t>Materiales</t>
        </is>
      </c>
      <c r="C696" s="7" t="inlineStr">
        <is>
          <t>Lavamanos y pedestales</t>
        </is>
      </c>
      <c r="D696" s="5" t="inlineStr">
        <is>
          <t>Pedestal para lavamanos</t>
        </is>
      </c>
      <c r="E696" s="5" t="inlineStr">
        <is>
          <t>Se compra aparte del lavamanos: son dos partidas</t>
        </is>
      </c>
      <c r="F696" s="5" t="inlineStr">
        <is>
          <t>Material retirado en almacén</t>
        </is>
      </c>
      <c r="G696" s="5" t="inlineStr">
        <is>
          <t>pedestal, pie de lavamanos</t>
        </is>
      </c>
      <c r="H696" s="7" t="inlineStr">
        <is>
          <t>unidad</t>
        </is>
      </c>
      <c r="I696" s="7" t="inlineStr">
        <is>
          <t>Instalaciones</t>
        </is>
      </c>
      <c r="J696" s="7" t="inlineStr">
        <is>
          <t>estandar</t>
        </is>
      </c>
      <c r="K696" s="7" t="inlineStr">
        <is>
          <t>importado</t>
        </is>
      </c>
      <c r="L696" s="7" t="inlineStr">
        <is>
          <t>Verificado</t>
        </is>
      </c>
      <c r="M696" s="8" t="n">
        <v>1</v>
      </c>
      <c r="N696" s="9" t="n">
        <v>2014.01</v>
      </c>
      <c r="O696" s="9" t="n">
        <v>891.27</v>
      </c>
      <c r="P696" s="9" t="n">
        <v>3334.17</v>
      </c>
      <c r="Q696" s="7" t="inlineStr">
        <is>
          <t>Sí</t>
        </is>
      </c>
      <c r="R696" s="9">
        <f>IF(N696="","",IF(Q696="Sí",ROUND(N696/1.18,2),N696))</f>
        <v/>
      </c>
      <c r="S696" s="7" t="inlineStr">
        <is>
          <t>2026-09-09</t>
        </is>
      </c>
      <c r="T696" s="5" t="inlineStr">
        <is>
          <t>17 cotizaciones de proveedores</t>
        </is>
      </c>
    </row>
    <row r="697">
      <c r="A697" s="7" t="inlineStr">
        <is>
          <t>MAT-25-007</t>
        </is>
      </c>
      <c r="B697" s="7" t="inlineStr">
        <is>
          <t>Materiales</t>
        </is>
      </c>
      <c r="C697" s="7" t="inlineStr">
        <is>
          <t>Lavamanos y pedestales</t>
        </is>
      </c>
      <c r="D697" s="5" t="inlineStr">
        <is>
          <t>Palometa para lavamanos</t>
        </is>
      </c>
      <c r="E697" s="5" t="inlineStr"/>
      <c r="F697" s="5" t="inlineStr">
        <is>
          <t>Material retirado en almacén</t>
        </is>
      </c>
      <c r="G697" s="5" t="inlineStr">
        <is>
          <t>palometa, soporte de lavamanos, escuadra</t>
        </is>
      </c>
      <c r="H697" s="7" t="inlineStr">
        <is>
          <t>unidad</t>
        </is>
      </c>
      <c r="I697" s="7" t="inlineStr">
        <is>
          <t>Instalaciones</t>
        </is>
      </c>
      <c r="J697" s="7" t="inlineStr">
        <is>
          <t>estandar</t>
        </is>
      </c>
      <c r="K697" s="7" t="inlineStr">
        <is>
          <t>importado</t>
        </is>
      </c>
      <c r="L697" s="7" t="inlineStr">
        <is>
          <t>Verificado</t>
        </is>
      </c>
      <c r="M697" s="8" t="n">
        <v>1</v>
      </c>
      <c r="N697" s="9" t="n">
        <v>70.02</v>
      </c>
      <c r="O697" s="9" t="n">
        <v>57.88</v>
      </c>
      <c r="P697" s="9" t="n">
        <v>80.59</v>
      </c>
      <c r="Q697" s="7" t="inlineStr">
        <is>
          <t>Sí</t>
        </is>
      </c>
      <c r="R697" s="9">
        <f>IF(N697="","",IF(Q697="Sí",ROUND(N697/1.18,2),N697))</f>
        <v/>
      </c>
      <c r="S697" s="7" t="inlineStr">
        <is>
          <t>2026-09-09</t>
        </is>
      </c>
      <c r="T697" s="5" t="inlineStr">
        <is>
          <t>4 cotizaciones de proveedores</t>
        </is>
      </c>
    </row>
    <row r="698">
      <c r="A698" s="7" t="inlineStr">
        <is>
          <t>MAT-25-008</t>
        </is>
      </c>
      <c r="B698" s="7" t="inlineStr">
        <is>
          <t>Materiales</t>
        </is>
      </c>
      <c r="C698" s="7" t="inlineStr">
        <is>
          <t>Lavamanos y pedestales</t>
        </is>
      </c>
      <c r="D698" s="5" t="inlineStr">
        <is>
          <t>Conector de desagüe para lavamanos</t>
        </is>
      </c>
      <c r="E698" s="5" t="inlineStr"/>
      <c r="F698" s="5" t="inlineStr">
        <is>
          <t>Material retirado en almacén</t>
        </is>
      </c>
      <c r="G698" s="5" t="inlineStr">
        <is>
          <t>conector, yee de desagüe</t>
        </is>
      </c>
      <c r="H698" s="7" t="inlineStr">
        <is>
          <t>unidad</t>
        </is>
      </c>
      <c r="I698" s="7" t="inlineStr">
        <is>
          <t>Instalaciones</t>
        </is>
      </c>
      <c r="J698" s="7" t="inlineStr">
        <is>
          <t>estandar</t>
        </is>
      </c>
      <c r="K698" s="7" t="inlineStr">
        <is>
          <t>importado</t>
        </is>
      </c>
      <c r="L698" s="7" t="inlineStr">
        <is>
          <t>Verificado</t>
        </is>
      </c>
      <c r="M698" s="8" t="n">
        <v>1</v>
      </c>
      <c r="N698" s="9" t="n">
        <v>255.94</v>
      </c>
      <c r="O698" s="9" t="n">
        <v>255.94</v>
      </c>
      <c r="P698" s="9" t="n">
        <v>255.94</v>
      </c>
      <c r="Q698" s="7" t="inlineStr">
        <is>
          <t>Sí</t>
        </is>
      </c>
      <c r="R698" s="9">
        <f>IF(N698="","",IF(Q698="Sí",ROUND(N698/1.18,2),N698))</f>
        <v/>
      </c>
      <c r="S698" s="7" t="inlineStr">
        <is>
          <t>2026-09-09</t>
        </is>
      </c>
      <c r="T698" s="5" t="inlineStr">
        <is>
          <t>1 cotización de proveedores</t>
        </is>
      </c>
    </row>
    <row r="699">
      <c r="A699" s="7" t="inlineStr">
        <is>
          <t>MAT-26-001</t>
        </is>
      </c>
      <c r="B699" s="7" t="inlineStr">
        <is>
          <t>Materiales</t>
        </is>
      </c>
      <c r="C699" s="7" t="inlineStr">
        <is>
          <t>Muebles y espejos de baño</t>
        </is>
      </c>
      <c r="D699" s="5" t="inlineStr">
        <is>
          <t>Mueble de baño</t>
        </is>
      </c>
      <c r="E699" s="5" t="inlineStr"/>
      <c r="F699" s="5" t="inlineStr">
        <is>
          <t>Material retirado en almacén</t>
        </is>
      </c>
      <c r="G699" s="5" t="inlineStr">
        <is>
          <t>mueble de baño, vanity, gabinete</t>
        </is>
      </c>
      <c r="H699" s="7" t="inlineStr">
        <is>
          <t>unidad</t>
        </is>
      </c>
      <c r="I699" s="7" t="inlineStr">
        <is>
          <t>Terminación de superficies</t>
        </is>
      </c>
      <c r="J699" s="7" t="inlineStr">
        <is>
          <t>estandar</t>
        </is>
      </c>
      <c r="K699" s="7" t="inlineStr">
        <is>
          <t>importado</t>
        </is>
      </c>
      <c r="L699" s="7" t="inlineStr">
        <is>
          <t>Verificado</t>
        </is>
      </c>
      <c r="M699" s="8" t="n">
        <v>2</v>
      </c>
      <c r="N699" s="9" t="n">
        <v>14350</v>
      </c>
      <c r="O699" s="9" t="n">
        <v>1140</v>
      </c>
      <c r="P699" s="9" t="n">
        <v>45479.87</v>
      </c>
      <c r="Q699" s="7" t="inlineStr">
        <is>
          <t>Sí</t>
        </is>
      </c>
      <c r="R699" s="9">
        <f>IF(N699="","",IF(Q699="Sí",ROUND(N699/1.18,2),N699))</f>
        <v/>
      </c>
      <c r="S699" s="7" t="inlineStr">
        <is>
          <t>2026-09-09</t>
        </is>
      </c>
      <c r="T699" s="5" t="inlineStr">
        <is>
          <t>53 cotizaciones de proveedores</t>
        </is>
      </c>
      <c r="W699" s="4" t="n">
        <v>600</v>
      </c>
      <c r="X699" s="4" t="n">
        <v>450</v>
      </c>
      <c r="Y699" s="4" t="n">
        <v>810</v>
      </c>
    </row>
    <row r="700">
      <c r="A700" s="7" t="inlineStr">
        <is>
          <t>MAT-26-002</t>
        </is>
      </c>
      <c r="B700" s="7" t="inlineStr">
        <is>
          <t>Materiales</t>
        </is>
      </c>
      <c r="C700" s="7" t="inlineStr">
        <is>
          <t>Muebles y espejos de baño</t>
        </is>
      </c>
      <c r="D700" s="5" t="inlineStr">
        <is>
          <t>Mueble de baño, de pared</t>
        </is>
      </c>
      <c r="E700" s="5" t="inlineStr"/>
      <c r="F700" s="5" t="inlineStr">
        <is>
          <t>Material retirado en almacén</t>
        </is>
      </c>
      <c r="G700" s="5" t="inlineStr">
        <is>
          <t>mueble de baño, vanity, gabinete</t>
        </is>
      </c>
      <c r="H700" s="7" t="inlineStr">
        <is>
          <t>unidad</t>
        </is>
      </c>
      <c r="I700" s="7" t="inlineStr">
        <is>
          <t>Terminación de superficies</t>
        </is>
      </c>
      <c r="J700" s="7" t="inlineStr">
        <is>
          <t>estandar</t>
        </is>
      </c>
      <c r="K700" s="7" t="inlineStr">
        <is>
          <t>importado</t>
        </is>
      </c>
      <c r="L700" s="7" t="inlineStr">
        <is>
          <t>Verificado</t>
        </is>
      </c>
      <c r="M700" s="8" t="n">
        <v>2</v>
      </c>
      <c r="N700" s="9" t="n">
        <v>17006.6</v>
      </c>
      <c r="O700" s="9" t="n">
        <v>5433.44</v>
      </c>
      <c r="P700" s="9" t="n">
        <v>48148.71</v>
      </c>
      <c r="Q700" s="7" t="inlineStr">
        <is>
          <t>Sí</t>
        </is>
      </c>
      <c r="R700" s="9">
        <f>IF(N700="","",IF(Q700="Sí",ROUND(N700/1.18,2),N700))</f>
        <v/>
      </c>
      <c r="S700" s="7" t="inlineStr">
        <is>
          <t>2026-09-09</t>
        </is>
      </c>
      <c r="T700" s="5" t="inlineStr">
        <is>
          <t>37 cotizaciones de proveedores</t>
        </is>
      </c>
      <c r="W700" s="4" t="n">
        <v>600</v>
      </c>
      <c r="X700" s="4" t="n">
        <v>450</v>
      </c>
      <c r="Y700" s="4" t="n">
        <v>440</v>
      </c>
      <c r="AJ700" s="5" t="inlineStr">
        <is>
          <t>Montaje: pared</t>
        </is>
      </c>
    </row>
    <row r="701">
      <c r="A701" s="7" t="inlineStr">
        <is>
          <t>MAT-26-003</t>
        </is>
      </c>
      <c r="B701" s="7" t="inlineStr">
        <is>
          <t>Materiales</t>
        </is>
      </c>
      <c r="C701" s="7" t="inlineStr">
        <is>
          <t>Muebles y espejos de baño</t>
        </is>
      </c>
      <c r="D701" s="5" t="inlineStr">
        <is>
          <t>Mueble de baño, de piso</t>
        </is>
      </c>
      <c r="E701" s="5" t="inlineStr"/>
      <c r="F701" s="5" t="inlineStr">
        <is>
          <t>Material retirado en almacén</t>
        </is>
      </c>
      <c r="G701" s="5" t="inlineStr">
        <is>
          <t>mueble de baño, vanity, gabinete</t>
        </is>
      </c>
      <c r="H701" s="7" t="inlineStr">
        <is>
          <t>unidad</t>
        </is>
      </c>
      <c r="I701" s="7" t="inlineStr">
        <is>
          <t>Terminación de superficies</t>
        </is>
      </c>
      <c r="J701" s="7" t="inlineStr">
        <is>
          <t>estandar</t>
        </is>
      </c>
      <c r="K701" s="7" t="inlineStr">
        <is>
          <t>importado</t>
        </is>
      </c>
      <c r="L701" s="7" t="inlineStr">
        <is>
          <t>Verificado</t>
        </is>
      </c>
      <c r="M701" s="8" t="n">
        <v>1</v>
      </c>
      <c r="N701" s="9" t="n">
        <v>8820</v>
      </c>
      <c r="O701" s="9" t="n">
        <v>7012.5</v>
      </c>
      <c r="P701" s="9" t="n">
        <v>17995</v>
      </c>
      <c r="Q701" s="7" t="inlineStr">
        <is>
          <t>Sí</t>
        </is>
      </c>
      <c r="R701" s="9">
        <f>IF(N701="","",IF(Q701="Sí",ROUND(N701/1.18,2),N701))</f>
        <v/>
      </c>
      <c r="S701" s="7" t="inlineStr">
        <is>
          <t>2026-09-09</t>
        </is>
      </c>
      <c r="T701" s="5" t="inlineStr">
        <is>
          <t>20 cotizaciones de proveedores</t>
        </is>
      </c>
      <c r="W701" s="4" t="n">
        <v>525</v>
      </c>
      <c r="X701" s="4" t="n">
        <v>370</v>
      </c>
      <c r="Y701" s="4" t="n">
        <v>800</v>
      </c>
      <c r="AJ701" s="5" t="inlineStr">
        <is>
          <t>Montaje: piso</t>
        </is>
      </c>
    </row>
    <row r="702">
      <c r="A702" s="7" t="inlineStr">
        <is>
          <t>MAT-26-004</t>
        </is>
      </c>
      <c r="B702" s="7" t="inlineStr">
        <is>
          <t>Materiales</t>
        </is>
      </c>
      <c r="C702" s="7" t="inlineStr">
        <is>
          <t>Muebles y espejos de baño</t>
        </is>
      </c>
      <c r="D702" s="5" t="inlineStr">
        <is>
          <t>Botiquín de baño</t>
        </is>
      </c>
      <c r="E702" s="5" t="inlineStr"/>
      <c r="F702" s="5" t="inlineStr">
        <is>
          <t>Material retirado en almacén</t>
        </is>
      </c>
      <c r="G702" s="5" t="inlineStr">
        <is>
          <t>botiquín, gabinete con espejo</t>
        </is>
      </c>
      <c r="H702" s="7" t="inlineStr">
        <is>
          <t>unidad</t>
        </is>
      </c>
      <c r="I702" s="7" t="inlineStr">
        <is>
          <t>Terminación de superficies</t>
        </is>
      </c>
      <c r="J702" s="7" t="inlineStr">
        <is>
          <t>estandar</t>
        </is>
      </c>
      <c r="K702" s="7" t="inlineStr">
        <is>
          <t>importado</t>
        </is>
      </c>
      <c r="L702" s="7" t="inlineStr">
        <is>
          <t>Verificado</t>
        </is>
      </c>
      <c r="M702" s="8" t="n">
        <v>2</v>
      </c>
      <c r="N702" s="9" t="n">
        <v>1415</v>
      </c>
      <c r="O702" s="9" t="n">
        <v>725.87</v>
      </c>
      <c r="P702" s="9" t="n">
        <v>6543.83</v>
      </c>
      <c r="Q702" s="7" t="inlineStr">
        <is>
          <t>Sí</t>
        </is>
      </c>
      <c r="R702" s="9">
        <f>IF(N702="","",IF(Q702="Sí",ROUND(N702/1.18,2),N702))</f>
        <v/>
      </c>
      <c r="S702" s="7" t="inlineStr">
        <is>
          <t>2026-09-09</t>
        </is>
      </c>
      <c r="T702" s="5" t="inlineStr">
        <is>
          <t>20 cotizaciones de proveedores</t>
        </is>
      </c>
      <c r="W702" s="4" t="n">
        <v>300</v>
      </c>
      <c r="X702" s="4" t="n">
        <v>300</v>
      </c>
      <c r="Y702" s="4" t="n">
        <v>120</v>
      </c>
    </row>
    <row r="703">
      <c r="A703" s="7" t="inlineStr">
        <is>
          <t>MAT-26-005</t>
        </is>
      </c>
      <c r="B703" s="7" t="inlineStr">
        <is>
          <t>Materiales</t>
        </is>
      </c>
      <c r="C703" s="7" t="inlineStr">
        <is>
          <t>Muebles y espejos de baño</t>
        </is>
      </c>
      <c r="D703" s="5" t="inlineStr">
        <is>
          <t>Botiquín de baño, con luz LED</t>
        </is>
      </c>
      <c r="E703" s="5" t="inlineStr"/>
      <c r="F703" s="5" t="inlineStr">
        <is>
          <t>Material retirado en almacén</t>
        </is>
      </c>
      <c r="G703" s="5" t="inlineStr">
        <is>
          <t>botiquín, gabinete con espejo</t>
        </is>
      </c>
      <c r="H703" s="7" t="inlineStr">
        <is>
          <t>unidad</t>
        </is>
      </c>
      <c r="I703" s="7" t="inlineStr">
        <is>
          <t>Terminación de superficies</t>
        </is>
      </c>
      <c r="J703" s="7" t="inlineStr">
        <is>
          <t>estandar</t>
        </is>
      </c>
      <c r="K703" s="7" t="inlineStr">
        <is>
          <t>importado</t>
        </is>
      </c>
      <c r="L703" s="7" t="inlineStr">
        <is>
          <t>Verificado</t>
        </is>
      </c>
      <c r="M703" s="8" t="n">
        <v>1</v>
      </c>
      <c r="N703" s="9" t="n">
        <v>15456.85</v>
      </c>
      <c r="O703" s="9" t="n">
        <v>10320.96</v>
      </c>
      <c r="P703" s="9" t="n">
        <v>24256.84</v>
      </c>
      <c r="Q703" s="7" t="inlineStr">
        <is>
          <t>Sí</t>
        </is>
      </c>
      <c r="R703" s="9">
        <f>IF(N703="","",IF(Q703="Sí",ROUND(N703/1.18,2),N703))</f>
        <v/>
      </c>
      <c r="S703" s="7" t="inlineStr">
        <is>
          <t>2026-09-09</t>
        </is>
      </c>
      <c r="T703" s="5" t="inlineStr">
        <is>
          <t>10 cotizaciones de proveedores</t>
        </is>
      </c>
      <c r="AJ703" s="5" t="inlineStr">
        <is>
          <t>Luz: led</t>
        </is>
      </c>
    </row>
    <row r="704">
      <c r="A704" s="7" t="inlineStr">
        <is>
          <t>MAT-26-006</t>
        </is>
      </c>
      <c r="B704" s="7" t="inlineStr">
        <is>
          <t>Materiales</t>
        </is>
      </c>
      <c r="C704" s="7" t="inlineStr">
        <is>
          <t>Muebles y espejos de baño</t>
        </is>
      </c>
      <c r="D704" s="5" t="inlineStr">
        <is>
          <t>Espejo de baño</t>
        </is>
      </c>
      <c r="E704" s="5" t="inlineStr"/>
      <c r="F704" s="5" t="inlineStr">
        <is>
          <t>Material retirado en almacén</t>
        </is>
      </c>
      <c r="G704" s="5" t="inlineStr">
        <is>
          <t>espejo de baño</t>
        </is>
      </c>
      <c r="H704" s="7" t="inlineStr">
        <is>
          <t>unidad</t>
        </is>
      </c>
      <c r="I704" s="7" t="inlineStr">
        <is>
          <t>Terminación de superficies</t>
        </is>
      </c>
      <c r="J704" s="7" t="inlineStr">
        <is>
          <t>estandar</t>
        </is>
      </c>
      <c r="K704" s="7" t="inlineStr">
        <is>
          <t>importado</t>
        </is>
      </c>
      <c r="L704" s="7" t="inlineStr">
        <is>
          <t>Verificado</t>
        </is>
      </c>
      <c r="M704" s="8" t="n">
        <v>2</v>
      </c>
      <c r="N704" s="9" t="n">
        <v>1210.04</v>
      </c>
      <c r="O704" s="9" t="n">
        <v>665</v>
      </c>
      <c r="P704" s="9" t="n">
        <v>10672.33</v>
      </c>
      <c r="Q704" s="7" t="inlineStr">
        <is>
          <t>Sí</t>
        </is>
      </c>
      <c r="R704" s="9">
        <f>IF(N704="","",IF(Q704="Sí",ROUND(N704/1.18,2),N704))</f>
        <v/>
      </c>
      <c r="S704" s="7" t="inlineStr">
        <is>
          <t>2026-09-09</t>
        </is>
      </c>
      <c r="T704" s="5" t="inlineStr">
        <is>
          <t>32 cotizaciones de proveedores</t>
        </is>
      </c>
    </row>
    <row r="705">
      <c r="A705" s="7" t="inlineStr">
        <is>
          <t>MAT-26-007</t>
        </is>
      </c>
      <c r="B705" s="7" t="inlineStr">
        <is>
          <t>Materiales</t>
        </is>
      </c>
      <c r="C705" s="7" t="inlineStr">
        <is>
          <t>Muebles y espejos de baño</t>
        </is>
      </c>
      <c r="D705" s="5" t="inlineStr">
        <is>
          <t>Espejo de baño, con luz LED</t>
        </is>
      </c>
      <c r="E705" s="5" t="inlineStr"/>
      <c r="F705" s="5" t="inlineStr">
        <is>
          <t>Material retirado en almacén</t>
        </is>
      </c>
      <c r="G705" s="5" t="inlineStr">
        <is>
          <t>espejo de baño</t>
        </is>
      </c>
      <c r="H705" s="7" t="inlineStr">
        <is>
          <t>unidad</t>
        </is>
      </c>
      <c r="I705" s="7" t="inlineStr">
        <is>
          <t>Terminación de superficies</t>
        </is>
      </c>
      <c r="J705" s="7" t="inlineStr">
        <is>
          <t>estandar</t>
        </is>
      </c>
      <c r="K705" s="7" t="inlineStr">
        <is>
          <t>importado</t>
        </is>
      </c>
      <c r="L705" s="7" t="inlineStr">
        <is>
          <t>Verificado</t>
        </is>
      </c>
      <c r="M705" s="8" t="n">
        <v>2</v>
      </c>
      <c r="N705" s="9" t="n">
        <v>5126.14</v>
      </c>
      <c r="O705" s="9" t="n">
        <v>1795</v>
      </c>
      <c r="P705" s="9" t="n">
        <v>14235.83</v>
      </c>
      <c r="Q705" s="7" t="inlineStr">
        <is>
          <t>Sí</t>
        </is>
      </c>
      <c r="R705" s="9">
        <f>IF(N705="","",IF(Q705="Sí",ROUND(N705/1.18,2),N705))</f>
        <v/>
      </c>
      <c r="S705" s="7" t="inlineStr">
        <is>
          <t>2026-09-09</t>
        </is>
      </c>
      <c r="T705" s="5" t="inlineStr">
        <is>
          <t>19 cotizaciones de proveedores</t>
        </is>
      </c>
      <c r="X705" s="4" t="n">
        <v>800</v>
      </c>
      <c r="AJ705" s="5" t="inlineStr">
        <is>
          <t>Luz: led</t>
        </is>
      </c>
    </row>
    <row r="706">
      <c r="A706" s="7" t="inlineStr">
        <is>
          <t>MAT-26-008</t>
        </is>
      </c>
      <c r="B706" s="7" t="inlineStr">
        <is>
          <t>Materiales</t>
        </is>
      </c>
      <c r="C706" s="7" t="inlineStr">
        <is>
          <t>Muebles y espejos de baño</t>
        </is>
      </c>
      <c r="D706" s="5" t="inlineStr">
        <is>
          <t>Cabina o panel de ducha</t>
        </is>
      </c>
      <c r="E706" s="5" t="inlineStr"/>
      <c r="F706" s="5" t="inlineStr">
        <is>
          <t>Material retirado en almacén</t>
        </is>
      </c>
      <c r="G706" s="5" t="inlineStr">
        <is>
          <t>cabina de ducha, mampara, panel de ducha</t>
        </is>
      </c>
      <c r="H706" s="7" t="inlineStr">
        <is>
          <t>unidad</t>
        </is>
      </c>
      <c r="I706" s="7" t="inlineStr">
        <is>
          <t>Terminación de superficies</t>
        </is>
      </c>
      <c r="J706" s="7" t="inlineStr">
        <is>
          <t>estandar</t>
        </is>
      </c>
      <c r="K706" s="7" t="inlineStr">
        <is>
          <t>importado</t>
        </is>
      </c>
      <c r="L706" s="7" t="inlineStr">
        <is>
          <t>Verificado</t>
        </is>
      </c>
      <c r="M706" s="8" t="n">
        <v>1</v>
      </c>
      <c r="N706" s="9" t="n">
        <v>4415</v>
      </c>
      <c r="O706" s="9" t="n">
        <v>3118.5</v>
      </c>
      <c r="P706" s="9" t="n">
        <v>6079</v>
      </c>
      <c r="Q706" s="7" t="inlineStr">
        <is>
          <t>Sí</t>
        </is>
      </c>
      <c r="R706" s="9">
        <f>IF(N706="","",IF(Q706="Sí",ROUND(N706/1.18,2),N706))</f>
        <v/>
      </c>
      <c r="S706" s="7" t="inlineStr">
        <is>
          <t>2026-09-09</t>
        </is>
      </c>
      <c r="T706" s="5" t="inlineStr">
        <is>
          <t>12 cotizaciones de proveedores</t>
        </is>
      </c>
      <c r="X706" s="4" t="n">
        <v>1000</v>
      </c>
    </row>
    <row r="707">
      <c r="A707" s="7" t="inlineStr">
        <is>
          <t>MAT-27-001</t>
        </is>
      </c>
      <c r="B707" s="7" t="inlineStr">
        <is>
          <t>Materiales</t>
        </is>
      </c>
      <c r="C707" s="7" t="inlineStr">
        <is>
          <t>Accesorios de baño</t>
        </is>
      </c>
      <c r="D707" s="5" t="inlineStr">
        <is>
          <t>Barra de seguridad, abatible, 20 cm</t>
        </is>
      </c>
      <c r="E707" s="5" t="inlineStr">
        <is>
          <t>Herraje de accesibilidad. Su anclaje va contra el muro, no contra la cerámica</t>
        </is>
      </c>
      <c r="F707" s="5" t="inlineStr">
        <is>
          <t>Material retirado en almacén</t>
        </is>
      </c>
      <c r="G707" s="5" t="inlineStr">
        <is>
          <t>barra de seguridad, agarradera, accesibilidad</t>
        </is>
      </c>
      <c r="H707" s="7" t="inlineStr">
        <is>
          <t>unidad</t>
        </is>
      </c>
      <c r="I707" s="7" t="inlineStr">
        <is>
          <t>Terminación de superficies</t>
        </is>
      </c>
      <c r="J707" s="7" t="inlineStr">
        <is>
          <t>estandar</t>
        </is>
      </c>
      <c r="K707" s="7" t="inlineStr">
        <is>
          <t>importado</t>
        </is>
      </c>
      <c r="L707" s="7" t="inlineStr">
        <is>
          <t>Verificado</t>
        </is>
      </c>
      <c r="M707" s="8" t="n">
        <v>1</v>
      </c>
      <c r="N707" s="9" t="n">
        <v>2439</v>
      </c>
      <c r="O707" s="9" t="n">
        <v>2439</v>
      </c>
      <c r="P707" s="9" t="n">
        <v>2439</v>
      </c>
      <c r="Q707" s="7" t="inlineStr">
        <is>
          <t>Sí</t>
        </is>
      </c>
      <c r="R707" s="9">
        <f>IF(N707="","",IF(Q707="Sí",ROUND(N707/1.18,2),N707))</f>
        <v/>
      </c>
      <c r="S707" s="7" t="inlineStr">
        <is>
          <t>2026-09-09</t>
        </is>
      </c>
      <c r="T707" s="5" t="inlineStr">
        <is>
          <t>1 cotización de proveedores</t>
        </is>
      </c>
      <c r="U707" s="4" t="inlineStr">
        <is>
          <t>abatible</t>
        </is>
      </c>
      <c r="V707" s="4" t="n">
        <v>20</v>
      </c>
    </row>
    <row r="708">
      <c r="A708" s="7" t="inlineStr">
        <is>
          <t>MAT-27-002</t>
        </is>
      </c>
      <c r="B708" s="7" t="inlineStr">
        <is>
          <t>Materiales</t>
        </is>
      </c>
      <c r="C708" s="7" t="inlineStr">
        <is>
          <t>Accesorios de baño</t>
        </is>
      </c>
      <c r="D708" s="5" t="inlineStr">
        <is>
          <t>Barra de seguridad, curva</t>
        </is>
      </c>
      <c r="E708" s="5" t="inlineStr">
        <is>
          <t>Herraje de accesibilidad. Su anclaje va contra el muro, no contra la cerámica</t>
        </is>
      </c>
      <c r="F708" s="5" t="inlineStr">
        <is>
          <t>Material retirado en almacén</t>
        </is>
      </c>
      <c r="G708" s="5" t="inlineStr">
        <is>
          <t>barra de seguridad, agarradera, accesibilidad</t>
        </is>
      </c>
      <c r="H708" s="7" t="inlineStr">
        <is>
          <t>unidad</t>
        </is>
      </c>
      <c r="I708" s="7" t="inlineStr">
        <is>
          <t>Terminación de superficies</t>
        </is>
      </c>
      <c r="J708" s="7" t="inlineStr">
        <is>
          <t>estandar</t>
        </is>
      </c>
      <c r="K708" s="7" t="inlineStr">
        <is>
          <t>importado</t>
        </is>
      </c>
      <c r="L708" s="7" t="inlineStr">
        <is>
          <t>Verificado</t>
        </is>
      </c>
      <c r="M708" s="8" t="n">
        <v>1</v>
      </c>
      <c r="N708" s="9" t="n">
        <v>1416.67</v>
      </c>
      <c r="O708" s="9" t="n">
        <v>1416.67</v>
      </c>
      <c r="P708" s="9" t="n">
        <v>1416.67</v>
      </c>
      <c r="Q708" s="7" t="inlineStr">
        <is>
          <t>Sí</t>
        </is>
      </c>
      <c r="R708" s="9">
        <f>IF(N708="","",IF(Q708="Sí",ROUND(N708/1.18,2),N708))</f>
        <v/>
      </c>
      <c r="S708" s="7" t="inlineStr">
        <is>
          <t>2026-09-09</t>
        </is>
      </c>
      <c r="T708" s="5" t="inlineStr">
        <is>
          <t>1 cotización de proveedores</t>
        </is>
      </c>
      <c r="U708" s="4" t="inlineStr">
        <is>
          <t>curva</t>
        </is>
      </c>
    </row>
    <row r="709">
      <c r="A709" s="7" t="inlineStr">
        <is>
          <t>MAT-27-003</t>
        </is>
      </c>
      <c r="B709" s="7" t="inlineStr">
        <is>
          <t>Materiales</t>
        </is>
      </c>
      <c r="C709" s="7" t="inlineStr">
        <is>
          <t>Accesorios de baño</t>
        </is>
      </c>
      <c r="D709" s="5" t="inlineStr">
        <is>
          <t>Barra de seguridad, en L, 30 cm</t>
        </is>
      </c>
      <c r="E709" s="5" t="inlineStr">
        <is>
          <t>Herraje de accesibilidad. Su anclaje va contra el muro, no contra la cerámica</t>
        </is>
      </c>
      <c r="F709" s="5" t="inlineStr">
        <is>
          <t>Material retirado en almacén</t>
        </is>
      </c>
      <c r="G709" s="5" t="inlineStr">
        <is>
          <t>barra de seguridad, agarradera, accesibilidad</t>
        </is>
      </c>
      <c r="H709" s="7" t="inlineStr">
        <is>
          <t>unidad</t>
        </is>
      </c>
      <c r="I709" s="7" t="inlineStr">
        <is>
          <t>Terminación de superficies</t>
        </is>
      </c>
      <c r="J709" s="7" t="inlineStr">
        <is>
          <t>estandar</t>
        </is>
      </c>
      <c r="K709" s="7" t="inlineStr">
        <is>
          <t>importado</t>
        </is>
      </c>
      <c r="L709" s="7" t="inlineStr">
        <is>
          <t>Verificado</t>
        </is>
      </c>
      <c r="M709" s="8" t="n">
        <v>1</v>
      </c>
      <c r="N709" s="9" t="n">
        <v>1200</v>
      </c>
      <c r="O709" s="9" t="n">
        <v>1200</v>
      </c>
      <c r="P709" s="9" t="n">
        <v>1200</v>
      </c>
      <c r="Q709" s="7" t="inlineStr">
        <is>
          <t>Sí</t>
        </is>
      </c>
      <c r="R709" s="9">
        <f>IF(N709="","",IF(Q709="Sí",ROUND(N709/1.18,2),N709))</f>
        <v/>
      </c>
      <c r="S709" s="7" t="inlineStr">
        <is>
          <t>2026-09-09</t>
        </is>
      </c>
      <c r="T709" s="5" t="inlineStr">
        <is>
          <t>1 cotización de proveedores</t>
        </is>
      </c>
      <c r="U709" s="4" t="inlineStr">
        <is>
          <t>en L</t>
        </is>
      </c>
      <c r="V709" s="4" t="n">
        <v>30</v>
      </c>
    </row>
    <row r="710">
      <c r="A710" s="7" t="inlineStr">
        <is>
          <t>MAT-27-004</t>
        </is>
      </c>
      <c r="B710" s="7" t="inlineStr">
        <is>
          <t>Materiales</t>
        </is>
      </c>
      <c r="C710" s="7" t="inlineStr">
        <is>
          <t>Accesorios de baño</t>
        </is>
      </c>
      <c r="D710" s="5" t="inlineStr">
        <is>
          <t>Barra de seguridad, en L, 45 cm</t>
        </is>
      </c>
      <c r="E710" s="5" t="inlineStr">
        <is>
          <t>Herraje de accesibilidad. Su anclaje va contra el muro, no contra la cerámica</t>
        </is>
      </c>
      <c r="F710" s="5" t="inlineStr">
        <is>
          <t>Material retirado en almacén</t>
        </is>
      </c>
      <c r="G710" s="5" t="inlineStr">
        <is>
          <t>barra de seguridad, agarradera, accesibilidad</t>
        </is>
      </c>
      <c r="H710" s="7" t="inlineStr">
        <is>
          <t>unidad</t>
        </is>
      </c>
      <c r="I710" s="7" t="inlineStr">
        <is>
          <t>Terminación de superficies</t>
        </is>
      </c>
      <c r="J710" s="7" t="inlineStr">
        <is>
          <t>estandar</t>
        </is>
      </c>
      <c r="K710" s="7" t="inlineStr">
        <is>
          <t>importado</t>
        </is>
      </c>
      <c r="L710" s="7" t="inlineStr">
        <is>
          <t>Verificado</t>
        </is>
      </c>
      <c r="M710" s="8" t="n">
        <v>1</v>
      </c>
      <c r="N710" s="9" t="n">
        <v>925</v>
      </c>
      <c r="O710" s="9" t="n">
        <v>925</v>
      </c>
      <c r="P710" s="9" t="n">
        <v>925</v>
      </c>
      <c r="Q710" s="7" t="inlineStr">
        <is>
          <t>Sí</t>
        </is>
      </c>
      <c r="R710" s="9">
        <f>IF(N710="","",IF(Q710="Sí",ROUND(N710/1.18,2),N710))</f>
        <v/>
      </c>
      <c r="S710" s="7" t="inlineStr">
        <is>
          <t>2026-09-09</t>
        </is>
      </c>
      <c r="T710" s="5" t="inlineStr">
        <is>
          <t>1 cotización de proveedores</t>
        </is>
      </c>
      <c r="U710" s="4" t="inlineStr">
        <is>
          <t>en L</t>
        </is>
      </c>
      <c r="V710" s="4" t="n">
        <v>45</v>
      </c>
    </row>
    <row r="711">
      <c r="A711" s="7" t="inlineStr">
        <is>
          <t>MAT-27-005</t>
        </is>
      </c>
      <c r="B711" s="7" t="inlineStr">
        <is>
          <t>Materiales</t>
        </is>
      </c>
      <c r="C711" s="7" t="inlineStr">
        <is>
          <t>Accesorios de baño</t>
        </is>
      </c>
      <c r="D711" s="5" t="inlineStr">
        <is>
          <t>Barra de seguridad, en L, 55 cm</t>
        </is>
      </c>
      <c r="E711" s="5" t="inlineStr">
        <is>
          <t>Herraje de accesibilidad. Su anclaje va contra el muro, no contra la cerámica</t>
        </is>
      </c>
      <c r="F711" s="5" t="inlineStr">
        <is>
          <t>Material retirado en almacén</t>
        </is>
      </c>
      <c r="G711" s="5" t="inlineStr">
        <is>
          <t>barra de seguridad, agarradera, accesibilidad</t>
        </is>
      </c>
      <c r="H711" s="7" t="inlineStr">
        <is>
          <t>unidad</t>
        </is>
      </c>
      <c r="I711" s="7" t="inlineStr">
        <is>
          <t>Terminación de superficies</t>
        </is>
      </c>
      <c r="J711" s="7" t="inlineStr">
        <is>
          <t>estandar</t>
        </is>
      </c>
      <c r="K711" s="7" t="inlineStr">
        <is>
          <t>importado</t>
        </is>
      </c>
      <c r="L711" s="7" t="inlineStr">
        <is>
          <t>Verificado</t>
        </is>
      </c>
      <c r="M711" s="8" t="n">
        <v>1</v>
      </c>
      <c r="N711" s="9" t="n">
        <v>2619</v>
      </c>
      <c r="O711" s="9" t="n">
        <v>2619</v>
      </c>
      <c r="P711" s="9" t="n">
        <v>2619</v>
      </c>
      <c r="Q711" s="7" t="inlineStr">
        <is>
          <t>Sí</t>
        </is>
      </c>
      <c r="R711" s="9">
        <f>IF(N711="","",IF(Q711="Sí",ROUND(N711/1.18,2),N711))</f>
        <v/>
      </c>
      <c r="S711" s="7" t="inlineStr">
        <is>
          <t>2026-09-09</t>
        </is>
      </c>
      <c r="T711" s="5" t="inlineStr">
        <is>
          <t>1 cotización de proveedores</t>
        </is>
      </c>
      <c r="U711" s="4" t="inlineStr">
        <is>
          <t>en L</t>
        </is>
      </c>
      <c r="V711" s="4" t="n">
        <v>55</v>
      </c>
    </row>
    <row r="712">
      <c r="A712" s="7" t="inlineStr">
        <is>
          <t>MAT-27-006</t>
        </is>
      </c>
      <c r="B712" s="7" t="inlineStr">
        <is>
          <t>Materiales</t>
        </is>
      </c>
      <c r="C712" s="7" t="inlineStr">
        <is>
          <t>Accesorios de baño</t>
        </is>
      </c>
      <c r="D712" s="5" t="inlineStr">
        <is>
          <t>Barra de seguridad, en L, 75 cm</t>
        </is>
      </c>
      <c r="E712" s="5" t="inlineStr">
        <is>
          <t>Herraje de accesibilidad. Su anclaje va contra el muro, no contra la cerámica</t>
        </is>
      </c>
      <c r="F712" s="5" t="inlineStr">
        <is>
          <t>Material retirado en almacén</t>
        </is>
      </c>
      <c r="G712" s="5" t="inlineStr">
        <is>
          <t>barra de seguridad, agarradera, accesibilidad</t>
        </is>
      </c>
      <c r="H712" s="7" t="inlineStr">
        <is>
          <t>unidad</t>
        </is>
      </c>
      <c r="I712" s="7" t="inlineStr">
        <is>
          <t>Terminación de superficies</t>
        </is>
      </c>
      <c r="J712" s="7" t="inlineStr">
        <is>
          <t>estandar</t>
        </is>
      </c>
      <c r="K712" s="7" t="inlineStr">
        <is>
          <t>importado</t>
        </is>
      </c>
      <c r="L712" s="7" t="inlineStr">
        <is>
          <t>Verificado</t>
        </is>
      </c>
      <c r="M712" s="8" t="n">
        <v>1</v>
      </c>
      <c r="N712" s="9" t="n">
        <v>6294</v>
      </c>
      <c r="O712" s="9" t="n">
        <v>6294</v>
      </c>
      <c r="P712" s="9" t="n">
        <v>6294</v>
      </c>
      <c r="Q712" s="7" t="inlineStr">
        <is>
          <t>Sí</t>
        </is>
      </c>
      <c r="R712" s="9">
        <f>IF(N712="","",IF(Q712="Sí",ROUND(N712/1.18,2),N712))</f>
        <v/>
      </c>
      <c r="S712" s="7" t="inlineStr">
        <is>
          <t>2026-09-09</t>
        </is>
      </c>
      <c r="T712" s="5" t="inlineStr">
        <is>
          <t>2 cotizaciones de proveedores</t>
        </is>
      </c>
      <c r="U712" s="4" t="inlineStr">
        <is>
          <t>en L</t>
        </is>
      </c>
      <c r="V712" s="4" t="n">
        <v>75</v>
      </c>
    </row>
    <row r="713">
      <c r="A713" s="7" t="inlineStr">
        <is>
          <t>MAT-27-007</t>
        </is>
      </c>
      <c r="B713" s="7" t="inlineStr">
        <is>
          <t>Materiales</t>
        </is>
      </c>
      <c r="C713" s="7" t="inlineStr">
        <is>
          <t>Accesorios de baño</t>
        </is>
      </c>
      <c r="D713" s="5" t="inlineStr">
        <is>
          <t>Barra de seguridad, recta</t>
        </is>
      </c>
      <c r="E713" s="5" t="inlineStr">
        <is>
          <t>Herraje de accesibilidad. Su anclaje va contra el muro, no contra la cerámica</t>
        </is>
      </c>
      <c r="F713" s="5" t="inlineStr">
        <is>
          <t>Material retirado en almacén</t>
        </is>
      </c>
      <c r="G713" s="5" t="inlineStr">
        <is>
          <t>barra de seguridad, agarradera, accesibilidad</t>
        </is>
      </c>
      <c r="H713" s="7" t="inlineStr">
        <is>
          <t>unidad</t>
        </is>
      </c>
      <c r="I713" s="7" t="inlineStr">
        <is>
          <t>Terminación de superficies</t>
        </is>
      </c>
      <c r="J713" s="7" t="inlineStr">
        <is>
          <t>estandar</t>
        </is>
      </c>
      <c r="K713" s="7" t="inlineStr">
        <is>
          <t>importado</t>
        </is>
      </c>
      <c r="L713" s="7" t="inlineStr">
        <is>
          <t>Verificado</t>
        </is>
      </c>
      <c r="M713" s="8" t="n">
        <v>1</v>
      </c>
      <c r="N713" s="9" t="n">
        <v>5259.02</v>
      </c>
      <c r="O713" s="9" t="n">
        <v>3022.13</v>
      </c>
      <c r="P713" s="9" t="n">
        <v>7495.91</v>
      </c>
      <c r="Q713" s="7" t="inlineStr">
        <is>
          <t>Sí</t>
        </is>
      </c>
      <c r="R713" s="9">
        <f>IF(N713="","",IF(Q713="Sí",ROUND(N713/1.18,2),N713))</f>
        <v/>
      </c>
      <c r="S713" s="7" t="inlineStr">
        <is>
          <t>2026-09-09</t>
        </is>
      </c>
      <c r="T713" s="5" t="inlineStr">
        <is>
          <t>2 cotizaciones de proveedores</t>
        </is>
      </c>
      <c r="U713" s="4" t="inlineStr">
        <is>
          <t>recta</t>
        </is>
      </c>
    </row>
    <row r="714">
      <c r="A714" s="7" t="inlineStr">
        <is>
          <t>MAT-27-008</t>
        </is>
      </c>
      <c r="B714" s="7" t="inlineStr">
        <is>
          <t>Materiales</t>
        </is>
      </c>
      <c r="C714" s="7" t="inlineStr">
        <is>
          <t>Accesorios de baño</t>
        </is>
      </c>
      <c r="D714" s="5" t="inlineStr">
        <is>
          <t>Barra de seguridad, recta, 105 cm</t>
        </is>
      </c>
      <c r="E714" s="5" t="inlineStr">
        <is>
          <t>Herraje de accesibilidad. Su anclaje va contra el muro, no contra la cerámica</t>
        </is>
      </c>
      <c r="F714" s="5" t="inlineStr">
        <is>
          <t>Material retirado en almacén</t>
        </is>
      </c>
      <c r="G714" s="5" t="inlineStr">
        <is>
          <t>barra de seguridad, agarradera, accesibilidad</t>
        </is>
      </c>
      <c r="H714" s="7" t="inlineStr">
        <is>
          <t>unidad</t>
        </is>
      </c>
      <c r="I714" s="7" t="inlineStr">
        <is>
          <t>Terminación de superficies</t>
        </is>
      </c>
      <c r="J714" s="7" t="inlineStr">
        <is>
          <t>estandar</t>
        </is>
      </c>
      <c r="K714" s="7" t="inlineStr">
        <is>
          <t>importado</t>
        </is>
      </c>
      <c r="L714" s="7" t="inlineStr">
        <is>
          <t>Verificado</t>
        </is>
      </c>
      <c r="M714" s="8" t="n">
        <v>1</v>
      </c>
      <c r="N714" s="9" t="n">
        <v>2750</v>
      </c>
      <c r="O714" s="9" t="n">
        <v>2750</v>
      </c>
      <c r="P714" s="9" t="n">
        <v>2750</v>
      </c>
      <c r="Q714" s="7" t="inlineStr">
        <is>
          <t>Sí</t>
        </is>
      </c>
      <c r="R714" s="9">
        <f>IF(N714="","",IF(Q714="Sí",ROUND(N714/1.18,2),N714))</f>
        <v/>
      </c>
      <c r="S714" s="7" t="inlineStr">
        <is>
          <t>2026-09-09</t>
        </is>
      </c>
      <c r="T714" s="5" t="inlineStr">
        <is>
          <t>1 cotización de proveedores</t>
        </is>
      </c>
      <c r="U714" s="4" t="inlineStr">
        <is>
          <t>recta</t>
        </is>
      </c>
      <c r="V714" s="4" t="n">
        <v>105</v>
      </c>
    </row>
    <row r="715">
      <c r="A715" s="7" t="inlineStr">
        <is>
          <t>MAT-27-009</t>
        </is>
      </c>
      <c r="B715" s="7" t="inlineStr">
        <is>
          <t>Materiales</t>
        </is>
      </c>
      <c r="C715" s="7" t="inlineStr">
        <is>
          <t>Accesorios de baño</t>
        </is>
      </c>
      <c r="D715" s="5" t="inlineStr">
        <is>
          <t>Barra de seguridad, recta, 120 cm</t>
        </is>
      </c>
      <c r="E715" s="5" t="inlineStr">
        <is>
          <t>Herraje de accesibilidad. Su anclaje va contra el muro, no contra la cerámica</t>
        </is>
      </c>
      <c r="F715" s="5" t="inlineStr">
        <is>
          <t>Material retirado en almacén</t>
        </is>
      </c>
      <c r="G715" s="5" t="inlineStr">
        <is>
          <t>barra de seguridad, agarradera, accesibilidad</t>
        </is>
      </c>
      <c r="H715" s="7" t="inlineStr">
        <is>
          <t>unidad</t>
        </is>
      </c>
      <c r="I715" s="7" t="inlineStr">
        <is>
          <t>Terminación de superficies</t>
        </is>
      </c>
      <c r="J715" s="7" t="inlineStr">
        <is>
          <t>estandar</t>
        </is>
      </c>
      <c r="K715" s="7" t="inlineStr">
        <is>
          <t>importado</t>
        </is>
      </c>
      <c r="L715" s="7" t="inlineStr">
        <is>
          <t>Verificado</t>
        </is>
      </c>
      <c r="M715" s="8" t="n">
        <v>1</v>
      </c>
      <c r="N715" s="9" t="n">
        <v>3092</v>
      </c>
      <c r="O715" s="9" t="n">
        <v>3092</v>
      </c>
      <c r="P715" s="9" t="n">
        <v>3092</v>
      </c>
      <c r="Q715" s="7" t="inlineStr">
        <is>
          <t>Sí</t>
        </is>
      </c>
      <c r="R715" s="9">
        <f>IF(N715="","",IF(Q715="Sí",ROUND(N715/1.18,2),N715))</f>
        <v/>
      </c>
      <c r="S715" s="7" t="inlineStr">
        <is>
          <t>2026-09-09</t>
        </is>
      </c>
      <c r="T715" s="5" t="inlineStr">
        <is>
          <t>1 cotización de proveedores</t>
        </is>
      </c>
      <c r="U715" s="4" t="inlineStr">
        <is>
          <t>recta</t>
        </is>
      </c>
      <c r="V715" s="4" t="n">
        <v>120</v>
      </c>
    </row>
    <row r="716">
      <c r="A716" s="7" t="inlineStr">
        <is>
          <t>MAT-27-010</t>
        </is>
      </c>
      <c r="B716" s="7" t="inlineStr">
        <is>
          <t>Materiales</t>
        </is>
      </c>
      <c r="C716" s="7" t="inlineStr">
        <is>
          <t>Accesorios de baño</t>
        </is>
      </c>
      <c r="D716" s="5" t="inlineStr">
        <is>
          <t>Barra de seguridad, recta, 30 cm</t>
        </is>
      </c>
      <c r="E716" s="5" t="inlineStr">
        <is>
          <t>Herraje de accesibilidad. Su anclaje va contra el muro, no contra la cerámica</t>
        </is>
      </c>
      <c r="F716" s="5" t="inlineStr">
        <is>
          <t>Material retirado en almacén</t>
        </is>
      </c>
      <c r="G716" s="5" t="inlineStr">
        <is>
          <t>barra de seguridad, agarradera, accesibilidad</t>
        </is>
      </c>
      <c r="H716" s="7" t="inlineStr">
        <is>
          <t>unidad</t>
        </is>
      </c>
      <c r="I716" s="7" t="inlineStr">
        <is>
          <t>Terminación de superficies</t>
        </is>
      </c>
      <c r="J716" s="7" t="inlineStr">
        <is>
          <t>estandar</t>
        </is>
      </c>
      <c r="K716" s="7" t="inlineStr">
        <is>
          <t>importado</t>
        </is>
      </c>
      <c r="L716" s="7" t="inlineStr">
        <is>
          <t>Verificado</t>
        </is>
      </c>
      <c r="M716" s="8" t="n">
        <v>2</v>
      </c>
      <c r="N716" s="9" t="n">
        <v>1515</v>
      </c>
      <c r="O716" s="9" t="n">
        <v>1200</v>
      </c>
      <c r="P716" s="9" t="n">
        <v>3007.09</v>
      </c>
      <c r="Q716" s="7" t="inlineStr">
        <is>
          <t>Sí</t>
        </is>
      </c>
      <c r="R716" s="9">
        <f>IF(N716="","",IF(Q716="Sí",ROUND(N716/1.18,2),N716))</f>
        <v/>
      </c>
      <c r="S716" s="7" t="inlineStr">
        <is>
          <t>2026-09-09</t>
        </is>
      </c>
      <c r="T716" s="5" t="inlineStr">
        <is>
          <t>3 cotizaciones de proveedores</t>
        </is>
      </c>
      <c r="U716" s="4" t="inlineStr">
        <is>
          <t>recta</t>
        </is>
      </c>
      <c r="V716" s="4" t="n">
        <v>30</v>
      </c>
    </row>
    <row r="717">
      <c r="A717" s="7" t="inlineStr">
        <is>
          <t>MAT-27-011</t>
        </is>
      </c>
      <c r="B717" s="7" t="inlineStr">
        <is>
          <t>Materiales</t>
        </is>
      </c>
      <c r="C717" s="7" t="inlineStr">
        <is>
          <t>Accesorios de baño</t>
        </is>
      </c>
      <c r="D717" s="5" t="inlineStr">
        <is>
          <t>Barra de seguridad, recta, 40 cm</t>
        </is>
      </c>
      <c r="E717" s="5" t="inlineStr">
        <is>
          <t>Herraje de accesibilidad. Su anclaje va contra el muro, no contra la cerámica</t>
        </is>
      </c>
      <c r="F717" s="5" t="inlineStr">
        <is>
          <t>Material retirado en almacén</t>
        </is>
      </c>
      <c r="G717" s="5" t="inlineStr">
        <is>
          <t>barra de seguridad, agarradera, accesibilidad</t>
        </is>
      </c>
      <c r="H717" s="7" t="inlineStr">
        <is>
          <t>unidad</t>
        </is>
      </c>
      <c r="I717" s="7" t="inlineStr">
        <is>
          <t>Terminación de superficies</t>
        </is>
      </c>
      <c r="J717" s="7" t="inlineStr">
        <is>
          <t>estandar</t>
        </is>
      </c>
      <c r="K717" s="7" t="inlineStr">
        <is>
          <t>importado</t>
        </is>
      </c>
      <c r="L717" s="7" t="inlineStr">
        <is>
          <t>Verificado</t>
        </is>
      </c>
      <c r="M717" s="8" t="n">
        <v>2</v>
      </c>
      <c r="N717" s="9" t="n">
        <v>925.98</v>
      </c>
      <c r="O717" s="9" t="n">
        <v>675</v>
      </c>
      <c r="P717" s="9" t="n">
        <v>1176.96</v>
      </c>
      <c r="Q717" s="7" t="inlineStr">
        <is>
          <t>Sí</t>
        </is>
      </c>
      <c r="R717" s="9">
        <f>IF(N717="","",IF(Q717="Sí",ROUND(N717/1.18,2),N717))</f>
        <v/>
      </c>
      <c r="S717" s="7" t="inlineStr">
        <is>
          <t>2026-09-09</t>
        </is>
      </c>
      <c r="T717" s="5" t="inlineStr">
        <is>
          <t>2 cotizaciones de proveedores</t>
        </is>
      </c>
      <c r="U717" s="4" t="inlineStr">
        <is>
          <t>recta</t>
        </is>
      </c>
      <c r="V717" s="4" t="n">
        <v>40</v>
      </c>
    </row>
    <row r="718">
      <c r="A718" s="7" t="inlineStr">
        <is>
          <t>MAT-27-012</t>
        </is>
      </c>
      <c r="B718" s="7" t="inlineStr">
        <is>
          <t>Materiales</t>
        </is>
      </c>
      <c r="C718" s="7" t="inlineStr">
        <is>
          <t>Accesorios de baño</t>
        </is>
      </c>
      <c r="D718" s="5" t="inlineStr">
        <is>
          <t>Barra de seguridad, recta, 45 cm</t>
        </is>
      </c>
      <c r="E718" s="5" t="inlineStr">
        <is>
          <t>Herraje de accesibilidad. Su anclaje va contra el muro, no contra la cerámica</t>
        </is>
      </c>
      <c r="F718" s="5" t="inlineStr">
        <is>
          <t>Material retirado en almacén</t>
        </is>
      </c>
      <c r="G718" s="5" t="inlineStr">
        <is>
          <t>barra de seguridad, agarradera, accesibilidad</t>
        </is>
      </c>
      <c r="H718" s="7" t="inlineStr">
        <is>
          <t>unidad</t>
        </is>
      </c>
      <c r="I718" s="7" t="inlineStr">
        <is>
          <t>Terminación de superficies</t>
        </is>
      </c>
      <c r="J718" s="7" t="inlineStr">
        <is>
          <t>estandar</t>
        </is>
      </c>
      <c r="K718" s="7" t="inlineStr">
        <is>
          <t>importado</t>
        </is>
      </c>
      <c r="L718" s="7" t="inlineStr">
        <is>
          <t>Verificado</t>
        </is>
      </c>
      <c r="M718" s="8" t="n">
        <v>1</v>
      </c>
      <c r="N718" s="9" t="n">
        <v>1665</v>
      </c>
      <c r="O718" s="9" t="n">
        <v>1595</v>
      </c>
      <c r="P718" s="9" t="n">
        <v>1735</v>
      </c>
      <c r="Q718" s="7" t="inlineStr">
        <is>
          <t>Sí</t>
        </is>
      </c>
      <c r="R718" s="9">
        <f>IF(N718="","",IF(Q718="Sí",ROUND(N718/1.18,2),N718))</f>
        <v/>
      </c>
      <c r="S718" s="7" t="inlineStr">
        <is>
          <t>2026-09-09</t>
        </is>
      </c>
      <c r="T718" s="5" t="inlineStr">
        <is>
          <t>2 cotizaciones de proveedores</t>
        </is>
      </c>
      <c r="U718" s="4" t="inlineStr">
        <is>
          <t>recta</t>
        </is>
      </c>
      <c r="V718" s="4" t="n">
        <v>45</v>
      </c>
    </row>
    <row r="719">
      <c r="A719" s="7" t="inlineStr">
        <is>
          <t>MAT-27-013</t>
        </is>
      </c>
      <c r="B719" s="7" t="inlineStr">
        <is>
          <t>Materiales</t>
        </is>
      </c>
      <c r="C719" s="7" t="inlineStr">
        <is>
          <t>Accesorios de baño</t>
        </is>
      </c>
      <c r="D719" s="5" t="inlineStr">
        <is>
          <t>Barra de seguridad, recta, 50 cm</t>
        </is>
      </c>
      <c r="E719" s="5" t="inlineStr">
        <is>
          <t>Herraje de accesibilidad. Su anclaje va contra el muro, no contra la cerámica</t>
        </is>
      </c>
      <c r="F719" s="5" t="inlineStr">
        <is>
          <t>Material retirado en almacén</t>
        </is>
      </c>
      <c r="G719" s="5" t="inlineStr">
        <is>
          <t>barra de seguridad, agarradera, accesibilidad</t>
        </is>
      </c>
      <c r="H719" s="7" t="inlineStr">
        <is>
          <t>unidad</t>
        </is>
      </c>
      <c r="I719" s="7" t="inlineStr">
        <is>
          <t>Terminación de superficies</t>
        </is>
      </c>
      <c r="J719" s="7" t="inlineStr">
        <is>
          <t>estandar</t>
        </is>
      </c>
      <c r="K719" s="7" t="inlineStr">
        <is>
          <t>importado</t>
        </is>
      </c>
      <c r="L719" s="7" t="inlineStr">
        <is>
          <t>Verificado</t>
        </is>
      </c>
      <c r="M719" s="8" t="n">
        <v>2</v>
      </c>
      <c r="N719" s="9" t="n">
        <v>1195</v>
      </c>
      <c r="O719" s="9" t="n">
        <v>745</v>
      </c>
      <c r="P719" s="9" t="n">
        <v>1522.47</v>
      </c>
      <c r="Q719" s="7" t="inlineStr">
        <is>
          <t>Sí</t>
        </is>
      </c>
      <c r="R719" s="9">
        <f>IF(N719="","",IF(Q719="Sí",ROUND(N719/1.18,2),N719))</f>
        <v/>
      </c>
      <c r="S719" s="7" t="inlineStr">
        <is>
          <t>2026-09-09</t>
        </is>
      </c>
      <c r="T719" s="5" t="inlineStr">
        <is>
          <t>3 cotizaciones de proveedores</t>
        </is>
      </c>
      <c r="U719" s="4" t="inlineStr">
        <is>
          <t>recta</t>
        </is>
      </c>
      <c r="V719" s="4" t="n">
        <v>50</v>
      </c>
    </row>
    <row r="720">
      <c r="A720" s="7" t="inlineStr">
        <is>
          <t>MAT-27-014</t>
        </is>
      </c>
      <c r="B720" s="7" t="inlineStr">
        <is>
          <t>Materiales</t>
        </is>
      </c>
      <c r="C720" s="7" t="inlineStr">
        <is>
          <t>Accesorios de baño</t>
        </is>
      </c>
      <c r="D720" s="5" t="inlineStr">
        <is>
          <t>Barra de seguridad, recta, 60 cm</t>
        </is>
      </c>
      <c r="E720" s="5" t="inlineStr">
        <is>
          <t>Herraje de accesibilidad. Su anclaje va contra el muro, no contra la cerámica</t>
        </is>
      </c>
      <c r="F720" s="5" t="inlineStr">
        <is>
          <t>Material retirado en almacén</t>
        </is>
      </c>
      <c r="G720" s="5" t="inlineStr">
        <is>
          <t>barra de seguridad, agarradera, accesibilidad</t>
        </is>
      </c>
      <c r="H720" s="7" t="inlineStr">
        <is>
          <t>unidad</t>
        </is>
      </c>
      <c r="I720" s="7" t="inlineStr">
        <is>
          <t>Terminación de superficies</t>
        </is>
      </c>
      <c r="J720" s="7" t="inlineStr">
        <is>
          <t>estandar</t>
        </is>
      </c>
      <c r="K720" s="7" t="inlineStr">
        <is>
          <t>importado</t>
        </is>
      </c>
      <c r="L720" s="7" t="inlineStr">
        <is>
          <t>Verificado</t>
        </is>
      </c>
      <c r="M720" s="8" t="n">
        <v>2</v>
      </c>
      <c r="N720" s="9" t="n">
        <v>1995</v>
      </c>
      <c r="O720" s="9" t="n">
        <v>1869</v>
      </c>
      <c r="P720" s="9" t="n">
        <v>3297.37</v>
      </c>
      <c r="Q720" s="7" t="inlineStr">
        <is>
          <t>Sí</t>
        </is>
      </c>
      <c r="R720" s="9">
        <f>IF(N720="","",IF(Q720="Sí",ROUND(N720/1.18,2),N720))</f>
        <v/>
      </c>
      <c r="S720" s="7" t="inlineStr">
        <is>
          <t>2026-09-09</t>
        </is>
      </c>
      <c r="T720" s="5" t="inlineStr">
        <is>
          <t>3 cotizaciones de proveedores</t>
        </is>
      </c>
      <c r="U720" s="4" t="inlineStr">
        <is>
          <t>recta</t>
        </is>
      </c>
      <c r="V720" s="4" t="n">
        <v>60</v>
      </c>
    </row>
    <row r="721">
      <c r="A721" s="7" t="inlineStr">
        <is>
          <t>MAT-27-015</t>
        </is>
      </c>
      <c r="B721" s="7" t="inlineStr">
        <is>
          <t>Materiales</t>
        </is>
      </c>
      <c r="C721" s="7" t="inlineStr">
        <is>
          <t>Accesorios de baño</t>
        </is>
      </c>
      <c r="D721" s="5" t="inlineStr">
        <is>
          <t>Barra de seguridad, recta, 70 cm</t>
        </is>
      </c>
      <c r="E721" s="5" t="inlineStr">
        <is>
          <t>Herraje de accesibilidad. Su anclaje va contra el muro, no contra la cerámica</t>
        </is>
      </c>
      <c r="F721" s="5" t="inlineStr">
        <is>
          <t>Material retirado en almacén</t>
        </is>
      </c>
      <c r="G721" s="5" t="inlineStr">
        <is>
          <t>barra de seguridad, agarradera, accesibilidad</t>
        </is>
      </c>
      <c r="H721" s="7" t="inlineStr">
        <is>
          <t>unidad</t>
        </is>
      </c>
      <c r="I721" s="7" t="inlineStr">
        <is>
          <t>Terminación de superficies</t>
        </is>
      </c>
      <c r="J721" s="7" t="inlineStr">
        <is>
          <t>estandar</t>
        </is>
      </c>
      <c r="K721" s="7" t="inlineStr">
        <is>
          <t>importado</t>
        </is>
      </c>
      <c r="L721" s="7" t="inlineStr">
        <is>
          <t>Verificado</t>
        </is>
      </c>
      <c r="M721" s="8" t="n">
        <v>2</v>
      </c>
      <c r="N721" s="9" t="n">
        <v>3983.41</v>
      </c>
      <c r="O721" s="9" t="n">
        <v>3271.81</v>
      </c>
      <c r="P721" s="9" t="n">
        <v>4695</v>
      </c>
      <c r="Q721" s="7" t="inlineStr">
        <is>
          <t>Sí</t>
        </is>
      </c>
      <c r="R721" s="9">
        <f>IF(N721="","",IF(Q721="Sí",ROUND(N721/1.18,2),N721))</f>
        <v/>
      </c>
      <c r="S721" s="7" t="inlineStr">
        <is>
          <t>2026-09-09</t>
        </is>
      </c>
      <c r="T721" s="5" t="inlineStr">
        <is>
          <t>2 cotizaciones de proveedores</t>
        </is>
      </c>
      <c r="U721" s="4" t="inlineStr">
        <is>
          <t>recta</t>
        </is>
      </c>
      <c r="V721" s="4" t="n">
        <v>70</v>
      </c>
    </row>
    <row r="722">
      <c r="A722" s="7" t="inlineStr">
        <is>
          <t>MAT-27-016</t>
        </is>
      </c>
      <c r="B722" s="7" t="inlineStr">
        <is>
          <t>Materiales</t>
        </is>
      </c>
      <c r="C722" s="7" t="inlineStr">
        <is>
          <t>Accesorios de baño</t>
        </is>
      </c>
      <c r="D722" s="5" t="inlineStr">
        <is>
          <t>Barra de seguridad, recta, 75 cm</t>
        </is>
      </c>
      <c r="E722" s="5" t="inlineStr">
        <is>
          <t>Herraje de accesibilidad. Su anclaje va contra el muro, no contra la cerámica</t>
        </is>
      </c>
      <c r="F722" s="5" t="inlineStr">
        <is>
          <t>Material retirado en almacén</t>
        </is>
      </c>
      <c r="G722" s="5" t="inlineStr">
        <is>
          <t>barra de seguridad, agarradera, accesibilidad</t>
        </is>
      </c>
      <c r="H722" s="7" t="inlineStr">
        <is>
          <t>unidad</t>
        </is>
      </c>
      <c r="I722" s="7" t="inlineStr">
        <is>
          <t>Terminación de superficies</t>
        </is>
      </c>
      <c r="J722" s="7" t="inlineStr">
        <is>
          <t>estandar</t>
        </is>
      </c>
      <c r="K722" s="7" t="inlineStr">
        <is>
          <t>importado</t>
        </is>
      </c>
      <c r="L722" s="7" t="inlineStr">
        <is>
          <t>Verificado</t>
        </is>
      </c>
      <c r="M722" s="8" t="n">
        <v>1</v>
      </c>
      <c r="N722" s="9" t="n">
        <v>2185</v>
      </c>
      <c r="O722" s="9" t="n">
        <v>2185</v>
      </c>
      <c r="P722" s="9" t="n">
        <v>2185</v>
      </c>
      <c r="Q722" s="7" t="inlineStr">
        <is>
          <t>Sí</t>
        </is>
      </c>
      <c r="R722" s="9">
        <f>IF(N722="","",IF(Q722="Sí",ROUND(N722/1.18,2),N722))</f>
        <v/>
      </c>
      <c r="S722" s="7" t="inlineStr">
        <is>
          <t>2026-09-09</t>
        </is>
      </c>
      <c r="T722" s="5" t="inlineStr">
        <is>
          <t>1 cotización de proveedores</t>
        </is>
      </c>
      <c r="U722" s="4" t="inlineStr">
        <is>
          <t>recta</t>
        </is>
      </c>
      <c r="V722" s="4" t="n">
        <v>75</v>
      </c>
    </row>
    <row r="723">
      <c r="A723" s="7" t="inlineStr">
        <is>
          <t>MAT-27-017</t>
        </is>
      </c>
      <c r="B723" s="7" t="inlineStr">
        <is>
          <t>Materiales</t>
        </is>
      </c>
      <c r="C723" s="7" t="inlineStr">
        <is>
          <t>Accesorios de baño</t>
        </is>
      </c>
      <c r="D723" s="5" t="inlineStr">
        <is>
          <t>Barra de seguridad, recta, 90 cm</t>
        </is>
      </c>
      <c r="E723" s="5" t="inlineStr">
        <is>
          <t>Herraje de accesibilidad. Su anclaje va contra el muro, no contra la cerámica</t>
        </is>
      </c>
      <c r="F723" s="5" t="inlineStr">
        <is>
          <t>Material retirado en almacén</t>
        </is>
      </c>
      <c r="G723" s="5" t="inlineStr">
        <is>
          <t>barra de seguridad, agarradera, accesibilidad</t>
        </is>
      </c>
      <c r="H723" s="7" t="inlineStr">
        <is>
          <t>unidad</t>
        </is>
      </c>
      <c r="I723" s="7" t="inlineStr">
        <is>
          <t>Terminación de superficies</t>
        </is>
      </c>
      <c r="J723" s="7" t="inlineStr">
        <is>
          <t>estandar</t>
        </is>
      </c>
      <c r="K723" s="7" t="inlineStr">
        <is>
          <t>importado</t>
        </is>
      </c>
      <c r="L723" s="7" t="inlineStr">
        <is>
          <t>Verificado</t>
        </is>
      </c>
      <c r="M723" s="8" t="n">
        <v>2</v>
      </c>
      <c r="N723" s="9" t="n">
        <v>2439</v>
      </c>
      <c r="O723" s="9" t="n">
        <v>2395</v>
      </c>
      <c r="P723" s="9" t="n">
        <v>6226.47</v>
      </c>
      <c r="Q723" s="7" t="inlineStr">
        <is>
          <t>Sí</t>
        </is>
      </c>
      <c r="R723" s="9">
        <f>IF(N723="","",IF(Q723="Sí",ROUND(N723/1.18,2),N723))</f>
        <v/>
      </c>
      <c r="S723" s="7" t="inlineStr">
        <is>
          <t>2026-09-09</t>
        </is>
      </c>
      <c r="T723" s="5" t="inlineStr">
        <is>
          <t>3 cotizaciones de proveedores</t>
        </is>
      </c>
      <c r="U723" s="4" t="inlineStr">
        <is>
          <t>recta</t>
        </is>
      </c>
      <c r="V723" s="4" t="n">
        <v>90</v>
      </c>
    </row>
    <row r="724">
      <c r="A724" s="7" t="inlineStr">
        <is>
          <t>MAT-27-018</t>
        </is>
      </c>
      <c r="B724" s="7" t="inlineStr">
        <is>
          <t>Materiales</t>
        </is>
      </c>
      <c r="C724" s="7" t="inlineStr">
        <is>
          <t>Accesorios de baño</t>
        </is>
      </c>
      <c r="D724" s="5" t="inlineStr">
        <is>
          <t>Juego de accesorios de baño</t>
        </is>
      </c>
      <c r="E724" s="5" t="inlineStr"/>
      <c r="F724" s="5" t="inlineStr">
        <is>
          <t>Material retirado en almacén</t>
        </is>
      </c>
      <c r="G724" s="5" t="inlineStr">
        <is>
          <t>juego de accesorios, kit de baño</t>
        </is>
      </c>
      <c r="H724" s="7" t="inlineStr">
        <is>
          <t>juego</t>
        </is>
      </c>
      <c r="I724" s="7" t="inlineStr">
        <is>
          <t>Terminación de superficies</t>
        </is>
      </c>
      <c r="J724" s="7" t="inlineStr">
        <is>
          <t>estandar</t>
        </is>
      </c>
      <c r="K724" s="7" t="inlineStr">
        <is>
          <t>importado</t>
        </is>
      </c>
      <c r="L724" s="7" t="inlineStr">
        <is>
          <t>Verificado</t>
        </is>
      </c>
      <c r="M724" s="8" t="n">
        <v>1</v>
      </c>
      <c r="N724" s="9" t="n">
        <v>2522.8</v>
      </c>
      <c r="O724" s="9" t="n">
        <v>345.39</v>
      </c>
      <c r="P724" s="9" t="n">
        <v>6703.24</v>
      </c>
      <c r="Q724" s="7" t="inlineStr">
        <is>
          <t>Sí</t>
        </is>
      </c>
      <c r="R724" s="9">
        <f>IF(N724="","",IF(Q724="Sí",ROUND(N724/1.18,2),N724))</f>
        <v/>
      </c>
      <c r="S724" s="7" t="inlineStr">
        <is>
          <t>2026-09-09</t>
        </is>
      </c>
      <c r="T724" s="5" t="inlineStr">
        <is>
          <t>22 cotizaciones de proveedores</t>
        </is>
      </c>
    </row>
    <row r="725">
      <c r="A725" s="7" t="inlineStr">
        <is>
          <t>MAT-27-019</t>
        </is>
      </c>
      <c r="B725" s="7" t="inlineStr">
        <is>
          <t>Materiales</t>
        </is>
      </c>
      <c r="C725" s="7" t="inlineStr">
        <is>
          <t>Accesorios de baño</t>
        </is>
      </c>
      <c r="D725" s="5" t="inlineStr">
        <is>
          <t>Juego de accesorios de baño, 3 piezas</t>
        </is>
      </c>
      <c r="E725" s="5" t="inlineStr"/>
      <c r="F725" s="5" t="inlineStr">
        <is>
          <t>Material retirado en almacén</t>
        </is>
      </c>
      <c r="G725" s="5" t="inlineStr">
        <is>
          <t>juego de accesorios, kit de baño</t>
        </is>
      </c>
      <c r="H725" s="7" t="inlineStr">
        <is>
          <t>juego</t>
        </is>
      </c>
      <c r="I725" s="7" t="inlineStr">
        <is>
          <t>Terminación de superficies</t>
        </is>
      </c>
      <c r="J725" s="7" t="inlineStr">
        <is>
          <t>estandar</t>
        </is>
      </c>
      <c r="K725" s="7" t="inlineStr">
        <is>
          <t>importado</t>
        </is>
      </c>
      <c r="L725" s="7" t="inlineStr">
        <is>
          <t>Verificado</t>
        </is>
      </c>
      <c r="M725" s="8" t="n">
        <v>1</v>
      </c>
      <c r="N725" s="9" t="n">
        <v>1673.59</v>
      </c>
      <c r="O725" s="9" t="n">
        <v>1081.92</v>
      </c>
      <c r="P725" s="9" t="n">
        <v>1673.59</v>
      </c>
      <c r="Q725" s="7" t="inlineStr">
        <is>
          <t>Sí</t>
        </is>
      </c>
      <c r="R725" s="9">
        <f>IF(N725="","",IF(Q725="Sí",ROUND(N725/1.18,2),N725))</f>
        <v/>
      </c>
      <c r="S725" s="7" t="inlineStr">
        <is>
          <t>2026-09-09</t>
        </is>
      </c>
      <c r="T725" s="5" t="inlineStr">
        <is>
          <t>3 cotizaciones de proveedores</t>
        </is>
      </c>
      <c r="AJ725" s="5" t="inlineStr">
        <is>
          <t>Piezas: 3</t>
        </is>
      </c>
    </row>
    <row r="726">
      <c r="A726" s="7" t="inlineStr">
        <is>
          <t>MAT-27-020</t>
        </is>
      </c>
      <c r="B726" s="7" t="inlineStr">
        <is>
          <t>Materiales</t>
        </is>
      </c>
      <c r="C726" s="7" t="inlineStr">
        <is>
          <t>Accesorios de baño</t>
        </is>
      </c>
      <c r="D726" s="5" t="inlineStr">
        <is>
          <t>Juego de accesorios de baño, 4 piezas</t>
        </is>
      </c>
      <c r="E726" s="5" t="inlineStr"/>
      <c r="F726" s="5" t="inlineStr">
        <is>
          <t>Material retirado en almacén</t>
        </is>
      </c>
      <c r="G726" s="5" t="inlineStr">
        <is>
          <t>juego de accesorios, kit de baño</t>
        </is>
      </c>
      <c r="H726" s="7" t="inlineStr">
        <is>
          <t>juego</t>
        </is>
      </c>
      <c r="I726" s="7" t="inlineStr">
        <is>
          <t>Terminación de superficies</t>
        </is>
      </c>
      <c r="J726" s="7" t="inlineStr">
        <is>
          <t>estandar</t>
        </is>
      </c>
      <c r="K726" s="7" t="inlineStr">
        <is>
          <t>importado</t>
        </is>
      </c>
      <c r="L726" s="7" t="inlineStr">
        <is>
          <t>Verificado</t>
        </is>
      </c>
      <c r="M726" s="8" t="n">
        <v>2</v>
      </c>
      <c r="N726" s="9" t="n">
        <v>2927.39</v>
      </c>
      <c r="O726" s="9" t="n">
        <v>1605.2</v>
      </c>
      <c r="P726" s="9" t="n">
        <v>3995</v>
      </c>
      <c r="Q726" s="7" t="inlineStr">
        <is>
          <t>Sí</t>
        </is>
      </c>
      <c r="R726" s="9">
        <f>IF(N726="","",IF(Q726="Sí",ROUND(N726/1.18,2),N726))</f>
        <v/>
      </c>
      <c r="S726" s="7" t="inlineStr">
        <is>
          <t>2026-09-09</t>
        </is>
      </c>
      <c r="T726" s="5" t="inlineStr">
        <is>
          <t>6 cotizaciones de proveedores</t>
        </is>
      </c>
      <c r="AJ726" s="5" t="inlineStr">
        <is>
          <t>Piezas: 4</t>
        </is>
      </c>
    </row>
    <row r="727">
      <c r="A727" s="7" t="inlineStr">
        <is>
          <t>MAT-27-021</t>
        </is>
      </c>
      <c r="B727" s="7" t="inlineStr">
        <is>
          <t>Materiales</t>
        </is>
      </c>
      <c r="C727" s="7" t="inlineStr">
        <is>
          <t>Accesorios de baño</t>
        </is>
      </c>
      <c r="D727" s="5" t="inlineStr">
        <is>
          <t>Juego de accesorios de baño, 5 piezas</t>
        </is>
      </c>
      <c r="E727" s="5" t="inlineStr"/>
      <c r="F727" s="5" t="inlineStr">
        <is>
          <t>Material retirado en almacén</t>
        </is>
      </c>
      <c r="G727" s="5" t="inlineStr">
        <is>
          <t>juego de accesorios, kit de baño</t>
        </is>
      </c>
      <c r="H727" s="7" t="inlineStr">
        <is>
          <t>juego</t>
        </is>
      </c>
      <c r="I727" s="7" t="inlineStr">
        <is>
          <t>Terminación de superficies</t>
        </is>
      </c>
      <c r="J727" s="7" t="inlineStr">
        <is>
          <t>estandar</t>
        </is>
      </c>
      <c r="K727" s="7" t="inlineStr">
        <is>
          <t>importado</t>
        </is>
      </c>
      <c r="L727" s="7" t="inlineStr">
        <is>
          <t>Verificado</t>
        </is>
      </c>
      <c r="M727" s="8" t="n">
        <v>2</v>
      </c>
      <c r="N727" s="9" t="n">
        <v>940.91</v>
      </c>
      <c r="O727" s="9" t="n">
        <v>394</v>
      </c>
      <c r="P727" s="9" t="n">
        <v>1475</v>
      </c>
      <c r="Q727" s="7" t="inlineStr">
        <is>
          <t>Sí</t>
        </is>
      </c>
      <c r="R727" s="9">
        <f>IF(N727="","",IF(Q727="Sí",ROUND(N727/1.18,2),N727))</f>
        <v/>
      </c>
      <c r="S727" s="7" t="inlineStr">
        <is>
          <t>2026-09-09</t>
        </is>
      </c>
      <c r="T727" s="5" t="inlineStr">
        <is>
          <t>3 cotizaciones de proveedores</t>
        </is>
      </c>
      <c r="AJ727" s="5" t="inlineStr">
        <is>
          <t>Piezas: 5</t>
        </is>
      </c>
    </row>
    <row r="728">
      <c r="A728" s="7" t="inlineStr">
        <is>
          <t>MAT-27-022</t>
        </is>
      </c>
      <c r="B728" s="7" t="inlineStr">
        <is>
          <t>Materiales</t>
        </is>
      </c>
      <c r="C728" s="7" t="inlineStr">
        <is>
          <t>Accesorios de baño</t>
        </is>
      </c>
      <c r="D728" s="5" t="inlineStr">
        <is>
          <t>Juego de accesorios de baño, 6 piezas</t>
        </is>
      </c>
      <c r="E728" s="5" t="inlineStr"/>
      <c r="F728" s="5" t="inlineStr">
        <is>
          <t>Material retirado en almacén</t>
        </is>
      </c>
      <c r="G728" s="5" t="inlineStr">
        <is>
          <t>juego de accesorios, kit de baño</t>
        </is>
      </c>
      <c r="H728" s="7" t="inlineStr">
        <is>
          <t>juego</t>
        </is>
      </c>
      <c r="I728" s="7" t="inlineStr">
        <is>
          <t>Terminación de superficies</t>
        </is>
      </c>
      <c r="J728" s="7" t="inlineStr">
        <is>
          <t>estandar</t>
        </is>
      </c>
      <c r="K728" s="7" t="inlineStr">
        <is>
          <t>importado</t>
        </is>
      </c>
      <c r="L728" s="7" t="inlineStr">
        <is>
          <t>Verificado</t>
        </is>
      </c>
      <c r="M728" s="8" t="n">
        <v>2</v>
      </c>
      <c r="N728" s="9" t="n">
        <v>3070.44</v>
      </c>
      <c r="O728" s="9" t="n">
        <v>1342.61</v>
      </c>
      <c r="P728" s="9" t="n">
        <v>4372.84</v>
      </c>
      <c r="Q728" s="7" t="inlineStr">
        <is>
          <t>Sí</t>
        </is>
      </c>
      <c r="R728" s="9">
        <f>IF(N728="","",IF(Q728="Sí",ROUND(N728/1.18,2),N728))</f>
        <v/>
      </c>
      <c r="S728" s="7" t="inlineStr">
        <is>
          <t>2026-09-09</t>
        </is>
      </c>
      <c r="T728" s="5" t="inlineStr">
        <is>
          <t>31 cotizaciones de proveedores</t>
        </is>
      </c>
      <c r="AJ728" s="5" t="inlineStr">
        <is>
          <t>Piezas: 6</t>
        </is>
      </c>
    </row>
    <row r="729">
      <c r="A729" s="7" t="inlineStr">
        <is>
          <t>MAT-27-023</t>
        </is>
      </c>
      <c r="B729" s="7" t="inlineStr">
        <is>
          <t>Materiales</t>
        </is>
      </c>
      <c r="C729" s="7" t="inlineStr">
        <is>
          <t>Accesorios de baño</t>
        </is>
      </c>
      <c r="D729" s="5" t="inlineStr">
        <is>
          <t>Secador de manos</t>
        </is>
      </c>
      <c r="E729" s="5" t="inlineStr"/>
      <c r="F729" s="5" t="inlineStr">
        <is>
          <t>Material retirado en almacén</t>
        </is>
      </c>
      <c r="G729" s="5" t="inlineStr">
        <is>
          <t>secador de manos</t>
        </is>
      </c>
      <c r="H729" s="7" t="inlineStr">
        <is>
          <t>unidad</t>
        </is>
      </c>
      <c r="I729" s="7" t="inlineStr">
        <is>
          <t>Terminación de superficies</t>
        </is>
      </c>
      <c r="J729" s="7" t="inlineStr">
        <is>
          <t>estandar</t>
        </is>
      </c>
      <c r="K729" s="7" t="inlineStr">
        <is>
          <t>importado</t>
        </is>
      </c>
      <c r="L729" s="7" t="inlineStr">
        <is>
          <t>Verificado</t>
        </is>
      </c>
      <c r="M729" s="8" t="n">
        <v>2</v>
      </c>
      <c r="N729" s="9" t="n">
        <v>3600</v>
      </c>
      <c r="O729" s="9" t="n">
        <v>3335</v>
      </c>
      <c r="P729" s="9" t="n">
        <v>27487.14</v>
      </c>
      <c r="Q729" s="7" t="inlineStr">
        <is>
          <t>Sí</t>
        </is>
      </c>
      <c r="R729" s="9">
        <f>IF(N729="","",IF(Q729="Sí",ROUND(N729/1.18,2),N729))</f>
        <v/>
      </c>
      <c r="S729" s="7" t="inlineStr">
        <is>
          <t>2026-09-09</t>
        </is>
      </c>
      <c r="T729" s="5" t="inlineStr">
        <is>
          <t>3 cotizaciones de proveedores</t>
        </is>
      </c>
    </row>
    <row r="730">
      <c r="A730" s="7" t="inlineStr">
        <is>
          <t>MAT-27-024</t>
        </is>
      </c>
      <c r="B730" s="7" t="inlineStr">
        <is>
          <t>Materiales</t>
        </is>
      </c>
      <c r="C730" s="7" t="inlineStr">
        <is>
          <t>Accesorios de baño</t>
        </is>
      </c>
      <c r="D730" s="5" t="inlineStr">
        <is>
          <t>Secador de manos, de botón</t>
        </is>
      </c>
      <c r="E730" s="5" t="inlineStr"/>
      <c r="F730" s="5" t="inlineStr">
        <is>
          <t>Material retirado en almacén</t>
        </is>
      </c>
      <c r="G730" s="5" t="inlineStr">
        <is>
          <t>secador de manos</t>
        </is>
      </c>
      <c r="H730" s="7" t="inlineStr">
        <is>
          <t>unidad</t>
        </is>
      </c>
      <c r="I730" s="7" t="inlineStr">
        <is>
          <t>Terminación de superficies</t>
        </is>
      </c>
      <c r="J730" s="7" t="inlineStr">
        <is>
          <t>estandar</t>
        </is>
      </c>
      <c r="K730" s="7" t="inlineStr">
        <is>
          <t>importado</t>
        </is>
      </c>
      <c r="L730" s="7" t="inlineStr">
        <is>
          <t>Verificado</t>
        </is>
      </c>
      <c r="M730" s="8" t="n">
        <v>1</v>
      </c>
      <c r="N730" s="9" t="n">
        <v>16368.74</v>
      </c>
      <c r="O730" s="9" t="n">
        <v>16368.74</v>
      </c>
      <c r="P730" s="9" t="n">
        <v>16368.74</v>
      </c>
      <c r="Q730" s="7" t="inlineStr">
        <is>
          <t>Sí</t>
        </is>
      </c>
      <c r="R730" s="9">
        <f>IF(N730="","",IF(Q730="Sí",ROUND(N730/1.18,2),N730))</f>
        <v/>
      </c>
      <c r="S730" s="7" t="inlineStr">
        <is>
          <t>2026-09-09</t>
        </is>
      </c>
      <c r="T730" s="5" t="inlineStr">
        <is>
          <t>1 cotización de proveedores</t>
        </is>
      </c>
      <c r="AJ730" s="5" t="inlineStr">
        <is>
          <t>Activación: boton</t>
        </is>
      </c>
    </row>
    <row r="731">
      <c r="A731" s="7" t="inlineStr">
        <is>
          <t>MAT-27-025</t>
        </is>
      </c>
      <c r="B731" s="7" t="inlineStr">
        <is>
          <t>Materiales</t>
        </is>
      </c>
      <c r="C731" s="7" t="inlineStr">
        <is>
          <t>Accesorios de baño</t>
        </is>
      </c>
      <c r="D731" s="5" t="inlineStr">
        <is>
          <t>Secador de manos, con sensor</t>
        </is>
      </c>
      <c r="E731" s="5" t="inlineStr"/>
      <c r="F731" s="5" t="inlineStr">
        <is>
          <t>Material retirado en almacén</t>
        </is>
      </c>
      <c r="G731" s="5" t="inlineStr">
        <is>
          <t>secador de manos</t>
        </is>
      </c>
      <c r="H731" s="7" t="inlineStr">
        <is>
          <t>unidad</t>
        </is>
      </c>
      <c r="I731" s="7" t="inlineStr">
        <is>
          <t>Terminación de superficies</t>
        </is>
      </c>
      <c r="J731" s="7" t="inlineStr">
        <is>
          <t>estandar</t>
        </is>
      </c>
      <c r="K731" s="7" t="inlineStr">
        <is>
          <t>importado</t>
        </is>
      </c>
      <c r="L731" s="7" t="inlineStr">
        <is>
          <t>Verificado</t>
        </is>
      </c>
      <c r="M731" s="8" t="n">
        <v>2</v>
      </c>
      <c r="N731" s="9" t="n">
        <v>18390.47</v>
      </c>
      <c r="O731" s="9" t="n">
        <v>12495</v>
      </c>
      <c r="P731" s="9" t="n">
        <v>63455.69</v>
      </c>
      <c r="Q731" s="7" t="inlineStr">
        <is>
          <t>Sí</t>
        </is>
      </c>
      <c r="R731" s="9">
        <f>IF(N731="","",IF(Q731="Sí",ROUND(N731/1.18,2),N731))</f>
        <v/>
      </c>
      <c r="S731" s="7" t="inlineStr">
        <is>
          <t>2026-09-09</t>
        </is>
      </c>
      <c r="T731" s="5" t="inlineStr">
        <is>
          <t>5 cotizaciones de proveedores</t>
        </is>
      </c>
      <c r="X731" s="4" t="n">
        <v>270</v>
      </c>
      <c r="AJ731" s="5" t="inlineStr">
        <is>
          <t>Activación: sensor</t>
        </is>
      </c>
    </row>
    <row r="732">
      <c r="A732" s="7" t="inlineStr">
        <is>
          <t>MAT-27-026</t>
        </is>
      </c>
      <c r="B732" s="7" t="inlineStr">
        <is>
          <t>Materiales</t>
        </is>
      </c>
      <c r="C732" s="7" t="inlineStr">
        <is>
          <t>Accesorios de baño</t>
        </is>
      </c>
      <c r="D732" s="5" t="inlineStr">
        <is>
          <t>Dispensador de jabón</t>
        </is>
      </c>
      <c r="E732" s="5" t="inlineStr"/>
      <c r="F732" s="5" t="inlineStr">
        <is>
          <t>Material retirado en almacén</t>
        </is>
      </c>
      <c r="G732" s="5" t="inlineStr">
        <is>
          <t>dispensador de jabón, dosificador</t>
        </is>
      </c>
      <c r="H732" s="7" t="inlineStr">
        <is>
          <t>unidad</t>
        </is>
      </c>
      <c r="I732" s="7" t="inlineStr">
        <is>
          <t>Terminación de superficies</t>
        </is>
      </c>
      <c r="J732" s="7" t="inlineStr">
        <is>
          <t>estandar</t>
        </is>
      </c>
      <c r="K732" s="7" t="inlineStr">
        <is>
          <t>importado</t>
        </is>
      </c>
      <c r="L732" s="7" t="inlineStr">
        <is>
          <t>Verificado</t>
        </is>
      </c>
      <c r="M732" s="8" t="n">
        <v>2</v>
      </c>
      <c r="N732" s="9" t="n">
        <v>715</v>
      </c>
      <c r="O732" s="9" t="n">
        <v>156</v>
      </c>
      <c r="P732" s="9" t="n">
        <v>15547.21</v>
      </c>
      <c r="Q732" s="7" t="inlineStr">
        <is>
          <t>Sí</t>
        </is>
      </c>
      <c r="R732" s="9">
        <f>IF(N732="","",IF(Q732="Sí",ROUND(N732/1.18,2),N732))</f>
        <v/>
      </c>
      <c r="S732" s="7" t="inlineStr">
        <is>
          <t>2026-09-09</t>
        </is>
      </c>
      <c r="T732" s="5" t="inlineStr">
        <is>
          <t>15 cotizaciones de proveedores</t>
        </is>
      </c>
      <c r="X732" s="4" t="n">
        <v>90</v>
      </c>
    </row>
    <row r="733">
      <c r="A733" s="7" t="inlineStr">
        <is>
          <t>MAT-27-027</t>
        </is>
      </c>
      <c r="B733" s="7" t="inlineStr">
        <is>
          <t>Materiales</t>
        </is>
      </c>
      <c r="C733" s="7" t="inlineStr">
        <is>
          <t>Accesorios de baño</t>
        </is>
      </c>
      <c r="D733" s="5" t="inlineStr">
        <is>
          <t>Dispensador de papel, de papel higiénico</t>
        </is>
      </c>
      <c r="E733" s="5" t="inlineStr"/>
      <c r="F733" s="5" t="inlineStr">
        <is>
          <t>Material retirado en almacén</t>
        </is>
      </c>
      <c r="G733" s="5" t="inlineStr">
        <is>
          <t>dispensador de papel, portarrollo comercial</t>
        </is>
      </c>
      <c r="H733" s="7" t="inlineStr">
        <is>
          <t>unidad</t>
        </is>
      </c>
      <c r="I733" s="7" t="inlineStr">
        <is>
          <t>Terminación de superficies</t>
        </is>
      </c>
      <c r="J733" s="7" t="inlineStr">
        <is>
          <t>estandar</t>
        </is>
      </c>
      <c r="K733" s="7" t="inlineStr">
        <is>
          <t>importado</t>
        </is>
      </c>
      <c r="L733" s="7" t="inlineStr">
        <is>
          <t>Verificado</t>
        </is>
      </c>
      <c r="M733" s="8" t="n">
        <v>1</v>
      </c>
      <c r="N733" s="9" t="n">
        <v>897.5</v>
      </c>
      <c r="O733" s="9" t="n">
        <v>485</v>
      </c>
      <c r="P733" s="9" t="n">
        <v>8995</v>
      </c>
      <c r="Q733" s="7" t="inlineStr">
        <is>
          <t>Sí</t>
        </is>
      </c>
      <c r="R733" s="9">
        <f>IF(N733="","",IF(Q733="Sí",ROUND(N733/1.18,2),N733))</f>
        <v/>
      </c>
      <c r="S733" s="7" t="inlineStr">
        <is>
          <t>2026-09-09</t>
        </is>
      </c>
      <c r="T733" s="5" t="inlineStr">
        <is>
          <t>8 cotizaciones de proveedores</t>
        </is>
      </c>
      <c r="X733" s="4" t="n">
        <v>270</v>
      </c>
      <c r="AJ733" s="5" t="inlineStr">
        <is>
          <t>Tipo de papel: papel higiénico</t>
        </is>
      </c>
    </row>
    <row r="734">
      <c r="A734" s="7" t="inlineStr">
        <is>
          <t>MAT-27-028</t>
        </is>
      </c>
      <c r="B734" s="7" t="inlineStr">
        <is>
          <t>Materiales</t>
        </is>
      </c>
      <c r="C734" s="7" t="inlineStr">
        <is>
          <t>Accesorios de baño</t>
        </is>
      </c>
      <c r="D734" s="5" t="inlineStr">
        <is>
          <t>Dispensador de papel, de toalla</t>
        </is>
      </c>
      <c r="E734" s="5" t="inlineStr"/>
      <c r="F734" s="5" t="inlineStr">
        <is>
          <t>Material retirado en almacén</t>
        </is>
      </c>
      <c r="G734" s="5" t="inlineStr">
        <is>
          <t>dispensador de papel, portarrollo comercial</t>
        </is>
      </c>
      <c r="H734" s="7" t="inlineStr">
        <is>
          <t>unidad</t>
        </is>
      </c>
      <c r="I734" s="7" t="inlineStr">
        <is>
          <t>Terminación de superficies</t>
        </is>
      </c>
      <c r="J734" s="7" t="inlineStr">
        <is>
          <t>estandar</t>
        </is>
      </c>
      <c r="K734" s="7" t="inlineStr">
        <is>
          <t>importado</t>
        </is>
      </c>
      <c r="L734" s="7" t="inlineStr">
        <is>
          <t>Verificado</t>
        </is>
      </c>
      <c r="M734" s="8" t="n">
        <v>2</v>
      </c>
      <c r="N734" s="9" t="n">
        <v>2645</v>
      </c>
      <c r="O734" s="9" t="n">
        <v>274</v>
      </c>
      <c r="P734" s="9" t="n">
        <v>12190</v>
      </c>
      <c r="Q734" s="7" t="inlineStr">
        <is>
          <t>Sí</t>
        </is>
      </c>
      <c r="R734" s="9">
        <f>IF(N734="","",IF(Q734="Sí",ROUND(N734/1.18,2),N734))</f>
        <v/>
      </c>
      <c r="S734" s="7" t="inlineStr">
        <is>
          <t>2026-09-09</t>
        </is>
      </c>
      <c r="T734" s="5" t="inlineStr">
        <is>
          <t>10 cotizaciones de proveedores</t>
        </is>
      </c>
      <c r="X734" s="4" t="n">
        <v>310</v>
      </c>
      <c r="AJ734" s="5" t="inlineStr">
        <is>
          <t>Tipo de papel: toalla</t>
        </is>
      </c>
    </row>
    <row r="735">
      <c r="A735" s="7" t="inlineStr">
        <is>
          <t>MAT-27-029</t>
        </is>
      </c>
      <c r="B735" s="7" t="inlineStr">
        <is>
          <t>Materiales</t>
        </is>
      </c>
      <c r="C735" s="7" t="inlineStr">
        <is>
          <t>Accesorios de baño</t>
        </is>
      </c>
      <c r="D735" s="5" t="inlineStr">
        <is>
          <t>Cambiador de bebés de pared</t>
        </is>
      </c>
      <c r="E735" s="5" t="inlineStr"/>
      <c r="F735" s="5" t="inlineStr">
        <is>
          <t>Material retirado en almacén</t>
        </is>
      </c>
      <c r="G735" s="5" t="inlineStr">
        <is>
          <t>cambiador de bebés, baño público</t>
        </is>
      </c>
      <c r="H735" s="7" t="inlineStr">
        <is>
          <t>unidad</t>
        </is>
      </c>
      <c r="I735" s="7" t="inlineStr">
        <is>
          <t>Terminación de superficies</t>
        </is>
      </c>
      <c r="J735" s="7" t="inlineStr">
        <is>
          <t>estandar</t>
        </is>
      </c>
      <c r="K735" s="7" t="inlineStr">
        <is>
          <t>importado</t>
        </is>
      </c>
      <c r="L735" s="7" t="inlineStr">
        <is>
          <t>Verificado</t>
        </is>
      </c>
      <c r="M735" s="8" t="n">
        <v>1</v>
      </c>
      <c r="N735" s="9" t="n">
        <v>8705</v>
      </c>
      <c r="O735" s="9" t="n">
        <v>8705</v>
      </c>
      <c r="P735" s="9" t="n">
        <v>8705</v>
      </c>
      <c r="Q735" s="7" t="inlineStr">
        <is>
          <t>Sí</t>
        </is>
      </c>
      <c r="R735" s="9">
        <f>IF(N735="","",IF(Q735="Sí",ROUND(N735/1.18,2),N735))</f>
        <v/>
      </c>
      <c r="S735" s="7" t="inlineStr">
        <is>
          <t>2026-09-09</t>
        </is>
      </c>
      <c r="T735" s="5" t="inlineStr">
        <is>
          <t>1 cotización de proveedores</t>
        </is>
      </c>
      <c r="W735" s="4" t="n">
        <v>860</v>
      </c>
      <c r="X735" s="4" t="n">
        <v>550</v>
      </c>
      <c r="Y735" s="4" t="n">
        <v>140</v>
      </c>
    </row>
    <row r="736">
      <c r="A736" s="7" t="inlineStr">
        <is>
          <t>MAT-28-001</t>
        </is>
      </c>
      <c r="B736" s="7" t="inlineStr">
        <is>
          <t>Materiales</t>
        </is>
      </c>
      <c r="C736" s="7" t="inlineStr">
        <is>
          <t>Alarmas y control de accesos</t>
        </is>
      </c>
      <c r="D736" s="5" t="inlineStr">
        <is>
          <t>Kit de alarma</t>
        </is>
      </c>
      <c r="E736" s="5" t="inlineStr"/>
      <c r="F736" s="5" t="inlineStr">
        <is>
          <t>Material retirado en almacén</t>
        </is>
      </c>
      <c r="G736" s="5" t="inlineStr">
        <is>
          <t>kit de alarma, combo de seguridad</t>
        </is>
      </c>
      <c r="H736" s="7" t="inlineStr">
        <is>
          <t>juego</t>
        </is>
      </c>
      <c r="I736" s="7" t="inlineStr">
        <is>
          <t>Instalaciones</t>
        </is>
      </c>
      <c r="J736" s="7" t="inlineStr">
        <is>
          <t>estandar</t>
        </is>
      </c>
      <c r="K736" s="7" t="inlineStr">
        <is>
          <t>importado</t>
        </is>
      </c>
      <c r="L736" s="7" t="inlineStr">
        <is>
          <t>Verificado</t>
        </is>
      </c>
      <c r="M736" s="8" t="n">
        <v>1</v>
      </c>
      <c r="N736" s="9" t="n">
        <v>7107.67</v>
      </c>
      <c r="O736" s="9" t="n">
        <v>7107.67</v>
      </c>
      <c r="P736" s="9" t="n">
        <v>7107.67</v>
      </c>
      <c r="Q736" s="7" t="inlineStr">
        <is>
          <t>Sí</t>
        </is>
      </c>
      <c r="R736" s="9">
        <f>IF(N736="","",IF(Q736="Sí",ROUND(N736/1.18,2),N736))</f>
        <v/>
      </c>
      <c r="S736" s="7" t="inlineStr">
        <is>
          <t>2026-09-09</t>
        </is>
      </c>
      <c r="T736" s="5" t="inlineStr">
        <is>
          <t>1 cotización de proveedores</t>
        </is>
      </c>
    </row>
    <row r="737">
      <c r="A737" s="7" t="inlineStr">
        <is>
          <t>MAT-28-002</t>
        </is>
      </c>
      <c r="B737" s="7" t="inlineStr">
        <is>
          <t>Materiales</t>
        </is>
      </c>
      <c r="C737" s="7" t="inlineStr">
        <is>
          <t>Alarmas y control de accesos</t>
        </is>
      </c>
      <c r="D737" s="5" t="inlineStr">
        <is>
          <t>Panel de alarma</t>
        </is>
      </c>
      <c r="E737" s="5" t="inlineStr"/>
      <c r="F737" s="5" t="inlineStr">
        <is>
          <t>Material retirado en almacén</t>
        </is>
      </c>
      <c r="G737" s="5" t="inlineStr">
        <is>
          <t>panel de control, central de alarma</t>
        </is>
      </c>
      <c r="H737" s="7" t="inlineStr">
        <is>
          <t>unidad</t>
        </is>
      </c>
      <c r="I737" s="7" t="inlineStr">
        <is>
          <t>Instalaciones</t>
        </is>
      </c>
      <c r="J737" s="7" t="inlineStr">
        <is>
          <t>estandar</t>
        </is>
      </c>
      <c r="K737" s="7" t="inlineStr">
        <is>
          <t>importado</t>
        </is>
      </c>
      <c r="L737" s="7" t="inlineStr">
        <is>
          <t>Verificado</t>
        </is>
      </c>
      <c r="M737" s="8" t="n">
        <v>1</v>
      </c>
      <c r="N737" s="9" t="n">
        <v>15771.4</v>
      </c>
      <c r="O737" s="9" t="n">
        <v>3536.16</v>
      </c>
      <c r="P737" s="9" t="n">
        <v>40009.07</v>
      </c>
      <c r="Q737" s="7" t="inlineStr">
        <is>
          <t>Sí</t>
        </is>
      </c>
      <c r="R737" s="9">
        <f>IF(N737="","",IF(Q737="Sí",ROUND(N737/1.18,2),N737))</f>
        <v/>
      </c>
      <c r="S737" s="7" t="inlineStr">
        <is>
          <t>2026-09-09</t>
        </is>
      </c>
      <c r="T737" s="5" t="inlineStr">
        <is>
          <t>8 cotizaciones de proveedores</t>
        </is>
      </c>
    </row>
    <row r="738">
      <c r="A738" s="7" t="inlineStr">
        <is>
          <t>MAT-28-003</t>
        </is>
      </c>
      <c r="B738" s="7" t="inlineStr">
        <is>
          <t>Materiales</t>
        </is>
      </c>
      <c r="C738" s="7" t="inlineStr">
        <is>
          <t>Alarmas y control de accesos</t>
        </is>
      </c>
      <c r="D738" s="5" t="inlineStr">
        <is>
          <t>Panel de alarma 28 zonas</t>
        </is>
      </c>
      <c r="E738" s="5" t="inlineStr"/>
      <c r="F738" s="5" t="inlineStr">
        <is>
          <t>Material retirado en almacén</t>
        </is>
      </c>
      <c r="G738" s="5" t="inlineStr">
        <is>
          <t>panel de control, central de alarma</t>
        </is>
      </c>
      <c r="H738" s="7" t="inlineStr">
        <is>
          <t>unidad</t>
        </is>
      </c>
      <c r="I738" s="7" t="inlineStr">
        <is>
          <t>Instalaciones</t>
        </is>
      </c>
      <c r="J738" s="7" t="inlineStr">
        <is>
          <t>estandar</t>
        </is>
      </c>
      <c r="K738" s="7" t="inlineStr">
        <is>
          <t>importado</t>
        </is>
      </c>
      <c r="L738" s="7" t="inlineStr">
        <is>
          <t>Verificado</t>
        </is>
      </c>
      <c r="M738" s="8" t="n">
        <v>1</v>
      </c>
      <c r="N738" s="9" t="n">
        <v>7194.58</v>
      </c>
      <c r="O738" s="9" t="n">
        <v>7194.58</v>
      </c>
      <c r="P738" s="9" t="n">
        <v>7194.58</v>
      </c>
      <c r="Q738" s="7" t="inlineStr">
        <is>
          <t>Sí</t>
        </is>
      </c>
      <c r="R738" s="9">
        <f>IF(N738="","",IF(Q738="Sí",ROUND(N738/1.18,2),N738))</f>
        <v/>
      </c>
      <c r="S738" s="7" t="inlineStr">
        <is>
          <t>2026-09-09</t>
        </is>
      </c>
      <c r="T738" s="5" t="inlineStr">
        <is>
          <t>1 cotización de proveedores</t>
        </is>
      </c>
      <c r="AJ738" s="5" t="inlineStr">
        <is>
          <t>Zonas: 28</t>
        </is>
      </c>
    </row>
    <row r="739">
      <c r="A739" s="7" t="inlineStr">
        <is>
          <t>MAT-28-004</t>
        </is>
      </c>
      <c r="B739" s="7" t="inlineStr">
        <is>
          <t>Materiales</t>
        </is>
      </c>
      <c r="C739" s="7" t="inlineStr">
        <is>
          <t>Alarmas y control de accesos</t>
        </is>
      </c>
      <c r="D739" s="5" t="inlineStr">
        <is>
          <t>Panel de alarma 320 zonas</t>
        </is>
      </c>
      <c r="E739" s="5" t="inlineStr"/>
      <c r="F739" s="5" t="inlineStr">
        <is>
          <t>Material retirado en almacén</t>
        </is>
      </c>
      <c r="G739" s="5" t="inlineStr">
        <is>
          <t>panel de control, central de alarma</t>
        </is>
      </c>
      <c r="H739" s="7" t="inlineStr">
        <is>
          <t>unidad</t>
        </is>
      </c>
      <c r="I739" s="7" t="inlineStr">
        <is>
          <t>Instalaciones</t>
        </is>
      </c>
      <c r="J739" s="7" t="inlineStr">
        <is>
          <t>estandar</t>
        </is>
      </c>
      <c r="K739" s="7" t="inlineStr">
        <is>
          <t>importado</t>
        </is>
      </c>
      <c r="L739" s="7" t="inlineStr">
        <is>
          <t>Verificado</t>
        </is>
      </c>
      <c r="M739" s="8" t="n">
        <v>1</v>
      </c>
      <c r="N739" s="9" t="n">
        <v>16552.7</v>
      </c>
      <c r="O739" s="9" t="n">
        <v>13889.31</v>
      </c>
      <c r="P739" s="9" t="n">
        <v>19216.09</v>
      </c>
      <c r="Q739" s="7" t="inlineStr">
        <is>
          <t>Sí</t>
        </is>
      </c>
      <c r="R739" s="9">
        <f>IF(N739="","",IF(Q739="Sí",ROUND(N739/1.18,2),N739))</f>
        <v/>
      </c>
      <c r="S739" s="7" t="inlineStr">
        <is>
          <t>2026-09-09</t>
        </is>
      </c>
      <c r="T739" s="5" t="inlineStr">
        <is>
          <t>2 cotizaciones de proveedores</t>
        </is>
      </c>
      <c r="AJ739" s="5" t="inlineStr">
        <is>
          <t>Zonas: 320</t>
        </is>
      </c>
    </row>
    <row r="740">
      <c r="A740" s="7" t="inlineStr">
        <is>
          <t>MAT-28-005</t>
        </is>
      </c>
      <c r="B740" s="7" t="inlineStr">
        <is>
          <t>Materiales</t>
        </is>
      </c>
      <c r="C740" s="7" t="inlineStr">
        <is>
          <t>Alarmas y control de accesos</t>
        </is>
      </c>
      <c r="D740" s="5" t="inlineStr">
        <is>
          <t>Panel de alarma 4 zonas</t>
        </is>
      </c>
      <c r="E740" s="5" t="inlineStr"/>
      <c r="F740" s="5" t="inlineStr">
        <is>
          <t>Material retirado en almacén</t>
        </is>
      </c>
      <c r="G740" s="5" t="inlineStr">
        <is>
          <t>panel de control, central de alarma</t>
        </is>
      </c>
      <c r="H740" s="7" t="inlineStr">
        <is>
          <t>unidad</t>
        </is>
      </c>
      <c r="I740" s="7" t="inlineStr">
        <is>
          <t>Instalaciones</t>
        </is>
      </c>
      <c r="J740" s="7" t="inlineStr">
        <is>
          <t>estandar</t>
        </is>
      </c>
      <c r="K740" s="7" t="inlineStr">
        <is>
          <t>importado</t>
        </is>
      </c>
      <c r="L740" s="7" t="inlineStr">
        <is>
          <t>Verificado</t>
        </is>
      </c>
      <c r="M740" s="8" t="n">
        <v>1</v>
      </c>
      <c r="N740" s="9" t="n">
        <v>18682.71</v>
      </c>
      <c r="O740" s="9" t="n">
        <v>18682.71</v>
      </c>
      <c r="P740" s="9" t="n">
        <v>18682.71</v>
      </c>
      <c r="Q740" s="7" t="inlineStr">
        <is>
          <t>Sí</t>
        </is>
      </c>
      <c r="R740" s="9">
        <f>IF(N740="","",IF(Q740="Sí",ROUND(N740/1.18,2),N740))</f>
        <v/>
      </c>
      <c r="S740" s="7" t="inlineStr">
        <is>
          <t>2026-09-09</t>
        </is>
      </c>
      <c r="T740" s="5" t="inlineStr">
        <is>
          <t>1 cotización de proveedores</t>
        </is>
      </c>
      <c r="AJ740" s="5" t="inlineStr">
        <is>
          <t>Zonas: 4</t>
        </is>
      </c>
    </row>
    <row r="741">
      <c r="A741" s="7" t="inlineStr">
        <is>
          <t>MAT-28-006</t>
        </is>
      </c>
      <c r="B741" s="7" t="inlineStr">
        <is>
          <t>Materiales</t>
        </is>
      </c>
      <c r="C741" s="7" t="inlineStr">
        <is>
          <t>Alarmas y control de accesos</t>
        </is>
      </c>
      <c r="D741" s="5" t="inlineStr">
        <is>
          <t>Panel de alarma 48 zonas</t>
        </is>
      </c>
      <c r="E741" s="5" t="inlineStr"/>
      <c r="F741" s="5" t="inlineStr">
        <is>
          <t>Material retirado en almacén</t>
        </is>
      </c>
      <c r="G741" s="5" t="inlineStr">
        <is>
          <t>panel de control, central de alarma</t>
        </is>
      </c>
      <c r="H741" s="7" t="inlineStr">
        <is>
          <t>unidad</t>
        </is>
      </c>
      <c r="I741" s="7" t="inlineStr">
        <is>
          <t>Instalaciones</t>
        </is>
      </c>
      <c r="J741" s="7" t="inlineStr">
        <is>
          <t>estandar</t>
        </is>
      </c>
      <c r="K741" s="7" t="inlineStr">
        <is>
          <t>importado</t>
        </is>
      </c>
      <c r="L741" s="7" t="inlineStr">
        <is>
          <t>Verificado</t>
        </is>
      </c>
      <c r="M741" s="8" t="n">
        <v>1</v>
      </c>
      <c r="N741" s="9" t="n">
        <v>8277.66</v>
      </c>
      <c r="O741" s="9" t="n">
        <v>8277.66</v>
      </c>
      <c r="P741" s="9" t="n">
        <v>8277.66</v>
      </c>
      <c r="Q741" s="7" t="inlineStr">
        <is>
          <t>Sí</t>
        </is>
      </c>
      <c r="R741" s="9">
        <f>IF(N741="","",IF(Q741="Sí",ROUND(N741/1.18,2),N741))</f>
        <v/>
      </c>
      <c r="S741" s="7" t="inlineStr">
        <is>
          <t>2026-09-09</t>
        </is>
      </c>
      <c r="T741" s="5" t="inlineStr">
        <is>
          <t>1 cotización de proveedores</t>
        </is>
      </c>
      <c r="AJ741" s="5" t="inlineStr">
        <is>
          <t>Zonas: 48</t>
        </is>
      </c>
    </row>
    <row r="742">
      <c r="A742" s="7" t="inlineStr">
        <is>
          <t>MAT-28-007</t>
        </is>
      </c>
      <c r="B742" s="7" t="inlineStr">
        <is>
          <t>Materiales</t>
        </is>
      </c>
      <c r="C742" s="7" t="inlineStr">
        <is>
          <t>Alarmas y control de accesos</t>
        </is>
      </c>
      <c r="D742" s="5" t="inlineStr">
        <is>
          <t>Panel de alarma 8 zonas</t>
        </is>
      </c>
      <c r="E742" s="5" t="inlineStr"/>
      <c r="F742" s="5" t="inlineStr">
        <is>
          <t>Material retirado en almacén</t>
        </is>
      </c>
      <c r="G742" s="5" t="inlineStr">
        <is>
          <t>panel de control, central de alarma</t>
        </is>
      </c>
      <c r="H742" s="7" t="inlineStr">
        <is>
          <t>unidad</t>
        </is>
      </c>
      <c r="I742" s="7" t="inlineStr">
        <is>
          <t>Instalaciones</t>
        </is>
      </c>
      <c r="J742" s="7" t="inlineStr">
        <is>
          <t>estandar</t>
        </is>
      </c>
      <c r="K742" s="7" t="inlineStr">
        <is>
          <t>importado</t>
        </is>
      </c>
      <c r="L742" s="7" t="inlineStr">
        <is>
          <t>Verificado</t>
        </is>
      </c>
      <c r="M742" s="8" t="n">
        <v>1</v>
      </c>
      <c r="N742" s="9" t="n">
        <v>11668.57</v>
      </c>
      <c r="O742" s="9" t="n">
        <v>11668.57</v>
      </c>
      <c r="P742" s="9" t="n">
        <v>11668.57</v>
      </c>
      <c r="Q742" s="7" t="inlineStr">
        <is>
          <t>Sí</t>
        </is>
      </c>
      <c r="R742" s="9">
        <f>IF(N742="","",IF(Q742="Sí",ROUND(N742/1.18,2),N742))</f>
        <v/>
      </c>
      <c r="S742" s="7" t="inlineStr">
        <is>
          <t>2026-09-09</t>
        </is>
      </c>
      <c r="T742" s="5" t="inlineStr">
        <is>
          <t>1 cotización de proveedores</t>
        </is>
      </c>
      <c r="AJ742" s="5" t="inlineStr">
        <is>
          <t>Zonas: 8</t>
        </is>
      </c>
    </row>
    <row r="743">
      <c r="A743" s="7" t="inlineStr">
        <is>
          <t>MAT-28-008</t>
        </is>
      </c>
      <c r="B743" s="7" t="inlineStr">
        <is>
          <t>Materiales</t>
        </is>
      </c>
      <c r="C743" s="7" t="inlineStr">
        <is>
          <t>Alarmas y control de accesos</t>
        </is>
      </c>
      <c r="D743" s="5" t="inlineStr">
        <is>
          <t>Teclado para alarma</t>
        </is>
      </c>
      <c r="E743" s="5" t="inlineStr"/>
      <c r="F743" s="5" t="inlineStr">
        <is>
          <t>Material retirado en almacén</t>
        </is>
      </c>
      <c r="G743" s="5" t="inlineStr">
        <is>
          <t>teclado de alarma</t>
        </is>
      </c>
      <c r="H743" s="7" t="inlineStr">
        <is>
          <t>unidad</t>
        </is>
      </c>
      <c r="I743" s="7" t="inlineStr">
        <is>
          <t>Instalaciones</t>
        </is>
      </c>
      <c r="J743" s="7" t="inlineStr">
        <is>
          <t>estandar</t>
        </is>
      </c>
      <c r="K743" s="7" t="inlineStr">
        <is>
          <t>importado</t>
        </is>
      </c>
      <c r="L743" s="7" t="inlineStr">
        <is>
          <t>Verificado</t>
        </is>
      </c>
      <c r="M743" s="8" t="n">
        <v>1</v>
      </c>
      <c r="N743" s="9" t="n">
        <v>6879.53</v>
      </c>
      <c r="O743" s="9" t="n">
        <v>3449.44</v>
      </c>
      <c r="P743" s="9" t="n">
        <v>13205.36</v>
      </c>
      <c r="Q743" s="7" t="inlineStr">
        <is>
          <t>Sí</t>
        </is>
      </c>
      <c r="R743" s="9">
        <f>IF(N743="","",IF(Q743="Sí",ROUND(N743/1.18,2),N743))</f>
        <v/>
      </c>
      <c r="S743" s="7" t="inlineStr">
        <is>
          <t>2026-09-09</t>
        </is>
      </c>
      <c r="T743" s="5" t="inlineStr">
        <is>
          <t>10 cotizaciones de proveedores</t>
        </is>
      </c>
    </row>
    <row r="744">
      <c r="A744" s="7" t="inlineStr">
        <is>
          <t>MAT-28-009</t>
        </is>
      </c>
      <c r="B744" s="7" t="inlineStr">
        <is>
          <t>Materiales</t>
        </is>
      </c>
      <c r="C744" s="7" t="inlineStr">
        <is>
          <t>Alarmas y control de accesos</t>
        </is>
      </c>
      <c r="D744" s="5" t="inlineStr">
        <is>
          <t>Detector de movimiento</t>
        </is>
      </c>
      <c r="E744" s="5" t="inlineStr"/>
      <c r="F744" s="5" t="inlineStr">
        <is>
          <t>Material retirado en almacén</t>
        </is>
      </c>
      <c r="G744" s="5" t="inlineStr">
        <is>
          <t>sensor PIR, detector de movimiento</t>
        </is>
      </c>
      <c r="H744" s="7" t="inlineStr">
        <is>
          <t>unidad</t>
        </is>
      </c>
      <c r="I744" s="7" t="inlineStr">
        <is>
          <t>Instalaciones</t>
        </is>
      </c>
      <c r="J744" s="7" t="inlineStr">
        <is>
          <t>estandar</t>
        </is>
      </c>
      <c r="K744" s="7" t="inlineStr">
        <is>
          <t>importado</t>
        </is>
      </c>
      <c r="L744" s="7" t="inlineStr">
        <is>
          <t>Verificado</t>
        </is>
      </c>
      <c r="M744" s="8" t="n">
        <v>1</v>
      </c>
      <c r="N744" s="9" t="n">
        <v>1486.93</v>
      </c>
      <c r="O744" s="9" t="n">
        <v>266.05</v>
      </c>
      <c r="P744" s="9" t="n">
        <v>11447.71</v>
      </c>
      <c r="Q744" s="7" t="inlineStr">
        <is>
          <t>Sí</t>
        </is>
      </c>
      <c r="R744" s="9">
        <f>IF(N744="","",IF(Q744="Sí",ROUND(N744/1.18,2),N744))</f>
        <v/>
      </c>
      <c r="S744" s="7" t="inlineStr">
        <is>
          <t>2026-09-09</t>
        </is>
      </c>
      <c r="T744" s="5" t="inlineStr">
        <is>
          <t>30 cotizaciones de proveedores</t>
        </is>
      </c>
      <c r="AJ744" s="5" t="inlineStr">
        <is>
          <t>Enlace: inalámbrico</t>
        </is>
      </c>
    </row>
    <row r="745">
      <c r="A745" s="7" t="inlineStr">
        <is>
          <t>MAT-28-010</t>
        </is>
      </c>
      <c r="B745" s="7" t="inlineStr">
        <is>
          <t>Materiales</t>
        </is>
      </c>
      <c r="C745" s="7" t="inlineStr">
        <is>
          <t>Alarmas y control de accesos</t>
        </is>
      </c>
      <c r="D745" s="5" t="inlineStr">
        <is>
          <t>Detector de movimiento alcance 10 m</t>
        </is>
      </c>
      <c r="E745" s="5" t="inlineStr"/>
      <c r="F745" s="5" t="inlineStr">
        <is>
          <t>Material retirado en almacén</t>
        </is>
      </c>
      <c r="G745" s="5" t="inlineStr">
        <is>
          <t>sensor PIR, detector de movimiento</t>
        </is>
      </c>
      <c r="H745" s="7" t="inlineStr">
        <is>
          <t>unidad</t>
        </is>
      </c>
      <c r="I745" s="7" t="inlineStr">
        <is>
          <t>Instalaciones</t>
        </is>
      </c>
      <c r="J745" s="7" t="inlineStr">
        <is>
          <t>estandar</t>
        </is>
      </c>
      <c r="K745" s="7" t="inlineStr">
        <is>
          <t>importado</t>
        </is>
      </c>
      <c r="L745" s="7" t="inlineStr">
        <is>
          <t>Verificado</t>
        </is>
      </c>
      <c r="M745" s="8" t="n">
        <v>1</v>
      </c>
      <c r="N745" s="9" t="n">
        <v>7135.36</v>
      </c>
      <c r="O745" s="9" t="n">
        <v>7135.36</v>
      </c>
      <c r="P745" s="9" t="n">
        <v>7135.36</v>
      </c>
      <c r="Q745" s="7" t="inlineStr">
        <is>
          <t>Sí</t>
        </is>
      </c>
      <c r="R745" s="9">
        <f>IF(N745="","",IF(Q745="Sí",ROUND(N745/1.18,2),N745))</f>
        <v/>
      </c>
      <c r="S745" s="7" t="inlineStr">
        <is>
          <t>2026-09-09</t>
        </is>
      </c>
      <c r="T745" s="5" t="inlineStr">
        <is>
          <t>1 cotización de proveedores</t>
        </is>
      </c>
      <c r="AJ745" s="5" t="inlineStr">
        <is>
          <t>Alcance (m): 10 · Enlace: inalámbrico</t>
        </is>
      </c>
    </row>
    <row r="746">
      <c r="A746" s="7" t="inlineStr">
        <is>
          <t>MAT-28-011</t>
        </is>
      </c>
      <c r="B746" s="7" t="inlineStr">
        <is>
          <t>Materiales</t>
        </is>
      </c>
      <c r="C746" s="7" t="inlineStr">
        <is>
          <t>Alarmas y control de accesos</t>
        </is>
      </c>
      <c r="D746" s="5" t="inlineStr">
        <is>
          <t>Detector de movimiento alcance 11 m</t>
        </is>
      </c>
      <c r="E746" s="5" t="inlineStr"/>
      <c r="F746" s="5" t="inlineStr">
        <is>
          <t>Material retirado en almacén</t>
        </is>
      </c>
      <c r="G746" s="5" t="inlineStr">
        <is>
          <t>sensor PIR, detector de movimiento</t>
        </is>
      </c>
      <c r="H746" s="7" t="inlineStr">
        <is>
          <t>unidad</t>
        </is>
      </c>
      <c r="I746" s="7" t="inlineStr">
        <is>
          <t>Instalaciones</t>
        </is>
      </c>
      <c r="J746" s="7" t="inlineStr">
        <is>
          <t>estandar</t>
        </is>
      </c>
      <c r="K746" s="7" t="inlineStr">
        <is>
          <t>importado</t>
        </is>
      </c>
      <c r="L746" s="7" t="inlineStr">
        <is>
          <t>Verificado</t>
        </is>
      </c>
      <c r="M746" s="8" t="n">
        <v>1</v>
      </c>
      <c r="N746" s="9" t="n">
        <v>5567.22</v>
      </c>
      <c r="O746" s="9" t="n">
        <v>5567.22</v>
      </c>
      <c r="P746" s="9" t="n">
        <v>5567.22</v>
      </c>
      <c r="Q746" s="7" t="inlineStr">
        <is>
          <t>Sí</t>
        </is>
      </c>
      <c r="R746" s="9">
        <f>IF(N746="","",IF(Q746="Sí",ROUND(N746/1.18,2),N746))</f>
        <v/>
      </c>
      <c r="S746" s="7" t="inlineStr">
        <is>
          <t>2026-09-09</t>
        </is>
      </c>
      <c r="T746" s="5" t="inlineStr">
        <is>
          <t>1 cotización de proveedores</t>
        </is>
      </c>
      <c r="AJ746" s="5" t="inlineStr">
        <is>
          <t>Alcance (m): 11 · Enlace: inalámbrico</t>
        </is>
      </c>
    </row>
    <row r="747">
      <c r="A747" s="7" t="inlineStr">
        <is>
          <t>MAT-28-012</t>
        </is>
      </c>
      <c r="B747" s="7" t="inlineStr">
        <is>
          <t>Materiales</t>
        </is>
      </c>
      <c r="C747" s="7" t="inlineStr">
        <is>
          <t>Alarmas y control de accesos</t>
        </is>
      </c>
      <c r="D747" s="5" t="inlineStr">
        <is>
          <t>Detector de movimiento alcance 12 m</t>
        </is>
      </c>
      <c r="E747" s="5" t="inlineStr"/>
      <c r="F747" s="5" t="inlineStr">
        <is>
          <t>Material retirado en almacén</t>
        </is>
      </c>
      <c r="G747" s="5" t="inlineStr">
        <is>
          <t>sensor PIR, detector de movimiento</t>
        </is>
      </c>
      <c r="H747" s="7" t="inlineStr">
        <is>
          <t>unidad</t>
        </is>
      </c>
      <c r="I747" s="7" t="inlineStr">
        <is>
          <t>Instalaciones</t>
        </is>
      </c>
      <c r="J747" s="7" t="inlineStr">
        <is>
          <t>estandar</t>
        </is>
      </c>
      <c r="K747" s="7" t="inlineStr">
        <is>
          <t>importado</t>
        </is>
      </c>
      <c r="L747" s="7" t="inlineStr">
        <is>
          <t>Verificado</t>
        </is>
      </c>
      <c r="M747" s="8" t="n">
        <v>1</v>
      </c>
      <c r="N747" s="9" t="n">
        <v>2831.47</v>
      </c>
      <c r="O747" s="9" t="n">
        <v>820.3</v>
      </c>
      <c r="P747" s="9" t="n">
        <v>5338.48</v>
      </c>
      <c r="Q747" s="7" t="inlineStr">
        <is>
          <t>Sí</t>
        </is>
      </c>
      <c r="R747" s="9">
        <f>IF(N747="","",IF(Q747="Sí",ROUND(N747/1.18,2),N747))</f>
        <v/>
      </c>
      <c r="S747" s="7" t="inlineStr">
        <is>
          <t>2026-09-09</t>
        </is>
      </c>
      <c r="T747" s="5" t="inlineStr">
        <is>
          <t>4 cotizaciones de proveedores</t>
        </is>
      </c>
      <c r="AJ747" s="5" t="inlineStr">
        <is>
          <t>Alcance (m): 12 · Enlace: inalámbrico</t>
        </is>
      </c>
    </row>
    <row r="748">
      <c r="A748" s="7" t="inlineStr">
        <is>
          <t>MAT-28-013</t>
        </is>
      </c>
      <c r="B748" s="7" t="inlineStr">
        <is>
          <t>Materiales</t>
        </is>
      </c>
      <c r="C748" s="7" t="inlineStr">
        <is>
          <t>Alarmas y control de accesos</t>
        </is>
      </c>
      <c r="D748" s="5" t="inlineStr">
        <is>
          <t>Detector de movimiento alcance 15 m</t>
        </is>
      </c>
      <c r="E748" s="5" t="inlineStr"/>
      <c r="F748" s="5" t="inlineStr">
        <is>
          <t>Material retirado en almacén</t>
        </is>
      </c>
      <c r="G748" s="5" t="inlineStr">
        <is>
          <t>sensor PIR, detector de movimiento</t>
        </is>
      </c>
      <c r="H748" s="7" t="inlineStr">
        <is>
          <t>unidad</t>
        </is>
      </c>
      <c r="I748" s="7" t="inlineStr">
        <is>
          <t>Instalaciones</t>
        </is>
      </c>
      <c r="J748" s="7" t="inlineStr">
        <is>
          <t>estandar</t>
        </is>
      </c>
      <c r="K748" s="7" t="inlineStr">
        <is>
          <t>importado</t>
        </is>
      </c>
      <c r="L748" s="7" t="inlineStr">
        <is>
          <t>Verificado</t>
        </is>
      </c>
      <c r="M748" s="8" t="n">
        <v>1</v>
      </c>
      <c r="N748" s="9" t="n">
        <v>2675.69</v>
      </c>
      <c r="O748" s="9" t="n">
        <v>2675.69</v>
      </c>
      <c r="P748" s="9" t="n">
        <v>2675.69</v>
      </c>
      <c r="Q748" s="7" t="inlineStr">
        <is>
          <t>Sí</t>
        </is>
      </c>
      <c r="R748" s="9">
        <f>IF(N748="","",IF(Q748="Sí",ROUND(N748/1.18,2),N748))</f>
        <v/>
      </c>
      <c r="S748" s="7" t="inlineStr">
        <is>
          <t>2026-09-09</t>
        </is>
      </c>
      <c r="T748" s="5" t="inlineStr">
        <is>
          <t>1 cotización de proveedores</t>
        </is>
      </c>
      <c r="AJ748" s="5" t="inlineStr">
        <is>
          <t>Alcance (m): 15 · Enlace: inalámbrico</t>
        </is>
      </c>
    </row>
    <row r="749">
      <c r="A749" s="7" t="inlineStr">
        <is>
          <t>MAT-28-014</t>
        </is>
      </c>
      <c r="B749" s="7" t="inlineStr">
        <is>
          <t>Materiales</t>
        </is>
      </c>
      <c r="C749" s="7" t="inlineStr">
        <is>
          <t>Alarmas y control de accesos</t>
        </is>
      </c>
      <c r="D749" s="5" t="inlineStr">
        <is>
          <t>Detector de movimiento alcance 16 m</t>
        </is>
      </c>
      <c r="E749" s="5" t="inlineStr"/>
      <c r="F749" s="5" t="inlineStr">
        <is>
          <t>Material retirado en almacén</t>
        </is>
      </c>
      <c r="G749" s="5" t="inlineStr">
        <is>
          <t>sensor PIR, detector de movimiento</t>
        </is>
      </c>
      <c r="H749" s="7" t="inlineStr">
        <is>
          <t>unidad</t>
        </is>
      </c>
      <c r="I749" s="7" t="inlineStr">
        <is>
          <t>Instalaciones</t>
        </is>
      </c>
      <c r="J749" s="7" t="inlineStr">
        <is>
          <t>estandar</t>
        </is>
      </c>
      <c r="K749" s="7" t="inlineStr">
        <is>
          <t>importado</t>
        </is>
      </c>
      <c r="L749" s="7" t="inlineStr">
        <is>
          <t>Verificado</t>
        </is>
      </c>
      <c r="M749" s="8" t="n">
        <v>1</v>
      </c>
      <c r="N749" s="9" t="n">
        <v>2944.96</v>
      </c>
      <c r="O749" s="9" t="n">
        <v>2944.96</v>
      </c>
      <c r="P749" s="9" t="n">
        <v>2944.96</v>
      </c>
      <c r="Q749" s="7" t="inlineStr">
        <is>
          <t>Sí</t>
        </is>
      </c>
      <c r="R749" s="9">
        <f>IF(N749="","",IF(Q749="Sí",ROUND(N749/1.18,2),N749))</f>
        <v/>
      </c>
      <c r="S749" s="7" t="inlineStr">
        <is>
          <t>2026-09-09</t>
        </is>
      </c>
      <c r="T749" s="5" t="inlineStr">
        <is>
          <t>1 cotización de proveedores</t>
        </is>
      </c>
      <c r="AJ749" s="5" t="inlineStr">
        <is>
          <t>Alcance (m): 16</t>
        </is>
      </c>
    </row>
    <row r="750">
      <c r="A750" s="7" t="inlineStr">
        <is>
          <t>MAT-28-015</t>
        </is>
      </c>
      <c r="B750" s="7" t="inlineStr">
        <is>
          <t>Materiales</t>
        </is>
      </c>
      <c r="C750" s="7" t="inlineStr">
        <is>
          <t>Alarmas y control de accesos</t>
        </is>
      </c>
      <c r="D750" s="5" t="inlineStr">
        <is>
          <t>Contacto magnético para puerta o ventana</t>
        </is>
      </c>
      <c r="E750" s="5" t="inlineStr"/>
      <c r="F750" s="5" t="inlineStr">
        <is>
          <t>Material retirado en almacén</t>
        </is>
      </c>
      <c r="G750" s="5" t="inlineStr">
        <is>
          <t>contacto magnético, sensor de apertura</t>
        </is>
      </c>
      <c r="H750" s="7" t="inlineStr">
        <is>
          <t>unidad</t>
        </is>
      </c>
      <c r="I750" s="7" t="inlineStr">
        <is>
          <t>Instalaciones</t>
        </is>
      </c>
      <c r="J750" s="7" t="inlineStr">
        <is>
          <t>estandar</t>
        </is>
      </c>
      <c r="K750" s="7" t="inlineStr">
        <is>
          <t>importado</t>
        </is>
      </c>
      <c r="L750" s="7" t="inlineStr">
        <is>
          <t>Verificado</t>
        </is>
      </c>
      <c r="M750" s="8" t="n">
        <v>1</v>
      </c>
      <c r="N750" s="9" t="n">
        <v>1673.26</v>
      </c>
      <c r="O750" s="9" t="n">
        <v>506.24</v>
      </c>
      <c r="P750" s="9" t="n">
        <v>1989.25</v>
      </c>
      <c r="Q750" s="7" t="inlineStr">
        <is>
          <t>Sí</t>
        </is>
      </c>
      <c r="R750" s="9">
        <f>IF(N750="","",IF(Q750="Sí",ROUND(N750/1.18,2),N750))</f>
        <v/>
      </c>
      <c r="S750" s="7" t="inlineStr">
        <is>
          <t>2026-09-09</t>
        </is>
      </c>
      <c r="T750" s="5" t="inlineStr">
        <is>
          <t>6 cotizaciones de proveedores</t>
        </is>
      </c>
    </row>
    <row r="751">
      <c r="A751" s="7" t="inlineStr">
        <is>
          <t>MAT-28-016</t>
        </is>
      </c>
      <c r="B751" s="7" t="inlineStr">
        <is>
          <t>Materiales</t>
        </is>
      </c>
      <c r="C751" s="7" t="inlineStr">
        <is>
          <t>Alarmas y control de accesos</t>
        </is>
      </c>
      <c r="D751" s="5" t="inlineStr">
        <is>
          <t>Sirena de alarma</t>
        </is>
      </c>
      <c r="E751" s="5" t="inlineStr"/>
      <c r="F751" s="5" t="inlineStr">
        <is>
          <t>Material retirado en almacén</t>
        </is>
      </c>
      <c r="G751" s="5" t="inlineStr">
        <is>
          <t>sirena, bocina de alarma</t>
        </is>
      </c>
      <c r="H751" s="7" t="inlineStr">
        <is>
          <t>unidad</t>
        </is>
      </c>
      <c r="I751" s="7" t="inlineStr">
        <is>
          <t>Instalaciones</t>
        </is>
      </c>
      <c r="J751" s="7" t="inlineStr">
        <is>
          <t>estandar</t>
        </is>
      </c>
      <c r="K751" s="7" t="inlineStr">
        <is>
          <t>importado</t>
        </is>
      </c>
      <c r="L751" s="7" t="inlineStr">
        <is>
          <t>Verificado</t>
        </is>
      </c>
      <c r="M751" s="8" t="n">
        <v>1</v>
      </c>
      <c r="N751" s="9" t="n">
        <v>12406.5</v>
      </c>
      <c r="O751" s="9" t="n">
        <v>713.99</v>
      </c>
      <c r="P751" s="9" t="n">
        <v>49478.37</v>
      </c>
      <c r="Q751" s="7" t="inlineStr">
        <is>
          <t>Sí</t>
        </is>
      </c>
      <c r="R751" s="9">
        <f>IF(N751="","",IF(Q751="Sí",ROUND(N751/1.18,2),N751))</f>
        <v/>
      </c>
      <c r="S751" s="7" t="inlineStr">
        <is>
          <t>2026-09-09</t>
        </is>
      </c>
      <c r="T751" s="5" t="inlineStr">
        <is>
          <t>6 cotizaciones de proveedores</t>
        </is>
      </c>
      <c r="AJ751" s="5" t="inlineStr">
        <is>
          <t>Potencia (dB): 102</t>
        </is>
      </c>
    </row>
    <row r="752">
      <c r="A752" s="7" t="inlineStr">
        <is>
          <t>MAT-28-017</t>
        </is>
      </c>
      <c r="B752" s="7" t="inlineStr">
        <is>
          <t>Materiales</t>
        </is>
      </c>
      <c r="C752" s="7" t="inlineStr">
        <is>
          <t>Alarmas y control de accesos</t>
        </is>
      </c>
      <c r="D752" s="5" t="inlineStr">
        <is>
          <t>Sirena de alarma de exterior</t>
        </is>
      </c>
      <c r="E752" s="5" t="inlineStr"/>
      <c r="F752" s="5" t="inlineStr">
        <is>
          <t>Material retirado en almacén</t>
        </is>
      </c>
      <c r="G752" s="5" t="inlineStr">
        <is>
          <t>sirena, bocina de alarma</t>
        </is>
      </c>
      <c r="H752" s="7" t="inlineStr">
        <is>
          <t>unidad</t>
        </is>
      </c>
      <c r="I752" s="7" t="inlineStr">
        <is>
          <t>Instalaciones</t>
        </is>
      </c>
      <c r="J752" s="7" t="inlineStr">
        <is>
          <t>estandar</t>
        </is>
      </c>
      <c r="K752" s="7" t="inlineStr">
        <is>
          <t>importado</t>
        </is>
      </c>
      <c r="L752" s="7" t="inlineStr">
        <is>
          <t>Verificado</t>
        </is>
      </c>
      <c r="M752" s="8" t="n">
        <v>1</v>
      </c>
      <c r="N752" s="9" t="n">
        <v>5053.69</v>
      </c>
      <c r="O752" s="9" t="n">
        <v>5053.69</v>
      </c>
      <c r="P752" s="9" t="n">
        <v>5053.69</v>
      </c>
      <c r="Q752" s="7" t="inlineStr">
        <is>
          <t>Sí</t>
        </is>
      </c>
      <c r="R752" s="9">
        <f>IF(N752="","",IF(Q752="Sí",ROUND(N752/1.18,2),N752))</f>
        <v/>
      </c>
      <c r="S752" s="7" t="inlineStr">
        <is>
          <t>2026-09-09</t>
        </is>
      </c>
      <c r="T752" s="5" t="inlineStr">
        <is>
          <t>1 cotización de proveedores</t>
        </is>
      </c>
      <c r="AJ752" s="5" t="inlineStr">
        <is>
          <t>Ubicación: exterior · Potencia (dB): 104</t>
        </is>
      </c>
    </row>
    <row r="753">
      <c r="A753" s="7" t="inlineStr">
        <is>
          <t>MAT-28-018</t>
        </is>
      </c>
      <c r="B753" s="7" t="inlineStr">
        <is>
          <t>Materiales</t>
        </is>
      </c>
      <c r="C753" s="7" t="inlineStr">
        <is>
          <t>Alarmas y control de accesos</t>
        </is>
      </c>
      <c r="D753" s="5" t="inlineStr">
        <is>
          <t>Sirena de alarma de interior</t>
        </is>
      </c>
      <c r="E753" s="5" t="inlineStr"/>
      <c r="F753" s="5" t="inlineStr">
        <is>
          <t>Material retirado en almacén</t>
        </is>
      </c>
      <c r="G753" s="5" t="inlineStr">
        <is>
          <t>sirena, bocina de alarma</t>
        </is>
      </c>
      <c r="H753" s="7" t="inlineStr">
        <is>
          <t>unidad</t>
        </is>
      </c>
      <c r="I753" s="7" t="inlineStr">
        <is>
          <t>Instalaciones</t>
        </is>
      </c>
      <c r="J753" s="7" t="inlineStr">
        <is>
          <t>estandar</t>
        </is>
      </c>
      <c r="K753" s="7" t="inlineStr">
        <is>
          <t>importado</t>
        </is>
      </c>
      <c r="L753" s="7" t="inlineStr">
        <is>
          <t>Verificado</t>
        </is>
      </c>
      <c r="M753" s="8" t="n">
        <v>1</v>
      </c>
      <c r="N753" s="9" t="n">
        <v>3381.4</v>
      </c>
      <c r="O753" s="9" t="n">
        <v>3381.4</v>
      </c>
      <c r="P753" s="9" t="n">
        <v>3381.4</v>
      </c>
      <c r="Q753" s="7" t="inlineStr">
        <is>
          <t>Sí</t>
        </is>
      </c>
      <c r="R753" s="9">
        <f>IF(N753="","",IF(Q753="Sí",ROUND(N753/1.18,2),N753))</f>
        <v/>
      </c>
      <c r="S753" s="7" t="inlineStr">
        <is>
          <t>2026-09-09</t>
        </is>
      </c>
      <c r="T753" s="5" t="inlineStr">
        <is>
          <t>1 cotización de proveedores</t>
        </is>
      </c>
      <c r="AJ753" s="5" t="inlineStr">
        <is>
          <t>Ubicación: interior · Potencia (dB): 95</t>
        </is>
      </c>
    </row>
    <row r="754">
      <c r="A754" s="7" t="inlineStr">
        <is>
          <t>MAT-28-019</t>
        </is>
      </c>
      <c r="B754" s="7" t="inlineStr">
        <is>
          <t>Materiales</t>
        </is>
      </c>
      <c r="C754" s="7" t="inlineStr">
        <is>
          <t>Alarmas y control de accesos</t>
        </is>
      </c>
      <c r="D754" s="5" t="inlineStr">
        <is>
          <t>Control de acceso</t>
        </is>
      </c>
      <c r="E754" s="5" t="inlineStr"/>
      <c r="F754" s="5" t="inlineStr">
        <is>
          <t>Material retirado en almacén</t>
        </is>
      </c>
      <c r="G754" s="5" t="inlineStr">
        <is>
          <t>control de acceso, lector</t>
        </is>
      </c>
      <c r="H754" s="7" t="inlineStr">
        <is>
          <t>unidad</t>
        </is>
      </c>
      <c r="I754" s="7" t="inlineStr">
        <is>
          <t>Instalaciones</t>
        </is>
      </c>
      <c r="J754" s="7" t="inlineStr">
        <is>
          <t>estandar</t>
        </is>
      </c>
      <c r="K754" s="7" t="inlineStr">
        <is>
          <t>importado</t>
        </is>
      </c>
      <c r="L754" s="7" t="inlineStr">
        <is>
          <t>Verificado</t>
        </is>
      </c>
      <c r="M754" s="8" t="n">
        <v>1</v>
      </c>
      <c r="N754" s="9" t="n">
        <v>14529.44</v>
      </c>
      <c r="O754" s="9" t="n">
        <v>5063.11</v>
      </c>
      <c r="P754" s="9" t="n">
        <v>51002.38</v>
      </c>
      <c r="Q754" s="7" t="inlineStr">
        <is>
          <t>Sí</t>
        </is>
      </c>
      <c r="R754" s="9">
        <f>IF(N754="","",IF(Q754="Sí",ROUND(N754/1.18,2),N754))</f>
        <v/>
      </c>
      <c r="S754" s="7" t="inlineStr">
        <is>
          <t>2026-09-09</t>
        </is>
      </c>
      <c r="T754" s="5" t="inlineStr">
        <is>
          <t>12 cotizaciones de proveedores</t>
        </is>
      </c>
    </row>
    <row r="755">
      <c r="A755" s="7" t="inlineStr">
        <is>
          <t>MAT-28-020</t>
        </is>
      </c>
      <c r="B755" s="7" t="inlineStr">
        <is>
          <t>Materiales</t>
        </is>
      </c>
      <c r="C755" s="7" t="inlineStr">
        <is>
          <t>Alarmas y control de accesos</t>
        </is>
      </c>
      <c r="D755" s="5" t="inlineStr">
        <is>
          <t>Control de acceso huella</t>
        </is>
      </c>
      <c r="E755" s="5" t="inlineStr"/>
      <c r="F755" s="5" t="inlineStr">
        <is>
          <t>Material retirado en almacén</t>
        </is>
      </c>
      <c r="G755" s="5" t="inlineStr">
        <is>
          <t>control de acceso, lector</t>
        </is>
      </c>
      <c r="H755" s="7" t="inlineStr">
        <is>
          <t>unidad</t>
        </is>
      </c>
      <c r="I755" s="7" t="inlineStr">
        <is>
          <t>Instalaciones</t>
        </is>
      </c>
      <c r="J755" s="7" t="inlineStr">
        <is>
          <t>estandar</t>
        </is>
      </c>
      <c r="K755" s="7" t="inlineStr">
        <is>
          <t>importado</t>
        </is>
      </c>
      <c r="L755" s="7" t="inlineStr">
        <is>
          <t>Verificado</t>
        </is>
      </c>
      <c r="M755" s="8" t="n">
        <v>1</v>
      </c>
      <c r="N755" s="9" t="n">
        <v>16289.94</v>
      </c>
      <c r="O755" s="9" t="n">
        <v>10930.42</v>
      </c>
      <c r="P755" s="9" t="n">
        <v>48902.72</v>
      </c>
      <c r="Q755" s="7" t="inlineStr">
        <is>
          <t>Sí</t>
        </is>
      </c>
      <c r="R755" s="9">
        <f>IF(N755="","",IF(Q755="Sí",ROUND(N755/1.18,2),N755))</f>
        <v/>
      </c>
      <c r="S755" s="7" t="inlineStr">
        <is>
          <t>2026-09-09</t>
        </is>
      </c>
      <c r="T755" s="5" t="inlineStr">
        <is>
          <t>3 cotizaciones de proveedores</t>
        </is>
      </c>
      <c r="AC755" s="4" t="inlineStr">
        <is>
          <t>huella</t>
        </is>
      </c>
    </row>
    <row r="756">
      <c r="A756" s="7" t="inlineStr">
        <is>
          <t>MAT-28-021</t>
        </is>
      </c>
      <c r="B756" s="7" t="inlineStr">
        <is>
          <t>Materiales</t>
        </is>
      </c>
      <c r="C756" s="7" t="inlineStr">
        <is>
          <t>Alarmas y control de accesos</t>
        </is>
      </c>
      <c r="D756" s="5" t="inlineStr">
        <is>
          <t>Control de acceso proximidad</t>
        </is>
      </c>
      <c r="E756" s="5" t="inlineStr"/>
      <c r="F756" s="5" t="inlineStr">
        <is>
          <t>Material retirado en almacén</t>
        </is>
      </c>
      <c r="G756" s="5" t="inlineStr">
        <is>
          <t>control de acceso, lector</t>
        </is>
      </c>
      <c r="H756" s="7" t="inlineStr">
        <is>
          <t>unidad</t>
        </is>
      </c>
      <c r="I756" s="7" t="inlineStr">
        <is>
          <t>Instalaciones</t>
        </is>
      </c>
      <c r="J756" s="7" t="inlineStr">
        <is>
          <t>estandar</t>
        </is>
      </c>
      <c r="K756" s="7" t="inlineStr">
        <is>
          <t>importado</t>
        </is>
      </c>
      <c r="L756" s="7" t="inlineStr">
        <is>
          <t>Verificado</t>
        </is>
      </c>
      <c r="M756" s="8" t="n">
        <v>1</v>
      </c>
      <c r="N756" s="9" t="n">
        <v>9465.780000000001</v>
      </c>
      <c r="O756" s="9" t="n">
        <v>8365.110000000001</v>
      </c>
      <c r="P756" s="9" t="n">
        <v>10566.44</v>
      </c>
      <c r="Q756" s="7" t="inlineStr">
        <is>
          <t>Sí</t>
        </is>
      </c>
      <c r="R756" s="9">
        <f>IF(N756="","",IF(Q756="Sí",ROUND(N756/1.18,2),N756))</f>
        <v/>
      </c>
      <c r="S756" s="7" t="inlineStr">
        <is>
          <t>2026-09-09</t>
        </is>
      </c>
      <c r="T756" s="5" t="inlineStr">
        <is>
          <t>2 cotizaciones de proveedores</t>
        </is>
      </c>
      <c r="AC756" s="4" t="inlineStr">
        <is>
          <t>proximidad</t>
        </is>
      </c>
    </row>
    <row r="757">
      <c r="A757" s="7" t="inlineStr">
        <is>
          <t>MAT-28-022</t>
        </is>
      </c>
      <c r="B757" s="7" t="inlineStr">
        <is>
          <t>Materiales</t>
        </is>
      </c>
      <c r="C757" s="7" t="inlineStr">
        <is>
          <t>Alarmas y control de accesos</t>
        </is>
      </c>
      <c r="D757" s="5" t="inlineStr">
        <is>
          <t>Control de acceso teclado</t>
        </is>
      </c>
      <c r="E757" s="5" t="inlineStr"/>
      <c r="F757" s="5" t="inlineStr">
        <is>
          <t>Material retirado en almacén</t>
        </is>
      </c>
      <c r="G757" s="5" t="inlineStr">
        <is>
          <t>control de acceso, lector</t>
        </is>
      </c>
      <c r="H757" s="7" t="inlineStr">
        <is>
          <t>unidad</t>
        </is>
      </c>
      <c r="I757" s="7" t="inlineStr">
        <is>
          <t>Instalaciones</t>
        </is>
      </c>
      <c r="J757" s="7" t="inlineStr">
        <is>
          <t>estandar</t>
        </is>
      </c>
      <c r="K757" s="7" t="inlineStr">
        <is>
          <t>importado</t>
        </is>
      </c>
      <c r="L757" s="7" t="inlineStr">
        <is>
          <t>Verificado</t>
        </is>
      </c>
      <c r="M757" s="8" t="n">
        <v>1</v>
      </c>
      <c r="N757" s="9" t="n">
        <v>12767.79</v>
      </c>
      <c r="O757" s="9" t="n">
        <v>12767.79</v>
      </c>
      <c r="P757" s="9" t="n">
        <v>12767.79</v>
      </c>
      <c r="Q757" s="7" t="inlineStr">
        <is>
          <t>Sí</t>
        </is>
      </c>
      <c r="R757" s="9">
        <f>IF(N757="","",IF(Q757="Sí",ROUND(N757/1.18,2),N757))</f>
        <v/>
      </c>
      <c r="S757" s="7" t="inlineStr">
        <is>
          <t>2026-09-09</t>
        </is>
      </c>
      <c r="T757" s="5" t="inlineStr">
        <is>
          <t>1 cotización de proveedores</t>
        </is>
      </c>
      <c r="AC757" s="4" t="inlineStr">
        <is>
          <t>teclado</t>
        </is>
      </c>
    </row>
    <row r="758">
      <c r="A758" s="7" t="inlineStr">
        <is>
          <t>MAT-28-023</t>
        </is>
      </c>
      <c r="B758" s="7" t="inlineStr">
        <is>
          <t>Materiales</t>
        </is>
      </c>
      <c r="C758" s="7" t="inlineStr">
        <is>
          <t>Alarmas y control de accesos</t>
        </is>
      </c>
      <c r="D758" s="5" t="inlineStr">
        <is>
          <t>Equipo de cerco eléctrico</t>
        </is>
      </c>
      <c r="E758" s="5" t="inlineStr"/>
      <c r="F758" s="5" t="inlineStr">
        <is>
          <t>Material retirado en almacén</t>
        </is>
      </c>
      <c r="G758" s="5" t="inlineStr">
        <is>
          <t>electrificador, cerco eléctrico</t>
        </is>
      </c>
      <c r="H758" s="7" t="inlineStr">
        <is>
          <t>unidad</t>
        </is>
      </c>
      <c r="I758" s="7" t="inlineStr">
        <is>
          <t>Exteriores</t>
        </is>
      </c>
      <c r="J758" s="7" t="inlineStr">
        <is>
          <t>estandar</t>
        </is>
      </c>
      <c r="K758" s="7" t="inlineStr">
        <is>
          <t>importado</t>
        </is>
      </c>
      <c r="L758" s="7" t="inlineStr">
        <is>
          <t>Verificado</t>
        </is>
      </c>
      <c r="M758" s="8" t="n">
        <v>1</v>
      </c>
      <c r="N758" s="9" t="n">
        <v>1207.19</v>
      </c>
      <c r="O758" s="9" t="n">
        <v>10.19</v>
      </c>
      <c r="P758" s="9" t="n">
        <v>11952.92</v>
      </c>
      <c r="Q758" s="7" t="inlineStr">
        <is>
          <t>Sí</t>
        </is>
      </c>
      <c r="R758" s="9">
        <f>IF(N758="","",IF(Q758="Sí",ROUND(N758/1.18,2),N758))</f>
        <v/>
      </c>
      <c r="S758" s="7" t="inlineStr">
        <is>
          <t>2026-09-09</t>
        </is>
      </c>
      <c r="T758" s="5" t="inlineStr">
        <is>
          <t>8 cotizaciones de proveedores</t>
        </is>
      </c>
    </row>
    <row r="759">
      <c r="A759" s="7" t="inlineStr">
        <is>
          <t>MAT-28-024</t>
        </is>
      </c>
      <c r="B759" s="7" t="inlineStr">
        <is>
          <t>Materiales</t>
        </is>
      </c>
      <c r="C759" s="7" t="inlineStr">
        <is>
          <t>Alarmas y control de accesos</t>
        </is>
      </c>
      <c r="D759" s="5" t="inlineStr">
        <is>
          <t>Accesorio de sistema de alarma</t>
        </is>
      </c>
      <c r="E759" s="5" t="inlineStr"/>
      <c r="F759" s="5" t="inlineStr">
        <is>
          <t>Material retirado en almacén</t>
        </is>
      </c>
      <c r="G759" s="5" t="inlineStr">
        <is>
          <t>módulo, tarjeta, control remoto de alarma</t>
        </is>
      </c>
      <c r="H759" s="7" t="inlineStr">
        <is>
          <t>unidad</t>
        </is>
      </c>
      <c r="I759" s="7" t="inlineStr">
        <is>
          <t>Instalaciones</t>
        </is>
      </c>
      <c r="J759" s="7" t="inlineStr">
        <is>
          <t>estandar</t>
        </is>
      </c>
      <c r="K759" s="7" t="inlineStr">
        <is>
          <t>importado</t>
        </is>
      </c>
      <c r="L759" s="7" t="inlineStr">
        <is>
          <t>Verificado</t>
        </is>
      </c>
      <c r="M759" s="8" t="n">
        <v>1</v>
      </c>
      <c r="N759" s="9" t="n">
        <v>1838.69</v>
      </c>
      <c r="O759" s="9" t="n">
        <v>146.83</v>
      </c>
      <c r="P759" s="9" t="n">
        <v>34654.38</v>
      </c>
      <c r="Q759" s="7" t="inlineStr">
        <is>
          <t>Sí</t>
        </is>
      </c>
      <c r="R759" s="9">
        <f>IF(N759="","",IF(Q759="Sí",ROUND(N759/1.18,2),N759))</f>
        <v/>
      </c>
      <c r="S759" s="7" t="inlineStr">
        <is>
          <t>2026-09-09</t>
        </is>
      </c>
      <c r="T759" s="5" t="inlineStr">
        <is>
          <t>74 cotizaciones de proveedores</t>
        </is>
      </c>
    </row>
    <row r="760">
      <c r="A760" s="7" t="inlineStr">
        <is>
          <t>MAT-29-003</t>
        </is>
      </c>
      <c r="B760" s="7" t="inlineStr">
        <is>
          <t>Materiales</t>
        </is>
      </c>
      <c r="C760" s="7" t="inlineStr">
        <is>
          <t>Detección de incendios</t>
        </is>
      </c>
      <c r="D760" s="5" t="inlineStr">
        <is>
          <t>Detector para sistema de incendio de calor</t>
        </is>
      </c>
      <c r="E760" s="5" t="inlineStr"/>
      <c r="F760" s="5" t="inlineStr">
        <is>
          <t>Material retirado en almacén</t>
        </is>
      </c>
      <c r="G760" s="5" t="inlineStr">
        <is>
          <t>detector de humo, detector de calor</t>
        </is>
      </c>
      <c r="H760" s="7" t="inlineStr">
        <is>
          <t>unidad</t>
        </is>
      </c>
      <c r="I760" s="7" t="inlineStr">
        <is>
          <t>Instalaciones</t>
        </is>
      </c>
      <c r="J760" s="7" t="inlineStr">
        <is>
          <t>estandar</t>
        </is>
      </c>
      <c r="K760" s="7" t="inlineStr">
        <is>
          <t>importado</t>
        </is>
      </c>
      <c r="L760" s="7" t="inlineStr">
        <is>
          <t>Verificado</t>
        </is>
      </c>
      <c r="M760" s="8" t="n">
        <v>1</v>
      </c>
      <c r="N760" s="9" t="n">
        <v>1780.89</v>
      </c>
      <c r="O760" s="9" t="n">
        <v>1508.54</v>
      </c>
      <c r="P760" s="9" t="n">
        <v>2053.24</v>
      </c>
      <c r="Q760" s="7" t="inlineStr">
        <is>
          <t>Sí</t>
        </is>
      </c>
      <c r="R760" s="9">
        <f>IF(N760="","",IF(Q760="Sí",ROUND(N760/1.18,2),N760))</f>
        <v/>
      </c>
      <c r="S760" s="7" t="inlineStr">
        <is>
          <t>2026-09-09</t>
        </is>
      </c>
      <c r="T760" s="5" t="inlineStr">
        <is>
          <t>2 cotizaciones de proveedores</t>
        </is>
      </c>
      <c r="AJ760" s="5" t="inlineStr">
        <is>
          <t>Detección: calor</t>
        </is>
      </c>
    </row>
    <row r="761">
      <c r="A761" s="7" t="inlineStr">
        <is>
          <t>MAT-29-004</t>
        </is>
      </c>
      <c r="B761" s="7" t="inlineStr">
        <is>
          <t>Materiales</t>
        </is>
      </c>
      <c r="C761" s="7" t="inlineStr">
        <is>
          <t>Detección de incendios</t>
        </is>
      </c>
      <c r="D761" s="5" t="inlineStr">
        <is>
          <t>Detector para sistema de incendio de humo</t>
        </is>
      </c>
      <c r="E761" s="5" t="inlineStr"/>
      <c r="F761" s="5" t="inlineStr">
        <is>
          <t>Material retirado en almacén</t>
        </is>
      </c>
      <c r="G761" s="5" t="inlineStr">
        <is>
          <t>detector de humo, detector de calor</t>
        </is>
      </c>
      <c r="H761" s="7" t="inlineStr">
        <is>
          <t>unidad</t>
        </is>
      </c>
      <c r="I761" s="7" t="inlineStr">
        <is>
          <t>Instalaciones</t>
        </is>
      </c>
      <c r="J761" s="7" t="inlineStr">
        <is>
          <t>estandar</t>
        </is>
      </c>
      <c r="K761" s="7" t="inlineStr">
        <is>
          <t>importado</t>
        </is>
      </c>
      <c r="L761" s="7" t="inlineStr">
        <is>
          <t>Verificado</t>
        </is>
      </c>
      <c r="M761" s="8" t="n">
        <v>1</v>
      </c>
      <c r="N761" s="9" t="n">
        <v>2135.37</v>
      </c>
      <c r="O761" s="9" t="n">
        <v>1934.03</v>
      </c>
      <c r="P761" s="9" t="n">
        <v>23981.94</v>
      </c>
      <c r="Q761" s="7" t="inlineStr">
        <is>
          <t>Sí</t>
        </is>
      </c>
      <c r="R761" s="9">
        <f>IF(N761="","",IF(Q761="Sí",ROUND(N761/1.18,2),N761))</f>
        <v/>
      </c>
      <c r="S761" s="7" t="inlineStr">
        <is>
          <t>2026-09-09</t>
        </is>
      </c>
      <c r="T761" s="5" t="inlineStr">
        <is>
          <t>5 cotizaciones de proveedores</t>
        </is>
      </c>
      <c r="AJ761" s="5" t="inlineStr">
        <is>
          <t>Detección: humo</t>
        </is>
      </c>
    </row>
    <row r="762">
      <c r="A762" s="7" t="inlineStr">
        <is>
          <t>MAT-29-005</t>
        </is>
      </c>
      <c r="B762" s="7" t="inlineStr">
        <is>
          <t>Materiales</t>
        </is>
      </c>
      <c r="C762" s="7" t="inlineStr">
        <is>
          <t>Detección de incendios</t>
        </is>
      </c>
      <c r="D762" s="5" t="inlineStr">
        <is>
          <t>Detector para sistema de incendio de humo y calor</t>
        </is>
      </c>
      <c r="E762" s="5" t="inlineStr"/>
      <c r="F762" s="5" t="inlineStr">
        <is>
          <t>Material retirado en almacén</t>
        </is>
      </c>
      <c r="G762" s="5" t="inlineStr">
        <is>
          <t>detector de humo, detector de calor</t>
        </is>
      </c>
      <c r="H762" s="7" t="inlineStr">
        <is>
          <t>unidad</t>
        </is>
      </c>
      <c r="I762" s="7" t="inlineStr">
        <is>
          <t>Instalaciones</t>
        </is>
      </c>
      <c r="J762" s="7" t="inlineStr">
        <is>
          <t>estandar</t>
        </is>
      </c>
      <c r="K762" s="7" t="inlineStr">
        <is>
          <t>importado</t>
        </is>
      </c>
      <c r="L762" s="7" t="inlineStr">
        <is>
          <t>Verificado</t>
        </is>
      </c>
      <c r="M762" s="8" t="n">
        <v>1</v>
      </c>
      <c r="N762" s="9" t="n">
        <v>1657.72</v>
      </c>
      <c r="O762" s="9" t="n">
        <v>1657.72</v>
      </c>
      <c r="P762" s="9" t="n">
        <v>1657.72</v>
      </c>
      <c r="Q762" s="7" t="inlineStr">
        <is>
          <t>Sí</t>
        </is>
      </c>
      <c r="R762" s="9">
        <f>IF(N762="","",IF(Q762="Sí",ROUND(N762/1.18,2),N762))</f>
        <v/>
      </c>
      <c r="S762" s="7" t="inlineStr">
        <is>
          <t>2026-09-09</t>
        </is>
      </c>
      <c r="T762" s="5" t="inlineStr">
        <is>
          <t>1 cotización de proveedores</t>
        </is>
      </c>
      <c r="AJ762" s="5" t="inlineStr">
        <is>
          <t>Detección: humo y calor</t>
        </is>
      </c>
    </row>
    <row r="763">
      <c r="A763" s="7" t="inlineStr">
        <is>
          <t>MAT-29-006</t>
        </is>
      </c>
      <c r="B763" s="7" t="inlineStr">
        <is>
          <t>Materiales</t>
        </is>
      </c>
      <c r="C763" s="7" t="inlineStr">
        <is>
          <t>Detección de incendios</t>
        </is>
      </c>
      <c r="D763" s="5" t="inlineStr">
        <is>
          <t>Estación manual de incendio</t>
        </is>
      </c>
      <c r="E763" s="5" t="inlineStr"/>
      <c r="F763" s="5" t="inlineStr">
        <is>
          <t>Material retirado en almacén</t>
        </is>
      </c>
      <c r="G763" s="5" t="inlineStr">
        <is>
          <t>estación manual, pulsador de incendio</t>
        </is>
      </c>
      <c r="H763" s="7" t="inlineStr">
        <is>
          <t>unidad</t>
        </is>
      </c>
      <c r="I763" s="7" t="inlineStr">
        <is>
          <t>Instalaciones</t>
        </is>
      </c>
      <c r="J763" s="7" t="inlineStr">
        <is>
          <t>estandar</t>
        </is>
      </c>
      <c r="K763" s="7" t="inlineStr">
        <is>
          <t>importado</t>
        </is>
      </c>
      <c r="L763" s="7" t="inlineStr">
        <is>
          <t>Verificado</t>
        </is>
      </c>
      <c r="M763" s="8" t="n">
        <v>1</v>
      </c>
      <c r="N763" s="9" t="n">
        <v>2358.36</v>
      </c>
      <c r="O763" s="9" t="n">
        <v>870.3</v>
      </c>
      <c r="P763" s="9" t="n">
        <v>4065.41</v>
      </c>
      <c r="Q763" s="7" t="inlineStr">
        <is>
          <t>Sí</t>
        </is>
      </c>
      <c r="R763" s="9">
        <f>IF(N763="","",IF(Q763="Sí",ROUND(N763/1.18,2),N763))</f>
        <v/>
      </c>
      <c r="S763" s="7" t="inlineStr">
        <is>
          <t>2026-09-09</t>
        </is>
      </c>
      <c r="T763" s="5" t="inlineStr">
        <is>
          <t>6 cotizaciones de proveedores</t>
        </is>
      </c>
    </row>
    <row r="764">
      <c r="A764" s="7" t="inlineStr">
        <is>
          <t>MAT-29-007</t>
        </is>
      </c>
      <c r="B764" s="7" t="inlineStr">
        <is>
          <t>Materiales</t>
        </is>
      </c>
      <c r="C764" s="7" t="inlineStr">
        <is>
          <t>Detección de incendios</t>
        </is>
      </c>
      <c r="D764" s="5" t="inlineStr">
        <is>
          <t>Sirena o estrobo de incendio</t>
        </is>
      </c>
      <c r="E764" s="5" t="inlineStr"/>
      <c r="F764" s="5" t="inlineStr">
        <is>
          <t>Material retirado en almacén</t>
        </is>
      </c>
      <c r="G764" s="5" t="inlineStr">
        <is>
          <t>sirena con estrobo, notificación</t>
        </is>
      </c>
      <c r="H764" s="7" t="inlineStr">
        <is>
          <t>unidad</t>
        </is>
      </c>
      <c r="I764" s="7" t="inlineStr">
        <is>
          <t>Instalaciones</t>
        </is>
      </c>
      <c r="J764" s="7" t="inlineStr">
        <is>
          <t>estandar</t>
        </is>
      </c>
      <c r="K764" s="7" t="inlineStr">
        <is>
          <t>importado</t>
        </is>
      </c>
      <c r="L764" s="7" t="inlineStr">
        <is>
          <t>Verificado</t>
        </is>
      </c>
      <c r="M764" s="8" t="n">
        <v>1</v>
      </c>
      <c r="N764" s="9" t="n">
        <v>3502.55</v>
      </c>
      <c r="O764" s="9" t="n">
        <v>3502.55</v>
      </c>
      <c r="P764" s="9" t="n">
        <v>3502.55</v>
      </c>
      <c r="Q764" s="7" t="inlineStr">
        <is>
          <t>Sí</t>
        </is>
      </c>
      <c r="R764" s="9">
        <f>IF(N764="","",IF(Q764="Sí",ROUND(N764/1.18,2),N764))</f>
        <v/>
      </c>
      <c r="S764" s="7" t="inlineStr">
        <is>
          <t>2026-09-09</t>
        </is>
      </c>
      <c r="T764" s="5" t="inlineStr">
        <is>
          <t>1 cotización de proveedores</t>
        </is>
      </c>
    </row>
    <row r="765">
      <c r="A765" s="7" t="inlineStr">
        <is>
          <t>MAT-29-008</t>
        </is>
      </c>
      <c r="B765" s="7" t="inlineStr">
        <is>
          <t>Materiales</t>
        </is>
      </c>
      <c r="C765" s="7" t="inlineStr">
        <is>
          <t>Detección de incendios</t>
        </is>
      </c>
      <c r="D765" s="5" t="inlineStr">
        <is>
          <t>Accesorio de sistema de incendio</t>
        </is>
      </c>
      <c r="E765" s="5" t="inlineStr"/>
      <c r="F765" s="5" t="inlineStr">
        <is>
          <t>Material retirado en almacén</t>
        </is>
      </c>
      <c r="G765" s="5" t="inlineStr">
        <is>
          <t>base, caja, módulo de incendio</t>
        </is>
      </c>
      <c r="H765" s="7" t="inlineStr">
        <is>
          <t>unidad</t>
        </is>
      </c>
      <c r="I765" s="7" t="inlineStr">
        <is>
          <t>Instalaciones</t>
        </is>
      </c>
      <c r="J765" s="7" t="inlineStr">
        <is>
          <t>estandar</t>
        </is>
      </c>
      <c r="K765" s="7" t="inlineStr">
        <is>
          <t>importado</t>
        </is>
      </c>
      <c r="L765" s="7" t="inlineStr">
        <is>
          <t>Verificado</t>
        </is>
      </c>
      <c r="M765" s="8" t="n">
        <v>1</v>
      </c>
      <c r="N765" s="9" t="n">
        <v>270.76</v>
      </c>
      <c r="O765" s="9" t="n">
        <v>232.07</v>
      </c>
      <c r="P765" s="9" t="n">
        <v>615.97</v>
      </c>
      <c r="Q765" s="7" t="inlineStr">
        <is>
          <t>Sí</t>
        </is>
      </c>
      <c r="R765" s="9">
        <f>IF(N765="","",IF(Q765="Sí",ROUND(N765/1.18,2),N765))</f>
        <v/>
      </c>
      <c r="S765" s="7" t="inlineStr">
        <is>
          <t>2026-09-09</t>
        </is>
      </c>
      <c r="T765" s="5" t="inlineStr">
        <is>
          <t>3 cotizaciones de proveedores</t>
        </is>
      </c>
    </row>
    <row r="766">
      <c r="A766" s="7" t="inlineStr">
        <is>
          <t>MAT-30-002</t>
        </is>
      </c>
      <c r="B766" s="7" t="inlineStr">
        <is>
          <t>Materiales</t>
        </is>
      </c>
      <c r="C766" s="7" t="inlineStr">
        <is>
          <t>Cableado estructurado y redes</t>
        </is>
      </c>
      <c r="D766" s="5" t="inlineStr">
        <is>
          <t>Cable de red</t>
        </is>
      </c>
      <c r="E766" s="5" t="inlineStr"/>
      <c r="F766" s="5" t="inlineStr">
        <is>
          <t>Material retirado en almacén</t>
        </is>
      </c>
      <c r="G766" s="5" t="inlineStr">
        <is>
          <t>cable UTP, cable de red</t>
        </is>
      </c>
      <c r="H766" s="7" t="inlineStr">
        <is>
          <t>rollo</t>
        </is>
      </c>
      <c r="I766" s="7" t="inlineStr">
        <is>
          <t>Instalaciones</t>
        </is>
      </c>
      <c r="J766" s="7" t="inlineStr">
        <is>
          <t>estandar</t>
        </is>
      </c>
      <c r="K766" s="7" t="inlineStr">
        <is>
          <t>importado</t>
        </is>
      </c>
      <c r="L766" s="7" t="inlineStr">
        <is>
          <t>Verificado</t>
        </is>
      </c>
      <c r="M766" s="8" t="n">
        <v>1</v>
      </c>
      <c r="N766" s="9" t="n">
        <v>437</v>
      </c>
      <c r="O766" s="9" t="n">
        <v>5.11</v>
      </c>
      <c r="P766" s="9" t="n">
        <v>21280</v>
      </c>
      <c r="Q766" s="7" t="inlineStr">
        <is>
          <t>Sí</t>
        </is>
      </c>
      <c r="R766" s="9">
        <f>IF(N766="","",IF(Q766="Sí",ROUND(N766/1.18,2),N766))</f>
        <v/>
      </c>
      <c r="S766" s="7" t="inlineStr">
        <is>
          <t>2026-09-09</t>
        </is>
      </c>
      <c r="T766" s="5" t="inlineStr">
        <is>
          <t>29 cotizaciones de proveedores</t>
        </is>
      </c>
    </row>
    <row r="767">
      <c r="A767" s="7" t="inlineStr">
        <is>
          <t>MAT-30-003</t>
        </is>
      </c>
      <c r="B767" s="7" t="inlineStr">
        <is>
          <t>Materiales</t>
        </is>
      </c>
      <c r="C767" s="7" t="inlineStr">
        <is>
          <t>Cableado estructurado y redes</t>
        </is>
      </c>
      <c r="D767" s="5" t="inlineStr">
        <is>
          <t>Cable de red blindado</t>
        </is>
      </c>
      <c r="E767" s="5" t="inlineStr"/>
      <c r="F767" s="5" t="inlineStr">
        <is>
          <t>Material retirado en almacén</t>
        </is>
      </c>
      <c r="G767" s="5" t="inlineStr">
        <is>
          <t>cable UTP, cable de red</t>
        </is>
      </c>
      <c r="H767" s="7" t="inlineStr">
        <is>
          <t>rollo</t>
        </is>
      </c>
      <c r="I767" s="7" t="inlineStr">
        <is>
          <t>Instalaciones</t>
        </is>
      </c>
      <c r="J767" s="7" t="inlineStr">
        <is>
          <t>estandar</t>
        </is>
      </c>
      <c r="K767" s="7" t="inlineStr">
        <is>
          <t>importado</t>
        </is>
      </c>
      <c r="L767" s="7" t="inlineStr">
        <is>
          <t>Verificado</t>
        </is>
      </c>
      <c r="M767" s="8" t="n">
        <v>1</v>
      </c>
      <c r="N767" s="9" t="n">
        <v>1675.6</v>
      </c>
      <c r="O767" s="9" t="n">
        <v>1675.6</v>
      </c>
      <c r="P767" s="9" t="n">
        <v>1675.6</v>
      </c>
      <c r="Q767" s="7" t="inlineStr">
        <is>
          <t>Sí</t>
        </is>
      </c>
      <c r="R767" s="9">
        <f>IF(N767="","",IF(Q767="Sí",ROUND(N767/1.18,2),N767))</f>
        <v/>
      </c>
      <c r="S767" s="7" t="inlineStr">
        <is>
          <t>2026-09-09</t>
        </is>
      </c>
      <c r="T767" s="5" t="inlineStr">
        <is>
          <t>1 cotización de proveedores</t>
        </is>
      </c>
      <c r="AJ767" s="5" t="inlineStr">
        <is>
          <t>Blindaje: blindado</t>
        </is>
      </c>
    </row>
    <row r="768">
      <c r="A768" s="7" t="inlineStr">
        <is>
          <t>MAT-30-004</t>
        </is>
      </c>
      <c r="B768" s="7" t="inlineStr">
        <is>
          <t>Materiales</t>
        </is>
      </c>
      <c r="C768" s="7" t="inlineStr">
        <is>
          <t>Cableado estructurado y redes</t>
        </is>
      </c>
      <c r="D768" s="5" t="inlineStr">
        <is>
          <t>Cable de red Cat 5</t>
        </is>
      </c>
      <c r="E768" s="5" t="inlineStr"/>
      <c r="F768" s="5" t="inlineStr">
        <is>
          <t>Material retirado en almacén</t>
        </is>
      </c>
      <c r="G768" s="5" t="inlineStr">
        <is>
          <t>cable UTP, cable de red</t>
        </is>
      </c>
      <c r="H768" s="7" t="inlineStr">
        <is>
          <t>rollo</t>
        </is>
      </c>
      <c r="I768" s="7" t="inlineStr">
        <is>
          <t>Instalaciones</t>
        </is>
      </c>
      <c r="J768" s="7" t="inlineStr">
        <is>
          <t>estandar</t>
        </is>
      </c>
      <c r="K768" s="7" t="inlineStr">
        <is>
          <t>importado</t>
        </is>
      </c>
      <c r="L768" s="7" t="inlineStr">
        <is>
          <t>Verificado</t>
        </is>
      </c>
      <c r="M768" s="8" t="n">
        <v>1</v>
      </c>
      <c r="N768" s="9" t="n">
        <v>106.6</v>
      </c>
      <c r="O768" s="9" t="n">
        <v>72.59999999999999</v>
      </c>
      <c r="P768" s="9" t="n">
        <v>125.64</v>
      </c>
      <c r="Q768" s="7" t="inlineStr">
        <is>
          <t>Sí</t>
        </is>
      </c>
      <c r="R768" s="9">
        <f>IF(N768="","",IF(Q768="Sí",ROUND(N768/1.18,2),N768))</f>
        <v/>
      </c>
      <c r="S768" s="7" t="inlineStr">
        <is>
          <t>2026-09-09</t>
        </is>
      </c>
      <c r="T768" s="5" t="inlineStr">
        <is>
          <t>5 cotizaciones de proveedores</t>
        </is>
      </c>
      <c r="AE768" s="4" t="inlineStr">
        <is>
          <t>5</t>
        </is>
      </c>
      <c r="AJ768" s="5" t="inlineStr">
        <is>
          <t>Largo (m): 305</t>
        </is>
      </c>
    </row>
    <row r="769">
      <c r="A769" s="7" t="inlineStr">
        <is>
          <t>MAT-30-005</t>
        </is>
      </c>
      <c r="B769" s="7" t="inlineStr">
        <is>
          <t>Materiales</t>
        </is>
      </c>
      <c r="C769" s="7" t="inlineStr">
        <is>
          <t>Cableado estructurado y redes</t>
        </is>
      </c>
      <c r="D769" s="5" t="inlineStr">
        <is>
          <t>Cable de red Cat 5 blindado</t>
        </is>
      </c>
      <c r="E769" s="5" t="inlineStr"/>
      <c r="F769" s="5" t="inlineStr">
        <is>
          <t>Material retirado en almacén</t>
        </is>
      </c>
      <c r="G769" s="5" t="inlineStr">
        <is>
          <t>cable UTP, cable de red</t>
        </is>
      </c>
      <c r="H769" s="7" t="inlineStr">
        <is>
          <t>rollo</t>
        </is>
      </c>
      <c r="I769" s="7" t="inlineStr">
        <is>
          <t>Instalaciones</t>
        </is>
      </c>
      <c r="J769" s="7" t="inlineStr">
        <is>
          <t>estandar</t>
        </is>
      </c>
      <c r="K769" s="7" t="inlineStr">
        <is>
          <t>importado</t>
        </is>
      </c>
      <c r="L769" s="7" t="inlineStr">
        <is>
          <t>Verificado</t>
        </is>
      </c>
      <c r="M769" s="8" t="n">
        <v>1</v>
      </c>
      <c r="N769" s="9" t="n">
        <v>813.6</v>
      </c>
      <c r="O769" s="9" t="n">
        <v>813.6</v>
      </c>
      <c r="P769" s="9" t="n">
        <v>813.6</v>
      </c>
      <c r="Q769" s="7" t="inlineStr">
        <is>
          <t>Sí</t>
        </is>
      </c>
      <c r="R769" s="9">
        <f>IF(N769="","",IF(Q769="Sí",ROUND(N769/1.18,2),N769))</f>
        <v/>
      </c>
      <c r="S769" s="7" t="inlineStr">
        <is>
          <t>2026-09-09</t>
        </is>
      </c>
      <c r="T769" s="5" t="inlineStr">
        <is>
          <t>1 cotización de proveedores</t>
        </is>
      </c>
      <c r="AE769" s="4" t="inlineStr">
        <is>
          <t>5</t>
        </is>
      </c>
      <c r="AJ769" s="5" t="inlineStr">
        <is>
          <t>Blindaje: blindado</t>
        </is>
      </c>
    </row>
    <row r="770">
      <c r="A770" s="7" t="inlineStr">
        <is>
          <t>MAT-30-006</t>
        </is>
      </c>
      <c r="B770" s="7" t="inlineStr">
        <is>
          <t>Materiales</t>
        </is>
      </c>
      <c r="C770" s="7" t="inlineStr">
        <is>
          <t>Cableado estructurado y redes</t>
        </is>
      </c>
      <c r="D770" s="5" t="inlineStr">
        <is>
          <t>Cable de red Cat 6</t>
        </is>
      </c>
      <c r="E770" s="5" t="inlineStr"/>
      <c r="F770" s="5" t="inlineStr">
        <is>
          <t>Material retirado en almacén</t>
        </is>
      </c>
      <c r="G770" s="5" t="inlineStr">
        <is>
          <t>cable UTP, cable de red</t>
        </is>
      </c>
      <c r="H770" s="7" t="inlineStr">
        <is>
          <t>rollo</t>
        </is>
      </c>
      <c r="I770" s="7" t="inlineStr">
        <is>
          <t>Instalaciones</t>
        </is>
      </c>
      <c r="J770" s="7" t="inlineStr">
        <is>
          <t>estandar</t>
        </is>
      </c>
      <c r="K770" s="7" t="inlineStr">
        <is>
          <t>importado</t>
        </is>
      </c>
      <c r="L770" s="7" t="inlineStr">
        <is>
          <t>Verificado</t>
        </is>
      </c>
      <c r="M770" s="8" t="n">
        <v>1</v>
      </c>
      <c r="N770" s="9" t="n">
        <v>242.2</v>
      </c>
      <c r="O770" s="9" t="n">
        <v>97.2</v>
      </c>
      <c r="P770" s="9" t="n">
        <v>11979.27</v>
      </c>
      <c r="Q770" s="7" t="inlineStr">
        <is>
          <t>Sí</t>
        </is>
      </c>
      <c r="R770" s="9">
        <f>IF(N770="","",IF(Q770="Sí",ROUND(N770/1.18,2),N770))</f>
        <v/>
      </c>
      <c r="S770" s="7" t="inlineStr">
        <is>
          <t>2026-09-09</t>
        </is>
      </c>
      <c r="T770" s="5" t="inlineStr">
        <is>
          <t>17 cotizaciones de proveedores</t>
        </is>
      </c>
      <c r="AE770" s="4" t="inlineStr">
        <is>
          <t>6</t>
        </is>
      </c>
      <c r="AJ770" s="5" t="inlineStr">
        <is>
          <t>Largo (m): 305</t>
        </is>
      </c>
    </row>
    <row r="771">
      <c r="A771" s="7" t="inlineStr">
        <is>
          <t>MAT-30-007</t>
        </is>
      </c>
      <c r="B771" s="7" t="inlineStr">
        <is>
          <t>Materiales</t>
        </is>
      </c>
      <c r="C771" s="7" t="inlineStr">
        <is>
          <t>Cableado estructurado y redes</t>
        </is>
      </c>
      <c r="D771" s="5" t="inlineStr">
        <is>
          <t>Cable de red Cat 6A</t>
        </is>
      </c>
      <c r="E771" s="5" t="inlineStr"/>
      <c r="F771" s="5" t="inlineStr">
        <is>
          <t>Material retirado en almacén</t>
        </is>
      </c>
      <c r="G771" s="5" t="inlineStr">
        <is>
          <t>cable UTP, cable de red</t>
        </is>
      </c>
      <c r="H771" s="7" t="inlineStr">
        <is>
          <t>rollo</t>
        </is>
      </c>
      <c r="I771" s="7" t="inlineStr">
        <is>
          <t>Instalaciones</t>
        </is>
      </c>
      <c r="J771" s="7" t="inlineStr">
        <is>
          <t>estandar</t>
        </is>
      </c>
      <c r="K771" s="7" t="inlineStr">
        <is>
          <t>importado</t>
        </is>
      </c>
      <c r="L771" s="7" t="inlineStr">
        <is>
          <t>Verificado</t>
        </is>
      </c>
      <c r="M771" s="8" t="n">
        <v>1</v>
      </c>
      <c r="N771" s="9" t="n">
        <v>466.67</v>
      </c>
      <c r="O771" s="9" t="n">
        <v>215.59</v>
      </c>
      <c r="P771" s="9" t="n">
        <v>860.04</v>
      </c>
      <c r="Q771" s="7" t="inlineStr">
        <is>
          <t>Sí</t>
        </is>
      </c>
      <c r="R771" s="9">
        <f>IF(N771="","",IF(Q771="Sí",ROUND(N771/1.18,2),N771))</f>
        <v/>
      </c>
      <c r="S771" s="7" t="inlineStr">
        <is>
          <t>2026-09-09</t>
        </is>
      </c>
      <c r="T771" s="5" t="inlineStr">
        <is>
          <t>7 cotizaciones de proveedores</t>
        </is>
      </c>
      <c r="AE771" s="4" t="inlineStr">
        <is>
          <t>6A</t>
        </is>
      </c>
    </row>
    <row r="772">
      <c r="A772" s="7" t="inlineStr">
        <is>
          <t>MAT-30-008</t>
        </is>
      </c>
      <c r="B772" s="7" t="inlineStr">
        <is>
          <t>Materiales</t>
        </is>
      </c>
      <c r="C772" s="7" t="inlineStr">
        <is>
          <t>Cableado estructurado y redes</t>
        </is>
      </c>
      <c r="D772" s="5" t="inlineStr">
        <is>
          <t>Jack RJ45</t>
        </is>
      </c>
      <c r="E772" s="5" t="inlineStr"/>
      <c r="F772" s="5" t="inlineStr">
        <is>
          <t>Material retirado en almacén</t>
        </is>
      </c>
      <c r="G772" s="5" t="inlineStr">
        <is>
          <t>jack, keystone</t>
        </is>
      </c>
      <c r="H772" s="7" t="inlineStr">
        <is>
          <t>unidad</t>
        </is>
      </c>
      <c r="I772" s="7" t="inlineStr">
        <is>
          <t>Instalaciones</t>
        </is>
      </c>
      <c r="J772" s="7" t="inlineStr">
        <is>
          <t>estandar</t>
        </is>
      </c>
      <c r="K772" s="7" t="inlineStr">
        <is>
          <t>importado</t>
        </is>
      </c>
      <c r="L772" s="7" t="inlineStr">
        <is>
          <t>Verificado</t>
        </is>
      </c>
      <c r="M772" s="8" t="n">
        <v>1</v>
      </c>
      <c r="N772" s="9" t="n">
        <v>83.73</v>
      </c>
      <c r="O772" s="9" t="n">
        <v>1.31</v>
      </c>
      <c r="P772" s="9" t="n">
        <v>497.15</v>
      </c>
      <c r="Q772" s="7" t="inlineStr">
        <is>
          <t>Sí</t>
        </is>
      </c>
      <c r="R772" s="9">
        <f>IF(N772="","",IF(Q772="Sí",ROUND(N772/1.18,2),N772))</f>
        <v/>
      </c>
      <c r="S772" s="7" t="inlineStr">
        <is>
          <t>2026-09-09</t>
        </is>
      </c>
      <c r="T772" s="5" t="inlineStr">
        <is>
          <t>6 cotizaciones de proveedores</t>
        </is>
      </c>
    </row>
    <row r="773">
      <c r="A773" s="7" t="inlineStr">
        <is>
          <t>MAT-30-009</t>
        </is>
      </c>
      <c r="B773" s="7" t="inlineStr">
        <is>
          <t>Materiales</t>
        </is>
      </c>
      <c r="C773" s="7" t="inlineStr">
        <is>
          <t>Cableado estructurado y redes</t>
        </is>
      </c>
      <c r="D773" s="5" t="inlineStr">
        <is>
          <t>Jack RJ45 Cat 5</t>
        </is>
      </c>
      <c r="E773" s="5" t="inlineStr"/>
      <c r="F773" s="5" t="inlineStr">
        <is>
          <t>Material retirado en almacén</t>
        </is>
      </c>
      <c r="G773" s="5" t="inlineStr">
        <is>
          <t>jack, keystone</t>
        </is>
      </c>
      <c r="H773" s="7" t="inlineStr">
        <is>
          <t>unidad</t>
        </is>
      </c>
      <c r="I773" s="7" t="inlineStr">
        <is>
          <t>Instalaciones</t>
        </is>
      </c>
      <c r="J773" s="7" t="inlineStr">
        <is>
          <t>estandar</t>
        </is>
      </c>
      <c r="K773" s="7" t="inlineStr">
        <is>
          <t>importado</t>
        </is>
      </c>
      <c r="L773" s="7" t="inlineStr">
        <is>
          <t>Verificado</t>
        </is>
      </c>
      <c r="M773" s="8" t="n">
        <v>1</v>
      </c>
      <c r="N773" s="9" t="n">
        <v>106.97</v>
      </c>
      <c r="O773" s="9" t="n">
        <v>106.97</v>
      </c>
      <c r="P773" s="9" t="n">
        <v>106.97</v>
      </c>
      <c r="Q773" s="7" t="inlineStr">
        <is>
          <t>Sí</t>
        </is>
      </c>
      <c r="R773" s="9">
        <f>IF(N773="","",IF(Q773="Sí",ROUND(N773/1.18,2),N773))</f>
        <v/>
      </c>
      <c r="S773" s="7" t="inlineStr">
        <is>
          <t>2026-09-09</t>
        </is>
      </c>
      <c r="T773" s="5" t="inlineStr">
        <is>
          <t>1 cotización de proveedores</t>
        </is>
      </c>
      <c r="AE773" s="4" t="inlineStr">
        <is>
          <t>5</t>
        </is>
      </c>
    </row>
    <row r="774">
      <c r="A774" s="7" t="inlineStr">
        <is>
          <t>MAT-30-010</t>
        </is>
      </c>
      <c r="B774" s="7" t="inlineStr">
        <is>
          <t>Materiales</t>
        </is>
      </c>
      <c r="C774" s="7" t="inlineStr">
        <is>
          <t>Cableado estructurado y redes</t>
        </is>
      </c>
      <c r="D774" s="5" t="inlineStr">
        <is>
          <t>Jack RJ45 Cat 6</t>
        </is>
      </c>
      <c r="E774" s="5" t="inlineStr"/>
      <c r="F774" s="5" t="inlineStr">
        <is>
          <t>Material retirado en almacén</t>
        </is>
      </c>
      <c r="G774" s="5" t="inlineStr">
        <is>
          <t>jack, keystone</t>
        </is>
      </c>
      <c r="H774" s="7" t="inlineStr">
        <is>
          <t>unidad</t>
        </is>
      </c>
      <c r="I774" s="7" t="inlineStr">
        <is>
          <t>Instalaciones</t>
        </is>
      </c>
      <c r="J774" s="7" t="inlineStr">
        <is>
          <t>estandar</t>
        </is>
      </c>
      <c r="K774" s="7" t="inlineStr">
        <is>
          <t>importado</t>
        </is>
      </c>
      <c r="L774" s="7" t="inlineStr">
        <is>
          <t>Verificado</t>
        </is>
      </c>
      <c r="M774" s="8" t="n">
        <v>1</v>
      </c>
      <c r="N774" s="9" t="n">
        <v>254.97</v>
      </c>
      <c r="O774" s="9" t="n">
        <v>189.16</v>
      </c>
      <c r="P774" s="9" t="n">
        <v>1513.22</v>
      </c>
      <c r="Q774" s="7" t="inlineStr">
        <is>
          <t>Sí</t>
        </is>
      </c>
      <c r="R774" s="9">
        <f>IF(N774="","",IF(Q774="Sí",ROUND(N774/1.18,2),N774))</f>
        <v/>
      </c>
      <c r="S774" s="7" t="inlineStr">
        <is>
          <t>2026-09-09</t>
        </is>
      </c>
      <c r="T774" s="5" t="inlineStr">
        <is>
          <t>5 cotizaciones de proveedores</t>
        </is>
      </c>
      <c r="AE774" s="4" t="inlineStr">
        <is>
          <t>6</t>
        </is>
      </c>
    </row>
    <row r="775">
      <c r="A775" s="7" t="inlineStr">
        <is>
          <t>MAT-30-011</t>
        </is>
      </c>
      <c r="B775" s="7" t="inlineStr">
        <is>
          <t>Materiales</t>
        </is>
      </c>
      <c r="C775" s="7" t="inlineStr">
        <is>
          <t>Cableado estructurado y redes</t>
        </is>
      </c>
      <c r="D775" s="5" t="inlineStr">
        <is>
          <t>Jack RJ45 Cat 6A</t>
        </is>
      </c>
      <c r="E775" s="5" t="inlineStr"/>
      <c r="F775" s="5" t="inlineStr">
        <is>
          <t>Material retirado en almacén</t>
        </is>
      </c>
      <c r="G775" s="5" t="inlineStr">
        <is>
          <t>jack, keystone</t>
        </is>
      </c>
      <c r="H775" s="7" t="inlineStr">
        <is>
          <t>unidad</t>
        </is>
      </c>
      <c r="I775" s="7" t="inlineStr">
        <is>
          <t>Instalaciones</t>
        </is>
      </c>
      <c r="J775" s="7" t="inlineStr">
        <is>
          <t>estandar</t>
        </is>
      </c>
      <c r="K775" s="7" t="inlineStr">
        <is>
          <t>importado</t>
        </is>
      </c>
      <c r="L775" s="7" t="inlineStr">
        <is>
          <t>Verificado</t>
        </is>
      </c>
      <c r="M775" s="8" t="n">
        <v>1</v>
      </c>
      <c r="N775" s="9" t="n">
        <v>256.97</v>
      </c>
      <c r="O775" s="9" t="n">
        <v>256.97</v>
      </c>
      <c r="P775" s="9" t="n">
        <v>256.97</v>
      </c>
      <c r="Q775" s="7" t="inlineStr">
        <is>
          <t>Sí</t>
        </is>
      </c>
      <c r="R775" s="9">
        <f>IF(N775="","",IF(Q775="Sí",ROUND(N775/1.18,2),N775))</f>
        <v/>
      </c>
      <c r="S775" s="7" t="inlineStr">
        <is>
          <t>2026-09-09</t>
        </is>
      </c>
      <c r="T775" s="5" t="inlineStr">
        <is>
          <t>1 cotización de proveedores</t>
        </is>
      </c>
      <c r="AE775" s="4" t="inlineStr">
        <is>
          <t>6A</t>
        </is>
      </c>
    </row>
    <row r="776">
      <c r="A776" s="7" t="inlineStr">
        <is>
          <t>MAT-30-012</t>
        </is>
      </c>
      <c r="B776" s="7" t="inlineStr">
        <is>
          <t>Materiales</t>
        </is>
      </c>
      <c r="C776" s="7" t="inlineStr">
        <is>
          <t>Cableado estructurado y redes</t>
        </is>
      </c>
      <c r="D776" s="5" t="inlineStr">
        <is>
          <t>Jack RJ45 Cat 6A blindado</t>
        </is>
      </c>
      <c r="E776" s="5" t="inlineStr"/>
      <c r="F776" s="5" t="inlineStr">
        <is>
          <t>Material retirado en almacén</t>
        </is>
      </c>
      <c r="G776" s="5" t="inlineStr">
        <is>
          <t>jack, keystone</t>
        </is>
      </c>
      <c r="H776" s="7" t="inlineStr">
        <is>
          <t>unidad</t>
        </is>
      </c>
      <c r="I776" s="7" t="inlineStr">
        <is>
          <t>Instalaciones</t>
        </is>
      </c>
      <c r="J776" s="7" t="inlineStr">
        <is>
          <t>estandar</t>
        </is>
      </c>
      <c r="K776" s="7" t="inlineStr">
        <is>
          <t>importado</t>
        </is>
      </c>
      <c r="L776" s="7" t="inlineStr">
        <is>
          <t>Verificado</t>
        </is>
      </c>
      <c r="M776" s="8" t="n">
        <v>1</v>
      </c>
      <c r="N776" s="9" t="n">
        <v>334.53</v>
      </c>
      <c r="O776" s="9" t="n">
        <v>275.76</v>
      </c>
      <c r="P776" s="9" t="n">
        <v>439.42</v>
      </c>
      <c r="Q776" s="7" t="inlineStr">
        <is>
          <t>Sí</t>
        </is>
      </c>
      <c r="R776" s="9">
        <f>IF(N776="","",IF(Q776="Sí",ROUND(N776/1.18,2),N776))</f>
        <v/>
      </c>
      <c r="S776" s="7" t="inlineStr">
        <is>
          <t>2026-09-09</t>
        </is>
      </c>
      <c r="T776" s="5" t="inlineStr">
        <is>
          <t>9 cotizaciones de proveedores</t>
        </is>
      </c>
      <c r="AE776" s="4" t="inlineStr">
        <is>
          <t>6A</t>
        </is>
      </c>
      <c r="AJ776" s="5" t="inlineStr">
        <is>
          <t>Blindaje: blindado</t>
        </is>
      </c>
    </row>
    <row r="777">
      <c r="A777" s="7" t="inlineStr">
        <is>
          <t>MAT-30-013</t>
        </is>
      </c>
      <c r="B777" s="7" t="inlineStr">
        <is>
          <t>Materiales</t>
        </is>
      </c>
      <c r="C777" s="7" t="inlineStr">
        <is>
          <t>Cableado estructurado y redes</t>
        </is>
      </c>
      <c r="D777" s="5" t="inlineStr">
        <is>
          <t>Patch panel</t>
        </is>
      </c>
      <c r="E777" s="5" t="inlineStr"/>
      <c r="F777" s="5" t="inlineStr">
        <is>
          <t>Material retirado en almacén</t>
        </is>
      </c>
      <c r="G777" s="5" t="inlineStr">
        <is>
          <t>panel de parcheo</t>
        </is>
      </c>
      <c r="H777" s="7" t="inlineStr">
        <is>
          <t>unidad</t>
        </is>
      </c>
      <c r="I777" s="7" t="inlineStr">
        <is>
          <t>Instalaciones</t>
        </is>
      </c>
      <c r="J777" s="7" t="inlineStr">
        <is>
          <t>estandar</t>
        </is>
      </c>
      <c r="K777" s="7" t="inlineStr">
        <is>
          <t>importado</t>
        </is>
      </c>
      <c r="L777" s="7" t="inlineStr">
        <is>
          <t>Verificado</t>
        </is>
      </c>
      <c r="M777" s="8" t="n">
        <v>1</v>
      </c>
      <c r="N777" s="9" t="n">
        <v>1305.12</v>
      </c>
      <c r="O777" s="9" t="n">
        <v>192.87</v>
      </c>
      <c r="P777" s="9" t="n">
        <v>1396.76</v>
      </c>
      <c r="Q777" s="7" t="inlineStr">
        <is>
          <t>Sí</t>
        </is>
      </c>
      <c r="R777" s="9">
        <f>IF(N777="","",IF(Q777="Sí",ROUND(N777/1.18,2),N777))</f>
        <v/>
      </c>
      <c r="S777" s="7" t="inlineStr">
        <is>
          <t>2026-09-09</t>
        </is>
      </c>
      <c r="T777" s="5" t="inlineStr">
        <is>
          <t>3 cotizaciones de proveedores</t>
        </is>
      </c>
    </row>
    <row r="778">
      <c r="A778" s="7" t="inlineStr">
        <is>
          <t>MAT-30-014</t>
        </is>
      </c>
      <c r="B778" s="7" t="inlineStr">
        <is>
          <t>Materiales</t>
        </is>
      </c>
      <c r="C778" s="7" t="inlineStr">
        <is>
          <t>Cableado estructurado y redes</t>
        </is>
      </c>
      <c r="D778" s="5" t="inlineStr">
        <is>
          <t>Patch panel 24 puertos</t>
        </is>
      </c>
      <c r="E778" s="5" t="inlineStr"/>
      <c r="F778" s="5" t="inlineStr">
        <is>
          <t>Material retirado en almacén</t>
        </is>
      </c>
      <c r="G778" s="5" t="inlineStr">
        <is>
          <t>panel de parcheo</t>
        </is>
      </c>
      <c r="H778" s="7" t="inlineStr">
        <is>
          <t>unidad</t>
        </is>
      </c>
      <c r="I778" s="7" t="inlineStr">
        <is>
          <t>Instalaciones</t>
        </is>
      </c>
      <c r="J778" s="7" t="inlineStr">
        <is>
          <t>estandar</t>
        </is>
      </c>
      <c r="K778" s="7" t="inlineStr">
        <is>
          <t>importado</t>
        </is>
      </c>
      <c r="L778" s="7" t="inlineStr">
        <is>
          <t>Verificado</t>
        </is>
      </c>
      <c r="M778" s="8" t="n">
        <v>1</v>
      </c>
      <c r="N778" s="9" t="n">
        <v>5568.67</v>
      </c>
      <c r="O778" s="9" t="n">
        <v>5568.67</v>
      </c>
      <c r="P778" s="9" t="n">
        <v>5568.67</v>
      </c>
      <c r="Q778" s="7" t="inlineStr">
        <is>
          <t>Sí</t>
        </is>
      </c>
      <c r="R778" s="9">
        <f>IF(N778="","",IF(Q778="Sí",ROUND(N778/1.18,2),N778))</f>
        <v/>
      </c>
      <c r="S778" s="7" t="inlineStr">
        <is>
          <t>2026-09-09</t>
        </is>
      </c>
      <c r="T778" s="5" t="inlineStr">
        <is>
          <t>1 cotización de proveedores</t>
        </is>
      </c>
      <c r="AJ778" s="5" t="inlineStr">
        <is>
          <t>Puertos: 24</t>
        </is>
      </c>
    </row>
    <row r="779">
      <c r="A779" s="7" t="inlineStr">
        <is>
          <t>MAT-30-015</t>
        </is>
      </c>
      <c r="B779" s="7" t="inlineStr">
        <is>
          <t>Materiales</t>
        </is>
      </c>
      <c r="C779" s="7" t="inlineStr">
        <is>
          <t>Cableado estructurado y redes</t>
        </is>
      </c>
      <c r="D779" s="5" t="inlineStr">
        <is>
          <t>Patch panel 48 puertos</t>
        </is>
      </c>
      <c r="E779" s="5" t="inlineStr"/>
      <c r="F779" s="5" t="inlineStr">
        <is>
          <t>Material retirado en almacén</t>
        </is>
      </c>
      <c r="G779" s="5" t="inlineStr">
        <is>
          <t>panel de parcheo</t>
        </is>
      </c>
      <c r="H779" s="7" t="inlineStr">
        <is>
          <t>unidad</t>
        </is>
      </c>
      <c r="I779" s="7" t="inlineStr">
        <is>
          <t>Instalaciones</t>
        </is>
      </c>
      <c r="J779" s="7" t="inlineStr">
        <is>
          <t>estandar</t>
        </is>
      </c>
      <c r="K779" s="7" t="inlineStr">
        <is>
          <t>importado</t>
        </is>
      </c>
      <c r="L779" s="7" t="inlineStr">
        <is>
          <t>Verificado</t>
        </is>
      </c>
      <c r="M779" s="8" t="n">
        <v>1</v>
      </c>
      <c r="N779" s="9" t="n">
        <v>1782.28</v>
      </c>
      <c r="O779" s="9" t="n">
        <v>1782.28</v>
      </c>
      <c r="P779" s="9" t="n">
        <v>1782.28</v>
      </c>
      <c r="Q779" s="7" t="inlineStr">
        <is>
          <t>Sí</t>
        </is>
      </c>
      <c r="R779" s="9">
        <f>IF(N779="","",IF(Q779="Sí",ROUND(N779/1.18,2),N779))</f>
        <v/>
      </c>
      <c r="S779" s="7" t="inlineStr">
        <is>
          <t>2026-09-09</t>
        </is>
      </c>
      <c r="T779" s="5" t="inlineStr">
        <is>
          <t>1 cotización de proveedores</t>
        </is>
      </c>
      <c r="AJ779" s="5" t="inlineStr">
        <is>
          <t>Puertos: 48</t>
        </is>
      </c>
    </row>
    <row r="780">
      <c r="A780" s="7" t="inlineStr">
        <is>
          <t>MAT-30-016</t>
        </is>
      </c>
      <c r="B780" s="7" t="inlineStr">
        <is>
          <t>Materiales</t>
        </is>
      </c>
      <c r="C780" s="7" t="inlineStr">
        <is>
          <t>Cableado estructurado y redes</t>
        </is>
      </c>
      <c r="D780" s="5" t="inlineStr">
        <is>
          <t>Placa de pared para datos</t>
        </is>
      </c>
      <c r="E780" s="5" t="inlineStr"/>
      <c r="F780" s="5" t="inlineStr">
        <is>
          <t>Material retirado en almacén</t>
        </is>
      </c>
      <c r="G780" s="5" t="inlineStr">
        <is>
          <t>faceplate, placa de pared</t>
        </is>
      </c>
      <c r="H780" s="7" t="inlineStr">
        <is>
          <t>unidad</t>
        </is>
      </c>
      <c r="I780" s="7" t="inlineStr">
        <is>
          <t>Instalaciones</t>
        </is>
      </c>
      <c r="J780" s="7" t="inlineStr">
        <is>
          <t>estandar</t>
        </is>
      </c>
      <c r="K780" s="7" t="inlineStr">
        <is>
          <t>importado</t>
        </is>
      </c>
      <c r="L780" s="7" t="inlineStr">
        <is>
          <t>Verificado</t>
        </is>
      </c>
      <c r="M780" s="8" t="n">
        <v>1</v>
      </c>
      <c r="N780" s="9" t="n">
        <v>102.17</v>
      </c>
      <c r="O780" s="9" t="n">
        <v>77.06</v>
      </c>
      <c r="P780" s="9" t="n">
        <v>612.77</v>
      </c>
      <c r="Q780" s="7" t="inlineStr">
        <is>
          <t>Sí</t>
        </is>
      </c>
      <c r="R780" s="9">
        <f>IF(N780="","",IF(Q780="Sí",ROUND(N780/1.18,2),N780))</f>
        <v/>
      </c>
      <c r="S780" s="7" t="inlineStr">
        <is>
          <t>2026-09-09</t>
        </is>
      </c>
      <c r="T780" s="5" t="inlineStr">
        <is>
          <t>7 cotizaciones de proveedores</t>
        </is>
      </c>
    </row>
    <row r="781">
      <c r="A781" s="7" t="inlineStr">
        <is>
          <t>MAT-30-017</t>
        </is>
      </c>
      <c r="B781" s="7" t="inlineStr">
        <is>
          <t>Materiales</t>
        </is>
      </c>
      <c r="C781" s="7" t="inlineStr">
        <is>
          <t>Cableado estructurado y redes</t>
        </is>
      </c>
      <c r="D781" s="5" t="inlineStr">
        <is>
          <t>Placa de pared para datos 1 puertos</t>
        </is>
      </c>
      <c r="E781" s="5" t="inlineStr"/>
      <c r="F781" s="5" t="inlineStr">
        <is>
          <t>Material retirado en almacén</t>
        </is>
      </c>
      <c r="G781" s="5" t="inlineStr">
        <is>
          <t>faceplate, placa de pared</t>
        </is>
      </c>
      <c r="H781" s="7" t="inlineStr">
        <is>
          <t>unidad</t>
        </is>
      </c>
      <c r="I781" s="7" t="inlineStr">
        <is>
          <t>Instalaciones</t>
        </is>
      </c>
      <c r="J781" s="7" t="inlineStr">
        <is>
          <t>estandar</t>
        </is>
      </c>
      <c r="K781" s="7" t="inlineStr">
        <is>
          <t>importado</t>
        </is>
      </c>
      <c r="L781" s="7" t="inlineStr">
        <is>
          <t>Verificado</t>
        </is>
      </c>
      <c r="M781" s="8" t="n">
        <v>1</v>
      </c>
      <c r="N781" s="9" t="n">
        <v>492.5</v>
      </c>
      <c r="O781" s="9" t="n">
        <v>101.21</v>
      </c>
      <c r="P781" s="9" t="n">
        <v>883.79</v>
      </c>
      <c r="Q781" s="7" t="inlineStr">
        <is>
          <t>Sí</t>
        </is>
      </c>
      <c r="R781" s="9">
        <f>IF(N781="","",IF(Q781="Sí",ROUND(N781/1.18,2),N781))</f>
        <v/>
      </c>
      <c r="S781" s="7" t="inlineStr">
        <is>
          <t>2026-09-09</t>
        </is>
      </c>
      <c r="T781" s="5" t="inlineStr">
        <is>
          <t>2 cotizaciones de proveedores</t>
        </is>
      </c>
      <c r="AJ781" s="5" t="inlineStr">
        <is>
          <t>Puertos: 1</t>
        </is>
      </c>
    </row>
    <row r="782">
      <c r="A782" s="7" t="inlineStr">
        <is>
          <t>MAT-30-018</t>
        </is>
      </c>
      <c r="B782" s="7" t="inlineStr">
        <is>
          <t>Materiales</t>
        </is>
      </c>
      <c r="C782" s="7" t="inlineStr">
        <is>
          <t>Cableado estructurado y redes</t>
        </is>
      </c>
      <c r="D782" s="5" t="inlineStr">
        <is>
          <t>Placa de pared para datos 2 puertos</t>
        </is>
      </c>
      <c r="E782" s="5" t="inlineStr"/>
      <c r="F782" s="5" t="inlineStr">
        <is>
          <t>Material retirado en almacén</t>
        </is>
      </c>
      <c r="G782" s="5" t="inlineStr">
        <is>
          <t>faceplate, placa de pared</t>
        </is>
      </c>
      <c r="H782" s="7" t="inlineStr">
        <is>
          <t>unidad</t>
        </is>
      </c>
      <c r="I782" s="7" t="inlineStr">
        <is>
          <t>Instalaciones</t>
        </is>
      </c>
      <c r="J782" s="7" t="inlineStr">
        <is>
          <t>estandar</t>
        </is>
      </c>
      <c r="K782" s="7" t="inlineStr">
        <is>
          <t>importado</t>
        </is>
      </c>
      <c r="L782" s="7" t="inlineStr">
        <is>
          <t>Verificado</t>
        </is>
      </c>
      <c r="M782" s="8" t="n">
        <v>1</v>
      </c>
      <c r="N782" s="9" t="n">
        <v>492.5</v>
      </c>
      <c r="O782" s="9" t="n">
        <v>101.21</v>
      </c>
      <c r="P782" s="9" t="n">
        <v>883.79</v>
      </c>
      <c r="Q782" s="7" t="inlineStr">
        <is>
          <t>Sí</t>
        </is>
      </c>
      <c r="R782" s="9">
        <f>IF(N782="","",IF(Q782="Sí",ROUND(N782/1.18,2),N782))</f>
        <v/>
      </c>
      <c r="S782" s="7" t="inlineStr">
        <is>
          <t>2026-09-09</t>
        </is>
      </c>
      <c r="T782" s="5" t="inlineStr">
        <is>
          <t>2 cotizaciones de proveedores</t>
        </is>
      </c>
      <c r="AJ782" s="5" t="inlineStr">
        <is>
          <t>Puertos: 2</t>
        </is>
      </c>
    </row>
    <row r="783">
      <c r="A783" s="7" t="inlineStr">
        <is>
          <t>MAT-30-019</t>
        </is>
      </c>
      <c r="B783" s="7" t="inlineStr">
        <is>
          <t>Materiales</t>
        </is>
      </c>
      <c r="C783" s="7" t="inlineStr">
        <is>
          <t>Cableado estructurado y redes</t>
        </is>
      </c>
      <c r="D783" s="5" t="inlineStr">
        <is>
          <t>Placa de pared para datos 3 puertos</t>
        </is>
      </c>
      <c r="E783" s="5" t="inlineStr"/>
      <c r="F783" s="5" t="inlineStr">
        <is>
          <t>Material retirado en almacén</t>
        </is>
      </c>
      <c r="G783" s="5" t="inlineStr">
        <is>
          <t>faceplate, placa de pared</t>
        </is>
      </c>
      <c r="H783" s="7" t="inlineStr">
        <is>
          <t>unidad</t>
        </is>
      </c>
      <c r="I783" s="7" t="inlineStr">
        <is>
          <t>Instalaciones</t>
        </is>
      </c>
      <c r="J783" s="7" t="inlineStr">
        <is>
          <t>estandar</t>
        </is>
      </c>
      <c r="K783" s="7" t="inlineStr">
        <is>
          <t>importado</t>
        </is>
      </c>
      <c r="L783" s="7" t="inlineStr">
        <is>
          <t>Verificado</t>
        </is>
      </c>
      <c r="M783" s="8" t="n">
        <v>1</v>
      </c>
      <c r="N783" s="9" t="n">
        <v>1196.92</v>
      </c>
      <c r="O783" s="9" t="n">
        <v>1196.92</v>
      </c>
      <c r="P783" s="9" t="n">
        <v>1196.92</v>
      </c>
      <c r="Q783" s="7" t="inlineStr">
        <is>
          <t>Sí</t>
        </is>
      </c>
      <c r="R783" s="9">
        <f>IF(N783="","",IF(Q783="Sí",ROUND(N783/1.18,2),N783))</f>
        <v/>
      </c>
      <c r="S783" s="7" t="inlineStr">
        <is>
          <t>2026-09-09</t>
        </is>
      </c>
      <c r="T783" s="5" t="inlineStr">
        <is>
          <t>1 cotización de proveedores</t>
        </is>
      </c>
      <c r="AJ783" s="5" t="inlineStr">
        <is>
          <t>Puertos: 3</t>
        </is>
      </c>
    </row>
    <row r="784">
      <c r="A784" s="7" t="inlineStr">
        <is>
          <t>MAT-30-020</t>
        </is>
      </c>
      <c r="B784" s="7" t="inlineStr">
        <is>
          <t>Materiales</t>
        </is>
      </c>
      <c r="C784" s="7" t="inlineStr">
        <is>
          <t>Cableado estructurado y redes</t>
        </is>
      </c>
      <c r="D784" s="5" t="inlineStr">
        <is>
          <t>Rack y accesorios de gabinete</t>
        </is>
      </c>
      <c r="E784" s="5" t="inlineStr"/>
      <c r="F784" s="5" t="inlineStr">
        <is>
          <t>Material retirado en almacén</t>
        </is>
      </c>
      <c r="G784" s="5" t="inlineStr">
        <is>
          <t>rack, organizador, bandeja</t>
        </is>
      </c>
      <c r="H784" s="7" t="inlineStr">
        <is>
          <t>unidad</t>
        </is>
      </c>
      <c r="I784" s="7" t="inlineStr">
        <is>
          <t>Instalaciones</t>
        </is>
      </c>
      <c r="J784" s="7" t="inlineStr">
        <is>
          <t>estandar</t>
        </is>
      </c>
      <c r="K784" s="7" t="inlineStr">
        <is>
          <t>importado</t>
        </is>
      </c>
      <c r="L784" s="7" t="inlineStr">
        <is>
          <t>Verificado</t>
        </is>
      </c>
      <c r="M784" s="8" t="n">
        <v>1</v>
      </c>
      <c r="N784" s="9" t="n">
        <v>1834.9</v>
      </c>
      <c r="O784" s="9" t="n">
        <v>26.88</v>
      </c>
      <c r="P784" s="9" t="n">
        <v>24364.91</v>
      </c>
      <c r="Q784" s="7" t="inlineStr">
        <is>
          <t>Sí</t>
        </is>
      </c>
      <c r="R784" s="9">
        <f>IF(N784="","",IF(Q784="Sí",ROUND(N784/1.18,2),N784))</f>
        <v/>
      </c>
      <c r="S784" s="7" t="inlineStr">
        <is>
          <t>2026-09-09</t>
        </is>
      </c>
      <c r="T784" s="5" t="inlineStr">
        <is>
          <t>14 cotizaciones de proveedores</t>
        </is>
      </c>
    </row>
    <row r="785">
      <c r="A785" s="7" t="inlineStr">
        <is>
          <t>MAT-30-021</t>
        </is>
      </c>
      <c r="B785" s="7" t="inlineStr">
        <is>
          <t>Materiales</t>
        </is>
      </c>
      <c r="C785" s="7" t="inlineStr">
        <is>
          <t>Cableado estructurado y redes</t>
        </is>
      </c>
      <c r="D785" s="5" t="inlineStr">
        <is>
          <t>Equipo de red</t>
        </is>
      </c>
      <c r="E785" s="5" t="inlineStr"/>
      <c r="F785" s="5" t="inlineStr">
        <is>
          <t>Material retirado en almacén</t>
        </is>
      </c>
      <c r="G785" s="5" t="inlineStr">
        <is>
          <t>switch, PoE, extensor</t>
        </is>
      </c>
      <c r="H785" s="7" t="inlineStr">
        <is>
          <t>unidad</t>
        </is>
      </c>
      <c r="I785" s="7" t="inlineStr">
        <is>
          <t>Instalaciones</t>
        </is>
      </c>
      <c r="J785" s="7" t="inlineStr">
        <is>
          <t>estandar</t>
        </is>
      </c>
      <c r="K785" s="7" t="inlineStr">
        <is>
          <t>importado</t>
        </is>
      </c>
      <c r="L785" s="7" t="inlineStr">
        <is>
          <t>Verificado</t>
        </is>
      </c>
      <c r="M785" s="8" t="n">
        <v>1</v>
      </c>
      <c r="N785" s="9" t="n">
        <v>4902.12</v>
      </c>
      <c r="O785" s="9" t="n">
        <v>587.39</v>
      </c>
      <c r="P785" s="9" t="n">
        <v>18998.93</v>
      </c>
      <c r="Q785" s="7" t="inlineStr">
        <is>
          <t>Sí</t>
        </is>
      </c>
      <c r="R785" s="9">
        <f>IF(N785="","",IF(Q785="Sí",ROUND(N785/1.18,2),N785))</f>
        <v/>
      </c>
      <c r="S785" s="7" t="inlineStr">
        <is>
          <t>2026-09-09</t>
        </is>
      </c>
      <c r="T785" s="5" t="inlineStr">
        <is>
          <t>12 cotizaciones de proveedores</t>
        </is>
      </c>
    </row>
    <row r="786">
      <c r="A786" s="7" t="inlineStr">
        <is>
          <t>MAT-30-022</t>
        </is>
      </c>
      <c r="B786" s="7" t="inlineStr">
        <is>
          <t>Materiales</t>
        </is>
      </c>
      <c r="C786" s="7" t="inlineStr">
        <is>
          <t>Cableado estructurado y redes</t>
        </is>
      </c>
      <c r="D786" s="5" t="inlineStr">
        <is>
          <t>Equipo de red 24 puertos</t>
        </is>
      </c>
      <c r="E786" s="5" t="inlineStr"/>
      <c r="F786" s="5" t="inlineStr">
        <is>
          <t>Material retirado en almacén</t>
        </is>
      </c>
      <c r="G786" s="5" t="inlineStr">
        <is>
          <t>switch, PoE, extensor</t>
        </is>
      </c>
      <c r="H786" s="7" t="inlineStr">
        <is>
          <t>unidad</t>
        </is>
      </c>
      <c r="I786" s="7" t="inlineStr">
        <is>
          <t>Instalaciones</t>
        </is>
      </c>
      <c r="J786" s="7" t="inlineStr">
        <is>
          <t>estandar</t>
        </is>
      </c>
      <c r="K786" s="7" t="inlineStr">
        <is>
          <t>importado</t>
        </is>
      </c>
      <c r="L786" s="7" t="inlineStr">
        <is>
          <t>Verificado</t>
        </is>
      </c>
      <c r="M786" s="8" t="n">
        <v>1</v>
      </c>
      <c r="N786" s="9" t="n">
        <v>16692.67</v>
      </c>
      <c r="O786" s="9" t="n">
        <v>16692.67</v>
      </c>
      <c r="P786" s="9" t="n">
        <v>16692.67</v>
      </c>
      <c r="Q786" s="7" t="inlineStr">
        <is>
          <t>Sí</t>
        </is>
      </c>
      <c r="R786" s="9">
        <f>IF(N786="","",IF(Q786="Sí",ROUND(N786/1.18,2),N786))</f>
        <v/>
      </c>
      <c r="S786" s="7" t="inlineStr">
        <is>
          <t>2026-09-09</t>
        </is>
      </c>
      <c r="T786" s="5" t="inlineStr">
        <is>
          <t>1 cotización de proveedores</t>
        </is>
      </c>
      <c r="AJ786" s="5" t="inlineStr">
        <is>
          <t>Puertos: 24</t>
        </is>
      </c>
    </row>
    <row r="787">
      <c r="A787" s="7" t="inlineStr">
        <is>
          <t>MAT-30-023</t>
        </is>
      </c>
      <c r="B787" s="7" t="inlineStr">
        <is>
          <t>Materiales</t>
        </is>
      </c>
      <c r="C787" s="7" t="inlineStr">
        <is>
          <t>Cableado estructurado y redes</t>
        </is>
      </c>
      <c r="D787" s="5" t="inlineStr">
        <is>
          <t>Equipo de red 8 puertos</t>
        </is>
      </c>
      <c r="E787" s="5" t="inlineStr"/>
      <c r="F787" s="5" t="inlineStr">
        <is>
          <t>Material retirado en almacén</t>
        </is>
      </c>
      <c r="G787" s="5" t="inlineStr">
        <is>
          <t>switch, PoE, extensor</t>
        </is>
      </c>
      <c r="H787" s="7" t="inlineStr">
        <is>
          <t>unidad</t>
        </is>
      </c>
      <c r="I787" s="7" t="inlineStr">
        <is>
          <t>Instalaciones</t>
        </is>
      </c>
      <c r="J787" s="7" t="inlineStr">
        <is>
          <t>estandar</t>
        </is>
      </c>
      <c r="K787" s="7" t="inlineStr">
        <is>
          <t>importado</t>
        </is>
      </c>
      <c r="L787" s="7" t="inlineStr">
        <is>
          <t>Verificado</t>
        </is>
      </c>
      <c r="M787" s="8" t="n">
        <v>1</v>
      </c>
      <c r="N787" s="9" t="n">
        <v>7097.73</v>
      </c>
      <c r="O787" s="9" t="n">
        <v>500.98</v>
      </c>
      <c r="P787" s="9" t="n">
        <v>13694.47</v>
      </c>
      <c r="Q787" s="7" t="inlineStr">
        <is>
          <t>Sí</t>
        </is>
      </c>
      <c r="R787" s="9">
        <f>IF(N787="","",IF(Q787="Sí",ROUND(N787/1.18,2),N787))</f>
        <v/>
      </c>
      <c r="S787" s="7" t="inlineStr">
        <is>
          <t>2026-09-09</t>
        </is>
      </c>
      <c r="T787" s="5" t="inlineStr">
        <is>
          <t>2 cotizaciones de proveedores</t>
        </is>
      </c>
      <c r="AJ787" s="5" t="inlineStr">
        <is>
          <t>Puertos: 8</t>
        </is>
      </c>
    </row>
    <row r="788">
      <c r="A788" s="7" t="inlineStr">
        <is>
          <t>MAT-30-024</t>
        </is>
      </c>
      <c r="B788" s="7" t="inlineStr">
        <is>
          <t>Materiales</t>
        </is>
      </c>
      <c r="C788" s="7" t="inlineStr">
        <is>
          <t>Cableado estructurado y redes</t>
        </is>
      </c>
      <c r="D788" s="5" t="inlineStr">
        <is>
          <t>Conector y accesorio de cableado</t>
        </is>
      </c>
      <c r="E788" s="5" t="inlineStr"/>
      <c r="F788" s="5" t="inlineStr">
        <is>
          <t>Material retirado en almacén</t>
        </is>
      </c>
      <c r="G788" s="5" t="inlineStr">
        <is>
          <t>conector, acoplador, plug</t>
        </is>
      </c>
      <c r="H788" s="7" t="inlineStr">
        <is>
          <t>unidad</t>
        </is>
      </c>
      <c r="I788" s="7" t="inlineStr">
        <is>
          <t>Instalaciones</t>
        </is>
      </c>
      <c r="J788" s="7" t="inlineStr">
        <is>
          <t>estandar</t>
        </is>
      </c>
      <c r="K788" s="7" t="inlineStr">
        <is>
          <t>importado</t>
        </is>
      </c>
      <c r="L788" s="7" t="inlineStr">
        <is>
          <t>Verificado</t>
        </is>
      </c>
      <c r="M788" s="8" t="n">
        <v>1</v>
      </c>
      <c r="N788" s="9" t="n">
        <v>67.08</v>
      </c>
      <c r="O788" s="9" t="n">
        <v>0.41</v>
      </c>
      <c r="P788" s="9" t="n">
        <v>3491.49</v>
      </c>
      <c r="Q788" s="7" t="inlineStr">
        <is>
          <t>Sí</t>
        </is>
      </c>
      <c r="R788" s="9">
        <f>IF(N788="","",IF(Q788="Sí",ROUND(N788/1.18,2),N788))</f>
        <v/>
      </c>
      <c r="S788" s="7" t="inlineStr">
        <is>
          <t>2026-09-09</t>
        </is>
      </c>
      <c r="T788" s="5" t="inlineStr">
        <is>
          <t>34 cotizaciones de proveedores</t>
        </is>
      </c>
    </row>
    <row r="789">
      <c r="A789" s="7" t="inlineStr">
        <is>
          <t>MAT-30-025</t>
        </is>
      </c>
      <c r="B789" s="7" t="inlineStr">
        <is>
          <t>Materiales</t>
        </is>
      </c>
      <c r="C789" s="7" t="inlineStr">
        <is>
          <t>Cableado estructurado y redes</t>
        </is>
      </c>
      <c r="D789" s="5" t="inlineStr">
        <is>
          <t>Parlante o amplificador de voceo</t>
        </is>
      </c>
      <c r="E789" s="5" t="inlineStr"/>
      <c r="F789" s="5" t="inlineStr">
        <is>
          <t>Material retirado en almacén</t>
        </is>
      </c>
      <c r="G789" s="5" t="inlineStr">
        <is>
          <t>parlante, voceo, sonido</t>
        </is>
      </c>
      <c r="H789" s="7" t="inlineStr">
        <is>
          <t>unidad</t>
        </is>
      </c>
      <c r="I789" s="7" t="inlineStr">
        <is>
          <t>Instalaciones</t>
        </is>
      </c>
      <c r="J789" s="7" t="inlineStr">
        <is>
          <t>estandar</t>
        </is>
      </c>
      <c r="K789" s="7" t="inlineStr">
        <is>
          <t>importado</t>
        </is>
      </c>
      <c r="L789" s="7" t="inlineStr">
        <is>
          <t>Verificado</t>
        </is>
      </c>
      <c r="M789" s="8" t="n">
        <v>1</v>
      </c>
      <c r="N789" s="9" t="n">
        <v>23802.25</v>
      </c>
      <c r="O789" s="9" t="n">
        <v>104.5</v>
      </c>
      <c r="P789" s="9" t="n">
        <v>62081.59</v>
      </c>
      <c r="Q789" s="7" t="inlineStr">
        <is>
          <t>Sí</t>
        </is>
      </c>
      <c r="R789" s="9">
        <f>IF(N789="","",IF(Q789="Sí",ROUND(N789/1.18,2),N789))</f>
        <v/>
      </c>
      <c r="S789" s="7" t="inlineStr">
        <is>
          <t>2026-09-09</t>
        </is>
      </c>
      <c r="T789" s="5" t="inlineStr">
        <is>
          <t>8 cotizaciones de proveedores</t>
        </is>
      </c>
    </row>
    <row r="790">
      <c r="A790" s="7" t="inlineStr">
        <is>
          <t>MAT-30-026</t>
        </is>
      </c>
      <c r="B790" s="7" t="inlineStr">
        <is>
          <t>Materiales</t>
        </is>
      </c>
      <c r="C790" s="7" t="inlineStr">
        <is>
          <t>Cableado estructurado y redes</t>
        </is>
      </c>
      <c r="D790" s="5" t="inlineStr">
        <is>
          <t>Fuente de alimentación para sistemas</t>
        </is>
      </c>
      <c r="E790" s="5" t="inlineStr"/>
      <c r="F790" s="5" t="inlineStr">
        <is>
          <t>Material retirado en almacén</t>
        </is>
      </c>
      <c r="G790" s="5" t="inlineStr">
        <is>
          <t>fuente, power supply, PoE</t>
        </is>
      </c>
      <c r="H790" s="7" t="inlineStr">
        <is>
          <t>unidad</t>
        </is>
      </c>
      <c r="I790" s="7" t="inlineStr">
        <is>
          <t>Instalaciones</t>
        </is>
      </c>
      <c r="J790" s="7" t="inlineStr">
        <is>
          <t>estandar</t>
        </is>
      </c>
      <c r="K790" s="7" t="inlineStr">
        <is>
          <t>importado</t>
        </is>
      </c>
      <c r="L790" s="7" t="inlineStr">
        <is>
          <t>Verificado</t>
        </is>
      </c>
      <c r="M790" s="8" t="n">
        <v>1</v>
      </c>
      <c r="N790" s="9" t="n">
        <v>4801.16</v>
      </c>
      <c r="O790" s="9" t="n">
        <v>1.21</v>
      </c>
      <c r="P790" s="9" t="n">
        <v>9810.73</v>
      </c>
      <c r="Q790" s="7" t="inlineStr">
        <is>
          <t>Sí</t>
        </is>
      </c>
      <c r="R790" s="9">
        <f>IF(N790="","",IF(Q790="Sí",ROUND(N790/1.18,2),N790))</f>
        <v/>
      </c>
      <c r="S790" s="7" t="inlineStr">
        <is>
          <t>2026-09-09</t>
        </is>
      </c>
      <c r="T790" s="5" t="inlineStr">
        <is>
          <t>7 cotizaciones de proveedores</t>
        </is>
      </c>
    </row>
    <row r="791">
      <c r="A791" s="7" t="inlineStr">
        <is>
          <t>MAT-30-027</t>
        </is>
      </c>
      <c r="B791" s="7" t="inlineStr">
        <is>
          <t>Materiales</t>
        </is>
      </c>
      <c r="C791" s="7" t="inlineStr">
        <is>
          <t>Cableado estructurado y redes</t>
        </is>
      </c>
      <c r="D791" s="5" t="inlineStr">
        <is>
          <t>Fuente de alimentación para sistemas 12 V</t>
        </is>
      </c>
      <c r="E791" s="5" t="inlineStr"/>
      <c r="F791" s="5" t="inlineStr">
        <is>
          <t>Material retirado en almacén</t>
        </is>
      </c>
      <c r="G791" s="5" t="inlineStr">
        <is>
          <t>fuente, power supply, PoE</t>
        </is>
      </c>
      <c r="H791" s="7" t="inlineStr">
        <is>
          <t>unidad</t>
        </is>
      </c>
      <c r="I791" s="7" t="inlineStr">
        <is>
          <t>Instalaciones</t>
        </is>
      </c>
      <c r="J791" s="7" t="inlineStr">
        <is>
          <t>estandar</t>
        </is>
      </c>
      <c r="K791" s="7" t="inlineStr">
        <is>
          <t>importado</t>
        </is>
      </c>
      <c r="L791" s="7" t="inlineStr">
        <is>
          <t>Verificado</t>
        </is>
      </c>
      <c r="M791" s="8" t="n">
        <v>1</v>
      </c>
      <c r="N791" s="9" t="n">
        <v>2813.06</v>
      </c>
      <c r="O791" s="9" t="n">
        <v>1111.78</v>
      </c>
      <c r="P791" s="9" t="n">
        <v>4514.34</v>
      </c>
      <c r="Q791" s="7" t="inlineStr">
        <is>
          <t>Sí</t>
        </is>
      </c>
      <c r="R791" s="9">
        <f>IF(N791="","",IF(Q791="Sí",ROUND(N791/1.18,2),N791))</f>
        <v/>
      </c>
      <c r="S791" s="7" t="inlineStr">
        <is>
          <t>2026-09-09</t>
        </is>
      </c>
      <c r="T791" s="5" t="inlineStr">
        <is>
          <t>2 cotizaciones de proveedores</t>
        </is>
      </c>
      <c r="AJ791" s="5" t="inlineStr">
        <is>
          <t>Voltaje (V): 12 · Amperaje (A): 4</t>
        </is>
      </c>
    </row>
    <row r="792">
      <c r="A792" s="7" t="inlineStr">
        <is>
          <t>MAT-30-028</t>
        </is>
      </c>
      <c r="B792" s="7" t="inlineStr">
        <is>
          <t>Materiales</t>
        </is>
      </c>
      <c r="C792" s="7" t="inlineStr">
        <is>
          <t>Cableado estructurado y redes</t>
        </is>
      </c>
      <c r="D792" s="5" t="inlineStr">
        <is>
          <t>Fuente de alimentación para sistemas 120 V</t>
        </is>
      </c>
      <c r="E792" s="5" t="inlineStr"/>
      <c r="F792" s="5" t="inlineStr">
        <is>
          <t>Material retirado en almacén</t>
        </is>
      </c>
      <c r="G792" s="5" t="inlineStr">
        <is>
          <t>fuente, power supply, PoE</t>
        </is>
      </c>
      <c r="H792" s="7" t="inlineStr">
        <is>
          <t>unidad</t>
        </is>
      </c>
      <c r="I792" s="7" t="inlineStr">
        <is>
          <t>Instalaciones</t>
        </is>
      </c>
      <c r="J792" s="7" t="inlineStr">
        <is>
          <t>estandar</t>
        </is>
      </c>
      <c r="K792" s="7" t="inlineStr">
        <is>
          <t>importado</t>
        </is>
      </c>
      <c r="L792" s="7" t="inlineStr">
        <is>
          <t>Verificado</t>
        </is>
      </c>
      <c r="M792" s="8" t="n">
        <v>1</v>
      </c>
      <c r="N792" s="9" t="n">
        <v>1031.86</v>
      </c>
      <c r="O792" s="9" t="n">
        <v>906.34</v>
      </c>
      <c r="P792" s="9" t="n">
        <v>1157.38</v>
      </c>
      <c r="Q792" s="7" t="inlineStr">
        <is>
          <t>Sí</t>
        </is>
      </c>
      <c r="R792" s="9">
        <f>IF(N792="","",IF(Q792="Sí",ROUND(N792/1.18,2),N792))</f>
        <v/>
      </c>
      <c r="S792" s="7" t="inlineStr">
        <is>
          <t>2026-09-09</t>
        </is>
      </c>
      <c r="T792" s="5" t="inlineStr">
        <is>
          <t>2 cotizaciones de proveedores</t>
        </is>
      </c>
      <c r="AJ792" s="5" t="inlineStr">
        <is>
          <t>Voltaje (V): 120</t>
        </is>
      </c>
    </row>
    <row r="793">
      <c r="A793" s="7" t="inlineStr">
        <is>
          <t>MAT-30-029</t>
        </is>
      </c>
      <c r="B793" s="7" t="inlineStr">
        <is>
          <t>Materiales</t>
        </is>
      </c>
      <c r="C793" s="7" t="inlineStr">
        <is>
          <t>Cableado estructurado y redes</t>
        </is>
      </c>
      <c r="D793" s="5" t="inlineStr">
        <is>
          <t>Fuente de alimentación para sistemas 24 V</t>
        </is>
      </c>
      <c r="E793" s="5" t="inlineStr"/>
      <c r="F793" s="5" t="inlineStr">
        <is>
          <t>Material retirado en almacén</t>
        </is>
      </c>
      <c r="G793" s="5" t="inlineStr">
        <is>
          <t>fuente, power supply, PoE</t>
        </is>
      </c>
      <c r="H793" s="7" t="inlineStr">
        <is>
          <t>unidad</t>
        </is>
      </c>
      <c r="I793" s="7" t="inlineStr">
        <is>
          <t>Instalaciones</t>
        </is>
      </c>
      <c r="J793" s="7" t="inlineStr">
        <is>
          <t>estandar</t>
        </is>
      </c>
      <c r="K793" s="7" t="inlineStr">
        <is>
          <t>importado</t>
        </is>
      </c>
      <c r="L793" s="7" t="inlineStr">
        <is>
          <t>Verificado</t>
        </is>
      </c>
      <c r="M793" s="8" t="n">
        <v>1</v>
      </c>
      <c r="N793" s="9" t="n">
        <v>13861.06</v>
      </c>
      <c r="O793" s="9" t="n">
        <v>11089.49</v>
      </c>
      <c r="P793" s="9" t="n">
        <v>16632.64</v>
      </c>
      <c r="Q793" s="7" t="inlineStr">
        <is>
          <t>Sí</t>
        </is>
      </c>
      <c r="R793" s="9">
        <f>IF(N793="","",IF(Q793="Sí",ROUND(N793/1.18,2),N793))</f>
        <v/>
      </c>
      <c r="S793" s="7" t="inlineStr">
        <is>
          <t>2026-09-09</t>
        </is>
      </c>
      <c r="T793" s="5" t="inlineStr">
        <is>
          <t>2 cotizaciones de proveedores</t>
        </is>
      </c>
      <c r="AJ793" s="5" t="inlineStr">
        <is>
          <t>Voltaje (V): 24 · Amperaje (A): 8</t>
        </is>
      </c>
    </row>
    <row r="794">
      <c r="A794" s="7" t="inlineStr">
        <is>
          <t>MAT-30-030</t>
        </is>
      </c>
      <c r="B794" s="7" t="inlineStr">
        <is>
          <t>Materiales</t>
        </is>
      </c>
      <c r="C794" s="7" t="inlineStr">
        <is>
          <t>Cableado estructurado y redes</t>
        </is>
      </c>
      <c r="D794" s="5" t="inlineStr">
        <is>
          <t>Fuente de alimentación para sistemas 275 V</t>
        </is>
      </c>
      <c r="E794" s="5" t="inlineStr"/>
      <c r="F794" s="5" t="inlineStr">
        <is>
          <t>Material retirado en almacén</t>
        </is>
      </c>
      <c r="G794" s="5" t="inlineStr">
        <is>
          <t>fuente, power supply, PoE</t>
        </is>
      </c>
      <c r="H794" s="7" t="inlineStr">
        <is>
          <t>unidad</t>
        </is>
      </c>
      <c r="I794" s="7" t="inlineStr">
        <is>
          <t>Instalaciones</t>
        </is>
      </c>
      <c r="J794" s="7" t="inlineStr">
        <is>
          <t>estandar</t>
        </is>
      </c>
      <c r="K794" s="7" t="inlineStr">
        <is>
          <t>importado</t>
        </is>
      </c>
      <c r="L794" s="7" t="inlineStr">
        <is>
          <t>Verificado</t>
        </is>
      </c>
      <c r="M794" s="8" t="n">
        <v>1</v>
      </c>
      <c r="N794" s="9" t="n">
        <v>28.95</v>
      </c>
      <c r="O794" s="9" t="n">
        <v>28.95</v>
      </c>
      <c r="P794" s="9" t="n">
        <v>28.95</v>
      </c>
      <c r="Q794" s="7" t="inlineStr">
        <is>
          <t>Sí</t>
        </is>
      </c>
      <c r="R794" s="9">
        <f>IF(N794="","",IF(Q794="Sí",ROUND(N794/1.18,2),N794))</f>
        <v/>
      </c>
      <c r="S794" s="7" t="inlineStr">
        <is>
          <t>2026-09-09</t>
        </is>
      </c>
      <c r="T794" s="5" t="inlineStr">
        <is>
          <t>1 cotización de proveedores</t>
        </is>
      </c>
      <c r="AJ794" s="5" t="inlineStr">
        <is>
          <t>Voltaje (V): 275</t>
        </is>
      </c>
    </row>
    <row r="795">
      <c r="A795" s="7" t="inlineStr">
        <is>
          <t>MAT-30-031</t>
        </is>
      </c>
      <c r="B795" s="7" t="inlineStr">
        <is>
          <t>Materiales</t>
        </is>
      </c>
      <c r="C795" s="7" t="inlineStr">
        <is>
          <t>Cableado estructurado y redes</t>
        </is>
      </c>
      <c r="D795" s="5" t="inlineStr">
        <is>
          <t>Fuente de alimentación para sistemas 277 V</t>
        </is>
      </c>
      <c r="E795" s="5" t="inlineStr"/>
      <c r="F795" s="5" t="inlineStr">
        <is>
          <t>Material retirado en almacén</t>
        </is>
      </c>
      <c r="G795" s="5" t="inlineStr">
        <is>
          <t>fuente, power supply, PoE</t>
        </is>
      </c>
      <c r="H795" s="7" t="inlineStr">
        <is>
          <t>unidad</t>
        </is>
      </c>
      <c r="I795" s="7" t="inlineStr">
        <is>
          <t>Instalaciones</t>
        </is>
      </c>
      <c r="J795" s="7" t="inlineStr">
        <is>
          <t>estandar</t>
        </is>
      </c>
      <c r="K795" s="7" t="inlineStr">
        <is>
          <t>importado</t>
        </is>
      </c>
      <c r="L795" s="7" t="inlineStr">
        <is>
          <t>Verificado</t>
        </is>
      </c>
      <c r="M795" s="8" t="n">
        <v>1</v>
      </c>
      <c r="N795" s="9" t="n">
        <v>2150.5</v>
      </c>
      <c r="O795" s="9" t="n">
        <v>2150.5</v>
      </c>
      <c r="P795" s="9" t="n">
        <v>2150.5</v>
      </c>
      <c r="Q795" s="7" t="inlineStr">
        <is>
          <t>Sí</t>
        </is>
      </c>
      <c r="R795" s="9">
        <f>IF(N795="","",IF(Q795="Sí",ROUND(N795/1.18,2),N795))</f>
        <v/>
      </c>
      <c r="S795" s="7" t="inlineStr">
        <is>
          <t>2026-09-09</t>
        </is>
      </c>
      <c r="T795" s="5" t="inlineStr">
        <is>
          <t>1 cotización de proveedores</t>
        </is>
      </c>
      <c r="AJ795" s="5" t="inlineStr">
        <is>
          <t>Voltaje (V): 277</t>
        </is>
      </c>
    </row>
    <row r="796">
      <c r="A796" s="7" t="inlineStr">
        <is>
          <t>MAT-31-002</t>
        </is>
      </c>
      <c r="B796" s="7" t="inlineStr">
        <is>
          <t>Materiales</t>
        </is>
      </c>
      <c r="C796" s="7" t="inlineStr">
        <is>
          <t>Domótica e intercomunicadores</t>
        </is>
      </c>
      <c r="D796" s="5" t="inlineStr">
        <is>
          <t>Interruptor inteligente</t>
        </is>
      </c>
      <c r="E796" s="5" t="inlineStr">
        <is>
          <t>Necesita neutro en la caja: hay que preverlo antes de cerrar la pared</t>
        </is>
      </c>
      <c r="F796" s="5" t="inlineStr">
        <is>
          <t>Material retirado en almacén</t>
        </is>
      </c>
      <c r="G796" s="5" t="inlineStr">
        <is>
          <t>interruptor wifi, interruptor inteligente</t>
        </is>
      </c>
      <c r="H796" s="7" t="inlineStr">
        <is>
          <t>unidad</t>
        </is>
      </c>
      <c r="I796" s="7" t="inlineStr">
        <is>
          <t>Instalaciones</t>
        </is>
      </c>
      <c r="J796" s="7" t="inlineStr">
        <is>
          <t>estandar</t>
        </is>
      </c>
      <c r="K796" s="7" t="inlineStr">
        <is>
          <t>importado</t>
        </is>
      </c>
      <c r="L796" s="7" t="inlineStr">
        <is>
          <t>Verificado</t>
        </is>
      </c>
      <c r="M796" s="8" t="n">
        <v>1</v>
      </c>
      <c r="N796" s="9" t="n">
        <v>1672.99</v>
      </c>
      <c r="O796" s="9" t="n">
        <v>101.11</v>
      </c>
      <c r="P796" s="9" t="n">
        <v>7806.53</v>
      </c>
      <c r="Q796" s="7" t="inlineStr">
        <is>
          <t>Sí</t>
        </is>
      </c>
      <c r="R796" s="9">
        <f>IF(N796="","",IF(Q796="Sí",ROUND(N796/1.18,2),N796))</f>
        <v/>
      </c>
      <c r="S796" s="7" t="inlineStr">
        <is>
          <t>2026-09-09</t>
        </is>
      </c>
      <c r="T796" s="5" t="inlineStr">
        <is>
          <t>18 cotizaciones de proveedores</t>
        </is>
      </c>
    </row>
    <row r="797">
      <c r="A797" s="7" t="inlineStr">
        <is>
          <t>MAT-31-003</t>
        </is>
      </c>
      <c r="B797" s="7" t="inlineStr">
        <is>
          <t>Materiales</t>
        </is>
      </c>
      <c r="C797" s="7" t="inlineStr">
        <is>
          <t>Domótica e intercomunicadores</t>
        </is>
      </c>
      <c r="D797" s="5" t="inlineStr">
        <is>
          <t>Interruptor inteligente 1 canales</t>
        </is>
      </c>
      <c r="E797" s="5" t="inlineStr">
        <is>
          <t>Necesita neutro en la caja: hay que preverlo antes de cerrar la pared</t>
        </is>
      </c>
      <c r="F797" s="5" t="inlineStr">
        <is>
          <t>Material retirado en almacén</t>
        </is>
      </c>
      <c r="G797" s="5" t="inlineStr">
        <is>
          <t>interruptor wifi, interruptor inteligente</t>
        </is>
      </c>
      <c r="H797" s="7" t="inlineStr">
        <is>
          <t>unidad</t>
        </is>
      </c>
      <c r="I797" s="7" t="inlineStr">
        <is>
          <t>Instalaciones</t>
        </is>
      </c>
      <c r="J797" s="7" t="inlineStr">
        <is>
          <t>estandar</t>
        </is>
      </c>
      <c r="K797" s="7" t="inlineStr">
        <is>
          <t>importado</t>
        </is>
      </c>
      <c r="L797" s="7" t="inlineStr">
        <is>
          <t>Verificado</t>
        </is>
      </c>
      <c r="M797" s="8" t="n">
        <v>1</v>
      </c>
      <c r="N797" s="9" t="n">
        <v>1549.16</v>
      </c>
      <c r="O797" s="9" t="n">
        <v>1089.61</v>
      </c>
      <c r="P797" s="9" t="n">
        <v>2008.71</v>
      </c>
      <c r="Q797" s="7" t="inlineStr">
        <is>
          <t>Sí</t>
        </is>
      </c>
      <c r="R797" s="9">
        <f>IF(N797="","",IF(Q797="Sí",ROUND(N797/1.18,2),N797))</f>
        <v/>
      </c>
      <c r="S797" s="7" t="inlineStr">
        <is>
          <t>2026-09-09</t>
        </is>
      </c>
      <c r="T797" s="5" t="inlineStr">
        <is>
          <t>2 cotizaciones de proveedores</t>
        </is>
      </c>
      <c r="AD797" s="4" t="n">
        <v>1</v>
      </c>
    </row>
    <row r="798">
      <c r="A798" s="7" t="inlineStr">
        <is>
          <t>MAT-31-004</t>
        </is>
      </c>
      <c r="B798" s="7" t="inlineStr">
        <is>
          <t>Materiales</t>
        </is>
      </c>
      <c r="C798" s="7" t="inlineStr">
        <is>
          <t>Domótica e intercomunicadores</t>
        </is>
      </c>
      <c r="D798" s="5" t="inlineStr">
        <is>
          <t>Interruptor inteligente 1 canales con neutro</t>
        </is>
      </c>
      <c r="E798" s="5" t="inlineStr">
        <is>
          <t>Necesita neutro en la caja: hay que preverlo antes de cerrar la pared</t>
        </is>
      </c>
      <c r="F798" s="5" t="inlineStr">
        <is>
          <t>Material retirado en almacén</t>
        </is>
      </c>
      <c r="G798" s="5" t="inlineStr">
        <is>
          <t>interruptor wifi, interruptor inteligente</t>
        </is>
      </c>
      <c r="H798" s="7" t="inlineStr">
        <is>
          <t>unidad</t>
        </is>
      </c>
      <c r="I798" s="7" t="inlineStr">
        <is>
          <t>Instalaciones</t>
        </is>
      </c>
      <c r="J798" s="7" t="inlineStr">
        <is>
          <t>estandar</t>
        </is>
      </c>
      <c r="K798" s="7" t="inlineStr">
        <is>
          <t>importado</t>
        </is>
      </c>
      <c r="L798" s="7" t="inlineStr">
        <is>
          <t>Verificado</t>
        </is>
      </c>
      <c r="M798" s="8" t="n">
        <v>1</v>
      </c>
      <c r="N798" s="9" t="n">
        <v>2892.27</v>
      </c>
      <c r="O798" s="9" t="n">
        <v>2892.27</v>
      </c>
      <c r="P798" s="9" t="n">
        <v>2892.27</v>
      </c>
      <c r="Q798" s="7" t="inlineStr">
        <is>
          <t>Sí</t>
        </is>
      </c>
      <c r="R798" s="9">
        <f>IF(N798="","",IF(Q798="Sí",ROUND(N798/1.18,2),N798))</f>
        <v/>
      </c>
      <c r="S798" s="7" t="inlineStr">
        <is>
          <t>2026-09-09</t>
        </is>
      </c>
      <c r="T798" s="5" t="inlineStr">
        <is>
          <t>1 cotización de proveedores</t>
        </is>
      </c>
      <c r="AD798" s="4" t="n">
        <v>1</v>
      </c>
      <c r="AJ798" s="5" t="inlineStr">
        <is>
          <t>Neutro: con</t>
        </is>
      </c>
    </row>
    <row r="799">
      <c r="A799" s="7" t="inlineStr">
        <is>
          <t>MAT-31-005</t>
        </is>
      </c>
      <c r="B799" s="7" t="inlineStr">
        <is>
          <t>Materiales</t>
        </is>
      </c>
      <c r="C799" s="7" t="inlineStr">
        <is>
          <t>Domótica e intercomunicadores</t>
        </is>
      </c>
      <c r="D799" s="5" t="inlineStr">
        <is>
          <t>Interruptor inteligente 1 canales sin neutro</t>
        </is>
      </c>
      <c r="E799" s="5" t="inlineStr">
        <is>
          <t>Necesita neutro en la caja: hay que preverlo antes de cerrar la pared</t>
        </is>
      </c>
      <c r="F799" s="5" t="inlineStr">
        <is>
          <t>Material retirado en almacén</t>
        </is>
      </c>
      <c r="G799" s="5" t="inlineStr">
        <is>
          <t>interruptor wifi, interruptor inteligente</t>
        </is>
      </c>
      <c r="H799" s="7" t="inlineStr">
        <is>
          <t>unidad</t>
        </is>
      </c>
      <c r="I799" s="7" t="inlineStr">
        <is>
          <t>Instalaciones</t>
        </is>
      </c>
      <c r="J799" s="7" t="inlineStr">
        <is>
          <t>estandar</t>
        </is>
      </c>
      <c r="K799" s="7" t="inlineStr">
        <is>
          <t>importado</t>
        </is>
      </c>
      <c r="L799" s="7" t="inlineStr">
        <is>
          <t>Verificado</t>
        </is>
      </c>
      <c r="M799" s="8" t="n">
        <v>1</v>
      </c>
      <c r="N799" s="9" t="n">
        <v>2958.46</v>
      </c>
      <c r="O799" s="9" t="n">
        <v>2958.46</v>
      </c>
      <c r="P799" s="9" t="n">
        <v>2958.46</v>
      </c>
      <c r="Q799" s="7" t="inlineStr">
        <is>
          <t>Sí</t>
        </is>
      </c>
      <c r="R799" s="9">
        <f>IF(N799="","",IF(Q799="Sí",ROUND(N799/1.18,2),N799))</f>
        <v/>
      </c>
      <c r="S799" s="7" t="inlineStr">
        <is>
          <t>2026-09-09</t>
        </is>
      </c>
      <c r="T799" s="5" t="inlineStr">
        <is>
          <t>1 cotización de proveedores</t>
        </is>
      </c>
      <c r="AD799" s="4" t="n">
        <v>1</v>
      </c>
      <c r="AJ799" s="5" t="inlineStr">
        <is>
          <t>Neutro: sin</t>
        </is>
      </c>
    </row>
    <row r="800">
      <c r="A800" s="7" t="inlineStr">
        <is>
          <t>MAT-31-006</t>
        </is>
      </c>
      <c r="B800" s="7" t="inlineStr">
        <is>
          <t>Materiales</t>
        </is>
      </c>
      <c r="C800" s="7" t="inlineStr">
        <is>
          <t>Domótica e intercomunicadores</t>
        </is>
      </c>
      <c r="D800" s="5" t="inlineStr">
        <is>
          <t>Interruptor inteligente 2 canales</t>
        </is>
      </c>
      <c r="E800" s="5" t="inlineStr">
        <is>
          <t>Necesita neutro en la caja: hay que preverlo antes de cerrar la pared</t>
        </is>
      </c>
      <c r="F800" s="5" t="inlineStr">
        <is>
          <t>Material retirado en almacén</t>
        </is>
      </c>
      <c r="G800" s="5" t="inlineStr">
        <is>
          <t>interruptor wifi, interruptor inteligente</t>
        </is>
      </c>
      <c r="H800" s="7" t="inlineStr">
        <is>
          <t>unidad</t>
        </is>
      </c>
      <c r="I800" s="7" t="inlineStr">
        <is>
          <t>Instalaciones</t>
        </is>
      </c>
      <c r="J800" s="7" t="inlineStr">
        <is>
          <t>estandar</t>
        </is>
      </c>
      <c r="K800" s="7" t="inlineStr">
        <is>
          <t>importado</t>
        </is>
      </c>
      <c r="L800" s="7" t="inlineStr">
        <is>
          <t>Verificado</t>
        </is>
      </c>
      <c r="M800" s="8" t="n">
        <v>1</v>
      </c>
      <c r="N800" s="9" t="n">
        <v>1632.51</v>
      </c>
      <c r="O800" s="9" t="n">
        <v>1210.31</v>
      </c>
      <c r="P800" s="9" t="n">
        <v>2054.7</v>
      </c>
      <c r="Q800" s="7" t="inlineStr">
        <is>
          <t>Sí</t>
        </is>
      </c>
      <c r="R800" s="9">
        <f>IF(N800="","",IF(Q800="Sí",ROUND(N800/1.18,2),N800))</f>
        <v/>
      </c>
      <c r="S800" s="7" t="inlineStr">
        <is>
          <t>2026-09-09</t>
        </is>
      </c>
      <c r="T800" s="5" t="inlineStr">
        <is>
          <t>2 cotizaciones de proveedores</t>
        </is>
      </c>
      <c r="AD800" s="4" t="n">
        <v>2</v>
      </c>
    </row>
    <row r="801">
      <c r="A801" s="7" t="inlineStr">
        <is>
          <t>MAT-31-007</t>
        </is>
      </c>
      <c r="B801" s="7" t="inlineStr">
        <is>
          <t>Materiales</t>
        </is>
      </c>
      <c r="C801" s="7" t="inlineStr">
        <is>
          <t>Domótica e intercomunicadores</t>
        </is>
      </c>
      <c r="D801" s="5" t="inlineStr">
        <is>
          <t>Interruptor inteligente 2 canales con neutro</t>
        </is>
      </c>
      <c r="E801" s="5" t="inlineStr">
        <is>
          <t>Necesita neutro en la caja: hay que preverlo antes de cerrar la pared</t>
        </is>
      </c>
      <c r="F801" s="5" t="inlineStr">
        <is>
          <t>Material retirado en almacén</t>
        </is>
      </c>
      <c r="G801" s="5" t="inlineStr">
        <is>
          <t>interruptor wifi, interruptor inteligente</t>
        </is>
      </c>
      <c r="H801" s="7" t="inlineStr">
        <is>
          <t>unidad</t>
        </is>
      </c>
      <c r="I801" s="7" t="inlineStr">
        <is>
          <t>Instalaciones</t>
        </is>
      </c>
      <c r="J801" s="7" t="inlineStr">
        <is>
          <t>estandar</t>
        </is>
      </c>
      <c r="K801" s="7" t="inlineStr">
        <is>
          <t>importado</t>
        </is>
      </c>
      <c r="L801" s="7" t="inlineStr">
        <is>
          <t>Verificado</t>
        </is>
      </c>
      <c r="M801" s="8" t="n">
        <v>1</v>
      </c>
      <c r="N801" s="9" t="n">
        <v>2743.31</v>
      </c>
      <c r="O801" s="9" t="n">
        <v>2743.31</v>
      </c>
      <c r="P801" s="9" t="n">
        <v>2743.31</v>
      </c>
      <c r="Q801" s="7" t="inlineStr">
        <is>
          <t>Sí</t>
        </is>
      </c>
      <c r="R801" s="9">
        <f>IF(N801="","",IF(Q801="Sí",ROUND(N801/1.18,2),N801))</f>
        <v/>
      </c>
      <c r="S801" s="7" t="inlineStr">
        <is>
          <t>2026-09-09</t>
        </is>
      </c>
      <c r="T801" s="5" t="inlineStr">
        <is>
          <t>1 cotización de proveedores</t>
        </is>
      </c>
      <c r="AD801" s="4" t="n">
        <v>2</v>
      </c>
      <c r="AJ801" s="5" t="inlineStr">
        <is>
          <t>Neutro: con</t>
        </is>
      </c>
    </row>
    <row r="802">
      <c r="A802" s="7" t="inlineStr">
        <is>
          <t>MAT-31-008</t>
        </is>
      </c>
      <c r="B802" s="7" t="inlineStr">
        <is>
          <t>Materiales</t>
        </is>
      </c>
      <c r="C802" s="7" t="inlineStr">
        <is>
          <t>Domótica e intercomunicadores</t>
        </is>
      </c>
      <c r="D802" s="5" t="inlineStr">
        <is>
          <t>Interruptor inteligente 2 canales sin neutro</t>
        </is>
      </c>
      <c r="E802" s="5" t="inlineStr">
        <is>
          <t>Necesita neutro en la caja: hay que preverlo antes de cerrar la pared</t>
        </is>
      </c>
      <c r="F802" s="5" t="inlineStr">
        <is>
          <t>Material retirado en almacén</t>
        </is>
      </c>
      <c r="G802" s="5" t="inlineStr">
        <is>
          <t>interruptor wifi, interruptor inteligente</t>
        </is>
      </c>
      <c r="H802" s="7" t="inlineStr">
        <is>
          <t>unidad</t>
        </is>
      </c>
      <c r="I802" s="7" t="inlineStr">
        <is>
          <t>Instalaciones</t>
        </is>
      </c>
      <c r="J802" s="7" t="inlineStr">
        <is>
          <t>estandar</t>
        </is>
      </c>
      <c r="K802" s="7" t="inlineStr">
        <is>
          <t>importado</t>
        </is>
      </c>
      <c r="L802" s="7" t="inlineStr">
        <is>
          <t>Verificado</t>
        </is>
      </c>
      <c r="M802" s="8" t="n">
        <v>1</v>
      </c>
      <c r="N802" s="9" t="n">
        <v>2743.31</v>
      </c>
      <c r="O802" s="9" t="n">
        <v>2743.31</v>
      </c>
      <c r="P802" s="9" t="n">
        <v>2743.31</v>
      </c>
      <c r="Q802" s="7" t="inlineStr">
        <is>
          <t>Sí</t>
        </is>
      </c>
      <c r="R802" s="9">
        <f>IF(N802="","",IF(Q802="Sí",ROUND(N802/1.18,2),N802))</f>
        <v/>
      </c>
      <c r="S802" s="7" t="inlineStr">
        <is>
          <t>2026-09-09</t>
        </is>
      </c>
      <c r="T802" s="5" t="inlineStr">
        <is>
          <t>1 cotización de proveedores</t>
        </is>
      </c>
      <c r="AD802" s="4" t="n">
        <v>2</v>
      </c>
      <c r="AJ802" s="5" t="inlineStr">
        <is>
          <t>Neutro: sin</t>
        </is>
      </c>
    </row>
    <row r="803">
      <c r="A803" s="7" t="inlineStr">
        <is>
          <t>MAT-31-009</t>
        </is>
      </c>
      <c r="B803" s="7" t="inlineStr">
        <is>
          <t>Materiales</t>
        </is>
      </c>
      <c r="C803" s="7" t="inlineStr">
        <is>
          <t>Domótica e intercomunicadores</t>
        </is>
      </c>
      <c r="D803" s="5" t="inlineStr">
        <is>
          <t>Interruptor inteligente 3 canales</t>
        </is>
      </c>
      <c r="E803" s="5" t="inlineStr">
        <is>
          <t>Necesita neutro en la caja: hay que preverlo antes de cerrar la pared</t>
        </is>
      </c>
      <c r="F803" s="5" t="inlineStr">
        <is>
          <t>Material retirado en almacén</t>
        </is>
      </c>
      <c r="G803" s="5" t="inlineStr">
        <is>
          <t>interruptor wifi, interruptor inteligente</t>
        </is>
      </c>
      <c r="H803" s="7" t="inlineStr">
        <is>
          <t>unidad</t>
        </is>
      </c>
      <c r="I803" s="7" t="inlineStr">
        <is>
          <t>Instalaciones</t>
        </is>
      </c>
      <c r="J803" s="7" t="inlineStr">
        <is>
          <t>estandar</t>
        </is>
      </c>
      <c r="K803" s="7" t="inlineStr">
        <is>
          <t>importado</t>
        </is>
      </c>
      <c r="L803" s="7" t="inlineStr">
        <is>
          <t>Verificado</t>
        </is>
      </c>
      <c r="M803" s="8" t="n">
        <v>1</v>
      </c>
      <c r="N803" s="9" t="n">
        <v>4577.22</v>
      </c>
      <c r="O803" s="9" t="n">
        <v>1497.83</v>
      </c>
      <c r="P803" s="9" t="n">
        <v>7656.61</v>
      </c>
      <c r="Q803" s="7" t="inlineStr">
        <is>
          <t>Sí</t>
        </is>
      </c>
      <c r="R803" s="9">
        <f>IF(N803="","",IF(Q803="Sí",ROUND(N803/1.18,2),N803))</f>
        <v/>
      </c>
      <c r="S803" s="7" t="inlineStr">
        <is>
          <t>2026-09-09</t>
        </is>
      </c>
      <c r="T803" s="5" t="inlineStr">
        <is>
          <t>2 cotizaciones de proveedores</t>
        </is>
      </c>
      <c r="AD803" s="4" t="n">
        <v>3</v>
      </c>
    </row>
    <row r="804">
      <c r="A804" s="7" t="inlineStr">
        <is>
          <t>MAT-31-010</t>
        </is>
      </c>
      <c r="B804" s="7" t="inlineStr">
        <is>
          <t>Materiales</t>
        </is>
      </c>
      <c r="C804" s="7" t="inlineStr">
        <is>
          <t>Domótica e intercomunicadores</t>
        </is>
      </c>
      <c r="D804" s="5" t="inlineStr">
        <is>
          <t>Tomacorriente inteligente</t>
        </is>
      </c>
      <c r="E804" s="5" t="inlineStr"/>
      <c r="F804" s="5" t="inlineStr">
        <is>
          <t>Material retirado en almacén</t>
        </is>
      </c>
      <c r="G804" s="5" t="inlineStr">
        <is>
          <t>tomacorriente smart, enchufe wifi</t>
        </is>
      </c>
      <c r="H804" s="7" t="inlineStr">
        <is>
          <t>unidad</t>
        </is>
      </c>
      <c r="I804" s="7" t="inlineStr">
        <is>
          <t>Instalaciones</t>
        </is>
      </c>
      <c r="J804" s="7" t="inlineStr">
        <is>
          <t>estandar</t>
        </is>
      </c>
      <c r="K804" s="7" t="inlineStr">
        <is>
          <t>importado</t>
        </is>
      </c>
      <c r="L804" s="7" t="inlineStr">
        <is>
          <t>Verificado</t>
        </is>
      </c>
      <c r="M804" s="8" t="n">
        <v>1</v>
      </c>
      <c r="N804" s="9" t="n">
        <v>2368.55</v>
      </c>
      <c r="O804" s="9" t="n">
        <v>294.14</v>
      </c>
      <c r="P804" s="9" t="n">
        <v>5359.63</v>
      </c>
      <c r="Q804" s="7" t="inlineStr">
        <is>
          <t>Sí</t>
        </is>
      </c>
      <c r="R804" s="9">
        <f>IF(N804="","",IF(Q804="Sí",ROUND(N804/1.18,2),N804))</f>
        <v/>
      </c>
      <c r="S804" s="7" t="inlineStr">
        <is>
          <t>2026-09-09</t>
        </is>
      </c>
      <c r="T804" s="5" t="inlineStr">
        <is>
          <t>3 cotizaciones de proveedores</t>
        </is>
      </c>
    </row>
    <row r="805">
      <c r="A805" s="7" t="inlineStr">
        <is>
          <t>MAT-31-011</t>
        </is>
      </c>
      <c r="B805" s="7" t="inlineStr">
        <is>
          <t>Materiales</t>
        </is>
      </c>
      <c r="C805" s="7" t="inlineStr">
        <is>
          <t>Domótica e intercomunicadores</t>
        </is>
      </c>
      <c r="D805" s="5" t="inlineStr">
        <is>
          <t>Central de domótica</t>
        </is>
      </c>
      <c r="E805" s="5" t="inlineStr"/>
      <c r="F805" s="5" t="inlineStr">
        <is>
          <t>Material retirado en almacén</t>
        </is>
      </c>
      <c r="G805" s="5" t="inlineStr">
        <is>
          <t>hub, gateway, central inteligente</t>
        </is>
      </c>
      <c r="H805" s="7" t="inlineStr">
        <is>
          <t>unidad</t>
        </is>
      </c>
      <c r="I805" s="7" t="inlineStr">
        <is>
          <t>Instalaciones</t>
        </is>
      </c>
      <c r="J805" s="7" t="inlineStr">
        <is>
          <t>estandar</t>
        </is>
      </c>
      <c r="K805" s="7" t="inlineStr">
        <is>
          <t>importado</t>
        </is>
      </c>
      <c r="L805" s="7" t="inlineStr">
        <is>
          <t>Verificado</t>
        </is>
      </c>
      <c r="M805" s="8" t="n">
        <v>1</v>
      </c>
      <c r="N805" s="9" t="n">
        <v>5847.29</v>
      </c>
      <c r="O805" s="9" t="n">
        <v>1143.26</v>
      </c>
      <c r="P805" s="9" t="n">
        <v>85380.83</v>
      </c>
      <c r="Q805" s="7" t="inlineStr">
        <is>
          <t>Sí</t>
        </is>
      </c>
      <c r="R805" s="9">
        <f>IF(N805="","",IF(Q805="Sí",ROUND(N805/1.18,2),N805))</f>
        <v/>
      </c>
      <c r="S805" s="7" t="inlineStr">
        <is>
          <t>2026-09-09</t>
        </is>
      </c>
      <c r="T805" s="5" t="inlineStr">
        <is>
          <t>22 cotizaciones de proveedores</t>
        </is>
      </c>
    </row>
    <row r="806">
      <c r="A806" s="7" t="inlineStr">
        <is>
          <t>MAT-31-012</t>
        </is>
      </c>
      <c r="B806" s="7" t="inlineStr">
        <is>
          <t>Materiales</t>
        </is>
      </c>
      <c r="C806" s="7" t="inlineStr">
        <is>
          <t>Domótica e intercomunicadores</t>
        </is>
      </c>
      <c r="D806" s="5" t="inlineStr">
        <is>
          <t>Kit de intercomunicador 4 apartamentos con video</t>
        </is>
      </c>
      <c r="E806" s="5" t="inlineStr"/>
      <c r="F806" s="5" t="inlineStr">
        <is>
          <t>Material retirado en almacén</t>
        </is>
      </c>
      <c r="G806" s="5" t="inlineStr">
        <is>
          <t>intercomunicador, videoportero</t>
        </is>
      </c>
      <c r="H806" s="7" t="inlineStr">
        <is>
          <t>juego</t>
        </is>
      </c>
      <c r="I806" s="7" t="inlineStr">
        <is>
          <t>Instalaciones</t>
        </is>
      </c>
      <c r="J806" s="7" t="inlineStr">
        <is>
          <t>estandar</t>
        </is>
      </c>
      <c r="K806" s="7" t="inlineStr">
        <is>
          <t>importado</t>
        </is>
      </c>
      <c r="L806" s="7" t="inlineStr">
        <is>
          <t>Verificado</t>
        </is>
      </c>
      <c r="M806" s="8" t="n">
        <v>1</v>
      </c>
      <c r="N806" s="9" t="n">
        <v>32009.7</v>
      </c>
      <c r="O806" s="9" t="n">
        <v>32009.7</v>
      </c>
      <c r="P806" s="9" t="n">
        <v>32009.7</v>
      </c>
      <c r="Q806" s="7" t="inlineStr">
        <is>
          <t>Sí</t>
        </is>
      </c>
      <c r="R806" s="9">
        <f>IF(N806="","",IF(Q806="Sí",ROUND(N806/1.18,2),N806))</f>
        <v/>
      </c>
      <c r="S806" s="7" t="inlineStr">
        <is>
          <t>2026-09-09</t>
        </is>
      </c>
      <c r="T806" s="5" t="inlineStr">
        <is>
          <t>1 cotización de proveedores</t>
        </is>
      </c>
      <c r="AJ806" s="5" t="inlineStr">
        <is>
          <t>Apartamentos: 4 · Video: si</t>
        </is>
      </c>
    </row>
    <row r="807">
      <c r="A807" s="7" t="inlineStr">
        <is>
          <t>MAT-31-013</t>
        </is>
      </c>
      <c r="B807" s="7" t="inlineStr">
        <is>
          <t>Materiales</t>
        </is>
      </c>
      <c r="C807" s="7" t="inlineStr">
        <is>
          <t>Domótica e intercomunicadores</t>
        </is>
      </c>
      <c r="D807" s="5" t="inlineStr">
        <is>
          <t>Kit de intercomunicador 6 apartamentos con video</t>
        </is>
      </c>
      <c r="E807" s="5" t="inlineStr"/>
      <c r="F807" s="5" t="inlineStr">
        <is>
          <t>Material retirado en almacén</t>
        </is>
      </c>
      <c r="G807" s="5" t="inlineStr">
        <is>
          <t>intercomunicador, videoportero</t>
        </is>
      </c>
      <c r="H807" s="7" t="inlineStr">
        <is>
          <t>juego</t>
        </is>
      </c>
      <c r="I807" s="7" t="inlineStr">
        <is>
          <t>Instalaciones</t>
        </is>
      </c>
      <c r="J807" s="7" t="inlineStr">
        <is>
          <t>estandar</t>
        </is>
      </c>
      <c r="K807" s="7" t="inlineStr">
        <is>
          <t>importado</t>
        </is>
      </c>
      <c r="L807" s="7" t="inlineStr">
        <is>
          <t>Verificado</t>
        </is>
      </c>
      <c r="M807" s="8" t="n">
        <v>1</v>
      </c>
      <c r="N807" s="9" t="n">
        <v>41504.58</v>
      </c>
      <c r="O807" s="9" t="n">
        <v>41504.58</v>
      </c>
      <c r="P807" s="9" t="n">
        <v>41504.58</v>
      </c>
      <c r="Q807" s="7" t="inlineStr">
        <is>
          <t>Sí</t>
        </is>
      </c>
      <c r="R807" s="9">
        <f>IF(N807="","",IF(Q807="Sí",ROUND(N807/1.18,2),N807))</f>
        <v/>
      </c>
      <c r="S807" s="7" t="inlineStr">
        <is>
          <t>2026-09-09</t>
        </is>
      </c>
      <c r="T807" s="5" t="inlineStr">
        <is>
          <t>1 cotización de proveedores</t>
        </is>
      </c>
      <c r="AJ807" s="5" t="inlineStr">
        <is>
          <t>Apartamentos: 6 · Video: si</t>
        </is>
      </c>
    </row>
    <row r="808">
      <c r="A808" s="7" t="inlineStr">
        <is>
          <t>MAT-31-014</t>
        </is>
      </c>
      <c r="B808" s="7" t="inlineStr">
        <is>
          <t>Materiales</t>
        </is>
      </c>
      <c r="C808" s="7" t="inlineStr">
        <is>
          <t>Domótica e intercomunicadores</t>
        </is>
      </c>
      <c r="D808" s="5" t="inlineStr">
        <is>
          <t>Kit de intercomunicador 8 apartamentos solo audio</t>
        </is>
      </c>
      <c r="E808" s="5" t="inlineStr"/>
      <c r="F808" s="5" t="inlineStr">
        <is>
          <t>Material retirado en almacén</t>
        </is>
      </c>
      <c r="G808" s="5" t="inlineStr">
        <is>
          <t>intercomunicador, videoportero</t>
        </is>
      </c>
      <c r="H808" s="7" t="inlineStr">
        <is>
          <t>juego</t>
        </is>
      </c>
      <c r="I808" s="7" t="inlineStr">
        <is>
          <t>Instalaciones</t>
        </is>
      </c>
      <c r="J808" s="7" t="inlineStr">
        <is>
          <t>estandar</t>
        </is>
      </c>
      <c r="K808" s="7" t="inlineStr">
        <is>
          <t>importado</t>
        </is>
      </c>
      <c r="L808" s="7" t="inlineStr">
        <is>
          <t>Verificado</t>
        </is>
      </c>
      <c r="M808" s="8" t="n">
        <v>1</v>
      </c>
      <c r="N808" s="9" t="n">
        <v>16951.2</v>
      </c>
      <c r="O808" s="9" t="n">
        <v>16951.2</v>
      </c>
      <c r="P808" s="9" t="n">
        <v>16951.2</v>
      </c>
      <c r="Q808" s="7" t="inlineStr">
        <is>
          <t>Sí</t>
        </is>
      </c>
      <c r="R808" s="9">
        <f>IF(N808="","",IF(Q808="Sí",ROUND(N808/1.18,2),N808))</f>
        <v/>
      </c>
      <c r="S808" s="7" t="inlineStr">
        <is>
          <t>2026-09-09</t>
        </is>
      </c>
      <c r="T808" s="5" t="inlineStr">
        <is>
          <t>1 cotización de proveedores</t>
        </is>
      </c>
      <c r="AJ808" s="5" t="inlineStr">
        <is>
          <t>Apartamentos: 8 · Video: no</t>
        </is>
      </c>
    </row>
    <row r="809">
      <c r="A809" s="7" t="inlineStr">
        <is>
          <t>MAT-31-015</t>
        </is>
      </c>
      <c r="B809" s="7" t="inlineStr">
        <is>
          <t>Materiales</t>
        </is>
      </c>
      <c r="C809" s="7" t="inlineStr">
        <is>
          <t>Domótica e intercomunicadores</t>
        </is>
      </c>
      <c r="D809" s="5" t="inlineStr">
        <is>
          <t>Kit de intercomunicador 8 apartamentos con video</t>
        </is>
      </c>
      <c r="E809" s="5" t="inlineStr"/>
      <c r="F809" s="5" t="inlineStr">
        <is>
          <t>Material retirado en almacén</t>
        </is>
      </c>
      <c r="G809" s="5" t="inlineStr">
        <is>
          <t>intercomunicador, videoportero</t>
        </is>
      </c>
      <c r="H809" s="7" t="inlineStr">
        <is>
          <t>juego</t>
        </is>
      </c>
      <c r="I809" s="7" t="inlineStr">
        <is>
          <t>Instalaciones</t>
        </is>
      </c>
      <c r="J809" s="7" t="inlineStr">
        <is>
          <t>estandar</t>
        </is>
      </c>
      <c r="K809" s="7" t="inlineStr">
        <is>
          <t>importado</t>
        </is>
      </c>
      <c r="L809" s="7" t="inlineStr">
        <is>
          <t>Verificado</t>
        </is>
      </c>
      <c r="M809" s="8" t="n">
        <v>1</v>
      </c>
      <c r="N809" s="9" t="n">
        <v>50715.2</v>
      </c>
      <c r="O809" s="9" t="n">
        <v>50715.2</v>
      </c>
      <c r="P809" s="9" t="n">
        <v>50715.2</v>
      </c>
      <c r="Q809" s="7" t="inlineStr">
        <is>
          <t>Sí</t>
        </is>
      </c>
      <c r="R809" s="9">
        <f>IF(N809="","",IF(Q809="Sí",ROUND(N809/1.18,2),N809))</f>
        <v/>
      </c>
      <c r="S809" s="7" t="inlineStr">
        <is>
          <t>2026-09-09</t>
        </is>
      </c>
      <c r="T809" s="5" t="inlineStr">
        <is>
          <t>1 cotización de proveedores</t>
        </is>
      </c>
      <c r="AJ809" s="5" t="inlineStr">
        <is>
          <t>Apartamentos: 8 · Video: si</t>
        </is>
      </c>
    </row>
    <row r="810">
      <c r="A810" s="7" t="inlineStr">
        <is>
          <t>MAT-31-016</t>
        </is>
      </c>
      <c r="B810" s="7" t="inlineStr">
        <is>
          <t>Materiales</t>
        </is>
      </c>
      <c r="C810" s="7" t="inlineStr">
        <is>
          <t>Domótica e intercomunicadores</t>
        </is>
      </c>
      <c r="D810" s="5" t="inlineStr">
        <is>
          <t>Kit de intercomunicador con video</t>
        </is>
      </c>
      <c r="E810" s="5" t="inlineStr"/>
      <c r="F810" s="5" t="inlineStr">
        <is>
          <t>Material retirado en almacén</t>
        </is>
      </c>
      <c r="G810" s="5" t="inlineStr">
        <is>
          <t>intercomunicador, videoportero</t>
        </is>
      </c>
      <c r="H810" s="7" t="inlineStr">
        <is>
          <t>juego</t>
        </is>
      </c>
      <c r="I810" s="7" t="inlineStr">
        <is>
          <t>Instalaciones</t>
        </is>
      </c>
      <c r="J810" s="7" t="inlineStr">
        <is>
          <t>estandar</t>
        </is>
      </c>
      <c r="K810" s="7" t="inlineStr">
        <is>
          <t>importado</t>
        </is>
      </c>
      <c r="L810" s="7" t="inlineStr">
        <is>
          <t>Verificado</t>
        </is>
      </c>
      <c r="M810" s="8" t="n">
        <v>1</v>
      </c>
      <c r="N810" s="9" t="n">
        <v>12858.25</v>
      </c>
      <c r="O810" s="9" t="n">
        <v>8802.870000000001</v>
      </c>
      <c r="P810" s="9" t="n">
        <v>22538.2</v>
      </c>
      <c r="Q810" s="7" t="inlineStr">
        <is>
          <t>Sí</t>
        </is>
      </c>
      <c r="R810" s="9">
        <f>IF(N810="","",IF(Q810="Sí",ROUND(N810/1.18,2),N810))</f>
        <v/>
      </c>
      <c r="S810" s="7" t="inlineStr">
        <is>
          <t>2026-09-09</t>
        </is>
      </c>
      <c r="T810" s="5" t="inlineStr">
        <is>
          <t>4 cotizaciones de proveedores</t>
        </is>
      </c>
      <c r="AJ810" s="5" t="inlineStr">
        <is>
          <t>Video: si</t>
        </is>
      </c>
    </row>
    <row r="811">
      <c r="A811" s="7" t="inlineStr">
        <is>
          <t>MAT-31-017</t>
        </is>
      </c>
      <c r="B811" s="7" t="inlineStr">
        <is>
          <t>Materiales</t>
        </is>
      </c>
      <c r="C811" s="7" t="inlineStr">
        <is>
          <t>Domótica e intercomunicadores</t>
        </is>
      </c>
      <c r="D811" s="5" t="inlineStr">
        <is>
          <t>Estación de intercomunicador</t>
        </is>
      </c>
      <c r="E811" s="5" t="inlineStr"/>
      <c r="F811" s="5" t="inlineStr">
        <is>
          <t>Material retirado en almacén</t>
        </is>
      </c>
      <c r="G811" s="5" t="inlineStr">
        <is>
          <t>monitor de intercom, estación interior</t>
        </is>
      </c>
      <c r="H811" s="7" t="inlineStr">
        <is>
          <t>unidad</t>
        </is>
      </c>
      <c r="I811" s="7" t="inlineStr">
        <is>
          <t>Instalaciones</t>
        </is>
      </c>
      <c r="J811" s="7" t="inlineStr">
        <is>
          <t>estandar</t>
        </is>
      </c>
      <c r="K811" s="7" t="inlineStr">
        <is>
          <t>importado</t>
        </is>
      </c>
      <c r="L811" s="7" t="inlineStr">
        <is>
          <t>Verificado</t>
        </is>
      </c>
      <c r="M811" s="8" t="n">
        <v>1</v>
      </c>
      <c r="N811" s="9" t="n">
        <v>9200.34</v>
      </c>
      <c r="O811" s="9" t="n">
        <v>9200.34</v>
      </c>
      <c r="P811" s="9" t="n">
        <v>9200.34</v>
      </c>
      <c r="Q811" s="7" t="inlineStr">
        <is>
          <t>Sí</t>
        </is>
      </c>
      <c r="R811" s="9">
        <f>IF(N811="","",IF(Q811="Sí",ROUND(N811/1.18,2),N811))</f>
        <v/>
      </c>
      <c r="S811" s="7" t="inlineStr">
        <is>
          <t>2026-09-09</t>
        </is>
      </c>
      <c r="T811" s="5" t="inlineStr">
        <is>
          <t>1 cotización de proveedores</t>
        </is>
      </c>
    </row>
    <row r="812">
      <c r="A812" s="7" t="inlineStr">
        <is>
          <t>MAT-31-018</t>
        </is>
      </c>
      <c r="B812" s="7" t="inlineStr">
        <is>
          <t>Materiales</t>
        </is>
      </c>
      <c r="C812" s="7" t="inlineStr">
        <is>
          <t>Domótica e intercomunicadores</t>
        </is>
      </c>
      <c r="D812" s="5" t="inlineStr">
        <is>
          <t>Estación de intercomunicador 7"</t>
        </is>
      </c>
      <c r="E812" s="5" t="inlineStr"/>
      <c r="F812" s="5" t="inlineStr">
        <is>
          <t>Material retirado en almacén</t>
        </is>
      </c>
      <c r="G812" s="5" t="inlineStr">
        <is>
          <t>monitor de intercom, estación interior</t>
        </is>
      </c>
      <c r="H812" s="7" t="inlineStr">
        <is>
          <t>unidad</t>
        </is>
      </c>
      <c r="I812" s="7" t="inlineStr">
        <is>
          <t>Instalaciones</t>
        </is>
      </c>
      <c r="J812" s="7" t="inlineStr">
        <is>
          <t>estandar</t>
        </is>
      </c>
      <c r="K812" s="7" t="inlineStr">
        <is>
          <t>importado</t>
        </is>
      </c>
      <c r="L812" s="7" t="inlineStr">
        <is>
          <t>Verificado</t>
        </is>
      </c>
      <c r="M812" s="8" t="n">
        <v>1</v>
      </c>
      <c r="N812" s="9" t="n">
        <v>14861.01</v>
      </c>
      <c r="O812" s="9" t="n">
        <v>14861.01</v>
      </c>
      <c r="P812" s="9" t="n">
        <v>14861.01</v>
      </c>
      <c r="Q812" s="7" t="inlineStr">
        <is>
          <t>Sí</t>
        </is>
      </c>
      <c r="R812" s="9">
        <f>IF(N812="","",IF(Q812="Sí",ROUND(N812/1.18,2),N812))</f>
        <v/>
      </c>
      <c r="S812" s="7" t="inlineStr">
        <is>
          <t>2026-09-09</t>
        </is>
      </c>
      <c r="T812" s="5" t="inlineStr">
        <is>
          <t>1 cotización de proveedores</t>
        </is>
      </c>
      <c r="AJ812" s="5" t="inlineStr">
        <is>
          <t>Pulgadas: 7</t>
        </is>
      </c>
    </row>
    <row r="813">
      <c r="A813" s="7" t="inlineStr">
        <is>
          <t>MAT-31-019</t>
        </is>
      </c>
      <c r="B813" s="7" t="inlineStr">
        <is>
          <t>Materiales</t>
        </is>
      </c>
      <c r="C813" s="7" t="inlineStr">
        <is>
          <t>Domótica e intercomunicadores</t>
        </is>
      </c>
      <c r="D813" s="5" t="inlineStr">
        <is>
          <t>Accesorio de intercomunicador</t>
        </is>
      </c>
      <c r="E813" s="5" t="inlineStr"/>
      <c r="F813" s="5" t="inlineStr">
        <is>
          <t>Material retirado en almacén</t>
        </is>
      </c>
      <c r="G813" s="5" t="inlineStr">
        <is>
          <t>módulo, cubierta, fuente de intercom</t>
        </is>
      </c>
      <c r="H813" s="7" t="inlineStr">
        <is>
          <t>unidad</t>
        </is>
      </c>
      <c r="I813" s="7" t="inlineStr">
        <is>
          <t>Instalaciones</t>
        </is>
      </c>
      <c r="J813" s="7" t="inlineStr">
        <is>
          <t>estandar</t>
        </is>
      </c>
      <c r="K813" s="7" t="inlineStr">
        <is>
          <t>importado</t>
        </is>
      </c>
      <c r="L813" s="7" t="inlineStr">
        <is>
          <t>Verificado</t>
        </is>
      </c>
      <c r="M813" s="8" t="n">
        <v>1</v>
      </c>
      <c r="N813" s="9" t="n">
        <v>1765.47</v>
      </c>
      <c r="O813" s="9" t="n">
        <v>305.08</v>
      </c>
      <c r="P813" s="9" t="n">
        <v>11519.81</v>
      </c>
      <c r="Q813" s="7" t="inlineStr">
        <is>
          <t>Sí</t>
        </is>
      </c>
      <c r="R813" s="9">
        <f>IF(N813="","",IF(Q813="Sí",ROUND(N813/1.18,2),N813))</f>
        <v/>
      </c>
      <c r="S813" s="7" t="inlineStr">
        <is>
          <t>2026-09-09</t>
        </is>
      </c>
      <c r="T813" s="5" t="inlineStr">
        <is>
          <t>11 cotizaciones de proveedores</t>
        </is>
      </c>
    </row>
  </sheetData>
  <autoFilter ref="A1:AJ81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28"/>
  <sheetViews>
    <sheetView workbookViewId="0">
      <pane ySplit="1" topLeftCell="A2" activePane="bottomLeft" state="frozen"/>
      <selection pane="bottomLeft" activeCell="A1" sqref="A1"/>
    </sheetView>
  </sheetViews>
  <sheetFormatPr baseColWidth="8" defaultRowHeight="15"/>
  <cols>
    <col width="13" customWidth="1" min="1" max="1"/>
    <col width="46" customWidth="1" min="2" max="2"/>
    <col width="12" customWidth="1" min="3" max="3"/>
    <col width="17" customWidth="1" min="4" max="4"/>
    <col width="17" customWidth="1" min="5" max="5"/>
    <col width="17" customWidth="1" min="6" max="6"/>
    <col width="13" customWidth="1" min="7" max="7"/>
    <col width="13" customWidth="1" min="8" max="8"/>
    <col width="13" customWidth="1" min="9" max="9"/>
    <col width="11" customWidth="1" min="10" max="10"/>
    <col width="24" customWidth="1" min="11" max="11"/>
    <col width="15" customWidth="1" min="12" max="12"/>
    <col width="11" customWidth="1" min="13" max="13"/>
  </cols>
  <sheetData>
    <row r="1" ht="30" customHeight="1">
      <c r="A1" s="6" t="inlineStr">
        <is>
          <t>Código</t>
        </is>
      </c>
      <c r="B1" s="6" t="inlineStr">
        <is>
          <t>Ítem</t>
        </is>
      </c>
      <c r="C1" s="6" t="inlineStr">
        <is>
          <t>Unidad</t>
        </is>
      </c>
      <c r="D1" s="6" t="inlineStr">
        <is>
          <t>Ferretería Ochoa (8A)</t>
        </is>
      </c>
      <c r="E1" s="6" t="inlineStr">
        <is>
          <t>InnovaCentro (La Innovación)</t>
        </is>
      </c>
      <c r="F1" s="6" t="inlineStr">
        <is>
          <t>Ferremix (Grupo Alterra)</t>
        </is>
      </c>
      <c r="G1" s="6" t="inlineStr">
        <is>
          <t>Mínimo (RD$)</t>
        </is>
      </c>
      <c r="H1" s="6" t="inlineStr">
        <is>
          <t>Mediana (RD$)</t>
        </is>
      </c>
      <c r="I1" s="6" t="inlineStr">
        <is>
          <t>Máximo (RD$)</t>
        </is>
      </c>
      <c r="J1" s="6" t="inlineStr">
        <is>
          <t>Dispersión</t>
        </is>
      </c>
      <c r="K1" s="6" t="inlineStr">
        <is>
          <t>Más barato</t>
        </is>
      </c>
      <c r="L1" s="6" t="inlineStr">
        <is>
          <t>Referencia del sitio (RD$)</t>
        </is>
      </c>
      <c r="M1" s="6" t="inlineStr">
        <is>
          <t>Cotizaciones</t>
        </is>
      </c>
    </row>
    <row r="2">
      <c r="A2" s="4" t="inlineStr">
        <is>
          <t>MAT-02-001</t>
        </is>
      </c>
      <c r="B2" s="5" t="inlineStr">
        <is>
          <t>Cemento gris portland, funda 42.5 kg</t>
        </is>
      </c>
      <c r="C2" s="4" t="inlineStr">
        <is>
          <t>funda</t>
        </is>
      </c>
      <c r="D2" s="10" t="n"/>
      <c r="E2" s="10" t="n">
        <v>655</v>
      </c>
      <c r="F2" s="10" t="n">
        <v>535</v>
      </c>
      <c r="G2" s="10">
        <f>IF(COUNT(D2:F2)=0,"",MIN(D2:F2))</f>
        <v/>
      </c>
      <c r="H2" s="10">
        <f>IF(COUNT(D2:F2)=0,"",MEDIAN(D2:F2))</f>
        <v/>
      </c>
      <c r="I2" s="10">
        <f>IF(COUNT(D2:F2)=0,"",MAX(D2:F2))</f>
        <v/>
      </c>
      <c r="J2" s="11">
        <f>IF(OR(G2="",G2=0),"",(I2-G2)/G2)</f>
        <v/>
      </c>
      <c r="K2" s="4">
        <f>IF(COUNT(D2:F2)=0,"",INDEX($D$1:$F$1,MATCH(MIN(D2:F2),D2:F2,0)))</f>
        <v/>
      </c>
      <c r="L2" s="10" t="n">
        <v>595</v>
      </c>
      <c r="M2" s="12" t="n">
        <v>2</v>
      </c>
    </row>
    <row r="3">
      <c r="A3" s="4" t="inlineStr">
        <is>
          <t>MAT-02-002</t>
        </is>
      </c>
      <c r="B3" s="5" t="inlineStr">
        <is>
          <t>Cemento blanco, funda 25 kg</t>
        </is>
      </c>
      <c r="C3" s="4" t="inlineStr">
        <is>
          <t>funda</t>
        </is>
      </c>
      <c r="D3" s="10" t="n"/>
      <c r="E3" s="10" t="n">
        <v>755</v>
      </c>
      <c r="F3" s="10" t="n"/>
      <c r="G3" s="10">
        <f>IF(COUNT(D3:F3)=0,"",MIN(D3:F3))</f>
        <v/>
      </c>
      <c r="H3" s="10">
        <f>IF(COUNT(D3:F3)=0,"",MEDIAN(D3:F3))</f>
        <v/>
      </c>
      <c r="I3" s="10">
        <f>IF(COUNT(D3:F3)=0,"",MAX(D3:F3))</f>
        <v/>
      </c>
      <c r="J3" s="11">
        <f>IF(OR(G3="",G3=0),"",(I3-G3)/G3)</f>
        <v/>
      </c>
      <c r="K3" s="4">
        <f>IF(COUNT(D3:F3)=0,"",INDEX($D$1:$F$1,MATCH(MIN(D3:F3),D3:F3,0)))</f>
        <v/>
      </c>
      <c r="L3" s="10" t="n">
        <v>755</v>
      </c>
      <c r="M3" s="12" t="n">
        <v>1</v>
      </c>
    </row>
    <row r="4">
      <c r="A4" s="4" t="inlineStr">
        <is>
          <t>MAT-02-003</t>
        </is>
      </c>
      <c r="B4" s="5" t="inlineStr">
        <is>
          <t>Cemento blanco, funda 40 kg</t>
        </is>
      </c>
      <c r="C4" s="4" t="inlineStr">
        <is>
          <t>funda</t>
        </is>
      </c>
      <c r="D4" s="10" t="n">
        <v>1130.86</v>
      </c>
      <c r="E4" s="10" t="n">
        <v>1295</v>
      </c>
      <c r="F4" s="10" t="n"/>
      <c r="G4" s="10">
        <f>IF(COUNT(D4:F4)=0,"",MIN(D4:F4))</f>
        <v/>
      </c>
      <c r="H4" s="10">
        <f>IF(COUNT(D4:F4)=0,"",MEDIAN(D4:F4))</f>
        <v/>
      </c>
      <c r="I4" s="10">
        <f>IF(COUNT(D4:F4)=0,"",MAX(D4:F4))</f>
        <v/>
      </c>
      <c r="J4" s="11">
        <f>IF(OR(G4="",G4=0),"",(I4-G4)/G4)</f>
        <v/>
      </c>
      <c r="K4" s="4">
        <f>IF(COUNT(D4:F4)=0,"",INDEX($D$1:$F$1,MATCH(MIN(D4:F4),D4:F4,0)))</f>
        <v/>
      </c>
      <c r="L4" s="10" t="n">
        <v>1178.7</v>
      </c>
      <c r="M4" s="12" t="n">
        <v>2</v>
      </c>
    </row>
    <row r="5">
      <c r="A5" s="4" t="inlineStr">
        <is>
          <t>MAT-02-004</t>
        </is>
      </c>
      <c r="B5" s="5" t="inlineStr">
        <is>
          <t>Cal hidratada, funda 20 kg</t>
        </is>
      </c>
      <c r="C5" s="4" t="inlineStr">
        <is>
          <t>funda</t>
        </is>
      </c>
      <c r="D5" s="10" t="n">
        <v>437.31</v>
      </c>
      <c r="E5" s="10" t="n">
        <v>570</v>
      </c>
      <c r="F5" s="10" t="n"/>
      <c r="G5" s="10">
        <f>IF(COUNT(D5:F5)=0,"",MIN(D5:F5))</f>
        <v/>
      </c>
      <c r="H5" s="10">
        <f>IF(COUNT(D5:F5)=0,"",MEDIAN(D5:F5))</f>
        <v/>
      </c>
      <c r="I5" s="10">
        <f>IF(COUNT(D5:F5)=0,"",MAX(D5:F5))</f>
        <v/>
      </c>
      <c r="J5" s="11">
        <f>IF(OR(G5="",G5=0),"",(I5-G5)/G5)</f>
        <v/>
      </c>
      <c r="K5" s="4">
        <f>IF(COUNT(D5:F5)=0,"",INDEX($D$1:$F$1,MATCH(MIN(D5:F5),D5:F5,0)))</f>
        <v/>
      </c>
      <c r="L5" s="10" t="n">
        <v>503.66</v>
      </c>
      <c r="M5" s="12" t="n">
        <v>2</v>
      </c>
    </row>
    <row r="6">
      <c r="A6" s="4" t="inlineStr">
        <is>
          <t>MAT-02-007</t>
        </is>
      </c>
      <c r="B6" s="5" t="inlineStr">
        <is>
          <t>Pegamento de cerámica blanco, funda 22.7 kg</t>
        </is>
      </c>
      <c r="C6" s="4" t="inlineStr">
        <is>
          <t>funda</t>
        </is>
      </c>
      <c r="D6" s="10" t="n"/>
      <c r="E6" s="10" t="n">
        <v>1054</v>
      </c>
      <c r="F6" s="10" t="n"/>
      <c r="G6" s="10">
        <f>IF(COUNT(D6:F6)=0,"",MIN(D6:F6))</f>
        <v/>
      </c>
      <c r="H6" s="10">
        <f>IF(COUNT(D6:F6)=0,"",MEDIAN(D6:F6))</f>
        <v/>
      </c>
      <c r="I6" s="10">
        <f>IF(COUNT(D6:F6)=0,"",MAX(D6:F6))</f>
        <v/>
      </c>
      <c r="J6" s="11">
        <f>IF(OR(G6="",G6=0),"",(I6-G6)/G6)</f>
        <v/>
      </c>
      <c r="K6" s="4">
        <f>IF(COUNT(D6:F6)=0,"",INDEX($D$1:$F$1,MATCH(MIN(D6:F6),D6:F6,0)))</f>
        <v/>
      </c>
      <c r="L6" s="10" t="n">
        <v>1054</v>
      </c>
      <c r="M6" s="12" t="n">
        <v>1</v>
      </c>
    </row>
    <row r="7">
      <c r="A7" s="4" t="inlineStr">
        <is>
          <t>MAT-02-009</t>
        </is>
      </c>
      <c r="B7" s="5" t="inlineStr">
        <is>
          <t>Mortero predosificado de pañete, funda 42.5 kg</t>
        </is>
      </c>
      <c r="C7" s="4" t="inlineStr">
        <is>
          <t>funda</t>
        </is>
      </c>
      <c r="D7" s="10" t="n"/>
      <c r="E7" s="10" t="n">
        <v>330</v>
      </c>
      <c r="F7" s="10" t="n"/>
      <c r="G7" s="10">
        <f>IF(COUNT(D7:F7)=0,"",MIN(D7:F7))</f>
        <v/>
      </c>
      <c r="H7" s="10">
        <f>IF(COUNT(D7:F7)=0,"",MEDIAN(D7:F7))</f>
        <v/>
      </c>
      <c r="I7" s="10">
        <f>IF(COUNT(D7:F7)=0,"",MAX(D7:F7))</f>
        <v/>
      </c>
      <c r="J7" s="11">
        <f>IF(OR(G7="",G7=0),"",(I7-G7)/G7)</f>
        <v/>
      </c>
      <c r="K7" s="4">
        <f>IF(COUNT(D7:F7)=0,"",INDEX($D$1:$F$1,MATCH(MIN(D7:F7),D7:F7,0)))</f>
        <v/>
      </c>
      <c r="L7" s="10" t="n">
        <v>357</v>
      </c>
      <c r="M7" s="12" t="n">
        <v>1</v>
      </c>
    </row>
    <row r="8">
      <c r="A8" s="4" t="inlineStr">
        <is>
          <t>MAT-04-001</t>
        </is>
      </c>
      <c r="B8" s="5" t="inlineStr">
        <is>
          <t>Varilla corrugada 3/8" x 20 pies</t>
        </is>
      </c>
      <c r="C8" s="4" t="inlineStr">
        <is>
          <t>unidad</t>
        </is>
      </c>
      <c r="D8" s="10" t="n"/>
      <c r="E8" s="10" t="n"/>
      <c r="F8" s="10" t="n">
        <v>442.77</v>
      </c>
      <c r="G8" s="10">
        <f>IF(COUNT(D8:F8)=0,"",MIN(D8:F8))</f>
        <v/>
      </c>
      <c r="H8" s="10">
        <f>IF(COUNT(D8:F8)=0,"",MEDIAN(D8:F8))</f>
        <v/>
      </c>
      <c r="I8" s="10">
        <f>IF(COUNT(D8:F8)=0,"",MAX(D8:F8))</f>
        <v/>
      </c>
      <c r="J8" s="11">
        <f>IF(OR(G8="",G8=0),"",(I8-G8)/G8)</f>
        <v/>
      </c>
      <c r="K8" s="4">
        <f>IF(COUNT(D8:F8)=0,"",INDEX($D$1:$F$1,MATCH(MIN(D8:F8),D8:F8,0)))</f>
        <v/>
      </c>
      <c r="L8" s="10" t="n">
        <v>442.77</v>
      </c>
      <c r="M8" s="12" t="n">
        <v>1</v>
      </c>
    </row>
    <row r="9">
      <c r="A9" s="4" t="inlineStr">
        <is>
          <t>MAT-04-008</t>
        </is>
      </c>
      <c r="B9" s="5" t="inlineStr">
        <is>
          <t>Malla electrosoldada D2.3, retícula 10 x 10, rollo</t>
        </is>
      </c>
      <c r="C9" s="4" t="inlineStr">
        <is>
          <t>rollo</t>
        </is>
      </c>
      <c r="D9" s="10" t="n">
        <v>17130.85</v>
      </c>
      <c r="E9" s="10" t="n"/>
      <c r="F9" s="10" t="n"/>
      <c r="G9" s="10">
        <f>IF(COUNT(D9:F9)=0,"",MIN(D9:F9))</f>
        <v/>
      </c>
      <c r="H9" s="10">
        <f>IF(COUNT(D9:F9)=0,"",MEDIAN(D9:F9))</f>
        <v/>
      </c>
      <c r="I9" s="10">
        <f>IF(COUNT(D9:F9)=0,"",MAX(D9:F9))</f>
        <v/>
      </c>
      <c r="J9" s="11">
        <f>IF(OR(G9="",G9=0),"",(I9-G9)/G9)</f>
        <v/>
      </c>
      <c r="K9" s="4">
        <f>IF(COUNT(D9:F9)=0,"",INDEX($D$1:$F$1,MATCH(MIN(D9:F9),D9:F9,0)))</f>
        <v/>
      </c>
      <c r="L9" s="10" t="n">
        <v>17130.85</v>
      </c>
      <c r="M9" s="12" t="n">
        <v>1</v>
      </c>
    </row>
    <row r="10">
      <c r="A10" s="4" t="inlineStr">
        <is>
          <t>MAT-04-014</t>
        </is>
      </c>
      <c r="B10" s="5" t="inlineStr">
        <is>
          <t>Malla electrosoldada D2.7, retícula 10 x 10, rollo</t>
        </is>
      </c>
      <c r="C10" s="4" t="inlineStr">
        <is>
          <t>rollo</t>
        </is>
      </c>
      <c r="D10" s="10" t="n">
        <v>20629.26</v>
      </c>
      <c r="E10" s="10" t="n"/>
      <c r="F10" s="10" t="n"/>
      <c r="G10" s="10">
        <f>IF(COUNT(D10:F10)=0,"",MIN(D10:F10))</f>
        <v/>
      </c>
      <c r="H10" s="10">
        <f>IF(COUNT(D10:F10)=0,"",MEDIAN(D10:F10))</f>
        <v/>
      </c>
      <c r="I10" s="10">
        <f>IF(COUNT(D10:F10)=0,"",MAX(D10:F10))</f>
        <v/>
      </c>
      <c r="J10" s="11">
        <f>IF(OR(G10="",G10=0),"",(I10-G10)/G10)</f>
        <v/>
      </c>
      <c r="K10" s="4">
        <f>IF(COUNT(D10:F10)=0,"",INDEX($D$1:$F$1,MATCH(MIN(D10:F10),D10:F10,0)))</f>
        <v/>
      </c>
      <c r="L10" s="10" t="n">
        <v>20629.26</v>
      </c>
      <c r="M10" s="12" t="n">
        <v>1</v>
      </c>
    </row>
    <row r="11">
      <c r="A11" s="4" t="inlineStr">
        <is>
          <t>MAT-04-021</t>
        </is>
      </c>
      <c r="B11" s="5" t="inlineStr">
        <is>
          <t>Alambre galvanizado calibre 18, para varillas</t>
        </is>
      </c>
      <c r="C11" s="4" t="inlineStr">
        <is>
          <t>lb</t>
        </is>
      </c>
      <c r="D11" s="10" t="n">
        <v>62.48</v>
      </c>
      <c r="E11" s="10" t="n"/>
      <c r="F11" s="10" t="n"/>
      <c r="G11" s="10">
        <f>IF(COUNT(D11:F11)=0,"",MIN(D11:F11))</f>
        <v/>
      </c>
      <c r="H11" s="10">
        <f>IF(COUNT(D11:F11)=0,"",MEDIAN(D11:F11))</f>
        <v/>
      </c>
      <c r="I11" s="10">
        <f>IF(COUNT(D11:F11)=0,"",MAX(D11:F11))</f>
        <v/>
      </c>
      <c r="J11" s="11">
        <f>IF(OR(G11="",G11=0),"",(I11-G11)/G11)</f>
        <v/>
      </c>
      <c r="K11" s="4">
        <f>IF(COUNT(D11:F11)=0,"",INDEX($D$1:$F$1,MATCH(MIN(D11:F11),D11:F11,0)))</f>
        <v/>
      </c>
      <c r="L11" s="10" t="n">
        <v>62.48</v>
      </c>
      <c r="M11" s="12" t="n">
        <v>1</v>
      </c>
    </row>
    <row r="12">
      <c r="A12" s="4" t="inlineStr">
        <is>
          <t>MAT-04-022</t>
        </is>
      </c>
      <c r="B12" s="5" t="inlineStr">
        <is>
          <t>Alambre galvanizado calibre 14, para encofrados</t>
        </is>
      </c>
      <c r="C12" s="4" t="inlineStr">
        <is>
          <t>lb</t>
        </is>
      </c>
      <c r="D12" s="10" t="n">
        <v>61.12</v>
      </c>
      <c r="E12" s="10" t="n"/>
      <c r="F12" s="10" t="n"/>
      <c r="G12" s="10">
        <f>IF(COUNT(D12:F12)=0,"",MIN(D12:F12))</f>
        <v/>
      </c>
      <c r="H12" s="10">
        <f>IF(COUNT(D12:F12)=0,"",MEDIAN(D12:F12))</f>
        <v/>
      </c>
      <c r="I12" s="10">
        <f>IF(COUNT(D12:F12)=0,"",MAX(D12:F12))</f>
        <v/>
      </c>
      <c r="J12" s="11">
        <f>IF(OR(G12="",G12=0),"",(I12-G12)/G12)</f>
        <v/>
      </c>
      <c r="K12" s="4">
        <f>IF(COUNT(D12:F12)=0,"",INDEX($D$1:$F$1,MATCH(MIN(D12:F12),D12:F12,0)))</f>
        <v/>
      </c>
      <c r="L12" s="10" t="n">
        <v>61.12</v>
      </c>
      <c r="M12" s="12" t="n">
        <v>1</v>
      </c>
    </row>
    <row r="13">
      <c r="A13" s="4" t="inlineStr">
        <is>
          <t>MAT-04-023</t>
        </is>
      </c>
      <c r="B13" s="5" t="inlineStr">
        <is>
          <t>Angular 1 1/2" x 1/8" x 20 pies</t>
        </is>
      </c>
      <c r="C13" s="4" t="inlineStr">
        <is>
          <t>unidad</t>
        </is>
      </c>
      <c r="D13" s="10" t="n">
        <v>861</v>
      </c>
      <c r="E13" s="10" t="n"/>
      <c r="F13" s="10" t="n"/>
      <c r="G13" s="10">
        <f>IF(COUNT(D13:F13)=0,"",MIN(D13:F13))</f>
        <v/>
      </c>
      <c r="H13" s="10">
        <f>IF(COUNT(D13:F13)=0,"",MEDIAN(D13:F13))</f>
        <v/>
      </c>
      <c r="I13" s="10">
        <f>IF(COUNT(D13:F13)=0,"",MAX(D13:F13))</f>
        <v/>
      </c>
      <c r="J13" s="11">
        <f>IF(OR(G13="",G13=0),"",(I13-G13)/G13)</f>
        <v/>
      </c>
      <c r="K13" s="4">
        <f>IF(COUNT(D13:F13)=0,"",INDEX($D$1:$F$1,MATCH(MIN(D13:F13),D13:F13,0)))</f>
        <v/>
      </c>
      <c r="L13" s="10" t="n">
        <v>861</v>
      </c>
      <c r="M13" s="12" t="n">
        <v>1</v>
      </c>
    </row>
    <row r="14">
      <c r="A14" s="4" t="inlineStr">
        <is>
          <t>MAT-06-005</t>
        </is>
      </c>
      <c r="B14" s="5" t="inlineStr">
        <is>
          <t>Plywood corriente 1/2", 4 x 8 pies</t>
        </is>
      </c>
      <c r="C14" s="4" t="inlineStr">
        <is>
          <t>plancha</t>
        </is>
      </c>
      <c r="D14" s="10" t="n"/>
      <c r="E14" s="10" t="n">
        <v>1425</v>
      </c>
      <c r="F14" s="10" t="n"/>
      <c r="G14" s="10">
        <f>IF(COUNT(D14:F14)=0,"",MIN(D14:F14))</f>
        <v/>
      </c>
      <c r="H14" s="10">
        <f>IF(COUNT(D14:F14)=0,"",MEDIAN(D14:F14))</f>
        <v/>
      </c>
      <c r="I14" s="10">
        <f>IF(COUNT(D14:F14)=0,"",MAX(D14:F14))</f>
        <v/>
      </c>
      <c r="J14" s="11">
        <f>IF(OR(G14="",G14=0),"",(I14-G14)/G14)</f>
        <v/>
      </c>
      <c r="K14" s="4">
        <f>IF(COUNT(D14:F14)=0,"",INDEX($D$1:$F$1,MATCH(MIN(D14:F14),D14:F14,0)))</f>
        <v/>
      </c>
      <c r="L14" s="10" t="n">
        <v>1472.5</v>
      </c>
      <c r="M14" s="12" t="n">
        <v>1</v>
      </c>
    </row>
    <row r="15">
      <c r="A15" s="4" t="inlineStr">
        <is>
          <t>MAT-06-006</t>
        </is>
      </c>
      <c r="B15" s="5" t="inlineStr">
        <is>
          <t>Plywood corriente 3/4", 4 x 8 pies</t>
        </is>
      </c>
      <c r="C15" s="4" t="inlineStr">
        <is>
          <t>plancha</t>
        </is>
      </c>
      <c r="D15" s="10" t="n"/>
      <c r="E15" s="10" t="n">
        <v>1990</v>
      </c>
      <c r="F15" s="10" t="n"/>
      <c r="G15" s="10">
        <f>IF(COUNT(D15:F15)=0,"",MIN(D15:F15))</f>
        <v/>
      </c>
      <c r="H15" s="10">
        <f>IF(COUNT(D15:F15)=0,"",MEDIAN(D15:F15))</f>
        <v/>
      </c>
      <c r="I15" s="10">
        <f>IF(COUNT(D15:F15)=0,"",MAX(D15:F15))</f>
        <v/>
      </c>
      <c r="J15" s="11">
        <f>IF(OR(G15="",G15=0),"",(I15-G15)/G15)</f>
        <v/>
      </c>
      <c r="K15" s="4">
        <f>IF(COUNT(D15:F15)=0,"",INDEX($D$1:$F$1,MATCH(MIN(D15:F15),D15:F15,0)))</f>
        <v/>
      </c>
      <c r="L15" s="10" t="n">
        <v>1992.5</v>
      </c>
      <c r="M15" s="12" t="n">
        <v>1</v>
      </c>
    </row>
    <row r="16">
      <c r="A16" s="4" t="inlineStr">
        <is>
          <t>MAT-09-001</t>
        </is>
      </c>
      <c r="B16" s="5" t="inlineStr">
        <is>
          <t>Tubo PVC drenaje 4" x 20 pies</t>
        </is>
      </c>
      <c r="C16" s="4" t="inlineStr">
        <is>
          <t>tubo</t>
        </is>
      </c>
      <c r="D16" s="10" t="n">
        <v>1494.58</v>
      </c>
      <c r="E16" s="10" t="n"/>
      <c r="F16" s="10" t="n"/>
      <c r="G16" s="10">
        <f>IF(COUNT(D16:F16)=0,"",MIN(D16:F16))</f>
        <v/>
      </c>
      <c r="H16" s="10">
        <f>IF(COUNT(D16:F16)=0,"",MEDIAN(D16:F16))</f>
        <v/>
      </c>
      <c r="I16" s="10">
        <f>IF(COUNT(D16:F16)=0,"",MAX(D16:F16))</f>
        <v/>
      </c>
      <c r="J16" s="11">
        <f>IF(OR(G16="",G16=0),"",(I16-G16)/G16)</f>
        <v/>
      </c>
      <c r="K16" s="4">
        <f>IF(COUNT(D16:F16)=0,"",INDEX($D$1:$F$1,MATCH(MIN(D16:F16),D16:F16,0)))</f>
        <v/>
      </c>
      <c r="L16" s="10" t="n">
        <v>1280</v>
      </c>
      <c r="M16" s="12" t="n">
        <v>1</v>
      </c>
    </row>
    <row r="17">
      <c r="A17" s="4" t="inlineStr">
        <is>
          <t>MAT-09-002</t>
        </is>
      </c>
      <c r="B17" s="5" t="inlineStr">
        <is>
          <t>Tubo PVC drenaje 2" x 20 pies</t>
        </is>
      </c>
      <c r="C17" s="4" t="inlineStr">
        <is>
          <t>tubo</t>
        </is>
      </c>
      <c r="D17" s="10" t="n">
        <v>503.78</v>
      </c>
      <c r="E17" s="10" t="n"/>
      <c r="F17" s="10" t="n"/>
      <c r="G17" s="10">
        <f>IF(COUNT(D17:F17)=0,"",MIN(D17:F17))</f>
        <v/>
      </c>
      <c r="H17" s="10">
        <f>IF(COUNT(D17:F17)=0,"",MEDIAN(D17:F17))</f>
        <v/>
      </c>
      <c r="I17" s="10">
        <f>IF(COUNT(D17:F17)=0,"",MAX(D17:F17))</f>
        <v/>
      </c>
      <c r="J17" s="11">
        <f>IF(OR(G17="",G17=0),"",(I17-G17)/G17)</f>
        <v/>
      </c>
      <c r="K17" s="4">
        <f>IF(COUNT(D17:F17)=0,"",INDEX($D$1:$F$1,MATCH(MIN(D17:F17),D17:F17,0)))</f>
        <v/>
      </c>
      <c r="L17" s="10" t="n">
        <v>540</v>
      </c>
      <c r="M17" s="12" t="n">
        <v>1</v>
      </c>
    </row>
    <row r="18">
      <c r="A18" s="4" t="inlineStr">
        <is>
          <t>MAT-09-008</t>
        </is>
      </c>
      <c r="B18" s="5" t="inlineStr">
        <is>
          <t>Inodoro de una pieza, gama económica</t>
        </is>
      </c>
      <c r="C18" s="4" t="inlineStr">
        <is>
          <t>unidad</t>
        </is>
      </c>
      <c r="D18" s="10" t="n">
        <v>6107.2</v>
      </c>
      <c r="E18" s="10" t="n"/>
      <c r="F18" s="10" t="n"/>
      <c r="G18" s="10">
        <f>IF(COUNT(D18:F18)=0,"",MIN(D18:F18))</f>
        <v/>
      </c>
      <c r="H18" s="10">
        <f>IF(COUNT(D18:F18)=0,"",MEDIAN(D18:F18))</f>
        <v/>
      </c>
      <c r="I18" s="10">
        <f>IF(COUNT(D18:F18)=0,"",MAX(D18:F18))</f>
        <v/>
      </c>
      <c r="J18" s="11">
        <f>IF(OR(G18="",G18=0),"",(I18-G18)/G18)</f>
        <v/>
      </c>
      <c r="K18" s="4">
        <f>IF(COUNT(D18:F18)=0,"",INDEX($D$1:$F$1,MATCH(MIN(D18:F18),D18:F18,0)))</f>
        <v/>
      </c>
      <c r="L18" s="10" t="n">
        <v>6107.2</v>
      </c>
      <c r="M18" s="12" t="n">
        <v>1</v>
      </c>
    </row>
    <row r="19">
      <c r="A19" s="4" t="inlineStr">
        <is>
          <t>MAT-10-009</t>
        </is>
      </c>
      <c r="B19" s="5" t="inlineStr">
        <is>
          <t>Breaker enchufable 20 A</t>
        </is>
      </c>
      <c r="C19" s="4" t="inlineStr">
        <is>
          <t>unidad</t>
        </is>
      </c>
      <c r="D19" s="10" t="n">
        <v>472.72</v>
      </c>
      <c r="E19" s="10" t="n"/>
      <c r="F19" s="10" t="n"/>
      <c r="G19" s="10">
        <f>IF(COUNT(D19:F19)=0,"",MIN(D19:F19))</f>
        <v/>
      </c>
      <c r="H19" s="10">
        <f>IF(COUNT(D19:F19)=0,"",MEDIAN(D19:F19))</f>
        <v/>
      </c>
      <c r="I19" s="10">
        <f>IF(COUNT(D19:F19)=0,"",MAX(D19:F19))</f>
        <v/>
      </c>
      <c r="J19" s="11">
        <f>IF(OR(G19="",G19=0),"",(I19-G19)/G19)</f>
        <v/>
      </c>
      <c r="K19" s="4">
        <f>IF(COUNT(D19:F19)=0,"",INDEX($D$1:$F$1,MATCH(MIN(D19:F19),D19:F19,0)))</f>
        <v/>
      </c>
      <c r="L19" s="10" t="n">
        <v>472.72</v>
      </c>
      <c r="M19" s="12" t="n">
        <v>1</v>
      </c>
    </row>
    <row r="20">
      <c r="A20" s="4" t="inlineStr">
        <is>
          <t>MAT-13-001</t>
        </is>
      </c>
      <c r="B20" s="5" t="inlineStr">
        <is>
          <t>Plancha de yeso regular 1/2", 4 x 8 pies</t>
        </is>
      </c>
      <c r="C20" s="4" t="inlineStr">
        <is>
          <t>plancha</t>
        </is>
      </c>
      <c r="D20" s="10" t="n">
        <v>956.17</v>
      </c>
      <c r="E20" s="10" t="n">
        <v>895</v>
      </c>
      <c r="F20" s="10" t="n"/>
      <c r="G20" s="10">
        <f>IF(COUNT(D20:F20)=0,"",MIN(D20:F20))</f>
        <v/>
      </c>
      <c r="H20" s="10">
        <f>IF(COUNT(D20:F20)=0,"",MEDIAN(D20:F20))</f>
        <v/>
      </c>
      <c r="I20" s="10">
        <f>IF(COUNT(D20:F20)=0,"",MAX(D20:F20))</f>
        <v/>
      </c>
      <c r="J20" s="11">
        <f>IF(OR(G20="",G20=0),"",(I20-G20)/G20)</f>
        <v/>
      </c>
      <c r="K20" s="4">
        <f>IF(COUNT(D20:F20)=0,"",INDEX($D$1:$F$1,MATCH(MIN(D20:F20),D20:F20,0)))</f>
        <v/>
      </c>
      <c r="L20" s="10" t="n">
        <v>925.59</v>
      </c>
      <c r="M20" s="12" t="n">
        <v>2</v>
      </c>
    </row>
    <row r="21">
      <c r="A21" s="4" t="inlineStr">
        <is>
          <t>MAT-13-006</t>
        </is>
      </c>
      <c r="B21" s="5" t="inlineStr">
        <is>
          <t>Plafón acústico 2 x 2 pies</t>
        </is>
      </c>
      <c r="C21" s="4" t="inlineStr">
        <is>
          <t>plancha</t>
        </is>
      </c>
      <c r="D21" s="10" t="n"/>
      <c r="E21" s="10" t="n">
        <v>595</v>
      </c>
      <c r="F21" s="10" t="n"/>
      <c r="G21" s="10">
        <f>IF(COUNT(D21:F21)=0,"",MIN(D21:F21))</f>
        <v/>
      </c>
      <c r="H21" s="10">
        <f>IF(COUNT(D21:F21)=0,"",MEDIAN(D21:F21))</f>
        <v/>
      </c>
      <c r="I21" s="10">
        <f>IF(COUNT(D21:F21)=0,"",MAX(D21:F21))</f>
        <v/>
      </c>
      <c r="J21" s="11">
        <f>IF(OR(G21="",G21=0),"",(I21-G21)/G21)</f>
        <v/>
      </c>
      <c r="K21" s="4">
        <f>IF(COUNT(D21:F21)=0,"",INDEX($D$1:$F$1,MATCH(MIN(D21:F21),D21:F21,0)))</f>
        <v/>
      </c>
      <c r="L21" s="10" t="n">
        <v>595</v>
      </c>
      <c r="M21" s="12" t="n">
        <v>1</v>
      </c>
    </row>
    <row r="22">
      <c r="A22" s="4" t="inlineStr">
        <is>
          <t>EQU-04-006</t>
        </is>
      </c>
      <c r="B22" s="5" t="inlineStr">
        <is>
          <t>Herramienta de terminación de cableado</t>
        </is>
      </c>
      <c r="C22" s="4" t="inlineStr">
        <is>
          <t>unidad</t>
        </is>
      </c>
      <c r="D22" s="10" t="n">
        <v>448.43</v>
      </c>
      <c r="E22" s="10" t="n"/>
      <c r="F22" s="10" t="n"/>
      <c r="G22" s="10">
        <f>IF(COUNT(D22:F22)=0,"",MIN(D22:F22))</f>
        <v/>
      </c>
      <c r="H22" s="10">
        <f>IF(COUNT(D22:F22)=0,"",MEDIAN(D22:F22))</f>
        <v/>
      </c>
      <c r="I22" s="10">
        <f>IF(COUNT(D22:F22)=0,"",MAX(D22:F22))</f>
        <v/>
      </c>
      <c r="J22" s="11">
        <f>IF(OR(G22="",G22=0),"",(I22-G22)/G22)</f>
        <v/>
      </c>
      <c r="K22" s="4">
        <f>IF(COUNT(D22:F22)=0,"",INDEX($D$1:$F$1,MATCH(MIN(D22:F22),D22:F22,0)))</f>
        <v/>
      </c>
      <c r="L22" s="10" t="n">
        <v>480.68</v>
      </c>
      <c r="M22" s="12" t="n">
        <v>1</v>
      </c>
    </row>
    <row r="23">
      <c r="A23" s="4" t="inlineStr">
        <is>
          <t>MAT-01-020</t>
        </is>
      </c>
      <c r="B23" s="5" t="inlineStr">
        <is>
          <t>Grava 3/4" en funda de 50 libras</t>
        </is>
      </c>
      <c r="C23" s="4" t="inlineStr">
        <is>
          <t>funda</t>
        </is>
      </c>
      <c r="D23" s="10" t="n">
        <v>151.87</v>
      </c>
      <c r="E23" s="10" t="n"/>
      <c r="F23" s="10" t="n"/>
      <c r="G23" s="10">
        <f>IF(COUNT(D23:F23)=0,"",MIN(D23:F23))</f>
        <v/>
      </c>
      <c r="H23" s="10">
        <f>IF(COUNT(D23:F23)=0,"",MEDIAN(D23:F23))</f>
        <v/>
      </c>
      <c r="I23" s="10">
        <f>IF(COUNT(D23:F23)=0,"",MAX(D23:F23))</f>
        <v/>
      </c>
      <c r="J23" s="11">
        <f>IF(OR(G23="",G23=0),"",(I23-G23)/G23)</f>
        <v/>
      </c>
      <c r="K23" s="4">
        <f>IF(COUNT(D23:F23)=0,"",INDEX($D$1:$F$1,MATCH(MIN(D23:F23),D23:F23,0)))</f>
        <v/>
      </c>
      <c r="L23" s="10" t="n">
        <v>151.87</v>
      </c>
      <c r="M23" s="12" t="n">
        <v>1</v>
      </c>
    </row>
    <row r="24">
      <c r="A24" s="4" t="inlineStr">
        <is>
          <t>MAT-01-021</t>
        </is>
      </c>
      <c r="B24" s="5" t="inlineStr">
        <is>
          <t>Grava blanca en funda de 50 libras</t>
        </is>
      </c>
      <c r="C24" s="4" t="inlineStr">
        <is>
          <t>funda</t>
        </is>
      </c>
      <c r="D24" s="10" t="n">
        <v>448.34</v>
      </c>
      <c r="E24" s="10" t="n"/>
      <c r="F24" s="10" t="n"/>
      <c r="G24" s="10">
        <f>IF(COUNT(D24:F24)=0,"",MIN(D24:F24))</f>
        <v/>
      </c>
      <c r="H24" s="10">
        <f>IF(COUNT(D24:F24)=0,"",MEDIAN(D24:F24))</f>
        <v/>
      </c>
      <c r="I24" s="10">
        <f>IF(COUNT(D24:F24)=0,"",MAX(D24:F24))</f>
        <v/>
      </c>
      <c r="J24" s="11">
        <f>IF(OR(G24="",G24=0),"",(I24-G24)/G24)</f>
        <v/>
      </c>
      <c r="K24" s="4">
        <f>IF(COUNT(D24:F24)=0,"",INDEX($D$1:$F$1,MATCH(MIN(D24:F24),D24:F24,0)))</f>
        <v/>
      </c>
      <c r="L24" s="10" t="n">
        <v>448.34</v>
      </c>
      <c r="M24" s="12" t="n">
        <v>1</v>
      </c>
    </row>
    <row r="25">
      <c r="A25" s="4" t="inlineStr">
        <is>
          <t>MAT-01-022</t>
        </is>
      </c>
      <c r="B25" s="5" t="inlineStr">
        <is>
          <t>Arena 3/16" en funda de 55 libras</t>
        </is>
      </c>
      <c r="C25" s="4" t="inlineStr">
        <is>
          <t>funda</t>
        </is>
      </c>
      <c r="D25" s="10" t="n">
        <v>151.87</v>
      </c>
      <c r="E25" s="10" t="n"/>
      <c r="F25" s="10" t="n"/>
      <c r="G25" s="10">
        <f>IF(COUNT(D25:F25)=0,"",MIN(D25:F25))</f>
        <v/>
      </c>
      <c r="H25" s="10">
        <f>IF(COUNT(D25:F25)=0,"",MEDIAN(D25:F25))</f>
        <v/>
      </c>
      <c r="I25" s="10">
        <f>IF(COUNT(D25:F25)=0,"",MAX(D25:F25))</f>
        <v/>
      </c>
      <c r="J25" s="11">
        <f>IF(OR(G25="",G25=0),"",(I25-G25)/G25)</f>
        <v/>
      </c>
      <c r="K25" s="4">
        <f>IF(COUNT(D25:F25)=0,"",INDEX($D$1:$F$1,MATCH(MIN(D25:F25),D25:F25,0)))</f>
        <v/>
      </c>
      <c r="L25" s="10" t="n">
        <v>151.87</v>
      </c>
      <c r="M25" s="12" t="n">
        <v>1</v>
      </c>
    </row>
    <row r="26">
      <c r="A26" s="4" t="inlineStr">
        <is>
          <t>MAT-02-017</t>
        </is>
      </c>
      <c r="B26" s="5" t="inlineStr">
        <is>
          <t>Aditivo para hormigón, 1 galón</t>
        </is>
      </c>
      <c r="C26" s="4" t="inlineStr">
        <is>
          <t>unidad</t>
        </is>
      </c>
      <c r="D26" s="10" t="n"/>
      <c r="E26" s="10" t="n">
        <v>1460</v>
      </c>
      <c r="F26" s="10" t="n"/>
      <c r="G26" s="10">
        <f>IF(COUNT(D26:F26)=0,"",MIN(D26:F26))</f>
        <v/>
      </c>
      <c r="H26" s="10">
        <f>IF(COUNT(D26:F26)=0,"",MEDIAN(D26:F26))</f>
        <v/>
      </c>
      <c r="I26" s="10">
        <f>IF(COUNT(D26:F26)=0,"",MAX(D26:F26))</f>
        <v/>
      </c>
      <c r="J26" s="11">
        <f>IF(OR(G26="",G26=0),"",(I26-G26)/G26)</f>
        <v/>
      </c>
      <c r="K26" s="4">
        <f>IF(COUNT(D26:F26)=0,"",INDEX($D$1:$F$1,MATCH(MIN(D26:F26),D26:F26,0)))</f>
        <v/>
      </c>
      <c r="L26" s="10" t="n">
        <v>1460</v>
      </c>
      <c r="M26" s="12" t="n">
        <v>1</v>
      </c>
    </row>
    <row r="27">
      <c r="A27" s="4" t="inlineStr">
        <is>
          <t>MAT-02-018</t>
        </is>
      </c>
      <c r="B27" s="5" t="inlineStr">
        <is>
          <t>Aditivo para hormigón, 5 galón</t>
        </is>
      </c>
      <c r="C27" s="4" t="inlineStr">
        <is>
          <t>unidad</t>
        </is>
      </c>
      <c r="D27" s="10" t="n"/>
      <c r="E27" s="10" t="n">
        <v>6055</v>
      </c>
      <c r="F27" s="10" t="n"/>
      <c r="G27" s="10">
        <f>IF(COUNT(D27:F27)=0,"",MIN(D27:F27))</f>
        <v/>
      </c>
      <c r="H27" s="10">
        <f>IF(COUNT(D27:F27)=0,"",MEDIAN(D27:F27))</f>
        <v/>
      </c>
      <c r="I27" s="10">
        <f>IF(COUNT(D27:F27)=0,"",MAX(D27:F27))</f>
        <v/>
      </c>
      <c r="J27" s="11">
        <f>IF(OR(G27="",G27=0),"",(I27-G27)/G27)</f>
        <v/>
      </c>
      <c r="K27" s="4">
        <f>IF(COUNT(D27:F27)=0,"",INDEX($D$1:$F$1,MATCH(MIN(D27:F27),D27:F27,0)))</f>
        <v/>
      </c>
      <c r="L27" s="10" t="n">
        <v>6055</v>
      </c>
      <c r="M27" s="12" t="n">
        <v>1</v>
      </c>
    </row>
    <row r="28">
      <c r="A28" s="4" t="inlineStr">
        <is>
          <t>MAT-02-019</t>
        </is>
      </c>
      <c r="B28" s="5" t="inlineStr">
        <is>
          <t>Aditivo para hormigón fibra de refuerzo, 0.6 kg</t>
        </is>
      </c>
      <c r="C28" s="4" t="inlineStr">
        <is>
          <t>unidad</t>
        </is>
      </c>
      <c r="D28" s="10" t="n"/>
      <c r="E28" s="10" t="n">
        <v>454.75</v>
      </c>
      <c r="F28" s="10" t="n"/>
      <c r="G28" s="10">
        <f>IF(COUNT(D28:F28)=0,"",MIN(D28:F28))</f>
        <v/>
      </c>
      <c r="H28" s="10">
        <f>IF(COUNT(D28:F28)=0,"",MEDIAN(D28:F28))</f>
        <v/>
      </c>
      <c r="I28" s="10">
        <f>IF(COUNT(D28:F28)=0,"",MAX(D28:F28))</f>
        <v/>
      </c>
      <c r="J28" s="11">
        <f>IF(OR(G28="",G28=0),"",(I28-G28)/G28)</f>
        <v/>
      </c>
      <c r="K28" s="4">
        <f>IF(COUNT(D28:F28)=0,"",INDEX($D$1:$F$1,MATCH(MIN(D28:F28),D28:F28,0)))</f>
        <v/>
      </c>
      <c r="L28" s="10" t="n">
        <v>454.75</v>
      </c>
      <c r="M28" s="12" t="n">
        <v>1</v>
      </c>
    </row>
    <row r="29">
      <c r="A29" s="4" t="inlineStr">
        <is>
          <t>MAT-02-020</t>
        </is>
      </c>
      <c r="B29" s="5" t="inlineStr">
        <is>
          <t>Aditivo para hormigón impermeabilizante, 1/2 galón</t>
        </is>
      </c>
      <c r="C29" s="4" t="inlineStr">
        <is>
          <t>unidad</t>
        </is>
      </c>
      <c r="D29" s="10" t="n"/>
      <c r="E29" s="10" t="n">
        <v>465</v>
      </c>
      <c r="F29" s="10" t="n"/>
      <c r="G29" s="10">
        <f>IF(COUNT(D29:F29)=0,"",MIN(D29:F29))</f>
        <v/>
      </c>
      <c r="H29" s="10">
        <f>IF(COUNT(D29:F29)=0,"",MEDIAN(D29:F29))</f>
        <v/>
      </c>
      <c r="I29" s="10">
        <f>IF(COUNT(D29:F29)=0,"",MAX(D29:F29))</f>
        <v/>
      </c>
      <c r="J29" s="11">
        <f>IF(OR(G29="",G29=0),"",(I29-G29)/G29)</f>
        <v/>
      </c>
      <c r="K29" s="4">
        <f>IF(COUNT(D29:F29)=0,"",INDEX($D$1:$F$1,MATCH(MIN(D29:F29),D29:F29,0)))</f>
        <v/>
      </c>
      <c r="L29" s="10" t="n">
        <v>535</v>
      </c>
      <c r="M29" s="12" t="n">
        <v>1</v>
      </c>
    </row>
    <row r="30">
      <c r="A30" s="4" t="inlineStr">
        <is>
          <t>MAT-02-021</t>
        </is>
      </c>
      <c r="B30" s="5" t="inlineStr">
        <is>
          <t>Aditivo para hormigón impermeabilizante, 1/4 galón</t>
        </is>
      </c>
      <c r="C30" s="4" t="inlineStr">
        <is>
          <t>unidad</t>
        </is>
      </c>
      <c r="D30" s="10" t="n"/>
      <c r="E30" s="10" t="n">
        <v>395</v>
      </c>
      <c r="F30" s="10" t="n"/>
      <c r="G30" s="10">
        <f>IF(COUNT(D30:F30)=0,"",MIN(D30:F30))</f>
        <v/>
      </c>
      <c r="H30" s="10">
        <f>IF(COUNT(D30:F30)=0,"",MEDIAN(D30:F30))</f>
        <v/>
      </c>
      <c r="I30" s="10">
        <f>IF(COUNT(D30:F30)=0,"",MAX(D30:F30))</f>
        <v/>
      </c>
      <c r="J30" s="11">
        <f>IF(OR(G30="",G30=0),"",(I30-G30)/G30)</f>
        <v/>
      </c>
      <c r="K30" s="4">
        <f>IF(COUNT(D30:F30)=0,"",INDEX($D$1:$F$1,MATCH(MIN(D30:F30),D30:F30,0)))</f>
        <v/>
      </c>
      <c r="L30" s="10" t="n">
        <v>395</v>
      </c>
      <c r="M30" s="12" t="n">
        <v>1</v>
      </c>
    </row>
    <row r="31">
      <c r="A31" s="4" t="inlineStr">
        <is>
          <t>MAT-02-022</t>
        </is>
      </c>
      <c r="B31" s="5" t="inlineStr">
        <is>
          <t>Aditivo para hormigón impermeabilizante, 1 galón</t>
        </is>
      </c>
      <c r="C31" s="4" t="inlineStr">
        <is>
          <t>unidad</t>
        </is>
      </c>
      <c r="D31" s="10" t="n"/>
      <c r="E31" s="10" t="n">
        <v>959</v>
      </c>
      <c r="F31" s="10" t="n"/>
      <c r="G31" s="10">
        <f>IF(COUNT(D31:F31)=0,"",MIN(D31:F31))</f>
        <v/>
      </c>
      <c r="H31" s="10">
        <f>IF(COUNT(D31:F31)=0,"",MEDIAN(D31:F31))</f>
        <v/>
      </c>
      <c r="I31" s="10">
        <f>IF(COUNT(D31:F31)=0,"",MAX(D31:F31))</f>
        <v/>
      </c>
      <c r="J31" s="11">
        <f>IF(OR(G31="",G31=0),"",(I31-G31)/G31)</f>
        <v/>
      </c>
      <c r="K31" s="4">
        <f>IF(COUNT(D31:F31)=0,"",INDEX($D$1:$F$1,MATCH(MIN(D31:F31),D31:F31,0)))</f>
        <v/>
      </c>
      <c r="L31" s="10" t="n">
        <v>1072.5</v>
      </c>
      <c r="M31" s="12" t="n">
        <v>1</v>
      </c>
    </row>
    <row r="32">
      <c r="A32" s="4" t="inlineStr">
        <is>
          <t>MAT-02-023</t>
        </is>
      </c>
      <c r="B32" s="5" t="inlineStr">
        <is>
          <t>Aditivo para hormigón impermeabilizante, 32 oz</t>
        </is>
      </c>
      <c r="C32" s="4" t="inlineStr">
        <is>
          <t>unidad</t>
        </is>
      </c>
      <c r="D32" s="10" t="n"/>
      <c r="E32" s="10" t="n">
        <v>265</v>
      </c>
      <c r="F32" s="10" t="n"/>
      <c r="G32" s="10">
        <f>IF(COUNT(D32:F32)=0,"",MIN(D32:F32))</f>
        <v/>
      </c>
      <c r="H32" s="10">
        <f>IF(COUNT(D32:F32)=0,"",MEDIAN(D32:F32))</f>
        <v/>
      </c>
      <c r="I32" s="10">
        <f>IF(COUNT(D32:F32)=0,"",MAX(D32:F32))</f>
        <v/>
      </c>
      <c r="J32" s="11">
        <f>IF(OR(G32="",G32=0),"",(I32-G32)/G32)</f>
        <v/>
      </c>
      <c r="K32" s="4">
        <f>IF(COUNT(D32:F32)=0,"",INDEX($D$1:$F$1,MATCH(MIN(D32:F32),D32:F32,0)))</f>
        <v/>
      </c>
      <c r="L32" s="10" t="n">
        <v>285</v>
      </c>
      <c r="M32" s="12" t="n">
        <v>1</v>
      </c>
    </row>
    <row r="33">
      <c r="A33" s="4" t="inlineStr">
        <is>
          <t>MAT-02-024</t>
        </is>
      </c>
      <c r="B33" s="5" t="inlineStr">
        <is>
          <t>Aditivo para hormigón impermeabilizante, 5 galón</t>
        </is>
      </c>
      <c r="C33" s="4" t="inlineStr">
        <is>
          <t>unidad</t>
        </is>
      </c>
      <c r="D33" s="10" t="n"/>
      <c r="E33" s="10" t="n">
        <v>6300</v>
      </c>
      <c r="F33" s="10" t="n"/>
      <c r="G33" s="10">
        <f>IF(COUNT(D33:F33)=0,"",MIN(D33:F33))</f>
        <v/>
      </c>
      <c r="H33" s="10">
        <f>IF(COUNT(D33:F33)=0,"",MEDIAN(D33:F33))</f>
        <v/>
      </c>
      <c r="I33" s="10">
        <f>IF(COUNT(D33:F33)=0,"",MAX(D33:F33))</f>
        <v/>
      </c>
      <c r="J33" s="11">
        <f>IF(OR(G33="",G33=0),"",(I33-G33)/G33)</f>
        <v/>
      </c>
      <c r="K33" s="4">
        <f>IF(COUNT(D33:F33)=0,"",INDEX($D$1:$F$1,MATCH(MIN(D33:F33),D33:F33,0)))</f>
        <v/>
      </c>
      <c r="L33" s="10" t="n">
        <v>8617.5</v>
      </c>
      <c r="M33" s="12" t="n">
        <v>1</v>
      </c>
    </row>
    <row r="34">
      <c r="A34" s="4" t="inlineStr">
        <is>
          <t>MAT-02-025</t>
        </is>
      </c>
      <c r="B34" s="5" t="inlineStr">
        <is>
          <t>Aditivo para hormigón primer epóxico, 1 kg</t>
        </is>
      </c>
      <c r="C34" s="4" t="inlineStr">
        <is>
          <t>unidad</t>
        </is>
      </c>
      <c r="D34" s="10" t="n"/>
      <c r="E34" s="10" t="n">
        <v>1610.75</v>
      </c>
      <c r="F34" s="10" t="n"/>
      <c r="G34" s="10">
        <f>IF(COUNT(D34:F34)=0,"",MIN(D34:F34))</f>
        <v/>
      </c>
      <c r="H34" s="10">
        <f>IF(COUNT(D34:F34)=0,"",MEDIAN(D34:F34))</f>
        <v/>
      </c>
      <c r="I34" s="10">
        <f>IF(COUNT(D34:F34)=0,"",MAX(D34:F34))</f>
        <v/>
      </c>
      <c r="J34" s="11">
        <f>IF(OR(G34="",G34=0),"",(I34-G34)/G34)</f>
        <v/>
      </c>
      <c r="K34" s="4">
        <f>IF(COUNT(D34:F34)=0,"",INDEX($D$1:$F$1,MATCH(MIN(D34:F34),D34:F34,0)))</f>
        <v/>
      </c>
      <c r="L34" s="10" t="n">
        <v>1610.75</v>
      </c>
      <c r="M34" s="12" t="n">
        <v>1</v>
      </c>
    </row>
    <row r="35">
      <c r="A35" s="4" t="inlineStr">
        <is>
          <t>MAT-02-026</t>
        </is>
      </c>
      <c r="B35" s="5" t="inlineStr">
        <is>
          <t>Aditivo para hormigón texturizado, 1 galón</t>
        </is>
      </c>
      <c r="C35" s="4" t="inlineStr">
        <is>
          <t>unidad</t>
        </is>
      </c>
      <c r="D35" s="10" t="n"/>
      <c r="E35" s="10" t="n">
        <v>2005</v>
      </c>
      <c r="F35" s="10" t="n"/>
      <c r="G35" s="10">
        <f>IF(COUNT(D35:F35)=0,"",MIN(D35:F35))</f>
        <v/>
      </c>
      <c r="H35" s="10">
        <f>IF(COUNT(D35:F35)=0,"",MEDIAN(D35:F35))</f>
        <v/>
      </c>
      <c r="I35" s="10">
        <f>IF(COUNT(D35:F35)=0,"",MAX(D35:F35))</f>
        <v/>
      </c>
      <c r="J35" s="11">
        <f>IF(OR(G35="",G35=0),"",(I35-G35)/G35)</f>
        <v/>
      </c>
      <c r="K35" s="4">
        <f>IF(COUNT(D35:F35)=0,"",INDEX($D$1:$F$1,MATCH(MIN(D35:F35),D35:F35,0)))</f>
        <v/>
      </c>
      <c r="L35" s="10" t="n">
        <v>2005</v>
      </c>
      <c r="M35" s="12" t="n">
        <v>1</v>
      </c>
    </row>
    <row r="36">
      <c r="A36" s="4" t="inlineStr">
        <is>
          <t>MAT-02-027</t>
        </is>
      </c>
      <c r="B36" s="5" t="inlineStr">
        <is>
          <t>Cemento autonivelante, 40 lb</t>
        </is>
      </c>
      <c r="C36" s="4" t="inlineStr">
        <is>
          <t>unidad</t>
        </is>
      </c>
      <c r="D36" s="10" t="n"/>
      <c r="E36" s="10" t="n">
        <v>3952.5</v>
      </c>
      <c r="F36" s="10" t="n"/>
      <c r="G36" s="10">
        <f>IF(COUNT(D36:F36)=0,"",MIN(D36:F36))</f>
        <v/>
      </c>
      <c r="H36" s="10">
        <f>IF(COUNT(D36:F36)=0,"",MEDIAN(D36:F36))</f>
        <v/>
      </c>
      <c r="I36" s="10">
        <f>IF(COUNT(D36:F36)=0,"",MAX(D36:F36))</f>
        <v/>
      </c>
      <c r="J36" s="11">
        <f>IF(OR(G36="",G36=0),"",(I36-G36)/G36)</f>
        <v/>
      </c>
      <c r="K36" s="4">
        <f>IF(COUNT(D36:F36)=0,"",INDEX($D$1:$F$1,MATCH(MIN(D36:F36),D36:F36,0)))</f>
        <v/>
      </c>
      <c r="L36" s="10" t="n">
        <v>3952.5</v>
      </c>
      <c r="M36" s="12" t="n">
        <v>1</v>
      </c>
    </row>
    <row r="37">
      <c r="A37" s="4" t="inlineStr">
        <is>
          <t>MAT-02-028</t>
        </is>
      </c>
      <c r="B37" s="5" t="inlineStr">
        <is>
          <t>Cemento blanco, 10 lb</t>
        </is>
      </c>
      <c r="C37" s="4" t="inlineStr">
        <is>
          <t>funda</t>
        </is>
      </c>
      <c r="D37" s="10" t="n"/>
      <c r="E37" s="10" t="n">
        <v>533.8</v>
      </c>
      <c r="F37" s="10" t="n"/>
      <c r="G37" s="10">
        <f>IF(COUNT(D37:F37)=0,"",MIN(D37:F37))</f>
        <v/>
      </c>
      <c r="H37" s="10">
        <f>IF(COUNT(D37:F37)=0,"",MEDIAN(D37:F37))</f>
        <v/>
      </c>
      <c r="I37" s="10">
        <f>IF(COUNT(D37:F37)=0,"",MAX(D37:F37))</f>
        <v/>
      </c>
      <c r="J37" s="11">
        <f>IF(OR(G37="",G37=0),"",(I37-G37)/G37)</f>
        <v/>
      </c>
      <c r="K37" s="4">
        <f>IF(COUNT(D37:F37)=0,"",INDEX($D$1:$F$1,MATCH(MIN(D37:F37),D37:F37,0)))</f>
        <v/>
      </c>
      <c r="L37" s="10" t="n">
        <v>533.8</v>
      </c>
      <c r="M37" s="12" t="n">
        <v>1</v>
      </c>
    </row>
    <row r="38">
      <c r="A38" s="4" t="inlineStr">
        <is>
          <t>MAT-02-029</t>
        </is>
      </c>
      <c r="B38" s="5" t="inlineStr">
        <is>
          <t>Cemento gris, 10 lb</t>
        </is>
      </c>
      <c r="C38" s="4" t="inlineStr">
        <is>
          <t>unidad</t>
        </is>
      </c>
      <c r="D38" s="10" t="n"/>
      <c r="E38" s="10" t="n">
        <v>377.4</v>
      </c>
      <c r="F38" s="10" t="n"/>
      <c r="G38" s="10">
        <f>IF(COUNT(D38:F38)=0,"",MIN(D38:F38))</f>
        <v/>
      </c>
      <c r="H38" s="10">
        <f>IF(COUNT(D38:F38)=0,"",MEDIAN(D38:F38))</f>
        <v/>
      </c>
      <c r="I38" s="10">
        <f>IF(COUNT(D38:F38)=0,"",MAX(D38:F38))</f>
        <v/>
      </c>
      <c r="J38" s="11">
        <f>IF(OR(G38="",G38=0),"",(I38-G38)/G38)</f>
        <v/>
      </c>
      <c r="K38" s="4">
        <f>IF(COUNT(D38:F38)=0,"",INDEX($D$1:$F$1,MATCH(MIN(D38:F38),D38:F38,0)))</f>
        <v/>
      </c>
      <c r="L38" s="10" t="n">
        <v>377.4</v>
      </c>
      <c r="M38" s="12" t="n">
        <v>1</v>
      </c>
    </row>
    <row r="39">
      <c r="A39" s="4" t="inlineStr">
        <is>
          <t>MAT-02-030</t>
        </is>
      </c>
      <c r="B39" s="5" t="inlineStr">
        <is>
          <t>Cemento hidráulico, 1 galón</t>
        </is>
      </c>
      <c r="C39" s="4" t="inlineStr">
        <is>
          <t>unidad</t>
        </is>
      </c>
      <c r="D39" s="10" t="n"/>
      <c r="E39" s="10" t="n">
        <v>949.45</v>
      </c>
      <c r="F39" s="10" t="n"/>
      <c r="G39" s="10">
        <f>IF(COUNT(D39:F39)=0,"",MIN(D39:F39))</f>
        <v/>
      </c>
      <c r="H39" s="10">
        <f>IF(COUNT(D39:F39)=0,"",MEDIAN(D39:F39))</f>
        <v/>
      </c>
      <c r="I39" s="10">
        <f>IF(COUNT(D39:F39)=0,"",MAX(D39:F39))</f>
        <v/>
      </c>
      <c r="J39" s="11">
        <f>IF(OR(G39="",G39=0),"",(I39-G39)/G39)</f>
        <v/>
      </c>
      <c r="K39" s="4">
        <f>IF(COUNT(D39:F39)=0,"",INDEX($D$1:$F$1,MATCH(MIN(D39:F39),D39:F39,0)))</f>
        <v/>
      </c>
      <c r="L39" s="10" t="n">
        <v>949.45</v>
      </c>
      <c r="M39" s="12" t="n">
        <v>1</v>
      </c>
    </row>
    <row r="40">
      <c r="A40" s="4" t="inlineStr">
        <is>
          <t>MAT-02-031</t>
        </is>
      </c>
      <c r="B40" s="5" t="inlineStr">
        <is>
          <t>Cemento hidráulico, 40 lb</t>
        </is>
      </c>
      <c r="C40" s="4" t="inlineStr">
        <is>
          <t>unidad</t>
        </is>
      </c>
      <c r="D40" s="10" t="n"/>
      <c r="E40" s="10" t="n">
        <v>2817.75</v>
      </c>
      <c r="F40" s="10" t="n"/>
      <c r="G40" s="10">
        <f>IF(COUNT(D40:F40)=0,"",MIN(D40:F40))</f>
        <v/>
      </c>
      <c r="H40" s="10">
        <f>IF(COUNT(D40:F40)=0,"",MEDIAN(D40:F40))</f>
        <v/>
      </c>
      <c r="I40" s="10">
        <f>IF(COUNT(D40:F40)=0,"",MAX(D40:F40))</f>
        <v/>
      </c>
      <c r="J40" s="11">
        <f>IF(OR(G40="",G40=0),"",(I40-G40)/G40)</f>
        <v/>
      </c>
      <c r="K40" s="4">
        <f>IF(COUNT(D40:F40)=0,"",INDEX($D$1:$F$1,MATCH(MIN(D40:F40),D40:F40,0)))</f>
        <v/>
      </c>
      <c r="L40" s="10" t="n">
        <v>2817.75</v>
      </c>
      <c r="M40" s="12" t="n">
        <v>1</v>
      </c>
    </row>
    <row r="41">
      <c r="A41" s="4" t="inlineStr">
        <is>
          <t>MAT-02-032</t>
        </is>
      </c>
      <c r="B41" s="5" t="inlineStr">
        <is>
          <t>Derretido para cerámica, 10 lb</t>
        </is>
      </c>
      <c r="C41" s="4" t="inlineStr">
        <is>
          <t>unidad</t>
        </is>
      </c>
      <c r="D41" s="10" t="n"/>
      <c r="E41" s="10" t="n">
        <v>712</v>
      </c>
      <c r="F41" s="10" t="n"/>
      <c r="G41" s="10">
        <f>IF(COUNT(D41:F41)=0,"",MIN(D41:F41))</f>
        <v/>
      </c>
      <c r="H41" s="10">
        <f>IF(COUNT(D41:F41)=0,"",MEDIAN(D41:F41))</f>
        <v/>
      </c>
      <c r="I41" s="10">
        <f>IF(COUNT(D41:F41)=0,"",MAX(D41:F41))</f>
        <v/>
      </c>
      <c r="J41" s="11">
        <f>IF(OR(G41="",G41=0),"",(I41-G41)/G41)</f>
        <v/>
      </c>
      <c r="K41" s="4">
        <f>IF(COUNT(D41:F41)=0,"",INDEX($D$1:$F$1,MATCH(MIN(D41:F41),D41:F41,0)))</f>
        <v/>
      </c>
      <c r="L41" s="10" t="n">
        <v>712</v>
      </c>
      <c r="M41" s="12" t="n">
        <v>1</v>
      </c>
    </row>
    <row r="42">
      <c r="A42" s="4" t="inlineStr">
        <is>
          <t>MAT-02-033</t>
        </is>
      </c>
      <c r="B42" s="5" t="inlineStr">
        <is>
          <t>Derretido para cerámica blanco, 10 lb</t>
        </is>
      </c>
      <c r="C42" s="4" t="inlineStr">
        <is>
          <t>unidad</t>
        </is>
      </c>
      <c r="D42" s="10" t="n"/>
      <c r="E42" s="10" t="n">
        <v>328</v>
      </c>
      <c r="F42" s="10" t="n"/>
      <c r="G42" s="10">
        <f>IF(COUNT(D42:F42)=0,"",MIN(D42:F42))</f>
        <v/>
      </c>
      <c r="H42" s="10">
        <f>IF(COUNT(D42:F42)=0,"",MEDIAN(D42:F42))</f>
        <v/>
      </c>
      <c r="I42" s="10">
        <f>IF(COUNT(D42:F42)=0,"",MAX(D42:F42))</f>
        <v/>
      </c>
      <c r="J42" s="11">
        <f>IF(OR(G42="",G42=0),"",(I42-G42)/G42)</f>
        <v/>
      </c>
      <c r="K42" s="4">
        <f>IF(COUNT(D42:F42)=0,"",INDEX($D$1:$F$1,MATCH(MIN(D42:F42),D42:F42,0)))</f>
        <v/>
      </c>
      <c r="L42" s="10" t="n">
        <v>328</v>
      </c>
      <c r="M42" s="12" t="n">
        <v>1</v>
      </c>
    </row>
    <row r="43">
      <c r="A43" s="4" t="inlineStr">
        <is>
          <t>MAT-02-034</t>
        </is>
      </c>
      <c r="B43" s="5" t="inlineStr">
        <is>
          <t>Derretido para cerámica, 10 lb</t>
        </is>
      </c>
      <c r="C43" s="4" t="inlineStr">
        <is>
          <t>unidad</t>
        </is>
      </c>
      <c r="D43" s="10" t="n"/>
      <c r="E43" s="10" t="n">
        <v>543.15</v>
      </c>
      <c r="F43" s="10" t="n"/>
      <c r="G43" s="10">
        <f>IF(COUNT(D43:F43)=0,"",MIN(D43:F43))</f>
        <v/>
      </c>
      <c r="H43" s="10">
        <f>IF(COUNT(D43:F43)=0,"",MEDIAN(D43:F43))</f>
        <v/>
      </c>
      <c r="I43" s="10">
        <f>IF(COUNT(D43:F43)=0,"",MAX(D43:F43))</f>
        <v/>
      </c>
      <c r="J43" s="11">
        <f>IF(OR(G43="",G43=0),"",(I43-G43)/G43)</f>
        <v/>
      </c>
      <c r="K43" s="4">
        <f>IF(COUNT(D43:F43)=0,"",INDEX($D$1:$F$1,MATCH(MIN(D43:F43),D43:F43,0)))</f>
        <v/>
      </c>
      <c r="L43" s="10" t="n">
        <v>555.05</v>
      </c>
      <c r="M43" s="12" t="n">
        <v>1</v>
      </c>
    </row>
    <row r="44">
      <c r="A44" s="4" t="inlineStr">
        <is>
          <t>MAT-02-035</t>
        </is>
      </c>
      <c r="B44" s="5" t="inlineStr">
        <is>
          <t>Derretido para cerámica, 50 lb</t>
        </is>
      </c>
      <c r="C44" s="4" t="inlineStr">
        <is>
          <t>unidad</t>
        </is>
      </c>
      <c r="D44" s="10" t="n"/>
      <c r="E44" s="10" t="n">
        <v>1365.1</v>
      </c>
      <c r="F44" s="10" t="n"/>
      <c r="G44" s="10">
        <f>IF(COUNT(D44:F44)=0,"",MIN(D44:F44))</f>
        <v/>
      </c>
      <c r="H44" s="10">
        <f>IF(COUNT(D44:F44)=0,"",MEDIAN(D44:F44))</f>
        <v/>
      </c>
      <c r="I44" s="10">
        <f>IF(COUNT(D44:F44)=0,"",MAX(D44:F44))</f>
        <v/>
      </c>
      <c r="J44" s="11">
        <f>IF(OR(G44="",G44=0),"",(I44-G44)/G44)</f>
        <v/>
      </c>
      <c r="K44" s="4">
        <f>IF(COUNT(D44:F44)=0,"",INDEX($D$1:$F$1,MATCH(MIN(D44:F44),D44:F44,0)))</f>
        <v/>
      </c>
      <c r="L44" s="10" t="n">
        <v>1365.1</v>
      </c>
      <c r="M44" s="12" t="n">
        <v>1</v>
      </c>
    </row>
    <row r="45">
      <c r="A45" s="4" t="inlineStr">
        <is>
          <t>MAT-02-036</t>
        </is>
      </c>
      <c r="B45" s="5" t="inlineStr">
        <is>
          <t>Mortero de anclaje, 22 kg</t>
        </is>
      </c>
      <c r="C45" s="4" t="inlineStr">
        <is>
          <t>unidad</t>
        </is>
      </c>
      <c r="D45" s="10" t="n"/>
      <c r="E45" s="10" t="n">
        <v>1270.75</v>
      </c>
      <c r="F45" s="10" t="n"/>
      <c r="G45" s="10">
        <f>IF(COUNT(D45:F45)=0,"",MIN(D45:F45))</f>
        <v/>
      </c>
      <c r="H45" s="10">
        <f>IF(COUNT(D45:F45)=0,"",MEDIAN(D45:F45))</f>
        <v/>
      </c>
      <c r="I45" s="10">
        <f>IF(COUNT(D45:F45)=0,"",MAX(D45:F45))</f>
        <v/>
      </c>
      <c r="J45" s="11">
        <f>IF(OR(G45="",G45=0),"",(I45-G45)/G45)</f>
        <v/>
      </c>
      <c r="K45" s="4">
        <f>IF(COUNT(D45:F45)=0,"",INDEX($D$1:$F$1,MATCH(MIN(D45:F45),D45:F45,0)))</f>
        <v/>
      </c>
      <c r="L45" s="10" t="n">
        <v>1270.75</v>
      </c>
      <c r="M45" s="12" t="n">
        <v>1</v>
      </c>
    </row>
    <row r="46">
      <c r="A46" s="4" t="inlineStr">
        <is>
          <t>MAT-02-037</t>
        </is>
      </c>
      <c r="B46" s="5" t="inlineStr">
        <is>
          <t>Mortero de pañete, 10 lb</t>
        </is>
      </c>
      <c r="C46" s="4" t="inlineStr">
        <is>
          <t>unidad</t>
        </is>
      </c>
      <c r="D46" s="10" t="n"/>
      <c r="E46" s="10" t="n">
        <v>135</v>
      </c>
      <c r="F46" s="10" t="n"/>
      <c r="G46" s="10">
        <f>IF(COUNT(D46:F46)=0,"",MIN(D46:F46))</f>
        <v/>
      </c>
      <c r="H46" s="10">
        <f>IF(COUNT(D46:F46)=0,"",MEDIAN(D46:F46))</f>
        <v/>
      </c>
      <c r="I46" s="10">
        <f>IF(COUNT(D46:F46)=0,"",MAX(D46:F46))</f>
        <v/>
      </c>
      <c r="J46" s="11">
        <f>IF(OR(G46="",G46=0),"",(I46-G46)/G46)</f>
        <v/>
      </c>
      <c r="K46" s="4">
        <f>IF(COUNT(D46:F46)=0,"",INDEX($D$1:$F$1,MATCH(MIN(D46:F46),D46:F46,0)))</f>
        <v/>
      </c>
      <c r="L46" s="10" t="n">
        <v>135</v>
      </c>
      <c r="M46" s="12" t="n">
        <v>1</v>
      </c>
    </row>
    <row r="47">
      <c r="A47" s="4" t="inlineStr">
        <is>
          <t>MAT-02-038</t>
        </is>
      </c>
      <c r="B47" s="5" t="inlineStr">
        <is>
          <t>Mortero gris, 50 lb</t>
        </is>
      </c>
      <c r="C47" s="4" t="inlineStr">
        <is>
          <t>unidad</t>
        </is>
      </c>
      <c r="D47" s="10" t="n"/>
      <c r="E47" s="10" t="n">
        <v>1308</v>
      </c>
      <c r="F47" s="10" t="n"/>
      <c r="G47" s="10">
        <f>IF(COUNT(D47:F47)=0,"",MIN(D47:F47))</f>
        <v/>
      </c>
      <c r="H47" s="10">
        <f>IF(COUNT(D47:F47)=0,"",MEDIAN(D47:F47))</f>
        <v/>
      </c>
      <c r="I47" s="10">
        <f>IF(COUNT(D47:F47)=0,"",MAX(D47:F47))</f>
        <v/>
      </c>
      <c r="J47" s="11">
        <f>IF(OR(G47="",G47=0),"",(I47-G47)/G47)</f>
        <v/>
      </c>
      <c r="K47" s="4">
        <f>IF(COUNT(D47:F47)=0,"",INDEX($D$1:$F$1,MATCH(MIN(D47:F47),D47:F47,0)))</f>
        <v/>
      </c>
      <c r="L47" s="10" t="n">
        <v>1308</v>
      </c>
      <c r="M47" s="12" t="n">
        <v>1</v>
      </c>
    </row>
    <row r="48">
      <c r="A48" s="4" t="inlineStr">
        <is>
          <t>MAT-02-039</t>
        </is>
      </c>
      <c r="B48" s="5" t="inlineStr">
        <is>
          <t>Mortero impermeabilizante, 25 kg</t>
        </is>
      </c>
      <c r="C48" s="4" t="inlineStr">
        <is>
          <t>unidad</t>
        </is>
      </c>
      <c r="D48" s="10" t="n"/>
      <c r="E48" s="10" t="n">
        <v>2715.75</v>
      </c>
      <c r="F48" s="10" t="n"/>
      <c r="G48" s="10">
        <f>IF(COUNT(D48:F48)=0,"",MIN(D48:F48))</f>
        <v/>
      </c>
      <c r="H48" s="10">
        <f>IF(COUNT(D48:F48)=0,"",MEDIAN(D48:F48))</f>
        <v/>
      </c>
      <c r="I48" s="10">
        <f>IF(COUNT(D48:F48)=0,"",MAX(D48:F48))</f>
        <v/>
      </c>
      <c r="J48" s="11">
        <f>IF(OR(G48="",G48=0),"",(I48-G48)/G48)</f>
        <v/>
      </c>
      <c r="K48" s="4">
        <f>IF(COUNT(D48:F48)=0,"",INDEX($D$1:$F$1,MATCH(MIN(D48:F48),D48:F48,0)))</f>
        <v/>
      </c>
      <c r="L48" s="10" t="n">
        <v>2715.75</v>
      </c>
      <c r="M48" s="12" t="n">
        <v>1</v>
      </c>
    </row>
    <row r="49">
      <c r="A49" s="4" t="inlineStr">
        <is>
          <t>MAT-02-040</t>
        </is>
      </c>
      <c r="B49" s="5" t="inlineStr">
        <is>
          <t>Mortero para cerámica, 50 lb</t>
        </is>
      </c>
      <c r="C49" s="4" t="inlineStr">
        <is>
          <t>unidad</t>
        </is>
      </c>
      <c r="D49" s="10" t="n"/>
      <c r="E49" s="10" t="n">
        <v>2396</v>
      </c>
      <c r="F49" s="10" t="n"/>
      <c r="G49" s="10">
        <f>IF(COUNT(D49:F49)=0,"",MIN(D49:F49))</f>
        <v/>
      </c>
      <c r="H49" s="10">
        <f>IF(COUNT(D49:F49)=0,"",MEDIAN(D49:F49))</f>
        <v/>
      </c>
      <c r="I49" s="10">
        <f>IF(COUNT(D49:F49)=0,"",MAX(D49:F49))</f>
        <v/>
      </c>
      <c r="J49" s="11">
        <f>IF(OR(G49="",G49=0),"",(I49-G49)/G49)</f>
        <v/>
      </c>
      <c r="K49" s="4">
        <f>IF(COUNT(D49:F49)=0,"",INDEX($D$1:$F$1,MATCH(MIN(D49:F49),D49:F49,0)))</f>
        <v/>
      </c>
      <c r="L49" s="10" t="n">
        <v>2396</v>
      </c>
      <c r="M49" s="12" t="n">
        <v>1</v>
      </c>
    </row>
    <row r="50">
      <c r="A50" s="4" t="inlineStr">
        <is>
          <t>MAT-02-041</t>
        </is>
      </c>
      <c r="B50" s="5" t="inlineStr">
        <is>
          <t>Pegamento de cerámica para cerámica, 1/4 galón</t>
        </is>
      </c>
      <c r="C50" s="4" t="inlineStr">
        <is>
          <t>unidad</t>
        </is>
      </c>
      <c r="D50" s="10" t="n"/>
      <c r="E50" s="10" t="n">
        <v>625</v>
      </c>
      <c r="F50" s="10" t="n"/>
      <c r="G50" s="10">
        <f>IF(COUNT(D50:F50)=0,"",MIN(D50:F50))</f>
        <v/>
      </c>
      <c r="H50" s="10">
        <f>IF(COUNT(D50:F50)=0,"",MEDIAN(D50:F50))</f>
        <v/>
      </c>
      <c r="I50" s="10">
        <f>IF(COUNT(D50:F50)=0,"",MAX(D50:F50))</f>
        <v/>
      </c>
      <c r="J50" s="11">
        <f>IF(OR(G50="",G50=0),"",(I50-G50)/G50)</f>
        <v/>
      </c>
      <c r="K50" s="4">
        <f>IF(COUNT(D50:F50)=0,"",INDEX($D$1:$F$1,MATCH(MIN(D50:F50),D50:F50,0)))</f>
        <v/>
      </c>
      <c r="L50" s="10" t="n">
        <v>625</v>
      </c>
      <c r="M50" s="12" t="n">
        <v>1</v>
      </c>
    </row>
    <row r="51">
      <c r="A51" s="4" t="inlineStr">
        <is>
          <t>MAT-02-042</t>
        </is>
      </c>
      <c r="B51" s="5" t="inlineStr">
        <is>
          <t>Pegamento de cerámica para cerámica, 1 galón</t>
        </is>
      </c>
      <c r="C51" s="4" t="inlineStr">
        <is>
          <t>unidad</t>
        </is>
      </c>
      <c r="D51" s="10" t="n"/>
      <c r="E51" s="10" t="n">
        <v>1845</v>
      </c>
      <c r="F51" s="10" t="n"/>
      <c r="G51" s="10">
        <f>IF(COUNT(D51:F51)=0,"",MIN(D51:F51))</f>
        <v/>
      </c>
      <c r="H51" s="10">
        <f>IF(COUNT(D51:F51)=0,"",MEDIAN(D51:F51))</f>
        <v/>
      </c>
      <c r="I51" s="10">
        <f>IF(COUNT(D51:F51)=0,"",MAX(D51:F51))</f>
        <v/>
      </c>
      <c r="J51" s="11">
        <f>IF(OR(G51="",G51=0),"",(I51-G51)/G51)</f>
        <v/>
      </c>
      <c r="K51" s="4">
        <f>IF(COUNT(D51:F51)=0,"",INDEX($D$1:$F$1,MATCH(MIN(D51:F51),D51:F51,0)))</f>
        <v/>
      </c>
      <c r="L51" s="10" t="n">
        <v>1845</v>
      </c>
      <c r="M51" s="12" t="n">
        <v>1</v>
      </c>
    </row>
    <row r="52">
      <c r="A52" s="4" t="inlineStr">
        <is>
          <t>MAT-02-043</t>
        </is>
      </c>
      <c r="B52" s="5" t="inlineStr">
        <is>
          <t>Pegamento de cerámica para cerámica, 10 lb</t>
        </is>
      </c>
      <c r="C52" s="4" t="inlineStr">
        <is>
          <t>unidad</t>
        </is>
      </c>
      <c r="D52" s="10" t="n"/>
      <c r="E52" s="10" t="n">
        <v>437.75</v>
      </c>
      <c r="F52" s="10" t="n"/>
      <c r="G52" s="10">
        <f>IF(COUNT(D52:F52)=0,"",MIN(D52:F52))</f>
        <v/>
      </c>
      <c r="H52" s="10">
        <f>IF(COUNT(D52:F52)=0,"",MEDIAN(D52:F52))</f>
        <v/>
      </c>
      <c r="I52" s="10">
        <f>IF(COUNT(D52:F52)=0,"",MAX(D52:F52))</f>
        <v/>
      </c>
      <c r="J52" s="11">
        <f>IF(OR(G52="",G52=0),"",(I52-G52)/G52)</f>
        <v/>
      </c>
      <c r="K52" s="4">
        <f>IF(COUNT(D52:F52)=0,"",INDEX($D$1:$F$1,MATCH(MIN(D52:F52),D52:F52,0)))</f>
        <v/>
      </c>
      <c r="L52" s="10" t="n">
        <v>569.5</v>
      </c>
      <c r="M52" s="12" t="n">
        <v>1</v>
      </c>
    </row>
    <row r="53">
      <c r="A53" s="4" t="inlineStr">
        <is>
          <t>MAT-02-044</t>
        </is>
      </c>
      <c r="B53" s="5" t="inlineStr">
        <is>
          <t>Pegamento de cerámica para cerámica, 50 lb</t>
        </is>
      </c>
      <c r="C53" s="4" t="inlineStr">
        <is>
          <t>unidad</t>
        </is>
      </c>
      <c r="D53" s="10" t="n"/>
      <c r="E53" s="10" t="n">
        <v>325</v>
      </c>
      <c r="F53" s="10" t="n"/>
      <c r="G53" s="10">
        <f>IF(COUNT(D53:F53)=0,"",MIN(D53:F53))</f>
        <v/>
      </c>
      <c r="H53" s="10">
        <f>IF(COUNT(D53:F53)=0,"",MEDIAN(D53:F53))</f>
        <v/>
      </c>
      <c r="I53" s="10">
        <f>IF(COUNT(D53:F53)=0,"",MAX(D53:F53))</f>
        <v/>
      </c>
      <c r="J53" s="11">
        <f>IF(OR(G53="",G53=0),"",(I53-G53)/G53)</f>
        <v/>
      </c>
      <c r="K53" s="4">
        <f>IF(COUNT(D53:F53)=0,"",INDEX($D$1:$F$1,MATCH(MIN(D53:F53),D53:F53,0)))</f>
        <v/>
      </c>
      <c r="L53" s="10" t="n">
        <v>330.5</v>
      </c>
      <c r="M53" s="12" t="n">
        <v>1</v>
      </c>
    </row>
    <row r="54">
      <c r="A54" s="4" t="inlineStr">
        <is>
          <t>MAT-02-045</t>
        </is>
      </c>
      <c r="B54" s="5" t="inlineStr">
        <is>
          <t>Yeso en polvo blanco, 10 lb</t>
        </is>
      </c>
      <c r="C54" s="4" t="inlineStr">
        <is>
          <t>unidad</t>
        </is>
      </c>
      <c r="D54" s="10" t="n"/>
      <c r="E54" s="10" t="n">
        <v>167</v>
      </c>
      <c r="F54" s="10" t="n"/>
      <c r="G54" s="10">
        <f>IF(COUNT(D54:F54)=0,"",MIN(D54:F54))</f>
        <v/>
      </c>
      <c r="H54" s="10">
        <f>IF(COUNT(D54:F54)=0,"",MEDIAN(D54:F54))</f>
        <v/>
      </c>
      <c r="I54" s="10">
        <f>IF(COUNT(D54:F54)=0,"",MAX(D54:F54))</f>
        <v/>
      </c>
      <c r="J54" s="11">
        <f>IF(OR(G54="",G54=0),"",(I54-G54)/G54)</f>
        <v/>
      </c>
      <c r="K54" s="4">
        <f>IF(COUNT(D54:F54)=0,"",INDEX($D$1:$F$1,MATCH(MIN(D54:F54),D54:F54,0)))</f>
        <v/>
      </c>
      <c r="L54" s="10" t="n">
        <v>167</v>
      </c>
      <c r="M54" s="12" t="n">
        <v>1</v>
      </c>
    </row>
    <row r="55">
      <c r="A55" s="4" t="inlineStr">
        <is>
          <t>MAT-02-046</t>
        </is>
      </c>
      <c r="B55" s="5" t="inlineStr">
        <is>
          <t>Yeso en polvo blanco, 2 lb</t>
        </is>
      </c>
      <c r="C55" s="4" t="inlineStr">
        <is>
          <t>unidad</t>
        </is>
      </c>
      <c r="D55" s="10" t="n"/>
      <c r="E55" s="10" t="n">
        <v>28</v>
      </c>
      <c r="F55" s="10" t="n"/>
      <c r="G55" s="10">
        <f>IF(COUNT(D55:F55)=0,"",MIN(D55:F55))</f>
        <v/>
      </c>
      <c r="H55" s="10">
        <f>IF(COUNT(D55:F55)=0,"",MEDIAN(D55:F55))</f>
        <v/>
      </c>
      <c r="I55" s="10">
        <f>IF(COUNT(D55:F55)=0,"",MAX(D55:F55))</f>
        <v/>
      </c>
      <c r="J55" s="11">
        <f>IF(OR(G55="",G55=0),"",(I55-G55)/G55)</f>
        <v/>
      </c>
      <c r="K55" s="4">
        <f>IF(COUNT(D55:F55)=0,"",INDEX($D$1:$F$1,MATCH(MIN(D55:F55),D55:F55,0)))</f>
        <v/>
      </c>
      <c r="L55" s="10" t="n">
        <v>28</v>
      </c>
      <c r="M55" s="12" t="n">
        <v>1</v>
      </c>
    </row>
    <row r="56">
      <c r="A56" s="4" t="inlineStr">
        <is>
          <t>MAT-02-047</t>
        </is>
      </c>
      <c r="B56" s="5" t="inlineStr">
        <is>
          <t>Cemento gris, funda de 5 libras</t>
        </is>
      </c>
      <c r="C56" s="4" t="inlineStr">
        <is>
          <t>funda</t>
        </is>
      </c>
      <c r="D56" s="10" t="n">
        <v>34.36</v>
      </c>
      <c r="E56" s="10" t="n"/>
      <c r="F56" s="10" t="n"/>
      <c r="G56" s="10">
        <f>IF(COUNT(D56:F56)=0,"",MIN(D56:F56))</f>
        <v/>
      </c>
      <c r="H56" s="10">
        <f>IF(COUNT(D56:F56)=0,"",MEDIAN(D56:F56))</f>
        <v/>
      </c>
      <c r="I56" s="10">
        <f>IF(COUNT(D56:F56)=0,"",MAX(D56:F56))</f>
        <v/>
      </c>
      <c r="J56" s="11">
        <f>IF(OR(G56="",G56=0),"",(I56-G56)/G56)</f>
        <v/>
      </c>
      <c r="K56" s="4">
        <f>IF(COUNT(D56:F56)=0,"",INDEX($D$1:$F$1,MATCH(MIN(D56:F56),D56:F56,0)))</f>
        <v/>
      </c>
      <c r="L56" s="10" t="n">
        <v>34.36</v>
      </c>
      <c r="M56" s="12" t="n">
        <v>1</v>
      </c>
    </row>
    <row r="57">
      <c r="A57" s="4" t="inlineStr">
        <is>
          <t>MAT-02-048</t>
        </is>
      </c>
      <c r="B57" s="5" t="inlineStr">
        <is>
          <t>Cemento gris, funda de 10 libras</t>
        </is>
      </c>
      <c r="C57" s="4" t="inlineStr">
        <is>
          <t>funda</t>
        </is>
      </c>
      <c r="D57" s="10" t="n">
        <v>65.95999999999999</v>
      </c>
      <c r="E57" s="10" t="n">
        <v>173</v>
      </c>
      <c r="F57" s="10" t="n"/>
      <c r="G57" s="10">
        <f>IF(COUNT(D57:F57)=0,"",MIN(D57:F57))</f>
        <v/>
      </c>
      <c r="H57" s="10">
        <f>IF(COUNT(D57:F57)=0,"",MEDIAN(D57:F57))</f>
        <v/>
      </c>
      <c r="I57" s="10">
        <f>IF(COUNT(D57:F57)=0,"",MAX(D57:F57))</f>
        <v/>
      </c>
      <c r="J57" s="11">
        <f>IF(OR(G57="",G57=0),"",(I57-G57)/G57)</f>
        <v/>
      </c>
      <c r="K57" s="4">
        <f>IF(COUNT(D57:F57)=0,"",INDEX($D$1:$F$1,MATCH(MIN(D57:F57),D57:F57,0)))</f>
        <v/>
      </c>
      <c r="L57" s="10" t="n">
        <v>119.48</v>
      </c>
      <c r="M57" s="12" t="n">
        <v>2</v>
      </c>
    </row>
    <row r="58">
      <c r="A58" s="4" t="inlineStr">
        <is>
          <t>MAT-02-049</t>
        </is>
      </c>
      <c r="B58" s="5" t="inlineStr">
        <is>
          <t>Cemento blanco, funda de 2 libras</t>
        </is>
      </c>
      <c r="C58" s="4" t="inlineStr">
        <is>
          <t>funda</t>
        </is>
      </c>
      <c r="D58" s="10" t="n">
        <v>49.97</v>
      </c>
      <c r="E58" s="10" t="n">
        <v>57</v>
      </c>
      <c r="F58" s="10" t="n"/>
      <c r="G58" s="10">
        <f>IF(COUNT(D58:F58)=0,"",MIN(D58:F58))</f>
        <v/>
      </c>
      <c r="H58" s="10">
        <f>IF(COUNT(D58:F58)=0,"",MEDIAN(D58:F58))</f>
        <v/>
      </c>
      <c r="I58" s="10">
        <f>IF(COUNT(D58:F58)=0,"",MAX(D58:F58))</f>
        <v/>
      </c>
      <c r="J58" s="11">
        <f>IF(OR(G58="",G58=0),"",(I58-G58)/G58)</f>
        <v/>
      </c>
      <c r="K58" s="4">
        <f>IF(COUNT(D58:F58)=0,"",INDEX($D$1:$F$1,MATCH(MIN(D58:F58),D58:F58,0)))</f>
        <v/>
      </c>
      <c r="L58" s="10" t="n">
        <v>53.49</v>
      </c>
      <c r="M58" s="12" t="n">
        <v>2</v>
      </c>
    </row>
    <row r="59">
      <c r="A59" s="4" t="inlineStr">
        <is>
          <t>MAT-02-050</t>
        </is>
      </c>
      <c r="B59" s="5" t="inlineStr">
        <is>
          <t>Cemento blanco, funda de 5 libras</t>
        </is>
      </c>
      <c r="C59" s="4" t="inlineStr">
        <is>
          <t>funda</t>
        </is>
      </c>
      <c r="D59" s="10" t="n">
        <v>109.93</v>
      </c>
      <c r="E59" s="10" t="n">
        <v>132</v>
      </c>
      <c r="F59" s="10" t="n"/>
      <c r="G59" s="10">
        <f>IF(COUNT(D59:F59)=0,"",MIN(D59:F59))</f>
        <v/>
      </c>
      <c r="H59" s="10">
        <f>IF(COUNT(D59:F59)=0,"",MEDIAN(D59:F59))</f>
        <v/>
      </c>
      <c r="I59" s="10">
        <f>IF(COUNT(D59:F59)=0,"",MAX(D59:F59))</f>
        <v/>
      </c>
      <c r="J59" s="11">
        <f>IF(OR(G59="",G59=0),"",(I59-G59)/G59)</f>
        <v/>
      </c>
      <c r="K59" s="4">
        <f>IF(COUNT(D59:F59)=0,"",INDEX($D$1:$F$1,MATCH(MIN(D59:F59),D59:F59,0)))</f>
        <v/>
      </c>
      <c r="L59" s="10" t="n">
        <v>120.97</v>
      </c>
      <c r="M59" s="12" t="n">
        <v>2</v>
      </c>
    </row>
    <row r="60">
      <c r="A60" s="4" t="inlineStr">
        <is>
          <t>MAT-02-051</t>
        </is>
      </c>
      <c r="B60" s="5" t="inlineStr">
        <is>
          <t>Cemento blanco, funda de 10 libras</t>
        </is>
      </c>
      <c r="C60" s="4" t="inlineStr">
        <is>
          <t>funda</t>
        </is>
      </c>
      <c r="D60" s="10" t="n">
        <v>159.1</v>
      </c>
      <c r="E60" s="10" t="n"/>
      <c r="F60" s="10" t="n"/>
      <c r="G60" s="10">
        <f>IF(COUNT(D60:F60)=0,"",MIN(D60:F60))</f>
        <v/>
      </c>
      <c r="H60" s="10">
        <f>IF(COUNT(D60:F60)=0,"",MEDIAN(D60:F60))</f>
        <v/>
      </c>
      <c r="I60" s="10">
        <f>IF(COUNT(D60:F60)=0,"",MAX(D60:F60))</f>
        <v/>
      </c>
      <c r="J60" s="11">
        <f>IF(OR(G60="",G60=0),"",(I60-G60)/G60)</f>
        <v/>
      </c>
      <c r="K60" s="4">
        <f>IF(COUNT(D60:F60)=0,"",INDEX($D$1:$F$1,MATCH(MIN(D60:F60),D60:F60,0)))</f>
        <v/>
      </c>
      <c r="L60" s="10" t="n">
        <v>159.1</v>
      </c>
      <c r="M60" s="12" t="n">
        <v>1</v>
      </c>
    </row>
    <row r="61">
      <c r="A61" s="4" t="inlineStr">
        <is>
          <t>MAT-02-052</t>
        </is>
      </c>
      <c r="B61" s="5" t="inlineStr">
        <is>
          <t>Yeso en polvo, por libra</t>
        </is>
      </c>
      <c r="C61" s="4" t="inlineStr">
        <is>
          <t>lb</t>
        </is>
      </c>
      <c r="D61" s="10" t="n">
        <v>4.8</v>
      </c>
      <c r="E61" s="10" t="n"/>
      <c r="F61" s="10" t="n"/>
      <c r="G61" s="10">
        <f>IF(COUNT(D61:F61)=0,"",MIN(D61:F61))</f>
        <v/>
      </c>
      <c r="H61" s="10">
        <f>IF(COUNT(D61:F61)=0,"",MEDIAN(D61:F61))</f>
        <v/>
      </c>
      <c r="I61" s="10">
        <f>IF(COUNT(D61:F61)=0,"",MAX(D61:F61))</f>
        <v/>
      </c>
      <c r="J61" s="11">
        <f>IF(OR(G61="",G61=0),"",(I61-G61)/G61)</f>
        <v/>
      </c>
      <c r="K61" s="4">
        <f>IF(COUNT(D61:F61)=0,"",INDEX($D$1:$F$1,MATCH(MIN(D61:F61),D61:F61,0)))</f>
        <v/>
      </c>
      <c r="L61" s="10" t="n">
        <v>4.8</v>
      </c>
      <c r="M61" s="12" t="n">
        <v>1</v>
      </c>
    </row>
    <row r="62">
      <c r="A62" s="4" t="inlineStr">
        <is>
          <t>MAT-02-053</t>
        </is>
      </c>
      <c r="B62" s="5" t="inlineStr">
        <is>
          <t>Yeso en polvo, funda de 5 libras</t>
        </is>
      </c>
      <c r="C62" s="4" t="inlineStr">
        <is>
          <t>funda</t>
        </is>
      </c>
      <c r="D62" s="10" t="n">
        <v>37.93</v>
      </c>
      <c r="E62" s="10" t="n"/>
      <c r="F62" s="10" t="n"/>
      <c r="G62" s="10">
        <f>IF(COUNT(D62:F62)=0,"",MIN(D62:F62))</f>
        <v/>
      </c>
      <c r="H62" s="10">
        <f>IF(COUNT(D62:F62)=0,"",MEDIAN(D62:F62))</f>
        <v/>
      </c>
      <c r="I62" s="10">
        <f>IF(COUNT(D62:F62)=0,"",MAX(D62:F62))</f>
        <v/>
      </c>
      <c r="J62" s="11">
        <f>IF(OR(G62="",G62=0),"",(I62-G62)/G62)</f>
        <v/>
      </c>
      <c r="K62" s="4">
        <f>IF(COUNT(D62:F62)=0,"",INDEX($D$1:$F$1,MATCH(MIN(D62:F62),D62:F62,0)))</f>
        <v/>
      </c>
      <c r="L62" s="10" t="n">
        <v>37.93</v>
      </c>
      <c r="M62" s="12" t="n">
        <v>1</v>
      </c>
    </row>
    <row r="63">
      <c r="A63" s="4" t="inlineStr">
        <is>
          <t>MAT-02-054</t>
        </is>
      </c>
      <c r="B63" s="5" t="inlineStr">
        <is>
          <t>Yeso en polvo Paloma, funda de 65 libras</t>
        </is>
      </c>
      <c r="C63" s="4" t="inlineStr">
        <is>
          <t>funda</t>
        </is>
      </c>
      <c r="D63" s="10" t="n">
        <v>373.64</v>
      </c>
      <c r="E63" s="10" t="n"/>
      <c r="F63" s="10" t="n"/>
      <c r="G63" s="10">
        <f>IF(COUNT(D63:F63)=0,"",MIN(D63:F63))</f>
        <v/>
      </c>
      <c r="H63" s="10">
        <f>IF(COUNT(D63:F63)=0,"",MEDIAN(D63:F63))</f>
        <v/>
      </c>
      <c r="I63" s="10">
        <f>IF(COUNT(D63:F63)=0,"",MAX(D63:F63))</f>
        <v/>
      </c>
      <c r="J63" s="11">
        <f>IF(OR(G63="",G63=0),"",(I63-G63)/G63)</f>
        <v/>
      </c>
      <c r="K63" s="4">
        <f>IF(COUNT(D63:F63)=0,"",INDEX($D$1:$F$1,MATCH(MIN(D63:F63),D63:F63,0)))</f>
        <v/>
      </c>
      <c r="L63" s="10" t="n">
        <v>373.64</v>
      </c>
      <c r="M63" s="12" t="n">
        <v>1</v>
      </c>
    </row>
    <row r="64">
      <c r="A64" s="4" t="inlineStr">
        <is>
          <t>MAT-02-055</t>
        </is>
      </c>
      <c r="B64" s="5" t="inlineStr">
        <is>
          <t>Fibra de acero para hormigón, funda de 5.3 kg</t>
        </is>
      </c>
      <c r="C64" s="4" t="inlineStr">
        <is>
          <t>funda</t>
        </is>
      </c>
      <c r="D64" s="10" t="n">
        <v>1295.68</v>
      </c>
      <c r="E64" s="10" t="n"/>
      <c r="F64" s="10" t="n"/>
      <c r="G64" s="10">
        <f>IF(COUNT(D64:F64)=0,"",MIN(D64:F64))</f>
        <v/>
      </c>
      <c r="H64" s="10">
        <f>IF(COUNT(D64:F64)=0,"",MEDIAN(D64:F64))</f>
        <v/>
      </c>
      <c r="I64" s="10">
        <f>IF(COUNT(D64:F64)=0,"",MAX(D64:F64))</f>
        <v/>
      </c>
      <c r="J64" s="11">
        <f>IF(OR(G64="",G64=0),"",(I64-G64)/G64)</f>
        <v/>
      </c>
      <c r="K64" s="4">
        <f>IF(COUNT(D64:F64)=0,"",INDEX($D$1:$F$1,MATCH(MIN(D64:F64),D64:F64,0)))</f>
        <v/>
      </c>
      <c r="L64" s="10" t="n">
        <v>1295.68</v>
      </c>
      <c r="M64" s="12" t="n">
        <v>1</v>
      </c>
    </row>
    <row r="65">
      <c r="A65" s="4" t="inlineStr">
        <is>
          <t>MAT-02-056</t>
        </is>
      </c>
      <c r="B65" s="5" t="inlineStr">
        <is>
          <t>Macrofibra sintética para hormigón, funda de 1.5 kg</t>
        </is>
      </c>
      <c r="C65" s="4" t="inlineStr">
        <is>
          <t>funda</t>
        </is>
      </c>
      <c r="D65" s="10" t="n">
        <v>807.79</v>
      </c>
      <c r="E65" s="10" t="n"/>
      <c r="F65" s="10" t="n"/>
      <c r="G65" s="10">
        <f>IF(COUNT(D65:F65)=0,"",MIN(D65:F65))</f>
        <v/>
      </c>
      <c r="H65" s="10">
        <f>IF(COUNT(D65:F65)=0,"",MEDIAN(D65:F65))</f>
        <v/>
      </c>
      <c r="I65" s="10">
        <f>IF(COUNT(D65:F65)=0,"",MAX(D65:F65))</f>
        <v/>
      </c>
      <c r="J65" s="11">
        <f>IF(OR(G65="",G65=0),"",(I65-G65)/G65)</f>
        <v/>
      </c>
      <c r="K65" s="4">
        <f>IF(COUNT(D65:F65)=0,"",INDEX($D$1:$F$1,MATCH(MIN(D65:F65),D65:F65,0)))</f>
        <v/>
      </c>
      <c r="L65" s="10" t="n">
        <v>807.79</v>
      </c>
      <c r="M65" s="12" t="n">
        <v>1</v>
      </c>
    </row>
    <row r="66">
      <c r="A66" s="4" t="inlineStr">
        <is>
          <t>MAT-04-027</t>
        </is>
      </c>
      <c r="B66" s="5" t="inlineStr">
        <is>
          <t>Alambre liso galvanizado calibre 10</t>
        </is>
      </c>
      <c r="C66" s="4" t="inlineStr">
        <is>
          <t>lb</t>
        </is>
      </c>
      <c r="D66" s="10" t="n">
        <v>61.12</v>
      </c>
      <c r="E66" s="10" t="n"/>
      <c r="F66" s="10" t="n"/>
      <c r="G66" s="10">
        <f>IF(COUNT(D66:F66)=0,"",MIN(D66:F66))</f>
        <v/>
      </c>
      <c r="H66" s="10">
        <f>IF(COUNT(D66:F66)=0,"",MEDIAN(D66:F66))</f>
        <v/>
      </c>
      <c r="I66" s="10">
        <f>IF(COUNT(D66:F66)=0,"",MAX(D66:F66))</f>
        <v/>
      </c>
      <c r="J66" s="11">
        <f>IF(OR(G66="",G66=0),"",(I66-G66)/G66)</f>
        <v/>
      </c>
      <c r="K66" s="4">
        <f>IF(COUNT(D66:F66)=0,"",INDEX($D$1:$F$1,MATCH(MIN(D66:F66),D66:F66,0)))</f>
        <v/>
      </c>
      <c r="L66" s="10" t="n">
        <v>61.12</v>
      </c>
      <c r="M66" s="12" t="n">
        <v>1</v>
      </c>
    </row>
    <row r="67">
      <c r="A67" s="4" t="inlineStr">
        <is>
          <t>MAT-04-028</t>
        </is>
      </c>
      <c r="B67" s="5" t="inlineStr">
        <is>
          <t>Alambre liso galvanizado calibre 12</t>
        </is>
      </c>
      <c r="C67" s="4" t="inlineStr">
        <is>
          <t>lb</t>
        </is>
      </c>
      <c r="D67" s="10" t="n">
        <v>61.12</v>
      </c>
      <c r="E67" s="10" t="n"/>
      <c r="F67" s="10" t="n"/>
      <c r="G67" s="10">
        <f>IF(COUNT(D67:F67)=0,"",MIN(D67:F67))</f>
        <v/>
      </c>
      <c r="H67" s="10">
        <f>IF(COUNT(D67:F67)=0,"",MEDIAN(D67:F67))</f>
        <v/>
      </c>
      <c r="I67" s="10">
        <f>IF(COUNT(D67:F67)=0,"",MAX(D67:F67))</f>
        <v/>
      </c>
      <c r="J67" s="11">
        <f>IF(OR(G67="",G67=0),"",(I67-G67)/G67)</f>
        <v/>
      </c>
      <c r="K67" s="4">
        <f>IF(COUNT(D67:F67)=0,"",INDEX($D$1:$F$1,MATCH(MIN(D67:F67),D67:F67,0)))</f>
        <v/>
      </c>
      <c r="L67" s="10" t="n">
        <v>61.12</v>
      </c>
      <c r="M67" s="12" t="n">
        <v>1</v>
      </c>
    </row>
    <row r="68">
      <c r="A68" s="4" t="inlineStr">
        <is>
          <t>MAT-04-029</t>
        </is>
      </c>
      <c r="B68" s="5" t="inlineStr">
        <is>
          <t>Alambre liso galvanizado calibre 16</t>
        </is>
      </c>
      <c r="C68" s="4" t="inlineStr">
        <is>
          <t>lb</t>
        </is>
      </c>
      <c r="D68" s="10" t="n">
        <v>56.59</v>
      </c>
      <c r="E68" s="10" t="n"/>
      <c r="F68" s="10" t="n"/>
      <c r="G68" s="10">
        <f>IF(COUNT(D68:F68)=0,"",MIN(D68:F68))</f>
        <v/>
      </c>
      <c r="H68" s="10">
        <f>IF(COUNT(D68:F68)=0,"",MEDIAN(D68:F68))</f>
        <v/>
      </c>
      <c r="I68" s="10">
        <f>IF(COUNT(D68:F68)=0,"",MAX(D68:F68))</f>
        <v/>
      </c>
      <c r="J68" s="11">
        <f>IF(OR(G68="",G68=0),"",(I68-G68)/G68)</f>
        <v/>
      </c>
      <c r="K68" s="4">
        <f>IF(COUNT(D68:F68)=0,"",INDEX($D$1:$F$1,MATCH(MIN(D68:F68),D68:F68,0)))</f>
        <v/>
      </c>
      <c r="L68" s="10" t="n">
        <v>56.59</v>
      </c>
      <c r="M68" s="12" t="n">
        <v>1</v>
      </c>
    </row>
    <row r="69">
      <c r="A69" s="4" t="inlineStr">
        <is>
          <t>MAT-04-030</t>
        </is>
      </c>
      <c r="B69" s="5" t="inlineStr">
        <is>
          <t>Separador plástico para varilla 3/8"</t>
        </is>
      </c>
      <c r="C69" s="4" t="inlineStr">
        <is>
          <t>unidad</t>
        </is>
      </c>
      <c r="D69" s="10" t="n">
        <v>30.48</v>
      </c>
      <c r="E69" s="10" t="n"/>
      <c r="F69" s="10" t="n"/>
      <c r="G69" s="10">
        <f>IF(COUNT(D69:F69)=0,"",MIN(D69:F69))</f>
        <v/>
      </c>
      <c r="H69" s="10">
        <f>IF(COUNT(D69:F69)=0,"",MEDIAN(D69:F69))</f>
        <v/>
      </c>
      <c r="I69" s="10">
        <f>IF(COUNT(D69:F69)=0,"",MAX(D69:F69))</f>
        <v/>
      </c>
      <c r="J69" s="11">
        <f>IF(OR(G69="",G69=0),"",(I69-G69)/G69)</f>
        <v/>
      </c>
      <c r="K69" s="4">
        <f>IF(COUNT(D69:F69)=0,"",INDEX($D$1:$F$1,MATCH(MIN(D69:F69),D69:F69,0)))</f>
        <v/>
      </c>
      <c r="L69" s="10" t="n">
        <v>30.48</v>
      </c>
      <c r="M69" s="12" t="n">
        <v>1</v>
      </c>
    </row>
    <row r="70">
      <c r="A70" s="4" t="inlineStr">
        <is>
          <t>MAT-04-031</t>
        </is>
      </c>
      <c r="B70" s="5" t="inlineStr">
        <is>
          <t>Separador plástico para varilla 1/2"</t>
        </is>
      </c>
      <c r="C70" s="4" t="inlineStr">
        <is>
          <t>unidad</t>
        </is>
      </c>
      <c r="D70" s="10" t="n">
        <v>45.71</v>
      </c>
      <c r="E70" s="10" t="n"/>
      <c r="F70" s="10" t="n"/>
      <c r="G70" s="10">
        <f>IF(COUNT(D70:F70)=0,"",MIN(D70:F70))</f>
        <v/>
      </c>
      <c r="H70" s="10">
        <f>IF(COUNT(D70:F70)=0,"",MEDIAN(D70:F70))</f>
        <v/>
      </c>
      <c r="I70" s="10">
        <f>IF(COUNT(D70:F70)=0,"",MAX(D70:F70))</f>
        <v/>
      </c>
      <c r="J70" s="11">
        <f>IF(OR(G70="",G70=0),"",(I70-G70)/G70)</f>
        <v/>
      </c>
      <c r="K70" s="4">
        <f>IF(COUNT(D70:F70)=0,"",INDEX($D$1:$F$1,MATCH(MIN(D70:F70),D70:F70,0)))</f>
        <v/>
      </c>
      <c r="L70" s="10" t="n">
        <v>45.71</v>
      </c>
      <c r="M70" s="12" t="n">
        <v>1</v>
      </c>
    </row>
    <row r="71">
      <c r="A71" s="4" t="inlineStr">
        <is>
          <t>MAT-04-032</t>
        </is>
      </c>
      <c r="B71" s="5" t="inlineStr">
        <is>
          <t>Separador plástico para varilla 5/8"</t>
        </is>
      </c>
      <c r="C71" s="4" t="inlineStr">
        <is>
          <t>unidad</t>
        </is>
      </c>
      <c r="D71" s="10" t="n">
        <v>54.43</v>
      </c>
      <c r="E71" s="10" t="n"/>
      <c r="F71" s="10" t="n"/>
      <c r="G71" s="10">
        <f>IF(COUNT(D71:F71)=0,"",MIN(D71:F71))</f>
        <v/>
      </c>
      <c r="H71" s="10">
        <f>IF(COUNT(D71:F71)=0,"",MEDIAN(D71:F71))</f>
        <v/>
      </c>
      <c r="I71" s="10">
        <f>IF(COUNT(D71:F71)=0,"",MAX(D71:F71))</f>
        <v/>
      </c>
      <c r="J71" s="11">
        <f>IF(OR(G71="",G71=0),"",(I71-G71)/G71)</f>
        <v/>
      </c>
      <c r="K71" s="4">
        <f>IF(COUNT(D71:F71)=0,"",INDEX($D$1:$F$1,MATCH(MIN(D71:F71),D71:F71,0)))</f>
        <v/>
      </c>
      <c r="L71" s="10" t="n">
        <v>54.43</v>
      </c>
      <c r="M71" s="12" t="n">
        <v>1</v>
      </c>
    </row>
    <row r="72">
      <c r="A72" s="4" t="inlineStr">
        <is>
          <t>MAT-04-033</t>
        </is>
      </c>
      <c r="B72" s="5" t="inlineStr">
        <is>
          <t>Separador plástico para varilla 3/4"</t>
        </is>
      </c>
      <c r="C72" s="4" t="inlineStr">
        <is>
          <t>unidad</t>
        </is>
      </c>
      <c r="D72" s="10" t="n">
        <v>63.13</v>
      </c>
      <c r="E72" s="10" t="n"/>
      <c r="F72" s="10" t="n"/>
      <c r="G72" s="10">
        <f>IF(COUNT(D72:F72)=0,"",MIN(D72:F72))</f>
        <v/>
      </c>
      <c r="H72" s="10">
        <f>IF(COUNT(D72:F72)=0,"",MEDIAN(D72:F72))</f>
        <v/>
      </c>
      <c r="I72" s="10">
        <f>IF(COUNT(D72:F72)=0,"",MAX(D72:F72))</f>
        <v/>
      </c>
      <c r="J72" s="11">
        <f>IF(OR(G72="",G72=0),"",(I72-G72)/G72)</f>
        <v/>
      </c>
      <c r="K72" s="4">
        <f>IF(COUNT(D72:F72)=0,"",INDEX($D$1:$F$1,MATCH(MIN(D72:F72),D72:F72,0)))</f>
        <v/>
      </c>
      <c r="L72" s="10" t="n">
        <v>63.13</v>
      </c>
      <c r="M72" s="12" t="n">
        <v>1</v>
      </c>
    </row>
    <row r="73">
      <c r="A73" s="4" t="inlineStr">
        <is>
          <t>MAT-04-034</t>
        </is>
      </c>
      <c r="B73" s="5" t="inlineStr">
        <is>
          <t>Separador plástico para varilla 1"</t>
        </is>
      </c>
      <c r="C73" s="4" t="inlineStr">
        <is>
          <t>unidad</t>
        </is>
      </c>
      <c r="D73" s="10" t="n">
        <v>70.75</v>
      </c>
      <c r="E73" s="10" t="n"/>
      <c r="F73" s="10" t="n"/>
      <c r="G73" s="10">
        <f>IF(COUNT(D73:F73)=0,"",MIN(D73:F73))</f>
        <v/>
      </c>
      <c r="H73" s="10">
        <f>IF(COUNT(D73:F73)=0,"",MEDIAN(D73:F73))</f>
        <v/>
      </c>
      <c r="I73" s="10">
        <f>IF(COUNT(D73:F73)=0,"",MAX(D73:F73))</f>
        <v/>
      </c>
      <c r="J73" s="11">
        <f>IF(OR(G73="",G73=0),"",(I73-G73)/G73)</f>
        <v/>
      </c>
      <c r="K73" s="4">
        <f>IF(COUNT(D73:F73)=0,"",INDEX($D$1:$F$1,MATCH(MIN(D73:F73),D73:F73,0)))</f>
        <v/>
      </c>
      <c r="L73" s="10" t="n">
        <v>70.75</v>
      </c>
      <c r="M73" s="12" t="n">
        <v>1</v>
      </c>
    </row>
    <row r="74">
      <c r="A74" s="4" t="inlineStr">
        <is>
          <t>MAT-04-035</t>
        </is>
      </c>
      <c r="B74" s="5" t="inlineStr">
        <is>
          <t>Separador plástico para varilla 1 1/4"</t>
        </is>
      </c>
      <c r="C74" s="4" t="inlineStr">
        <is>
          <t>unidad</t>
        </is>
      </c>
      <c r="D74" s="10" t="n">
        <v>78.36</v>
      </c>
      <c r="E74" s="10" t="n"/>
      <c r="F74" s="10" t="n"/>
      <c r="G74" s="10">
        <f>IF(COUNT(D74:F74)=0,"",MIN(D74:F74))</f>
        <v/>
      </c>
      <c r="H74" s="10">
        <f>IF(COUNT(D74:F74)=0,"",MEDIAN(D74:F74))</f>
        <v/>
      </c>
      <c r="I74" s="10">
        <f>IF(COUNT(D74:F74)=0,"",MAX(D74:F74))</f>
        <v/>
      </c>
      <c r="J74" s="11">
        <f>IF(OR(G74="",G74=0),"",(I74-G74)/G74)</f>
        <v/>
      </c>
      <c r="K74" s="4">
        <f>IF(COUNT(D74:F74)=0,"",INDEX($D$1:$F$1,MATCH(MIN(D74:F74),D74:F74,0)))</f>
        <v/>
      </c>
      <c r="L74" s="10" t="n">
        <v>78.36</v>
      </c>
      <c r="M74" s="12" t="n">
        <v>1</v>
      </c>
    </row>
    <row r="75">
      <c r="A75" s="4" t="inlineStr">
        <is>
          <t>MAT-04-036</t>
        </is>
      </c>
      <c r="B75" s="5" t="inlineStr">
        <is>
          <t>Coupler mecánico para varilla 3/4"</t>
        </is>
      </c>
      <c r="C75" s="4" t="inlineStr">
        <is>
          <t>unidad</t>
        </is>
      </c>
      <c r="D75" s="10" t="n">
        <v>228.57</v>
      </c>
      <c r="E75" s="10" t="n"/>
      <c r="F75" s="10" t="n"/>
      <c r="G75" s="10">
        <f>IF(COUNT(D75:F75)=0,"",MIN(D75:F75))</f>
        <v/>
      </c>
      <c r="H75" s="10">
        <f>IF(COUNT(D75:F75)=0,"",MEDIAN(D75:F75))</f>
        <v/>
      </c>
      <c r="I75" s="10">
        <f>IF(COUNT(D75:F75)=0,"",MAX(D75:F75))</f>
        <v/>
      </c>
      <c r="J75" s="11">
        <f>IF(OR(G75="",G75=0),"",(I75-G75)/G75)</f>
        <v/>
      </c>
      <c r="K75" s="4">
        <f>IF(COUNT(D75:F75)=0,"",INDEX($D$1:$F$1,MATCH(MIN(D75:F75),D75:F75,0)))</f>
        <v/>
      </c>
      <c r="L75" s="10" t="n">
        <v>228.57</v>
      </c>
      <c r="M75" s="12" t="n">
        <v>1</v>
      </c>
    </row>
    <row r="76">
      <c r="A76" s="4" t="inlineStr">
        <is>
          <t>MAT-04-037</t>
        </is>
      </c>
      <c r="B76" s="5" t="inlineStr">
        <is>
          <t>Coupler mecánico para varilla 1"</t>
        </is>
      </c>
      <c r="C76" s="4" t="inlineStr">
        <is>
          <t>unidad</t>
        </is>
      </c>
      <c r="D76" s="10" t="n">
        <v>434.26</v>
      </c>
      <c r="E76" s="10" t="n"/>
      <c r="F76" s="10" t="n"/>
      <c r="G76" s="10">
        <f>IF(COUNT(D76:F76)=0,"",MIN(D76:F76))</f>
        <v/>
      </c>
      <c r="H76" s="10">
        <f>IF(COUNT(D76:F76)=0,"",MEDIAN(D76:F76))</f>
        <v/>
      </c>
      <c r="I76" s="10">
        <f>IF(COUNT(D76:F76)=0,"",MAX(D76:F76))</f>
        <v/>
      </c>
      <c r="J76" s="11">
        <f>IF(OR(G76="",G76=0),"",(I76-G76)/G76)</f>
        <v/>
      </c>
      <c r="K76" s="4">
        <f>IF(COUNT(D76:F76)=0,"",INDEX($D$1:$F$1,MATCH(MIN(D76:F76),D76:F76,0)))</f>
        <v/>
      </c>
      <c r="L76" s="10" t="n">
        <v>434.26</v>
      </c>
      <c r="M76" s="12" t="n">
        <v>1</v>
      </c>
    </row>
    <row r="77">
      <c r="A77" s="4" t="inlineStr">
        <is>
          <t>MAT-04-038</t>
        </is>
      </c>
      <c r="B77" s="5" t="inlineStr">
        <is>
          <t>Coupler mecánico para varilla 1 1/8"</t>
        </is>
      </c>
      <c r="C77" s="4" t="inlineStr">
        <is>
          <t>unidad</t>
        </is>
      </c>
      <c r="D77" s="10" t="n">
        <v>697.6799999999999</v>
      </c>
      <c r="E77" s="10" t="n"/>
      <c r="F77" s="10" t="n"/>
      <c r="G77" s="10">
        <f>IF(COUNT(D77:F77)=0,"",MIN(D77:F77))</f>
        <v/>
      </c>
      <c r="H77" s="10">
        <f>IF(COUNT(D77:F77)=0,"",MEDIAN(D77:F77))</f>
        <v/>
      </c>
      <c r="I77" s="10">
        <f>IF(COUNT(D77:F77)=0,"",MAX(D77:F77))</f>
        <v/>
      </c>
      <c r="J77" s="11">
        <f>IF(OR(G77="",G77=0),"",(I77-G77)/G77)</f>
        <v/>
      </c>
      <c r="K77" s="4">
        <f>IF(COUNT(D77:F77)=0,"",INDEX($D$1:$F$1,MATCH(MIN(D77:F77),D77:F77,0)))</f>
        <v/>
      </c>
      <c r="L77" s="10" t="n">
        <v>697.6799999999999</v>
      </c>
      <c r="M77" s="12" t="n">
        <v>1</v>
      </c>
    </row>
    <row r="78">
      <c r="A78" s="4" t="inlineStr">
        <is>
          <t>MAT-04-039</t>
        </is>
      </c>
      <c r="B78" s="5" t="inlineStr">
        <is>
          <t>Coupler mecánico para varilla 1 1/4"</t>
        </is>
      </c>
      <c r="C78" s="4" t="inlineStr">
        <is>
          <t>unidad</t>
        </is>
      </c>
      <c r="D78" s="10" t="n">
        <v>854.4</v>
      </c>
      <c r="E78" s="10" t="n"/>
      <c r="F78" s="10" t="n"/>
      <c r="G78" s="10">
        <f>IF(COUNT(D78:F78)=0,"",MIN(D78:F78))</f>
        <v/>
      </c>
      <c r="H78" s="10">
        <f>IF(COUNT(D78:F78)=0,"",MEDIAN(D78:F78))</f>
        <v/>
      </c>
      <c r="I78" s="10">
        <f>IF(COUNT(D78:F78)=0,"",MAX(D78:F78))</f>
        <v/>
      </c>
      <c r="J78" s="11">
        <f>IF(OR(G78="",G78=0),"",(I78-G78)/G78)</f>
        <v/>
      </c>
      <c r="K78" s="4">
        <f>IF(COUNT(D78:F78)=0,"",INDEX($D$1:$F$1,MATCH(MIN(D78:F78),D78:F78,0)))</f>
        <v/>
      </c>
      <c r="L78" s="10" t="n">
        <v>854.4</v>
      </c>
      <c r="M78" s="12" t="n">
        <v>1</v>
      </c>
    </row>
    <row r="79">
      <c r="A79" s="4" t="inlineStr">
        <is>
          <t>MAT-04-040</t>
        </is>
      </c>
      <c r="B79" s="5" t="inlineStr">
        <is>
          <t>Coupler mecánico para varilla 1 3/8"</t>
        </is>
      </c>
      <c r="C79" s="4" t="inlineStr">
        <is>
          <t>unidad</t>
        </is>
      </c>
      <c r="D79" s="10" t="n">
        <v>1066.64</v>
      </c>
      <c r="E79" s="10" t="n"/>
      <c r="F79" s="10" t="n"/>
      <c r="G79" s="10">
        <f>IF(COUNT(D79:F79)=0,"",MIN(D79:F79))</f>
        <v/>
      </c>
      <c r="H79" s="10">
        <f>IF(COUNT(D79:F79)=0,"",MEDIAN(D79:F79))</f>
        <v/>
      </c>
      <c r="I79" s="10">
        <f>IF(COUNT(D79:F79)=0,"",MAX(D79:F79))</f>
        <v/>
      </c>
      <c r="J79" s="11">
        <f>IF(OR(G79="",G79=0),"",(I79-G79)/G79)</f>
        <v/>
      </c>
      <c r="K79" s="4">
        <f>IF(COUNT(D79:F79)=0,"",INDEX($D$1:$F$1,MATCH(MIN(D79:F79),D79:F79,0)))</f>
        <v/>
      </c>
      <c r="L79" s="10" t="n">
        <v>1066.64</v>
      </c>
      <c r="M79" s="12" t="n">
        <v>1</v>
      </c>
    </row>
    <row r="80">
      <c r="A80" s="4" t="inlineStr">
        <is>
          <t>MAT-04-041</t>
        </is>
      </c>
      <c r="B80" s="5" t="inlineStr">
        <is>
          <t>Alambre galvanizado picado, caja de 50 lb</t>
        </is>
      </c>
      <c r="C80" s="4" t="inlineStr">
        <is>
          <t>caja</t>
        </is>
      </c>
      <c r="D80" s="10" t="n">
        <v>2488.96</v>
      </c>
      <c r="E80" s="10" t="n"/>
      <c r="F80" s="10" t="n"/>
      <c r="G80" s="10">
        <f>IF(COUNT(D80:F80)=0,"",MIN(D80:F80))</f>
        <v/>
      </c>
      <c r="H80" s="10">
        <f>IF(COUNT(D80:F80)=0,"",MEDIAN(D80:F80))</f>
        <v/>
      </c>
      <c r="I80" s="10">
        <f>IF(COUNT(D80:F80)=0,"",MAX(D80:F80))</f>
        <v/>
      </c>
      <c r="J80" s="11">
        <f>IF(OR(G80="",G80=0),"",(I80-G80)/G80)</f>
        <v/>
      </c>
      <c r="K80" s="4">
        <f>IF(COUNT(D80:F80)=0,"",INDEX($D$1:$F$1,MATCH(MIN(D80:F80),D80:F80,0)))</f>
        <v/>
      </c>
      <c r="L80" s="10" t="n">
        <v>2488.96</v>
      </c>
      <c r="M80" s="12" t="n">
        <v>1</v>
      </c>
    </row>
    <row r="81">
      <c r="A81" s="4" t="inlineStr">
        <is>
          <t>MAT-04-042</t>
        </is>
      </c>
      <c r="B81" s="5" t="inlineStr">
        <is>
          <t>Alambre liso galvanizado picado calibre 16, paquete de 10 lb</t>
        </is>
      </c>
      <c r="C81" s="4" t="inlineStr">
        <is>
          <t>paquete</t>
        </is>
      </c>
      <c r="D81" s="10" t="n">
        <v>619.63</v>
      </c>
      <c r="E81" s="10" t="n"/>
      <c r="F81" s="10" t="n"/>
      <c r="G81" s="10">
        <f>IF(COUNT(D81:F81)=0,"",MIN(D81:F81))</f>
        <v/>
      </c>
      <c r="H81" s="10">
        <f>IF(COUNT(D81:F81)=0,"",MEDIAN(D81:F81))</f>
        <v/>
      </c>
      <c r="I81" s="10">
        <f>IF(COUNT(D81:F81)=0,"",MAX(D81:F81))</f>
        <v/>
      </c>
      <c r="J81" s="11">
        <f>IF(OR(G81="",G81=0),"",(I81-G81)/G81)</f>
        <v/>
      </c>
      <c r="K81" s="4">
        <f>IF(COUNT(D81:F81)=0,"",INDEX($D$1:$F$1,MATCH(MIN(D81:F81),D81:F81,0)))</f>
        <v/>
      </c>
      <c r="L81" s="10" t="n">
        <v>619.63</v>
      </c>
      <c r="M81" s="12" t="n">
        <v>1</v>
      </c>
    </row>
    <row r="82">
      <c r="A82" s="4" t="inlineStr">
        <is>
          <t>MAT-06-018</t>
        </is>
      </c>
      <c r="B82" s="5" t="inlineStr">
        <is>
          <t>Plywood, 4'X8'X/4" calibre 1/4"</t>
        </is>
      </c>
      <c r="C82" s="4" t="inlineStr">
        <is>
          <t>unidad</t>
        </is>
      </c>
      <c r="D82" s="10" t="n"/>
      <c r="E82" s="10" t="n">
        <v>825</v>
      </c>
      <c r="F82" s="10" t="n"/>
      <c r="G82" s="10">
        <f>IF(COUNT(D82:F82)=0,"",MIN(D82:F82))</f>
        <v/>
      </c>
      <c r="H82" s="10">
        <f>IF(COUNT(D82:F82)=0,"",MEDIAN(D82:F82))</f>
        <v/>
      </c>
      <c r="I82" s="10">
        <f>IF(COUNT(D82:F82)=0,"",MAX(D82:F82))</f>
        <v/>
      </c>
      <c r="J82" s="11">
        <f>IF(OR(G82="",G82=0),"",(I82-G82)/G82)</f>
        <v/>
      </c>
      <c r="K82" s="4">
        <f>IF(COUNT(D82:F82)=0,"",INDEX($D$1:$F$1,MATCH(MIN(D82:F82),D82:F82,0)))</f>
        <v/>
      </c>
      <c r="L82" s="10" t="n">
        <v>825</v>
      </c>
      <c r="M82" s="12" t="n">
        <v>1</v>
      </c>
    </row>
    <row r="83">
      <c r="A83" s="4" t="inlineStr">
        <is>
          <t>MAT-06-019</t>
        </is>
      </c>
      <c r="B83" s="5" t="inlineStr">
        <is>
          <t>Plywood, 4'X8'X1/4"</t>
        </is>
      </c>
      <c r="C83" s="4" t="inlineStr">
        <is>
          <t>unidad</t>
        </is>
      </c>
      <c r="D83" s="10" t="n"/>
      <c r="E83" s="10" t="n">
        <v>780</v>
      </c>
      <c r="F83" s="10" t="n"/>
      <c r="G83" s="10">
        <f>IF(COUNT(D83:F83)=0,"",MIN(D83:F83))</f>
        <v/>
      </c>
      <c r="H83" s="10">
        <f>IF(COUNT(D83:F83)=0,"",MEDIAN(D83:F83))</f>
        <v/>
      </c>
      <c r="I83" s="10">
        <f>IF(COUNT(D83:F83)=0,"",MAX(D83:F83))</f>
        <v/>
      </c>
      <c r="J83" s="11">
        <f>IF(OR(G83="",G83=0),"",(I83-G83)/G83)</f>
        <v/>
      </c>
      <c r="K83" s="4">
        <f>IF(COUNT(D83:F83)=0,"",INDEX($D$1:$F$1,MATCH(MIN(D83:F83),D83:F83,0)))</f>
        <v/>
      </c>
      <c r="L83" s="10" t="n">
        <v>780</v>
      </c>
      <c r="M83" s="12" t="n">
        <v>1</v>
      </c>
    </row>
    <row r="84">
      <c r="A84" s="4" t="inlineStr">
        <is>
          <t>MAT-06-020</t>
        </is>
      </c>
      <c r="B84" s="5" t="inlineStr">
        <is>
          <t>Plywood, 4'X8'X1/8"</t>
        </is>
      </c>
      <c r="C84" s="4" t="inlineStr">
        <is>
          <t>unidad</t>
        </is>
      </c>
      <c r="D84" s="10" t="n"/>
      <c r="E84" s="10" t="n">
        <v>475</v>
      </c>
      <c r="F84" s="10" t="n"/>
      <c r="G84" s="10">
        <f>IF(COUNT(D84:F84)=0,"",MIN(D84:F84))</f>
        <v/>
      </c>
      <c r="H84" s="10">
        <f>IF(COUNT(D84:F84)=0,"",MEDIAN(D84:F84))</f>
        <v/>
      </c>
      <c r="I84" s="10">
        <f>IF(COUNT(D84:F84)=0,"",MAX(D84:F84))</f>
        <v/>
      </c>
      <c r="J84" s="11">
        <f>IF(OR(G84="",G84=0),"",(I84-G84)/G84)</f>
        <v/>
      </c>
      <c r="K84" s="4">
        <f>IF(COUNT(D84:F84)=0,"",INDEX($D$1:$F$1,MATCH(MIN(D84:F84),D84:F84,0)))</f>
        <v/>
      </c>
      <c r="L84" s="10" t="n">
        <v>475</v>
      </c>
      <c r="M84" s="12" t="n">
        <v>1</v>
      </c>
    </row>
    <row r="85">
      <c r="A85" s="4" t="inlineStr">
        <is>
          <t>MAT-06-021</t>
        </is>
      </c>
      <c r="B85" s="5" t="inlineStr">
        <is>
          <t>Plywood, 4'X8'X3/8"</t>
        </is>
      </c>
      <c r="C85" s="4" t="inlineStr">
        <is>
          <t>unidad</t>
        </is>
      </c>
      <c r="D85" s="10" t="n"/>
      <c r="E85" s="10" t="n">
        <v>1115</v>
      </c>
      <c r="F85" s="10" t="n"/>
      <c r="G85" s="10">
        <f>IF(COUNT(D85:F85)=0,"",MIN(D85:F85))</f>
        <v/>
      </c>
      <c r="H85" s="10">
        <f>IF(COUNT(D85:F85)=0,"",MEDIAN(D85:F85))</f>
        <v/>
      </c>
      <c r="I85" s="10">
        <f>IF(COUNT(D85:F85)=0,"",MAX(D85:F85))</f>
        <v/>
      </c>
      <c r="J85" s="11">
        <f>IF(OR(G85="",G85=0),"",(I85-G85)/G85)</f>
        <v/>
      </c>
      <c r="K85" s="4">
        <f>IF(COUNT(D85:F85)=0,"",INDEX($D$1:$F$1,MATCH(MIN(D85:F85),D85:F85,0)))</f>
        <v/>
      </c>
      <c r="L85" s="10" t="n">
        <v>1180</v>
      </c>
      <c r="M85" s="12" t="n">
        <v>1</v>
      </c>
    </row>
    <row r="86">
      <c r="A86" s="4" t="inlineStr">
        <is>
          <t>MAT-06-022</t>
        </is>
      </c>
      <c r="B86" s="5" t="inlineStr">
        <is>
          <t>Plywood, 4X8'</t>
        </is>
      </c>
      <c r="C86" s="4" t="inlineStr">
        <is>
          <t>unidad</t>
        </is>
      </c>
      <c r="D86" s="10" t="n"/>
      <c r="E86" s="10" t="n">
        <v>1995</v>
      </c>
      <c r="F86" s="10" t="n"/>
      <c r="G86" s="10">
        <f>IF(COUNT(D86:F86)=0,"",MIN(D86:F86))</f>
        <v/>
      </c>
      <c r="H86" s="10">
        <f>IF(COUNT(D86:F86)=0,"",MEDIAN(D86:F86))</f>
        <v/>
      </c>
      <c r="I86" s="10">
        <f>IF(COUNT(D86:F86)=0,"",MAX(D86:F86))</f>
        <v/>
      </c>
      <c r="J86" s="11">
        <f>IF(OR(G86="",G86=0),"",(I86-G86)/G86)</f>
        <v/>
      </c>
      <c r="K86" s="4">
        <f>IF(COUNT(D86:F86)=0,"",INDEX($D$1:$F$1,MATCH(MIN(D86:F86),D86:F86,0)))</f>
        <v/>
      </c>
      <c r="L86" s="10" t="n">
        <v>1995</v>
      </c>
      <c r="M86" s="12" t="n">
        <v>1</v>
      </c>
    </row>
    <row r="87">
      <c r="A87" s="4" t="inlineStr">
        <is>
          <t>MAT-07-011</t>
        </is>
      </c>
      <c r="B87" s="5" t="inlineStr">
        <is>
          <t>Zinc acanalado calibre 29, 3 x 6 pies</t>
        </is>
      </c>
      <c r="C87" s="4" t="inlineStr">
        <is>
          <t>plancha</t>
        </is>
      </c>
      <c r="D87" s="10" t="n">
        <v>270.21</v>
      </c>
      <c r="E87" s="10" t="n">
        <v>338</v>
      </c>
      <c r="F87" s="10" t="n"/>
      <c r="G87" s="10">
        <f>IF(COUNT(D87:F87)=0,"",MIN(D87:F87))</f>
        <v/>
      </c>
      <c r="H87" s="10">
        <f>IF(COUNT(D87:F87)=0,"",MEDIAN(D87:F87))</f>
        <v/>
      </c>
      <c r="I87" s="10">
        <f>IF(COUNT(D87:F87)=0,"",MAX(D87:F87))</f>
        <v/>
      </c>
      <c r="J87" s="11">
        <f>IF(OR(G87="",G87=0),"",(I87-G87)/G87)</f>
        <v/>
      </c>
      <c r="K87" s="4">
        <f>IF(COUNT(D87:F87)=0,"",INDEX($D$1:$F$1,MATCH(MIN(D87:F87),D87:F87,0)))</f>
        <v/>
      </c>
      <c r="L87" s="10" t="n">
        <v>296.18</v>
      </c>
      <c r="M87" s="12" t="n">
        <v>2</v>
      </c>
    </row>
    <row r="88">
      <c r="A88" s="4" t="inlineStr">
        <is>
          <t>MAT-07-012</t>
        </is>
      </c>
      <c r="B88" s="5" t="inlineStr">
        <is>
          <t>Zinc acanalado calibre 29, 3 x 12 pies</t>
        </is>
      </c>
      <c r="C88" s="4" t="inlineStr">
        <is>
          <t>plancha</t>
        </is>
      </c>
      <c r="D88" s="10" t="n">
        <v>592.36</v>
      </c>
      <c r="E88" s="10" t="n"/>
      <c r="F88" s="10" t="n"/>
      <c r="G88" s="10">
        <f>IF(COUNT(D88:F88)=0,"",MIN(D88:F88))</f>
        <v/>
      </c>
      <c r="H88" s="10">
        <f>IF(COUNT(D88:F88)=0,"",MEDIAN(D88:F88))</f>
        <v/>
      </c>
      <c r="I88" s="10">
        <f>IF(COUNT(D88:F88)=0,"",MAX(D88:F88))</f>
        <v/>
      </c>
      <c r="J88" s="11">
        <f>IF(OR(G88="",G88=0),"",(I88-G88)/G88)</f>
        <v/>
      </c>
      <c r="K88" s="4">
        <f>IF(COUNT(D88:F88)=0,"",INDEX($D$1:$F$1,MATCH(MIN(D88:F88),D88:F88,0)))</f>
        <v/>
      </c>
      <c r="L88" s="10" t="n">
        <v>592.36</v>
      </c>
      <c r="M88" s="12" t="n">
        <v>1</v>
      </c>
    </row>
    <row r="89">
      <c r="A89" s="4" t="inlineStr">
        <is>
          <t>MAT-07-013</t>
        </is>
      </c>
      <c r="B89" s="5" t="inlineStr">
        <is>
          <t>Zinc acanalado calibre 34, 3 x 6 pies</t>
        </is>
      </c>
      <c r="C89" s="4" t="inlineStr">
        <is>
          <t>plancha</t>
        </is>
      </c>
      <c r="D89" s="10" t="n">
        <v>208.33</v>
      </c>
      <c r="E89" s="10" t="n">
        <v>245</v>
      </c>
      <c r="F89" s="10" t="n"/>
      <c r="G89" s="10">
        <f>IF(COUNT(D89:F89)=0,"",MIN(D89:F89))</f>
        <v/>
      </c>
      <c r="H89" s="10">
        <f>IF(COUNT(D89:F89)=0,"",MEDIAN(D89:F89))</f>
        <v/>
      </c>
      <c r="I89" s="10">
        <f>IF(COUNT(D89:F89)=0,"",MAX(D89:F89))</f>
        <v/>
      </c>
      <c r="J89" s="11">
        <f>IF(OR(G89="",G89=0),"",(I89-G89)/G89)</f>
        <v/>
      </c>
      <c r="K89" s="4">
        <f>IF(COUNT(D89:F89)=0,"",INDEX($D$1:$F$1,MATCH(MIN(D89:F89),D89:F89,0)))</f>
        <v/>
      </c>
      <c r="L89" s="10" t="n">
        <v>226.67</v>
      </c>
      <c r="M89" s="12" t="n">
        <v>2</v>
      </c>
    </row>
    <row r="90">
      <c r="A90" s="4" t="inlineStr">
        <is>
          <t>MAT-07-014</t>
        </is>
      </c>
      <c r="B90" s="5" t="inlineStr">
        <is>
          <t>Zinc acanalado calibre 34, 3 x 12 pies</t>
        </is>
      </c>
      <c r="C90" s="4" t="inlineStr">
        <is>
          <t>plancha</t>
        </is>
      </c>
      <c r="D90" s="10" t="n">
        <v>414.3</v>
      </c>
      <c r="E90" s="10" t="n"/>
      <c r="F90" s="10" t="n"/>
      <c r="G90" s="10">
        <f>IF(COUNT(D90:F90)=0,"",MIN(D90:F90))</f>
        <v/>
      </c>
      <c r="H90" s="10">
        <f>IF(COUNT(D90:F90)=0,"",MEDIAN(D90:F90))</f>
        <v/>
      </c>
      <c r="I90" s="10">
        <f>IF(COUNT(D90:F90)=0,"",MAX(D90:F90))</f>
        <v/>
      </c>
      <c r="J90" s="11">
        <f>IF(OR(G90="",G90=0),"",(I90-G90)/G90)</f>
        <v/>
      </c>
      <c r="K90" s="4">
        <f>IF(COUNT(D90:F90)=0,"",INDEX($D$1:$F$1,MATCH(MIN(D90:F90),D90:F90,0)))</f>
        <v/>
      </c>
      <c r="L90" s="10" t="n">
        <v>414.3</v>
      </c>
      <c r="M90" s="12" t="n">
        <v>1</v>
      </c>
    </row>
    <row r="91">
      <c r="A91" s="4" t="inlineStr">
        <is>
          <t>MAT-07-015</t>
        </is>
      </c>
      <c r="B91" s="5" t="inlineStr">
        <is>
          <t>Zinc liso calibre 29, 3 x 6 pies</t>
        </is>
      </c>
      <c r="C91" s="4" t="inlineStr">
        <is>
          <t>plancha</t>
        </is>
      </c>
      <c r="D91" s="10" t="n">
        <v>270.35</v>
      </c>
      <c r="E91" s="10" t="n"/>
      <c r="F91" s="10" t="n"/>
      <c r="G91" s="10">
        <f>IF(COUNT(D91:F91)=0,"",MIN(D91:F91))</f>
        <v/>
      </c>
      <c r="H91" s="10">
        <f>IF(COUNT(D91:F91)=0,"",MEDIAN(D91:F91))</f>
        <v/>
      </c>
      <c r="I91" s="10">
        <f>IF(COUNT(D91:F91)=0,"",MAX(D91:F91))</f>
        <v/>
      </c>
      <c r="J91" s="11">
        <f>IF(OR(G91="",G91=0),"",(I91-G91)/G91)</f>
        <v/>
      </c>
      <c r="K91" s="4">
        <f>IF(COUNT(D91:F91)=0,"",INDEX($D$1:$F$1,MATCH(MIN(D91:F91),D91:F91,0)))</f>
        <v/>
      </c>
      <c r="L91" s="10" t="n">
        <v>283.27</v>
      </c>
      <c r="M91" s="12" t="n">
        <v>1</v>
      </c>
    </row>
    <row r="92">
      <c r="A92" s="4" t="inlineStr">
        <is>
          <t>MAT-07-016</t>
        </is>
      </c>
      <c r="B92" s="5" t="inlineStr">
        <is>
          <t>Zinc liso calibre 34, 3 x 6 pies</t>
        </is>
      </c>
      <c r="C92" s="4" t="inlineStr">
        <is>
          <t>plancha</t>
        </is>
      </c>
      <c r="D92" s="10" t="n">
        <v>208.33</v>
      </c>
      <c r="E92" s="10" t="n"/>
      <c r="F92" s="10" t="n"/>
      <c r="G92" s="10">
        <f>IF(COUNT(D92:F92)=0,"",MIN(D92:F92))</f>
        <v/>
      </c>
      <c r="H92" s="10">
        <f>IF(COUNT(D92:F92)=0,"",MEDIAN(D92:F92))</f>
        <v/>
      </c>
      <c r="I92" s="10">
        <f>IF(COUNT(D92:F92)=0,"",MAX(D92:F92))</f>
        <v/>
      </c>
      <c r="J92" s="11">
        <f>IF(OR(G92="",G92=0),"",(I92-G92)/G92)</f>
        <v/>
      </c>
      <c r="K92" s="4">
        <f>IF(COUNT(D92:F92)=0,"",INDEX($D$1:$F$1,MATCH(MIN(D92:F92),D92:F92,0)))</f>
        <v/>
      </c>
      <c r="L92" s="10" t="n">
        <v>208.95</v>
      </c>
      <c r="M92" s="12" t="n">
        <v>1</v>
      </c>
    </row>
    <row r="93">
      <c r="A93" s="4" t="inlineStr">
        <is>
          <t>MAT-07-017</t>
        </is>
      </c>
      <c r="B93" s="5" t="inlineStr">
        <is>
          <t>Zinc translúcido 3 x 6 pies</t>
        </is>
      </c>
      <c r="C93" s="4" t="inlineStr">
        <is>
          <t>plancha</t>
        </is>
      </c>
      <c r="D93" s="10" t="n">
        <v>1127.34</v>
      </c>
      <c r="E93" s="10" t="n">
        <v>1195</v>
      </c>
      <c r="F93" s="10" t="n"/>
      <c r="G93" s="10">
        <f>IF(COUNT(D93:F93)=0,"",MIN(D93:F93))</f>
        <v/>
      </c>
      <c r="H93" s="10">
        <f>IF(COUNT(D93:F93)=0,"",MEDIAN(D93:F93))</f>
        <v/>
      </c>
      <c r="I93" s="10">
        <f>IF(COUNT(D93:F93)=0,"",MAX(D93:F93))</f>
        <v/>
      </c>
      <c r="J93" s="11">
        <f>IF(OR(G93="",G93=0),"",(I93-G93)/G93)</f>
        <v/>
      </c>
      <c r="K93" s="4">
        <f>IF(COUNT(D93:F93)=0,"",INDEX($D$1:$F$1,MATCH(MIN(D93:F93),D93:F93,0)))</f>
        <v/>
      </c>
      <c r="L93" s="10" t="n">
        <v>1195</v>
      </c>
      <c r="M93" s="12" t="n">
        <v>2</v>
      </c>
    </row>
    <row r="94">
      <c r="A94" s="4" t="inlineStr">
        <is>
          <t>MAT-07-018</t>
        </is>
      </c>
      <c r="B94" s="5" t="inlineStr">
        <is>
          <t>Caballete para aluzinc 21"</t>
        </is>
      </c>
      <c r="C94" s="4" t="inlineStr">
        <is>
          <t>unidad</t>
        </is>
      </c>
      <c r="D94" s="10" t="n">
        <v>660</v>
      </c>
      <c r="E94" s="10" t="n"/>
      <c r="F94" s="10" t="n"/>
      <c r="G94" s="10">
        <f>IF(COUNT(D94:F94)=0,"",MIN(D94:F94))</f>
        <v/>
      </c>
      <c r="H94" s="10">
        <f>IF(COUNT(D94:F94)=0,"",MEDIAN(D94:F94))</f>
        <v/>
      </c>
      <c r="I94" s="10">
        <f>IF(COUNT(D94:F94)=0,"",MAX(D94:F94))</f>
        <v/>
      </c>
      <c r="J94" s="11">
        <f>IF(OR(G94="",G94=0),"",(I94-G94)/G94)</f>
        <v/>
      </c>
      <c r="K94" s="4">
        <f>IF(COUNT(D94:F94)=0,"",INDEX($D$1:$F$1,MATCH(MIN(D94:F94),D94:F94,0)))</f>
        <v/>
      </c>
      <c r="L94" s="10" t="n">
        <v>660</v>
      </c>
      <c r="M94" s="12" t="n">
        <v>1</v>
      </c>
    </row>
    <row r="95">
      <c r="A95" s="4" t="inlineStr">
        <is>
          <t>MAT-07-019</t>
        </is>
      </c>
      <c r="B95" s="5" t="inlineStr">
        <is>
          <t>Caballete de fibra para techo fibra de refuerzo, 0.76x0.6</t>
        </is>
      </c>
      <c r="C95" s="4" t="inlineStr">
        <is>
          <t>unidad</t>
        </is>
      </c>
      <c r="D95" s="10" t="n"/>
      <c r="E95" s="10" t="n">
        <v>1535</v>
      </c>
      <c r="F95" s="10" t="n"/>
      <c r="G95" s="10">
        <f>IF(COUNT(D95:F95)=0,"",MIN(D95:F95))</f>
        <v/>
      </c>
      <c r="H95" s="10">
        <f>IF(COUNT(D95:F95)=0,"",MEDIAN(D95:F95))</f>
        <v/>
      </c>
      <c r="I95" s="10">
        <f>IF(COUNT(D95:F95)=0,"",MAX(D95:F95))</f>
        <v/>
      </c>
      <c r="J95" s="11">
        <f>IF(OR(G95="",G95=0),"",(I95-G95)/G95)</f>
        <v/>
      </c>
      <c r="K95" s="4">
        <f>IF(COUNT(D95:F95)=0,"",INDEX($D$1:$F$1,MATCH(MIN(D95:F95),D95:F95,0)))</f>
        <v/>
      </c>
      <c r="L95" s="10" t="n">
        <v>1535</v>
      </c>
      <c r="M95" s="12" t="n">
        <v>1</v>
      </c>
    </row>
    <row r="96">
      <c r="A96" s="4" t="inlineStr">
        <is>
          <t>MAT-07-020</t>
        </is>
      </c>
      <c r="B96" s="5" t="inlineStr">
        <is>
          <t>Plancha tipo teja de fibra fibra de refuerzo, 0.76X1.15</t>
        </is>
      </c>
      <c r="C96" s="4" t="inlineStr">
        <is>
          <t>unidad</t>
        </is>
      </c>
      <c r="D96" s="10" t="n"/>
      <c r="E96" s="10" t="n">
        <v>1450</v>
      </c>
      <c r="F96" s="10" t="n"/>
      <c r="G96" s="10">
        <f>IF(COUNT(D96:F96)=0,"",MIN(D96:F96))</f>
        <v/>
      </c>
      <c r="H96" s="10">
        <f>IF(COUNT(D96:F96)=0,"",MEDIAN(D96:F96))</f>
        <v/>
      </c>
      <c r="I96" s="10">
        <f>IF(COUNT(D96:F96)=0,"",MAX(D96:F96))</f>
        <v/>
      </c>
      <c r="J96" s="11">
        <f>IF(OR(G96="",G96=0),"",(I96-G96)/G96)</f>
        <v/>
      </c>
      <c r="K96" s="4">
        <f>IF(COUNT(D96:F96)=0,"",INDEX($D$1:$F$1,MATCH(MIN(D96:F96),D96:F96,0)))</f>
        <v/>
      </c>
      <c r="L96" s="10" t="n">
        <v>1450</v>
      </c>
      <c r="M96" s="12" t="n">
        <v>1</v>
      </c>
    </row>
    <row r="97">
      <c r="A97" s="4" t="inlineStr">
        <is>
          <t>MAT-07-021</t>
        </is>
      </c>
      <c r="B97" s="5" t="inlineStr">
        <is>
          <t>Caballete de zinc calibre 29, 6 pies</t>
        </is>
      </c>
      <c r="C97" s="4" t="inlineStr">
        <is>
          <t>unidad</t>
        </is>
      </c>
      <c r="D97" s="10" t="n">
        <v>141.1</v>
      </c>
      <c r="E97" s="10" t="n"/>
      <c r="F97" s="10" t="n"/>
      <c r="G97" s="10">
        <f>IF(COUNT(D97:F97)=0,"",MIN(D97:F97))</f>
        <v/>
      </c>
      <c r="H97" s="10">
        <f>IF(COUNT(D97:F97)=0,"",MEDIAN(D97:F97))</f>
        <v/>
      </c>
      <c r="I97" s="10">
        <f>IF(COUNT(D97:F97)=0,"",MAX(D97:F97))</f>
        <v/>
      </c>
      <c r="J97" s="11">
        <f>IF(OR(G97="",G97=0),"",(I97-G97)/G97)</f>
        <v/>
      </c>
      <c r="K97" s="4">
        <f>IF(COUNT(D97:F97)=0,"",INDEX($D$1:$F$1,MATCH(MIN(D97:F97),D97:F97,0)))</f>
        <v/>
      </c>
      <c r="L97" s="10" t="n">
        <v>141.1</v>
      </c>
      <c r="M97" s="12" t="n">
        <v>1</v>
      </c>
    </row>
    <row r="98">
      <c r="A98" s="4" t="inlineStr">
        <is>
          <t>MAT-07-022</t>
        </is>
      </c>
      <c r="B98" s="5" t="inlineStr">
        <is>
          <t>Caballete de zinc calibre 34, 6 pies</t>
        </is>
      </c>
      <c r="C98" s="4" t="inlineStr">
        <is>
          <t>unidad</t>
        </is>
      </c>
      <c r="D98" s="10" t="n">
        <v>104.29</v>
      </c>
      <c r="E98" s="10" t="n"/>
      <c r="F98" s="10" t="n"/>
      <c r="G98" s="10">
        <f>IF(COUNT(D98:F98)=0,"",MIN(D98:F98))</f>
        <v/>
      </c>
      <c r="H98" s="10">
        <f>IF(COUNT(D98:F98)=0,"",MEDIAN(D98:F98))</f>
        <v/>
      </c>
      <c r="I98" s="10">
        <f>IF(COUNT(D98:F98)=0,"",MAX(D98:F98))</f>
        <v/>
      </c>
      <c r="J98" s="11">
        <f>IF(OR(G98="",G98=0),"",(I98-G98)/G98)</f>
        <v/>
      </c>
      <c r="K98" s="4">
        <f>IF(COUNT(D98:F98)=0,"",INDEX($D$1:$F$1,MATCH(MIN(D98:F98),D98:F98,0)))</f>
        <v/>
      </c>
      <c r="L98" s="10" t="n">
        <v>104.29</v>
      </c>
      <c r="M98" s="12" t="n">
        <v>1</v>
      </c>
    </row>
    <row r="99">
      <c r="A99" s="4" t="inlineStr">
        <is>
          <t>MAT-07-023</t>
        </is>
      </c>
      <c r="B99" s="5" t="inlineStr">
        <is>
          <t>Caño para aluzinc 6" x 7" x 10 pies</t>
        </is>
      </c>
      <c r="C99" s="4" t="inlineStr">
        <is>
          <t>unidad</t>
        </is>
      </c>
      <c r="D99" s="10" t="n">
        <v>659.86</v>
      </c>
      <c r="E99" s="10" t="n"/>
      <c r="F99" s="10" t="n"/>
      <c r="G99" s="10">
        <f>IF(COUNT(D99:F99)=0,"",MIN(D99:F99))</f>
        <v/>
      </c>
      <c r="H99" s="10">
        <f>IF(COUNT(D99:F99)=0,"",MEDIAN(D99:F99))</f>
        <v/>
      </c>
      <c r="I99" s="10">
        <f>IF(COUNT(D99:F99)=0,"",MAX(D99:F99))</f>
        <v/>
      </c>
      <c r="J99" s="11">
        <f>IF(OR(G99="",G99=0),"",(I99-G99)/G99)</f>
        <v/>
      </c>
      <c r="K99" s="4">
        <f>IF(COUNT(D99:F99)=0,"",INDEX($D$1:$F$1,MATCH(MIN(D99:F99),D99:F99,0)))</f>
        <v/>
      </c>
      <c r="L99" s="10" t="n">
        <v>659.86</v>
      </c>
      <c r="M99" s="12" t="n">
        <v>1</v>
      </c>
    </row>
    <row r="100">
      <c r="A100" s="4" t="inlineStr">
        <is>
          <t>MAT-08-014</t>
        </is>
      </c>
      <c r="B100" s="5" t="inlineStr">
        <is>
          <t>Polvo de color para mosaico amarillo comercial, 1 lb</t>
        </is>
      </c>
      <c r="C100" s="4" t="inlineStr">
        <is>
          <t>unidad</t>
        </is>
      </c>
      <c r="D100" s="10" t="n">
        <v>55.94</v>
      </c>
      <c r="E100" s="10" t="n"/>
      <c r="F100" s="10" t="n"/>
      <c r="G100" s="10">
        <f>IF(COUNT(D100:F100)=0,"",MIN(D100:F100))</f>
        <v/>
      </c>
      <c r="H100" s="10">
        <f>IF(COUNT(D100:F100)=0,"",MEDIAN(D100:F100))</f>
        <v/>
      </c>
      <c r="I100" s="10">
        <f>IF(COUNT(D100:F100)=0,"",MAX(D100:F100))</f>
        <v/>
      </c>
      <c r="J100" s="11">
        <f>IF(OR(G100="",G100=0),"",(I100-G100)/G100)</f>
        <v/>
      </c>
      <c r="K100" s="4">
        <f>IF(COUNT(D100:F100)=0,"",INDEX($D$1:$F$1,MATCH(MIN(D100:F100),D100:F100,0)))</f>
        <v/>
      </c>
      <c r="L100" s="10" t="n">
        <v>55.94</v>
      </c>
      <c r="M100" s="12" t="n">
        <v>1</v>
      </c>
    </row>
    <row r="101">
      <c r="A101" s="4" t="inlineStr">
        <is>
          <t>MAT-08-015</t>
        </is>
      </c>
      <c r="B101" s="5" t="inlineStr">
        <is>
          <t>Polvo de color para mosaico amarillo industrial, 1 lb</t>
        </is>
      </c>
      <c r="C101" s="4" t="inlineStr">
        <is>
          <t>unidad</t>
        </is>
      </c>
      <c r="D101" s="10" t="n">
        <v>153.81</v>
      </c>
      <c r="E101" s="10" t="n"/>
      <c r="F101" s="10" t="n"/>
      <c r="G101" s="10">
        <f>IF(COUNT(D101:F101)=0,"",MIN(D101:F101))</f>
        <v/>
      </c>
      <c r="H101" s="10">
        <f>IF(COUNT(D101:F101)=0,"",MEDIAN(D101:F101))</f>
        <v/>
      </c>
      <c r="I101" s="10">
        <f>IF(COUNT(D101:F101)=0,"",MAX(D101:F101))</f>
        <v/>
      </c>
      <c r="J101" s="11">
        <f>IF(OR(G101="",G101=0),"",(I101-G101)/G101)</f>
        <v/>
      </c>
      <c r="K101" s="4">
        <f>IF(COUNT(D101:F101)=0,"",INDEX($D$1:$F$1,MATCH(MIN(D101:F101),D101:F101,0)))</f>
        <v/>
      </c>
      <c r="L101" s="10" t="n">
        <v>153.81</v>
      </c>
      <c r="M101" s="12" t="n">
        <v>1</v>
      </c>
    </row>
    <row r="102">
      <c r="A102" s="4" t="inlineStr">
        <is>
          <t>MAT-08-016</t>
        </is>
      </c>
      <c r="B102" s="5" t="inlineStr">
        <is>
          <t>Polvo de color para mosaico azul comercial, 1 lb</t>
        </is>
      </c>
      <c r="C102" s="4" t="inlineStr">
        <is>
          <t>unidad</t>
        </is>
      </c>
      <c r="D102" s="10" t="n">
        <v>82.72</v>
      </c>
      <c r="E102" s="10" t="n"/>
      <c r="F102" s="10" t="n"/>
      <c r="G102" s="10">
        <f>IF(COUNT(D102:F102)=0,"",MIN(D102:F102))</f>
        <v/>
      </c>
      <c r="H102" s="10">
        <f>IF(COUNT(D102:F102)=0,"",MEDIAN(D102:F102))</f>
        <v/>
      </c>
      <c r="I102" s="10">
        <f>IF(COUNT(D102:F102)=0,"",MAX(D102:F102))</f>
        <v/>
      </c>
      <c r="J102" s="11">
        <f>IF(OR(G102="",G102=0),"",(I102-G102)/G102)</f>
        <v/>
      </c>
      <c r="K102" s="4">
        <f>IF(COUNT(D102:F102)=0,"",INDEX($D$1:$F$1,MATCH(MIN(D102:F102),D102:F102,0)))</f>
        <v/>
      </c>
      <c r="L102" s="10" t="n">
        <v>82.72</v>
      </c>
      <c r="M102" s="12" t="n">
        <v>1</v>
      </c>
    </row>
    <row r="103">
      <c r="A103" s="4" t="inlineStr">
        <is>
          <t>MAT-08-017</t>
        </is>
      </c>
      <c r="B103" s="5" t="inlineStr">
        <is>
          <t>Polvo de color para mosaico azul industrial, 1 lb</t>
        </is>
      </c>
      <c r="C103" s="4" t="inlineStr">
        <is>
          <t>unidad</t>
        </is>
      </c>
      <c r="D103" s="10" t="n">
        <v>162.49</v>
      </c>
      <c r="E103" s="10" t="n"/>
      <c r="F103" s="10" t="n"/>
      <c r="G103" s="10">
        <f>IF(COUNT(D103:F103)=0,"",MIN(D103:F103))</f>
        <v/>
      </c>
      <c r="H103" s="10">
        <f>IF(COUNT(D103:F103)=0,"",MEDIAN(D103:F103))</f>
        <v/>
      </c>
      <c r="I103" s="10">
        <f>IF(COUNT(D103:F103)=0,"",MAX(D103:F103))</f>
        <v/>
      </c>
      <c r="J103" s="11">
        <f>IF(OR(G103="",G103=0),"",(I103-G103)/G103)</f>
        <v/>
      </c>
      <c r="K103" s="4">
        <f>IF(COUNT(D103:F103)=0,"",INDEX($D$1:$F$1,MATCH(MIN(D103:F103),D103:F103,0)))</f>
        <v/>
      </c>
      <c r="L103" s="10" t="n">
        <v>162.49</v>
      </c>
      <c r="M103" s="12" t="n">
        <v>1</v>
      </c>
    </row>
    <row r="104">
      <c r="A104" s="4" t="inlineStr">
        <is>
          <t>MAT-08-018</t>
        </is>
      </c>
      <c r="B104" s="5" t="inlineStr">
        <is>
          <t>Polvo de color para mosaico negro comercial, 1 lb</t>
        </is>
      </c>
      <c r="C104" s="4" t="inlineStr">
        <is>
          <t>unidad</t>
        </is>
      </c>
      <c r="D104" s="10" t="n">
        <v>90.79000000000001</v>
      </c>
      <c r="E104" s="10" t="n"/>
      <c r="F104" s="10" t="n"/>
      <c r="G104" s="10">
        <f>IF(COUNT(D104:F104)=0,"",MIN(D104:F104))</f>
        <v/>
      </c>
      <c r="H104" s="10">
        <f>IF(COUNT(D104:F104)=0,"",MEDIAN(D104:F104))</f>
        <v/>
      </c>
      <c r="I104" s="10">
        <f>IF(COUNT(D104:F104)=0,"",MAX(D104:F104))</f>
        <v/>
      </c>
      <c r="J104" s="11">
        <f>IF(OR(G104="",G104=0),"",(I104-G104)/G104)</f>
        <v/>
      </c>
      <c r="K104" s="4">
        <f>IF(COUNT(D104:F104)=0,"",INDEX($D$1:$F$1,MATCH(MIN(D104:F104),D104:F104,0)))</f>
        <v/>
      </c>
      <c r="L104" s="10" t="n">
        <v>90.79000000000001</v>
      </c>
      <c r="M104" s="12" t="n">
        <v>1</v>
      </c>
    </row>
    <row r="105">
      <c r="A105" s="4" t="inlineStr">
        <is>
          <t>MAT-08-019</t>
        </is>
      </c>
      <c r="B105" s="5" t="inlineStr">
        <is>
          <t>Polvo de color para mosaico negro industrial, 1 lb</t>
        </is>
      </c>
      <c r="C105" s="4" t="inlineStr">
        <is>
          <t>unidad</t>
        </is>
      </c>
      <c r="D105" s="10" t="n">
        <v>129.29</v>
      </c>
      <c r="E105" s="10" t="n"/>
      <c r="F105" s="10" t="n"/>
      <c r="G105" s="10">
        <f>IF(COUNT(D105:F105)=0,"",MIN(D105:F105))</f>
        <v/>
      </c>
      <c r="H105" s="10">
        <f>IF(COUNT(D105:F105)=0,"",MEDIAN(D105:F105))</f>
        <v/>
      </c>
      <c r="I105" s="10">
        <f>IF(COUNT(D105:F105)=0,"",MAX(D105:F105))</f>
        <v/>
      </c>
      <c r="J105" s="11">
        <f>IF(OR(G105="",G105=0),"",(I105-G105)/G105)</f>
        <v/>
      </c>
      <c r="K105" s="4">
        <f>IF(COUNT(D105:F105)=0,"",INDEX($D$1:$F$1,MATCH(MIN(D105:F105),D105:F105,0)))</f>
        <v/>
      </c>
      <c r="L105" s="10" t="n">
        <v>129.29</v>
      </c>
      <c r="M105" s="12" t="n">
        <v>1</v>
      </c>
    </row>
    <row r="106">
      <c r="A106" s="4" t="inlineStr">
        <is>
          <t>MAT-08-020</t>
        </is>
      </c>
      <c r="B106" s="5" t="inlineStr">
        <is>
          <t>Polvo de color para mosaico rojo comercial, 1 lb</t>
        </is>
      </c>
      <c r="C106" s="4" t="inlineStr">
        <is>
          <t>unidad</t>
        </is>
      </c>
      <c r="D106" s="10" t="n">
        <v>66.5</v>
      </c>
      <c r="E106" s="10" t="n"/>
      <c r="F106" s="10" t="n"/>
      <c r="G106" s="10">
        <f>IF(COUNT(D106:F106)=0,"",MIN(D106:F106))</f>
        <v/>
      </c>
      <c r="H106" s="10">
        <f>IF(COUNT(D106:F106)=0,"",MEDIAN(D106:F106))</f>
        <v/>
      </c>
      <c r="I106" s="10">
        <f>IF(COUNT(D106:F106)=0,"",MAX(D106:F106))</f>
        <v/>
      </c>
      <c r="J106" s="11">
        <f>IF(OR(G106="",G106=0),"",(I106-G106)/G106)</f>
        <v/>
      </c>
      <c r="K106" s="4">
        <f>IF(COUNT(D106:F106)=0,"",INDEX($D$1:$F$1,MATCH(MIN(D106:F106),D106:F106,0)))</f>
        <v/>
      </c>
      <c r="L106" s="10" t="n">
        <v>66.5</v>
      </c>
      <c r="M106" s="12" t="n">
        <v>1</v>
      </c>
    </row>
    <row r="107">
      <c r="A107" s="4" t="inlineStr">
        <is>
          <t>MAT-08-021</t>
        </is>
      </c>
      <c r="B107" s="5" t="inlineStr">
        <is>
          <t>Polvo de color para mosaico rojo industrial, 1 lb</t>
        </is>
      </c>
      <c r="C107" s="4" t="inlineStr">
        <is>
          <t>unidad</t>
        </is>
      </c>
      <c r="D107" s="10" t="n">
        <v>106.37</v>
      </c>
      <c r="E107" s="10" t="n"/>
      <c r="F107" s="10" t="n"/>
      <c r="G107" s="10">
        <f>IF(COUNT(D107:F107)=0,"",MIN(D107:F107))</f>
        <v/>
      </c>
      <c r="H107" s="10">
        <f>IF(COUNT(D107:F107)=0,"",MEDIAN(D107:F107))</f>
        <v/>
      </c>
      <c r="I107" s="10">
        <f>IF(COUNT(D107:F107)=0,"",MAX(D107:F107))</f>
        <v/>
      </c>
      <c r="J107" s="11">
        <f>IF(OR(G107="",G107=0),"",(I107-G107)/G107)</f>
        <v/>
      </c>
      <c r="K107" s="4">
        <f>IF(COUNT(D107:F107)=0,"",INDEX($D$1:$F$1,MATCH(MIN(D107:F107),D107:F107,0)))</f>
        <v/>
      </c>
      <c r="L107" s="10" t="n">
        <v>106.37</v>
      </c>
      <c r="M107" s="12" t="n">
        <v>1</v>
      </c>
    </row>
    <row r="108">
      <c r="A108" s="4" t="inlineStr">
        <is>
          <t>MAT-08-022</t>
        </is>
      </c>
      <c r="B108" s="5" t="inlineStr">
        <is>
          <t>Polvo de color para mosaico verde comercial, 1 lb</t>
        </is>
      </c>
      <c r="C108" s="4" t="inlineStr">
        <is>
          <t>unidad</t>
        </is>
      </c>
      <c r="D108" s="10" t="n">
        <v>78.84</v>
      </c>
      <c r="E108" s="10" t="n"/>
      <c r="F108" s="10" t="n"/>
      <c r="G108" s="10">
        <f>IF(COUNT(D108:F108)=0,"",MIN(D108:F108))</f>
        <v/>
      </c>
      <c r="H108" s="10">
        <f>IF(COUNT(D108:F108)=0,"",MEDIAN(D108:F108))</f>
        <v/>
      </c>
      <c r="I108" s="10">
        <f>IF(COUNT(D108:F108)=0,"",MAX(D108:F108))</f>
        <v/>
      </c>
      <c r="J108" s="11">
        <f>IF(OR(G108="",G108=0),"",(I108-G108)/G108)</f>
        <v/>
      </c>
      <c r="K108" s="4">
        <f>IF(COUNT(D108:F108)=0,"",INDEX($D$1:$F$1,MATCH(MIN(D108:F108),D108:F108,0)))</f>
        <v/>
      </c>
      <c r="L108" s="10" t="n">
        <v>78.84</v>
      </c>
      <c r="M108" s="12" t="n">
        <v>1</v>
      </c>
    </row>
    <row r="109">
      <c r="A109" s="4" t="inlineStr">
        <is>
          <t>MAT-08-023</t>
        </is>
      </c>
      <c r="B109" s="5" t="inlineStr">
        <is>
          <t>Polvo de color para mosaico verde industrial, 1 lb</t>
        </is>
      </c>
      <c r="C109" s="4" t="inlineStr">
        <is>
          <t>unidad</t>
        </is>
      </c>
      <c r="D109" s="10" t="n">
        <v>180.39</v>
      </c>
      <c r="E109" s="10" t="n"/>
      <c r="F109" s="10" t="n"/>
      <c r="G109" s="10">
        <f>IF(COUNT(D109:F109)=0,"",MIN(D109:F109))</f>
        <v/>
      </c>
      <c r="H109" s="10">
        <f>IF(COUNT(D109:F109)=0,"",MEDIAN(D109:F109))</f>
        <v/>
      </c>
      <c r="I109" s="10">
        <f>IF(COUNT(D109:F109)=0,"",MAX(D109:F109))</f>
        <v/>
      </c>
      <c r="J109" s="11">
        <f>IF(OR(G109="",G109=0),"",(I109-G109)/G109)</f>
        <v/>
      </c>
      <c r="K109" s="4">
        <f>IF(COUNT(D109:F109)=0,"",INDEX($D$1:$F$1,MATCH(MIN(D109:F109),D109:F109,0)))</f>
        <v/>
      </c>
      <c r="L109" s="10" t="n">
        <v>180.39</v>
      </c>
      <c r="M109" s="12" t="n">
        <v>1</v>
      </c>
    </row>
    <row r="110">
      <c r="A110" s="4" t="inlineStr">
        <is>
          <t>MAT-08-024</t>
        </is>
      </c>
      <c r="B110" s="5" t="inlineStr">
        <is>
          <t>Polvo de color para mosaico amarillo industrial, 3 lb</t>
        </is>
      </c>
      <c r="C110" s="4" t="inlineStr">
        <is>
          <t>unidad</t>
        </is>
      </c>
      <c r="D110" s="10" t="n">
        <v>460.92</v>
      </c>
      <c r="E110" s="10" t="n"/>
      <c r="F110" s="10" t="n"/>
      <c r="G110" s="10">
        <f>IF(COUNT(D110:F110)=0,"",MIN(D110:F110))</f>
        <v/>
      </c>
      <c r="H110" s="10">
        <f>IF(COUNT(D110:F110)=0,"",MEDIAN(D110:F110))</f>
        <v/>
      </c>
      <c r="I110" s="10">
        <f>IF(COUNT(D110:F110)=0,"",MAX(D110:F110))</f>
        <v/>
      </c>
      <c r="J110" s="11">
        <f>IF(OR(G110="",G110=0),"",(I110-G110)/G110)</f>
        <v/>
      </c>
      <c r="K110" s="4">
        <f>IF(COUNT(D110:F110)=0,"",INDEX($D$1:$F$1,MATCH(MIN(D110:F110),D110:F110,0)))</f>
        <v/>
      </c>
      <c r="L110" s="10" t="n">
        <v>460.92</v>
      </c>
      <c r="M110" s="12" t="n">
        <v>1</v>
      </c>
    </row>
    <row r="111">
      <c r="A111" s="4" t="inlineStr">
        <is>
          <t>MAT-08-025</t>
        </is>
      </c>
      <c r="B111" s="5" t="inlineStr">
        <is>
          <t>Polvo de color para mosaico amarillo comercial, 5 lb</t>
        </is>
      </c>
      <c r="C111" s="4" t="inlineStr">
        <is>
          <t>unidad</t>
        </is>
      </c>
      <c r="D111" s="10" t="n">
        <v>280.64</v>
      </c>
      <c r="E111" s="10" t="n"/>
      <c r="F111" s="10" t="n"/>
      <c r="G111" s="10">
        <f>IF(COUNT(D111:F111)=0,"",MIN(D111:F111))</f>
        <v/>
      </c>
      <c r="H111" s="10">
        <f>IF(COUNT(D111:F111)=0,"",MEDIAN(D111:F111))</f>
        <v/>
      </c>
      <c r="I111" s="10">
        <f>IF(COUNT(D111:F111)=0,"",MAX(D111:F111))</f>
        <v/>
      </c>
      <c r="J111" s="11">
        <f>IF(OR(G111="",G111=0),"",(I111-G111)/G111)</f>
        <v/>
      </c>
      <c r="K111" s="4">
        <f>IF(COUNT(D111:F111)=0,"",INDEX($D$1:$F$1,MATCH(MIN(D111:F111),D111:F111,0)))</f>
        <v/>
      </c>
      <c r="L111" s="10" t="n">
        <v>280.64</v>
      </c>
      <c r="M111" s="12" t="n">
        <v>1</v>
      </c>
    </row>
    <row r="112">
      <c r="A112" s="4" t="inlineStr">
        <is>
          <t>MAT-08-026</t>
        </is>
      </c>
      <c r="B112" s="5" t="inlineStr">
        <is>
          <t>Polvo de color para mosaico azul comercial, 5 lb</t>
        </is>
      </c>
      <c r="C112" s="4" t="inlineStr">
        <is>
          <t>unidad</t>
        </is>
      </c>
      <c r="D112" s="10" t="n">
        <v>367.96</v>
      </c>
      <c r="E112" s="10" t="n"/>
      <c r="F112" s="10" t="n"/>
      <c r="G112" s="10">
        <f>IF(COUNT(D112:F112)=0,"",MIN(D112:F112))</f>
        <v/>
      </c>
      <c r="H112" s="10">
        <f>IF(COUNT(D112:F112)=0,"",MEDIAN(D112:F112))</f>
        <v/>
      </c>
      <c r="I112" s="10">
        <f>IF(COUNT(D112:F112)=0,"",MAX(D112:F112))</f>
        <v/>
      </c>
      <c r="J112" s="11">
        <f>IF(OR(G112="",G112=0),"",(I112-G112)/G112)</f>
        <v/>
      </c>
      <c r="K112" s="4">
        <f>IF(COUNT(D112:F112)=0,"",INDEX($D$1:$F$1,MATCH(MIN(D112:F112),D112:F112,0)))</f>
        <v/>
      </c>
      <c r="L112" s="10" t="n">
        <v>367.96</v>
      </c>
      <c r="M112" s="12" t="n">
        <v>1</v>
      </c>
    </row>
    <row r="113">
      <c r="A113" s="4" t="inlineStr">
        <is>
          <t>MAT-08-027</t>
        </is>
      </c>
      <c r="B113" s="5" t="inlineStr">
        <is>
          <t>Polvo de color para mosaico azul industrial, 5 lb</t>
        </is>
      </c>
      <c r="C113" s="4" t="inlineStr">
        <is>
          <t>unidad</t>
        </is>
      </c>
      <c r="D113" s="10" t="n">
        <v>813.47</v>
      </c>
      <c r="E113" s="10" t="n"/>
      <c r="F113" s="10" t="n"/>
      <c r="G113" s="10">
        <f>IF(COUNT(D113:F113)=0,"",MIN(D113:F113))</f>
        <v/>
      </c>
      <c r="H113" s="10">
        <f>IF(COUNT(D113:F113)=0,"",MEDIAN(D113:F113))</f>
        <v/>
      </c>
      <c r="I113" s="10">
        <f>IF(COUNT(D113:F113)=0,"",MAX(D113:F113))</f>
        <v/>
      </c>
      <c r="J113" s="11">
        <f>IF(OR(G113="",G113=0),"",(I113-G113)/G113)</f>
        <v/>
      </c>
      <c r="K113" s="4">
        <f>IF(COUNT(D113:F113)=0,"",INDEX($D$1:$F$1,MATCH(MIN(D113:F113),D113:F113,0)))</f>
        <v/>
      </c>
      <c r="L113" s="10" t="n">
        <v>813.47</v>
      </c>
      <c r="M113" s="12" t="n">
        <v>1</v>
      </c>
    </row>
    <row r="114">
      <c r="A114" s="4" t="inlineStr">
        <is>
          <t>MAT-08-028</t>
        </is>
      </c>
      <c r="B114" s="5" t="inlineStr">
        <is>
          <t>Polvo de color para mosaico negro comercial, 5 lb</t>
        </is>
      </c>
      <c r="C114" s="4" t="inlineStr">
        <is>
          <t>unidad</t>
        </is>
      </c>
      <c r="D114" s="10" t="n">
        <v>406.73</v>
      </c>
      <c r="E114" s="10" t="n"/>
      <c r="F114" s="10" t="n"/>
      <c r="G114" s="10">
        <f>IF(COUNT(D114:F114)=0,"",MIN(D114:F114))</f>
        <v/>
      </c>
      <c r="H114" s="10">
        <f>IF(COUNT(D114:F114)=0,"",MEDIAN(D114:F114))</f>
        <v/>
      </c>
      <c r="I114" s="10">
        <f>IF(COUNT(D114:F114)=0,"",MAX(D114:F114))</f>
        <v/>
      </c>
      <c r="J114" s="11">
        <f>IF(OR(G114="",G114=0),"",(I114-G114)/G114)</f>
        <v/>
      </c>
      <c r="K114" s="4">
        <f>IF(COUNT(D114:F114)=0,"",INDEX($D$1:$F$1,MATCH(MIN(D114:F114),D114:F114,0)))</f>
        <v/>
      </c>
      <c r="L114" s="10" t="n">
        <v>406.73</v>
      </c>
      <c r="M114" s="12" t="n">
        <v>1</v>
      </c>
    </row>
    <row r="115">
      <c r="A115" s="4" t="inlineStr">
        <is>
          <t>MAT-08-029</t>
        </is>
      </c>
      <c r="B115" s="5" t="inlineStr">
        <is>
          <t>Polvo de color para mosaico negro industrial, 5 lb</t>
        </is>
      </c>
      <c r="C115" s="4" t="inlineStr">
        <is>
          <t>unidad</t>
        </is>
      </c>
      <c r="D115" s="10" t="n">
        <v>647.51</v>
      </c>
      <c r="E115" s="10" t="n"/>
      <c r="F115" s="10" t="n"/>
      <c r="G115" s="10">
        <f>IF(COUNT(D115:F115)=0,"",MIN(D115:F115))</f>
        <v/>
      </c>
      <c r="H115" s="10">
        <f>IF(COUNT(D115:F115)=0,"",MEDIAN(D115:F115))</f>
        <v/>
      </c>
      <c r="I115" s="10">
        <f>IF(COUNT(D115:F115)=0,"",MAX(D115:F115))</f>
        <v/>
      </c>
      <c r="J115" s="11">
        <f>IF(OR(G115="",G115=0),"",(I115-G115)/G115)</f>
        <v/>
      </c>
      <c r="K115" s="4">
        <f>IF(COUNT(D115:F115)=0,"",INDEX($D$1:$F$1,MATCH(MIN(D115:F115),D115:F115,0)))</f>
        <v/>
      </c>
      <c r="L115" s="10" t="n">
        <v>647.51</v>
      </c>
      <c r="M115" s="12" t="n">
        <v>1</v>
      </c>
    </row>
    <row r="116">
      <c r="A116" s="4" t="inlineStr">
        <is>
          <t>MAT-08-030</t>
        </is>
      </c>
      <c r="B116" s="5" t="inlineStr">
        <is>
          <t>Polvo de color para mosaico rojo comercial, 5 lb</t>
        </is>
      </c>
      <c r="C116" s="4" t="inlineStr">
        <is>
          <t>unidad</t>
        </is>
      </c>
      <c r="D116" s="10" t="n">
        <v>333.56</v>
      </c>
      <c r="E116" s="10" t="n"/>
      <c r="F116" s="10" t="n"/>
      <c r="G116" s="10">
        <f>IF(COUNT(D116:F116)=0,"",MIN(D116:F116))</f>
        <v/>
      </c>
      <c r="H116" s="10">
        <f>IF(COUNT(D116:F116)=0,"",MEDIAN(D116:F116))</f>
        <v/>
      </c>
      <c r="I116" s="10">
        <f>IF(COUNT(D116:F116)=0,"",MAX(D116:F116))</f>
        <v/>
      </c>
      <c r="J116" s="11">
        <f>IF(OR(G116="",G116=0),"",(I116-G116)/G116)</f>
        <v/>
      </c>
      <c r="K116" s="4">
        <f>IF(COUNT(D116:F116)=0,"",INDEX($D$1:$F$1,MATCH(MIN(D116:F116),D116:F116,0)))</f>
        <v/>
      </c>
      <c r="L116" s="10" t="n">
        <v>333.56</v>
      </c>
      <c r="M116" s="12" t="n">
        <v>1</v>
      </c>
    </row>
    <row r="117">
      <c r="A117" s="4" t="inlineStr">
        <is>
          <t>MAT-08-031</t>
        </is>
      </c>
      <c r="B117" s="5" t="inlineStr">
        <is>
          <t>Polvo de color para mosaico rojo industrial, 5 lb</t>
        </is>
      </c>
      <c r="C117" s="4" t="inlineStr">
        <is>
          <t>unidad</t>
        </is>
      </c>
      <c r="D117" s="10" t="n">
        <v>472.9</v>
      </c>
      <c r="E117" s="10" t="n"/>
      <c r="F117" s="10" t="n"/>
      <c r="G117" s="10">
        <f>IF(COUNT(D117:F117)=0,"",MIN(D117:F117))</f>
        <v/>
      </c>
      <c r="H117" s="10">
        <f>IF(COUNT(D117:F117)=0,"",MEDIAN(D117:F117))</f>
        <v/>
      </c>
      <c r="I117" s="10">
        <f>IF(COUNT(D117:F117)=0,"",MAX(D117:F117))</f>
        <v/>
      </c>
      <c r="J117" s="11">
        <f>IF(OR(G117="",G117=0),"",(I117-G117)/G117)</f>
        <v/>
      </c>
      <c r="K117" s="4">
        <f>IF(COUNT(D117:F117)=0,"",INDEX($D$1:$F$1,MATCH(MIN(D117:F117),D117:F117,0)))</f>
        <v/>
      </c>
      <c r="L117" s="10" t="n">
        <v>472.9</v>
      </c>
      <c r="M117" s="12" t="n">
        <v>1</v>
      </c>
    </row>
    <row r="118">
      <c r="A118" s="4" t="inlineStr">
        <is>
          <t>MAT-08-032</t>
        </is>
      </c>
      <c r="B118" s="5" t="inlineStr">
        <is>
          <t>Polvo de color para mosaico verde comercial, 5 lb</t>
        </is>
      </c>
      <c r="C118" s="4" t="inlineStr">
        <is>
          <t>unidad</t>
        </is>
      </c>
      <c r="D118" s="10" t="n">
        <v>350.7</v>
      </c>
      <c r="E118" s="10" t="n"/>
      <c r="F118" s="10" t="n"/>
      <c r="G118" s="10">
        <f>IF(COUNT(D118:F118)=0,"",MIN(D118:F118))</f>
        <v/>
      </c>
      <c r="H118" s="10">
        <f>IF(COUNT(D118:F118)=0,"",MEDIAN(D118:F118))</f>
        <v/>
      </c>
      <c r="I118" s="10">
        <f>IF(COUNT(D118:F118)=0,"",MAX(D118:F118))</f>
        <v/>
      </c>
      <c r="J118" s="11">
        <f>IF(OR(G118="",G118=0),"",(I118-G118)/G118)</f>
        <v/>
      </c>
      <c r="K118" s="4">
        <f>IF(COUNT(D118:F118)=0,"",INDEX($D$1:$F$1,MATCH(MIN(D118:F118),D118:F118,0)))</f>
        <v/>
      </c>
      <c r="L118" s="10" t="n">
        <v>350.7</v>
      </c>
      <c r="M118" s="12" t="n">
        <v>1</v>
      </c>
    </row>
    <row r="119">
      <c r="A119" s="4" t="inlineStr">
        <is>
          <t>MAT-08-033</t>
        </is>
      </c>
      <c r="B119" s="5" t="inlineStr">
        <is>
          <t>Polvo de color para mosaico verde industrial, 5 lb</t>
        </is>
      </c>
      <c r="C119" s="4" t="inlineStr">
        <is>
          <t>unidad</t>
        </is>
      </c>
      <c r="D119" s="10" t="n">
        <v>902.88</v>
      </c>
      <c r="E119" s="10" t="n"/>
      <c r="F119" s="10" t="n"/>
      <c r="G119" s="10">
        <f>IF(COUNT(D119:F119)=0,"",MIN(D119:F119))</f>
        <v/>
      </c>
      <c r="H119" s="10">
        <f>IF(COUNT(D119:F119)=0,"",MEDIAN(D119:F119))</f>
        <v/>
      </c>
      <c r="I119" s="10">
        <f>IF(COUNT(D119:F119)=0,"",MAX(D119:F119))</f>
        <v/>
      </c>
      <c r="J119" s="11">
        <f>IF(OR(G119="",G119=0),"",(I119-G119)/G119)</f>
        <v/>
      </c>
      <c r="K119" s="4">
        <f>IF(COUNT(D119:F119)=0,"",INDEX($D$1:$F$1,MATCH(MIN(D119:F119),D119:F119,0)))</f>
        <v/>
      </c>
      <c r="L119" s="10" t="n">
        <v>902.88</v>
      </c>
      <c r="M119" s="12" t="n">
        <v>1</v>
      </c>
    </row>
    <row r="120">
      <c r="A120" s="4" t="inlineStr">
        <is>
          <t>MAT-08-034</t>
        </is>
      </c>
      <c r="B120" s="5" t="inlineStr">
        <is>
          <t>Polvo de color para mosaico amarillo comercial, 55 lb</t>
        </is>
      </c>
      <c r="C120" s="4" t="inlineStr">
        <is>
          <t>funda</t>
        </is>
      </c>
      <c r="D120" s="10" t="n">
        <v>3195.68</v>
      </c>
      <c r="E120" s="10" t="n"/>
      <c r="F120" s="10" t="n"/>
      <c r="G120" s="10">
        <f>IF(COUNT(D120:F120)=0,"",MIN(D120:F120))</f>
        <v/>
      </c>
      <c r="H120" s="10">
        <f>IF(COUNT(D120:F120)=0,"",MEDIAN(D120:F120))</f>
        <v/>
      </c>
      <c r="I120" s="10">
        <f>IF(COUNT(D120:F120)=0,"",MAX(D120:F120))</f>
        <v/>
      </c>
      <c r="J120" s="11">
        <f>IF(OR(G120="",G120=0),"",(I120-G120)/G120)</f>
        <v/>
      </c>
      <c r="K120" s="4">
        <f>IF(COUNT(D120:F120)=0,"",INDEX($D$1:$F$1,MATCH(MIN(D120:F120),D120:F120,0)))</f>
        <v/>
      </c>
      <c r="L120" s="10" t="n">
        <v>3195.68</v>
      </c>
      <c r="M120" s="12" t="n">
        <v>1</v>
      </c>
    </row>
    <row r="121">
      <c r="A121" s="4" t="inlineStr">
        <is>
          <t>MAT-08-035</t>
        </is>
      </c>
      <c r="B121" s="5" t="inlineStr">
        <is>
          <t>Polvo de color para mosaico amarillo industrial, 55 lb</t>
        </is>
      </c>
      <c r="C121" s="4" t="inlineStr">
        <is>
          <t>funda</t>
        </is>
      </c>
      <c r="D121" s="10" t="n">
        <v>7742.13</v>
      </c>
      <c r="E121" s="10" t="n"/>
      <c r="F121" s="10" t="n"/>
      <c r="G121" s="10">
        <f>IF(COUNT(D121:F121)=0,"",MIN(D121:F121))</f>
        <v/>
      </c>
      <c r="H121" s="10">
        <f>IF(COUNT(D121:F121)=0,"",MEDIAN(D121:F121))</f>
        <v/>
      </c>
      <c r="I121" s="10">
        <f>IF(COUNT(D121:F121)=0,"",MAX(D121:F121))</f>
        <v/>
      </c>
      <c r="J121" s="11">
        <f>IF(OR(G121="",G121=0),"",(I121-G121)/G121)</f>
        <v/>
      </c>
      <c r="K121" s="4">
        <f>IF(COUNT(D121:F121)=0,"",INDEX($D$1:$F$1,MATCH(MIN(D121:F121),D121:F121,0)))</f>
        <v/>
      </c>
      <c r="L121" s="10" t="n">
        <v>7742.13</v>
      </c>
      <c r="M121" s="12" t="n">
        <v>1</v>
      </c>
    </row>
    <row r="122">
      <c r="A122" s="4" t="inlineStr">
        <is>
          <t>MAT-08-036</t>
        </is>
      </c>
      <c r="B122" s="5" t="inlineStr">
        <is>
          <t>Polvo de color para mosaico azul comercial, 55 lb</t>
        </is>
      </c>
      <c r="C122" s="4" t="inlineStr">
        <is>
          <t>funda</t>
        </is>
      </c>
      <c r="D122" s="10" t="n">
        <v>4220.23</v>
      </c>
      <c r="E122" s="10" t="n"/>
      <c r="F122" s="10" t="n"/>
      <c r="G122" s="10">
        <f>IF(COUNT(D122:F122)=0,"",MIN(D122:F122))</f>
        <v/>
      </c>
      <c r="H122" s="10">
        <f>IF(COUNT(D122:F122)=0,"",MEDIAN(D122:F122))</f>
        <v/>
      </c>
      <c r="I122" s="10">
        <f>IF(COUNT(D122:F122)=0,"",MAX(D122:F122))</f>
        <v/>
      </c>
      <c r="J122" s="11">
        <f>IF(OR(G122="",G122=0),"",(I122-G122)/G122)</f>
        <v/>
      </c>
      <c r="K122" s="4">
        <f>IF(COUNT(D122:F122)=0,"",INDEX($D$1:$F$1,MATCH(MIN(D122:F122),D122:F122,0)))</f>
        <v/>
      </c>
      <c r="L122" s="10" t="n">
        <v>4220.23</v>
      </c>
      <c r="M122" s="12" t="n">
        <v>1</v>
      </c>
    </row>
    <row r="123">
      <c r="A123" s="4" t="inlineStr">
        <is>
          <t>MAT-08-037</t>
        </is>
      </c>
      <c r="B123" s="5" t="inlineStr">
        <is>
          <t>Polvo de color para mosaico azul industrial, 55 lb</t>
        </is>
      </c>
      <c r="C123" s="4" t="inlineStr">
        <is>
          <t>funda</t>
        </is>
      </c>
      <c r="D123" s="10" t="n">
        <v>8183.45</v>
      </c>
      <c r="E123" s="10" t="n"/>
      <c r="F123" s="10" t="n"/>
      <c r="G123" s="10">
        <f>IF(COUNT(D123:F123)=0,"",MIN(D123:F123))</f>
        <v/>
      </c>
      <c r="H123" s="10">
        <f>IF(COUNT(D123:F123)=0,"",MEDIAN(D123:F123))</f>
        <v/>
      </c>
      <c r="I123" s="10">
        <f>IF(COUNT(D123:F123)=0,"",MAX(D123:F123))</f>
        <v/>
      </c>
      <c r="J123" s="11">
        <f>IF(OR(G123="",G123=0),"",(I123-G123)/G123)</f>
        <v/>
      </c>
      <c r="K123" s="4">
        <f>IF(COUNT(D123:F123)=0,"",INDEX($D$1:$F$1,MATCH(MIN(D123:F123),D123:F123,0)))</f>
        <v/>
      </c>
      <c r="L123" s="10" t="n">
        <v>8183.45</v>
      </c>
      <c r="M123" s="12" t="n">
        <v>1</v>
      </c>
    </row>
    <row r="124">
      <c r="A124" s="4" t="inlineStr">
        <is>
          <t>MAT-08-038</t>
        </is>
      </c>
      <c r="B124" s="5" t="inlineStr">
        <is>
          <t>Polvo de color para mosaico negro comercial, 55 lb</t>
        </is>
      </c>
      <c r="C124" s="4" t="inlineStr">
        <is>
          <t>funda</t>
        </is>
      </c>
      <c r="D124" s="10" t="n">
        <v>4640.79</v>
      </c>
      <c r="E124" s="10" t="n"/>
      <c r="F124" s="10" t="n"/>
      <c r="G124" s="10">
        <f>IF(COUNT(D124:F124)=0,"",MIN(D124:F124))</f>
        <v/>
      </c>
      <c r="H124" s="10">
        <f>IF(COUNT(D124:F124)=0,"",MEDIAN(D124:F124))</f>
        <v/>
      </c>
      <c r="I124" s="10">
        <f>IF(COUNT(D124:F124)=0,"",MAX(D124:F124))</f>
        <v/>
      </c>
      <c r="J124" s="11">
        <f>IF(OR(G124="",G124=0),"",(I124-G124)/G124)</f>
        <v/>
      </c>
      <c r="K124" s="4">
        <f>IF(COUNT(D124:F124)=0,"",INDEX($D$1:$F$1,MATCH(MIN(D124:F124),D124:F124,0)))</f>
        <v/>
      </c>
      <c r="L124" s="10" t="n">
        <v>4640.79</v>
      </c>
      <c r="M124" s="12" t="n">
        <v>1</v>
      </c>
    </row>
    <row r="125">
      <c r="A125" s="4" t="inlineStr">
        <is>
          <t>MAT-08-039</t>
        </is>
      </c>
      <c r="B125" s="5" t="inlineStr">
        <is>
          <t>Polvo de color para mosaico negro industrial, 55 lb</t>
        </is>
      </c>
      <c r="C125" s="4" t="inlineStr">
        <is>
          <t>funda</t>
        </is>
      </c>
      <c r="D125" s="10" t="n">
        <v>6521.15</v>
      </c>
      <c r="E125" s="10" t="n"/>
      <c r="F125" s="10" t="n"/>
      <c r="G125" s="10">
        <f>IF(COUNT(D125:F125)=0,"",MIN(D125:F125))</f>
        <v/>
      </c>
      <c r="H125" s="10">
        <f>IF(COUNT(D125:F125)=0,"",MEDIAN(D125:F125))</f>
        <v/>
      </c>
      <c r="I125" s="10">
        <f>IF(COUNT(D125:F125)=0,"",MAX(D125:F125))</f>
        <v/>
      </c>
      <c r="J125" s="11">
        <f>IF(OR(G125="",G125=0),"",(I125-G125)/G125)</f>
        <v/>
      </c>
      <c r="K125" s="4">
        <f>IF(COUNT(D125:F125)=0,"",INDEX($D$1:$F$1,MATCH(MIN(D125:F125),D125:F125,0)))</f>
        <v/>
      </c>
      <c r="L125" s="10" t="n">
        <v>6521.15</v>
      </c>
      <c r="M125" s="12" t="n">
        <v>1</v>
      </c>
    </row>
    <row r="126">
      <c r="A126" s="4" t="inlineStr">
        <is>
          <t>MAT-08-040</t>
        </is>
      </c>
      <c r="B126" s="5" t="inlineStr">
        <is>
          <t>Polvo de color para mosaico rojo comercial, 55 lb</t>
        </is>
      </c>
      <c r="C126" s="4" t="inlineStr">
        <is>
          <t>funda</t>
        </is>
      </c>
      <c r="D126" s="10" t="n">
        <v>3350.57</v>
      </c>
      <c r="E126" s="10" t="n"/>
      <c r="F126" s="10" t="n"/>
      <c r="G126" s="10">
        <f>IF(COUNT(D126:F126)=0,"",MIN(D126:F126))</f>
        <v/>
      </c>
      <c r="H126" s="10">
        <f>IF(COUNT(D126:F126)=0,"",MEDIAN(D126:F126))</f>
        <v/>
      </c>
      <c r="I126" s="10">
        <f>IF(COUNT(D126:F126)=0,"",MAX(D126:F126))</f>
        <v/>
      </c>
      <c r="J126" s="11">
        <f>IF(OR(G126="",G126=0),"",(I126-G126)/G126)</f>
        <v/>
      </c>
      <c r="K126" s="4">
        <f>IF(COUNT(D126:F126)=0,"",INDEX($D$1:$F$1,MATCH(MIN(D126:F126),D126:F126,0)))</f>
        <v/>
      </c>
      <c r="L126" s="10" t="n">
        <v>3350.57</v>
      </c>
      <c r="M126" s="12" t="n">
        <v>1</v>
      </c>
    </row>
    <row r="127">
      <c r="A127" s="4" t="inlineStr">
        <is>
          <t>MAT-08-041</t>
        </is>
      </c>
      <c r="B127" s="5" t="inlineStr">
        <is>
          <t>Polvo de color para mosaico rojo industrial, 55 lb</t>
        </is>
      </c>
      <c r="C127" s="4" t="inlineStr">
        <is>
          <t>funda</t>
        </is>
      </c>
      <c r="D127" s="10" t="n">
        <v>5451.6</v>
      </c>
      <c r="E127" s="10" t="n"/>
      <c r="F127" s="10" t="n"/>
      <c r="G127" s="10">
        <f>IF(COUNT(D127:F127)=0,"",MIN(D127:F127))</f>
        <v/>
      </c>
      <c r="H127" s="10">
        <f>IF(COUNT(D127:F127)=0,"",MEDIAN(D127:F127))</f>
        <v/>
      </c>
      <c r="I127" s="10">
        <f>IF(COUNT(D127:F127)=0,"",MAX(D127:F127))</f>
        <v/>
      </c>
      <c r="J127" s="11">
        <f>IF(OR(G127="",G127=0),"",(I127-G127)/G127)</f>
        <v/>
      </c>
      <c r="K127" s="4">
        <f>IF(COUNT(D127:F127)=0,"",INDEX($D$1:$F$1,MATCH(MIN(D127:F127),D127:F127,0)))</f>
        <v/>
      </c>
      <c r="L127" s="10" t="n">
        <v>5451.6</v>
      </c>
      <c r="M127" s="12" t="n">
        <v>1</v>
      </c>
    </row>
    <row r="128">
      <c r="A128" s="4" t="inlineStr">
        <is>
          <t>MAT-08-042</t>
        </is>
      </c>
      <c r="B128" s="5" t="inlineStr">
        <is>
          <t>Polvo de color para mosaico verde comercial, 55 lb</t>
        </is>
      </c>
      <c r="C128" s="4" t="inlineStr">
        <is>
          <t>funda</t>
        </is>
      </c>
      <c r="D128" s="10" t="n">
        <v>4017.75</v>
      </c>
      <c r="E128" s="10" t="n"/>
      <c r="F128" s="10" t="n"/>
      <c r="G128" s="10">
        <f>IF(COUNT(D128:F128)=0,"",MIN(D128:F128))</f>
        <v/>
      </c>
      <c r="H128" s="10">
        <f>IF(COUNT(D128:F128)=0,"",MEDIAN(D128:F128))</f>
        <v/>
      </c>
      <c r="I128" s="10">
        <f>IF(COUNT(D128:F128)=0,"",MAX(D128:F128))</f>
        <v/>
      </c>
      <c r="J128" s="11">
        <f>IF(OR(G128="",G128=0),"",(I128-G128)/G128)</f>
        <v/>
      </c>
      <c r="K128" s="4">
        <f>IF(COUNT(D128:F128)=0,"",INDEX($D$1:$F$1,MATCH(MIN(D128:F128),D128:F128,0)))</f>
        <v/>
      </c>
      <c r="L128" s="10" t="n">
        <v>4017.75</v>
      </c>
      <c r="M128" s="12" t="n">
        <v>1</v>
      </c>
    </row>
    <row r="129">
      <c r="A129" s="4" t="inlineStr">
        <is>
          <t>MAT-08-043</t>
        </is>
      </c>
      <c r="B129" s="5" t="inlineStr">
        <is>
          <t>Polvo de color para mosaico verde industrial, 55 lb</t>
        </is>
      </c>
      <c r="C129" s="4" t="inlineStr">
        <is>
          <t>funda</t>
        </is>
      </c>
      <c r="D129" s="10" t="n">
        <v>9092.93</v>
      </c>
      <c r="E129" s="10" t="n"/>
      <c r="F129" s="10" t="n"/>
      <c r="G129" s="10">
        <f>IF(COUNT(D129:F129)=0,"",MIN(D129:F129))</f>
        <v/>
      </c>
      <c r="H129" s="10">
        <f>IF(COUNT(D129:F129)=0,"",MEDIAN(D129:F129))</f>
        <v/>
      </c>
      <c r="I129" s="10">
        <f>IF(COUNT(D129:F129)=0,"",MAX(D129:F129))</f>
        <v/>
      </c>
      <c r="J129" s="11">
        <f>IF(OR(G129="",G129=0),"",(I129-G129)/G129)</f>
        <v/>
      </c>
      <c r="K129" s="4">
        <f>IF(COUNT(D129:F129)=0,"",INDEX($D$1:$F$1,MATCH(MIN(D129:F129),D129:F129,0)))</f>
        <v/>
      </c>
      <c r="L129" s="10" t="n">
        <v>9092.93</v>
      </c>
      <c r="M129" s="12" t="n">
        <v>1</v>
      </c>
    </row>
    <row r="130">
      <c r="A130" s="4" t="inlineStr">
        <is>
          <t>MAT-09-016</t>
        </is>
      </c>
      <c r="B130" s="5" t="inlineStr">
        <is>
          <t>Cabezal de ducha</t>
        </is>
      </c>
      <c r="C130" s="4" t="inlineStr">
        <is>
          <t>unidad</t>
        </is>
      </c>
      <c r="D130" s="10" t="n">
        <v>126.44</v>
      </c>
      <c r="E130" s="10" t="n"/>
      <c r="F130" s="10" t="n"/>
      <c r="G130" s="10">
        <f>IF(COUNT(D130:F130)=0,"",MIN(D130:F130))</f>
        <v/>
      </c>
      <c r="H130" s="10">
        <f>IF(COUNT(D130:F130)=0,"",MEDIAN(D130:F130))</f>
        <v/>
      </c>
      <c r="I130" s="10">
        <f>IF(COUNT(D130:F130)=0,"",MAX(D130:F130))</f>
        <v/>
      </c>
      <c r="J130" s="11">
        <f>IF(OR(G130="",G130=0),"",(I130-G130)/G130)</f>
        <v/>
      </c>
      <c r="K130" s="4">
        <f>IF(COUNT(D130:F130)=0,"",INDEX($D$1:$F$1,MATCH(MIN(D130:F130),D130:F130,0)))</f>
        <v/>
      </c>
      <c r="L130" s="10" t="n">
        <v>404.04</v>
      </c>
      <c r="M130" s="12" t="n">
        <v>1</v>
      </c>
    </row>
    <row r="131">
      <c r="A131" s="4" t="inlineStr">
        <is>
          <t>MAT-09-017</t>
        </is>
      </c>
      <c r="B131" s="5" t="inlineStr">
        <is>
          <t>Ducha teléfono</t>
        </is>
      </c>
      <c r="C131" s="4" t="inlineStr">
        <is>
          <t>unidad</t>
        </is>
      </c>
      <c r="D131" s="10" t="n">
        <v>267.91</v>
      </c>
      <c r="E131" s="10" t="n"/>
      <c r="F131" s="10" t="n"/>
      <c r="G131" s="10">
        <f>IF(COUNT(D131:F131)=0,"",MIN(D131:F131))</f>
        <v/>
      </c>
      <c r="H131" s="10">
        <f>IF(COUNT(D131:F131)=0,"",MEDIAN(D131:F131))</f>
        <v/>
      </c>
      <c r="I131" s="10">
        <f>IF(COUNT(D131:F131)=0,"",MAX(D131:F131))</f>
        <v/>
      </c>
      <c r="J131" s="11">
        <f>IF(OR(G131="",G131=0),"",(I131-G131)/G131)</f>
        <v/>
      </c>
      <c r="K131" s="4">
        <f>IF(COUNT(D131:F131)=0,"",INDEX($D$1:$F$1,MATCH(MIN(D131:F131),D131:F131,0)))</f>
        <v/>
      </c>
      <c r="L131" s="10" t="n">
        <v>505.16</v>
      </c>
      <c r="M131" s="12" t="n">
        <v>1</v>
      </c>
    </row>
    <row r="132">
      <c r="A132" s="4" t="inlineStr">
        <is>
          <t>MAT-09-018</t>
        </is>
      </c>
      <c r="B132" s="5" t="inlineStr">
        <is>
          <t>Columna de ducha</t>
        </is>
      </c>
      <c r="C132" s="4" t="inlineStr">
        <is>
          <t>unidad</t>
        </is>
      </c>
      <c r="D132" s="10" t="n">
        <v>11281.28</v>
      </c>
      <c r="E132" s="10" t="n"/>
      <c r="F132" s="10" t="n"/>
      <c r="G132" s="10">
        <f>IF(COUNT(D132:F132)=0,"",MIN(D132:F132))</f>
        <v/>
      </c>
      <c r="H132" s="10">
        <f>IF(COUNT(D132:F132)=0,"",MEDIAN(D132:F132))</f>
        <v/>
      </c>
      <c r="I132" s="10">
        <f>IF(COUNT(D132:F132)=0,"",MAX(D132:F132))</f>
        <v/>
      </c>
      <c r="J132" s="11">
        <f>IF(OR(G132="",G132=0),"",(I132-G132)/G132)</f>
        <v/>
      </c>
      <c r="K132" s="4">
        <f>IF(COUNT(D132:F132)=0,"",INDEX($D$1:$F$1,MATCH(MIN(D132:F132),D132:F132,0)))</f>
        <v/>
      </c>
      <c r="L132" s="10" t="n">
        <v>16011.14</v>
      </c>
      <c r="M132" s="12" t="n">
        <v>1</v>
      </c>
    </row>
    <row r="133">
      <c r="A133" s="4" t="inlineStr">
        <is>
          <t>MAT-09-019</t>
        </is>
      </c>
      <c r="B133" s="5" t="inlineStr">
        <is>
          <t>Barra deslizable para ducha</t>
        </is>
      </c>
      <c r="C133" s="4" t="inlineStr">
        <is>
          <t>unidad</t>
        </is>
      </c>
      <c r="D133" s="10" t="n">
        <v>553.61</v>
      </c>
      <c r="E133" s="10" t="n"/>
      <c r="F133" s="10" t="n"/>
      <c r="G133" s="10">
        <f>IF(COUNT(D133:F133)=0,"",MIN(D133:F133))</f>
        <v/>
      </c>
      <c r="H133" s="10">
        <f>IF(COUNT(D133:F133)=0,"",MEDIAN(D133:F133))</f>
        <v/>
      </c>
      <c r="I133" s="10">
        <f>IF(COUNT(D133:F133)=0,"",MAX(D133:F133))</f>
        <v/>
      </c>
      <c r="J133" s="11">
        <f>IF(OR(G133="",G133=0),"",(I133-G133)/G133)</f>
        <v/>
      </c>
      <c r="K133" s="4">
        <f>IF(COUNT(D133:F133)=0,"",INDEX($D$1:$F$1,MATCH(MIN(D133:F133),D133:F133,0)))</f>
        <v/>
      </c>
      <c r="L133" s="10" t="n">
        <v>10200.42</v>
      </c>
      <c r="M133" s="12" t="n">
        <v>1</v>
      </c>
    </row>
    <row r="134">
      <c r="A134" s="4" t="inlineStr">
        <is>
          <t>MAT-09-020</t>
        </is>
      </c>
      <c r="B134" s="5" t="inlineStr">
        <is>
          <t>Brazo de ducha</t>
        </is>
      </c>
      <c r="C134" s="4" t="inlineStr">
        <is>
          <t>unidad</t>
        </is>
      </c>
      <c r="D134" s="10" t="n">
        <v>108.23</v>
      </c>
      <c r="E134" s="10" t="n"/>
      <c r="F134" s="10" t="n"/>
      <c r="G134" s="10">
        <f>IF(COUNT(D134:F134)=0,"",MIN(D134:F134))</f>
        <v/>
      </c>
      <c r="H134" s="10">
        <f>IF(COUNT(D134:F134)=0,"",MEDIAN(D134:F134))</f>
        <v/>
      </c>
      <c r="I134" s="10">
        <f>IF(COUNT(D134:F134)=0,"",MAX(D134:F134))</f>
        <v/>
      </c>
      <c r="J134" s="11">
        <f>IF(OR(G134="",G134=0),"",(I134-G134)/G134)</f>
        <v/>
      </c>
      <c r="K134" s="4">
        <f>IF(COUNT(D134:F134)=0,"",INDEX($D$1:$F$1,MATCH(MIN(D134:F134),D134:F134,0)))</f>
        <v/>
      </c>
      <c r="L134" s="10" t="n">
        <v>334.84</v>
      </c>
      <c r="M134" s="12" t="n">
        <v>1</v>
      </c>
    </row>
    <row r="135">
      <c r="A135" s="4" t="inlineStr">
        <is>
          <t>MAT-09-021</t>
        </is>
      </c>
      <c r="B135" s="5" t="inlineStr">
        <is>
          <t>Mezcladora de ducha</t>
        </is>
      </c>
      <c r="C135" s="4" t="inlineStr">
        <is>
          <t>unidad</t>
        </is>
      </c>
      <c r="D135" s="10" t="n">
        <v>2603.89</v>
      </c>
      <c r="E135" s="10" t="n"/>
      <c r="F135" s="10" t="n"/>
      <c r="G135" s="10">
        <f>IF(COUNT(D135:F135)=0,"",MIN(D135:F135))</f>
        <v/>
      </c>
      <c r="H135" s="10">
        <f>IF(COUNT(D135:F135)=0,"",MEDIAN(D135:F135))</f>
        <v/>
      </c>
      <c r="I135" s="10">
        <f>IF(COUNT(D135:F135)=0,"",MAX(D135:F135))</f>
        <v/>
      </c>
      <c r="J135" s="11">
        <f>IF(OR(G135="",G135=0),"",(I135-G135)/G135)</f>
        <v/>
      </c>
      <c r="K135" s="4">
        <f>IF(COUNT(D135:F135)=0,"",INDEX($D$1:$F$1,MATCH(MIN(D135:F135),D135:F135,0)))</f>
        <v/>
      </c>
      <c r="L135" s="10" t="n">
        <v>5025.29</v>
      </c>
      <c r="M135" s="12" t="n">
        <v>1</v>
      </c>
    </row>
    <row r="136">
      <c r="A136" s="4" t="inlineStr">
        <is>
          <t>MAT-09-022</t>
        </is>
      </c>
      <c r="B136" s="5" t="inlineStr">
        <is>
          <t>Manguera para ducha teléfono</t>
        </is>
      </c>
      <c r="C136" s="4" t="inlineStr">
        <is>
          <t>unidad</t>
        </is>
      </c>
      <c r="D136" s="10" t="n">
        <v>256.18</v>
      </c>
      <c r="E136" s="10" t="n"/>
      <c r="F136" s="10" t="n"/>
      <c r="G136" s="10">
        <f>IF(COUNT(D136:F136)=0,"",MIN(D136:F136))</f>
        <v/>
      </c>
      <c r="H136" s="10">
        <f>IF(COUNT(D136:F136)=0,"",MEDIAN(D136:F136))</f>
        <v/>
      </c>
      <c r="I136" s="10">
        <f>IF(COUNT(D136:F136)=0,"",MAX(D136:F136))</f>
        <v/>
      </c>
      <c r="J136" s="11">
        <f>IF(OR(G136="",G136=0),"",(I136-G136)/G136)</f>
        <v/>
      </c>
      <c r="K136" s="4">
        <f>IF(COUNT(D136:F136)=0,"",INDEX($D$1:$F$1,MATCH(MIN(D136:F136),D136:F136,0)))</f>
        <v/>
      </c>
      <c r="L136" s="10" t="n">
        <v>730.86</v>
      </c>
      <c r="M136" s="12" t="n">
        <v>1</v>
      </c>
    </row>
    <row r="137">
      <c r="A137" s="4" t="inlineStr">
        <is>
          <t>MAT-12-009</t>
        </is>
      </c>
      <c r="B137" s="5" t="inlineStr">
        <is>
          <t>Estuco para interiores, funda de 35 libras</t>
        </is>
      </c>
      <c r="C137" s="4" t="inlineStr">
        <is>
          <t>funda</t>
        </is>
      </c>
      <c r="D137" s="10" t="n">
        <v>331.11</v>
      </c>
      <c r="E137" s="10" t="n">
        <v>690</v>
      </c>
      <c r="F137" s="10" t="n"/>
      <c r="G137" s="10">
        <f>IF(COUNT(D137:F137)=0,"",MIN(D137:F137))</f>
        <v/>
      </c>
      <c r="H137" s="10">
        <f>IF(COUNT(D137:F137)=0,"",MEDIAN(D137:F137))</f>
        <v/>
      </c>
      <c r="I137" s="10">
        <f>IF(COUNT(D137:F137)=0,"",MAX(D137:F137))</f>
        <v/>
      </c>
      <c r="J137" s="11">
        <f>IF(OR(G137="",G137=0),"",(I137-G137)/G137)</f>
        <v/>
      </c>
      <c r="K137" s="4">
        <f>IF(COUNT(D137:F137)=0,"",INDEX($D$1:$F$1,MATCH(MIN(D137:F137),D137:F137,0)))</f>
        <v/>
      </c>
      <c r="L137" s="10" t="n">
        <v>510.56</v>
      </c>
      <c r="M137" s="12" t="n">
        <v>2</v>
      </c>
    </row>
    <row r="138">
      <c r="A138" s="4" t="inlineStr">
        <is>
          <t>MAT-13-011</t>
        </is>
      </c>
      <c r="B138" s="5" t="inlineStr">
        <is>
          <t>Angular para plafón, 10'</t>
        </is>
      </c>
      <c r="C138" s="4" t="inlineStr">
        <is>
          <t>unidad</t>
        </is>
      </c>
      <c r="D138" s="10" t="n"/>
      <c r="E138" s="10" t="n">
        <v>98</v>
      </c>
      <c r="F138" s="10" t="n"/>
      <c r="G138" s="10">
        <f>IF(COUNT(D138:F138)=0,"",MIN(D138:F138))</f>
        <v/>
      </c>
      <c r="H138" s="10">
        <f>IF(COUNT(D138:F138)=0,"",MEDIAN(D138:F138))</f>
        <v/>
      </c>
      <c r="I138" s="10">
        <f>IF(COUNT(D138:F138)=0,"",MAX(D138:F138))</f>
        <v/>
      </c>
      <c r="J138" s="11">
        <f>IF(OR(G138="",G138=0),"",(I138-G138)/G138)</f>
        <v/>
      </c>
      <c r="K138" s="4">
        <f>IF(COUNT(D138:F138)=0,"",INDEX($D$1:$F$1,MATCH(MIN(D138:F138),D138:F138,0)))</f>
        <v/>
      </c>
      <c r="L138" s="10" t="n">
        <v>98</v>
      </c>
      <c r="M138" s="12" t="n">
        <v>1</v>
      </c>
    </row>
    <row r="139">
      <c r="A139" s="4" t="inlineStr">
        <is>
          <t>MAT-13-012</t>
        </is>
      </c>
      <c r="B139" s="5" t="inlineStr">
        <is>
          <t>Cartón piedra, 4'X8' 3X2Mm 1/8"</t>
        </is>
      </c>
      <c r="C139" s="4" t="inlineStr">
        <is>
          <t>unidad</t>
        </is>
      </c>
      <c r="D139" s="10" t="n"/>
      <c r="E139" s="10" t="n">
        <v>495</v>
      </c>
      <c r="F139" s="10" t="n"/>
      <c r="G139" s="10">
        <f>IF(COUNT(D139:F139)=0,"",MIN(D139:F139))</f>
        <v/>
      </c>
      <c r="H139" s="10">
        <f>IF(COUNT(D139:F139)=0,"",MEDIAN(D139:F139))</f>
        <v/>
      </c>
      <c r="I139" s="10">
        <f>IF(COUNT(D139:F139)=0,"",MAX(D139:F139))</f>
        <v/>
      </c>
      <c r="J139" s="11">
        <f>IF(OR(G139="",G139=0),"",(I139-G139)/G139)</f>
        <v/>
      </c>
      <c r="K139" s="4">
        <f>IF(COUNT(D139:F139)=0,"",INDEX($D$1:$F$1,MATCH(MIN(D139:F139),D139:F139,0)))</f>
        <v/>
      </c>
      <c r="L139" s="10" t="n">
        <v>495</v>
      </c>
      <c r="M139" s="12" t="n">
        <v>1</v>
      </c>
    </row>
    <row r="140">
      <c r="A140" s="4" t="inlineStr">
        <is>
          <t>MAT-13-013</t>
        </is>
      </c>
      <c r="B140" s="5" t="inlineStr">
        <is>
          <t>Cross tee para plafón, 2'</t>
        </is>
      </c>
      <c r="C140" s="4" t="inlineStr">
        <is>
          <t>unidad</t>
        </is>
      </c>
      <c r="D140" s="10" t="n"/>
      <c r="E140" s="10" t="n">
        <v>26</v>
      </c>
      <c r="F140" s="10" t="n"/>
      <c r="G140" s="10">
        <f>IF(COUNT(D140:F140)=0,"",MIN(D140:F140))</f>
        <v/>
      </c>
      <c r="H140" s="10">
        <f>IF(COUNT(D140:F140)=0,"",MEDIAN(D140:F140))</f>
        <v/>
      </c>
      <c r="I140" s="10">
        <f>IF(COUNT(D140:F140)=0,"",MAX(D140:F140))</f>
        <v/>
      </c>
      <c r="J140" s="11">
        <f>IF(OR(G140="",G140=0),"",(I140-G140)/G140)</f>
        <v/>
      </c>
      <c r="K140" s="4">
        <f>IF(COUNT(D140:F140)=0,"",INDEX($D$1:$F$1,MATCH(MIN(D140:F140),D140:F140,0)))</f>
        <v/>
      </c>
      <c r="L140" s="10" t="n">
        <v>26</v>
      </c>
      <c r="M140" s="12" t="n">
        <v>1</v>
      </c>
    </row>
    <row r="141">
      <c r="A141" s="4" t="inlineStr">
        <is>
          <t>MAT-13-014</t>
        </is>
      </c>
      <c r="B141" s="5" t="inlineStr">
        <is>
          <t>Cross tee para plafón, 4'</t>
        </is>
      </c>
      <c r="C141" s="4" t="inlineStr">
        <is>
          <t>unidad</t>
        </is>
      </c>
      <c r="D141" s="10" t="n"/>
      <c r="E141" s="10" t="n">
        <v>56</v>
      </c>
      <c r="F141" s="10" t="n"/>
      <c r="G141" s="10">
        <f>IF(COUNT(D141:F141)=0,"",MIN(D141:F141))</f>
        <v/>
      </c>
      <c r="H141" s="10">
        <f>IF(COUNT(D141:F141)=0,"",MEDIAN(D141:F141))</f>
        <v/>
      </c>
      <c r="I141" s="10">
        <f>IF(COUNT(D141:F141)=0,"",MAX(D141:F141))</f>
        <v/>
      </c>
      <c r="J141" s="11">
        <f>IF(OR(G141="",G141=0),"",(I141-G141)/G141)</f>
        <v/>
      </c>
      <c r="K141" s="4">
        <f>IF(COUNT(D141:F141)=0,"",INDEX($D$1:$F$1,MATCH(MIN(D141:F141),D141:F141,0)))</f>
        <v/>
      </c>
      <c r="L141" s="10" t="n">
        <v>56</v>
      </c>
      <c r="M141" s="12" t="n">
        <v>1</v>
      </c>
    </row>
    <row r="142">
      <c r="A142" s="4" t="inlineStr">
        <is>
          <t>MAT-13-015</t>
        </is>
      </c>
      <c r="B142" s="5" t="inlineStr">
        <is>
          <t>Durmiente para plafón, 2-1/2"X10 calibre 25</t>
        </is>
      </c>
      <c r="C142" s="4" t="inlineStr">
        <is>
          <t>unidad</t>
        </is>
      </c>
      <c r="D142" s="10" t="n"/>
      <c r="E142" s="10" t="n">
        <v>149</v>
      </c>
      <c r="F142" s="10" t="n"/>
      <c r="G142" s="10">
        <f>IF(COUNT(D142:F142)=0,"",MIN(D142:F142))</f>
        <v/>
      </c>
      <c r="H142" s="10">
        <f>IF(COUNT(D142:F142)=0,"",MEDIAN(D142:F142))</f>
        <v/>
      </c>
      <c r="I142" s="10">
        <f>IF(COUNT(D142:F142)=0,"",MAX(D142:F142))</f>
        <v/>
      </c>
      <c r="J142" s="11">
        <f>IF(OR(G142="",G142=0),"",(I142-G142)/G142)</f>
        <v/>
      </c>
      <c r="K142" s="4">
        <f>IF(COUNT(D142:F142)=0,"",INDEX($D$1:$F$1,MATCH(MIN(D142:F142),D142:F142,0)))</f>
        <v/>
      </c>
      <c r="L142" s="10" t="n">
        <v>149</v>
      </c>
      <c r="M142" s="12" t="n">
        <v>1</v>
      </c>
    </row>
    <row r="143">
      <c r="A143" s="4" t="inlineStr">
        <is>
          <t>MAT-13-016</t>
        </is>
      </c>
      <c r="B143" s="5" t="inlineStr">
        <is>
          <t>Main tee para plafón, 12'</t>
        </is>
      </c>
      <c r="C143" s="4" t="inlineStr">
        <is>
          <t>unidad</t>
        </is>
      </c>
      <c r="D143" s="10" t="n"/>
      <c r="E143" s="10" t="n">
        <v>186</v>
      </c>
      <c r="F143" s="10" t="n"/>
      <c r="G143" s="10">
        <f>IF(COUNT(D143:F143)=0,"",MIN(D143:F143))</f>
        <v/>
      </c>
      <c r="H143" s="10">
        <f>IF(COUNT(D143:F143)=0,"",MEDIAN(D143:F143))</f>
        <v/>
      </c>
      <c r="I143" s="10">
        <f>IF(COUNT(D143:F143)=0,"",MAX(D143:F143))</f>
        <v/>
      </c>
      <c r="J143" s="11">
        <f>IF(OR(G143="",G143=0),"",(I143-G143)/G143)</f>
        <v/>
      </c>
      <c r="K143" s="4">
        <f>IF(COUNT(D143:F143)=0,"",INDEX($D$1:$F$1,MATCH(MIN(D143:F143),D143:F143,0)))</f>
        <v/>
      </c>
      <c r="L143" s="10" t="n">
        <v>186</v>
      </c>
      <c r="M143" s="12" t="n">
        <v>1</v>
      </c>
    </row>
    <row r="144">
      <c r="A144" s="4" t="inlineStr">
        <is>
          <t>MAT-13-017</t>
        </is>
      </c>
      <c r="B144" s="5" t="inlineStr">
        <is>
          <t>Paral para plafón, 2-1/2"X10 calibre 25</t>
        </is>
      </c>
      <c r="C144" s="4" t="inlineStr">
        <is>
          <t>unidad</t>
        </is>
      </c>
      <c r="D144" s="10" t="n"/>
      <c r="E144" s="10" t="n">
        <v>185</v>
      </c>
      <c r="F144" s="10" t="n"/>
      <c r="G144" s="10">
        <f>IF(COUNT(D144:F144)=0,"",MIN(D144:F144))</f>
        <v/>
      </c>
      <c r="H144" s="10">
        <f>IF(COUNT(D144:F144)=0,"",MEDIAN(D144:F144))</f>
        <v/>
      </c>
      <c r="I144" s="10">
        <f>IF(COUNT(D144:F144)=0,"",MAX(D144:F144))</f>
        <v/>
      </c>
      <c r="J144" s="11">
        <f>IF(OR(G144="",G144=0),"",(I144-G144)/G144)</f>
        <v/>
      </c>
      <c r="K144" s="4">
        <f>IF(COUNT(D144:F144)=0,"",INDEX($D$1:$F$1,MATCH(MIN(D144:F144),D144:F144,0)))</f>
        <v/>
      </c>
      <c r="L144" s="10" t="n">
        <v>185</v>
      </c>
      <c r="M144" s="12" t="n">
        <v>1</v>
      </c>
    </row>
    <row r="145">
      <c r="A145" s="4" t="inlineStr">
        <is>
          <t>MAT-13-018</t>
        </is>
      </c>
      <c r="B145" s="5" t="inlineStr">
        <is>
          <t>Plafón, 2X4'</t>
        </is>
      </c>
      <c r="C145" s="4" t="inlineStr">
        <is>
          <t>unidad</t>
        </is>
      </c>
      <c r="D145" s="10" t="n"/>
      <c r="E145" s="10" t="n">
        <v>295</v>
      </c>
      <c r="F145" s="10" t="n"/>
      <c r="G145" s="10">
        <f>IF(COUNT(D145:F145)=0,"",MIN(D145:F145))</f>
        <v/>
      </c>
      <c r="H145" s="10">
        <f>IF(COUNT(D145:F145)=0,"",MEDIAN(D145:F145))</f>
        <v/>
      </c>
      <c r="I145" s="10">
        <f>IF(COUNT(D145:F145)=0,"",MAX(D145:F145))</f>
        <v/>
      </c>
      <c r="J145" s="11">
        <f>IF(OR(G145="",G145=0),"",(I145-G145)/G145)</f>
        <v/>
      </c>
      <c r="K145" s="4">
        <f>IF(COUNT(D145:F145)=0,"",INDEX($D$1:$F$1,MATCH(MIN(D145:F145),D145:F145,0)))</f>
        <v/>
      </c>
      <c r="L145" s="10" t="n">
        <v>295</v>
      </c>
      <c r="M145" s="12" t="n">
        <v>1</v>
      </c>
    </row>
    <row r="146">
      <c r="A146" s="4" t="inlineStr">
        <is>
          <t>MAT-13-019</t>
        </is>
      </c>
      <c r="B146" s="5" t="inlineStr">
        <is>
          <t>Plafón blanco, 250X5800X7MM</t>
        </is>
      </c>
      <c r="C146" s="4" t="inlineStr">
        <is>
          <t>unidad</t>
        </is>
      </c>
      <c r="D146" s="10" t="n"/>
      <c r="E146" s="10" t="n">
        <v>375</v>
      </c>
      <c r="F146" s="10" t="n"/>
      <c r="G146" s="10">
        <f>IF(COUNT(D146:F146)=0,"",MIN(D146:F146))</f>
        <v/>
      </c>
      <c r="H146" s="10">
        <f>IF(COUNT(D146:F146)=0,"",MEDIAN(D146:F146))</f>
        <v/>
      </c>
      <c r="I146" s="10">
        <f>IF(COUNT(D146:F146)=0,"",MAX(D146:F146))</f>
        <v/>
      </c>
      <c r="J146" s="11">
        <f>IF(OR(G146="",G146=0),"",(I146-G146)/G146)</f>
        <v/>
      </c>
      <c r="K146" s="4">
        <f>IF(COUNT(D146:F146)=0,"",INDEX($D$1:$F$1,MATCH(MIN(D146:F146),D146:F146,0)))</f>
        <v/>
      </c>
      <c r="L146" s="10" t="n">
        <v>375</v>
      </c>
      <c r="M146" s="12" t="n">
        <v>1</v>
      </c>
    </row>
    <row r="147">
      <c r="A147" s="4" t="inlineStr">
        <is>
          <t>MAT-13-020</t>
        </is>
      </c>
      <c r="B147" s="5" t="inlineStr">
        <is>
          <t>Plafón blanco, 2X4'</t>
        </is>
      </c>
      <c r="C147" s="4" t="inlineStr">
        <is>
          <t>unidad</t>
        </is>
      </c>
      <c r="D147" s="10" t="n"/>
      <c r="E147" s="10" t="n">
        <v>202</v>
      </c>
      <c r="F147" s="10" t="n"/>
      <c r="G147" s="10">
        <f>IF(COUNT(D147:F147)=0,"",MIN(D147:F147))</f>
        <v/>
      </c>
      <c r="H147" s="10">
        <f>IF(COUNT(D147:F147)=0,"",MEDIAN(D147:F147))</f>
        <v/>
      </c>
      <c r="I147" s="10">
        <f>IF(COUNT(D147:F147)=0,"",MAX(D147:F147))</f>
        <v/>
      </c>
      <c r="J147" s="11">
        <f>IF(OR(G147="",G147=0),"",(I147-G147)/G147)</f>
        <v/>
      </c>
      <c r="K147" s="4">
        <f>IF(COUNT(D147:F147)=0,"",INDEX($D$1:$F$1,MATCH(MIN(D147:F147),D147:F147,0)))</f>
        <v/>
      </c>
      <c r="L147" s="10" t="n">
        <v>202</v>
      </c>
      <c r="M147" s="12" t="n">
        <v>1</v>
      </c>
    </row>
    <row r="148">
      <c r="A148" s="4" t="inlineStr">
        <is>
          <t>MAT-16-003</t>
        </is>
      </c>
      <c r="B148" s="5" t="inlineStr">
        <is>
          <t>Kit de videovigilancia 4 cámaras bullet 2 MP</t>
        </is>
      </c>
      <c r="C148" s="4" t="inlineStr">
        <is>
          <t>juego</t>
        </is>
      </c>
      <c r="D148" s="10" t="n">
        <v>18221.03</v>
      </c>
      <c r="E148" s="10" t="n"/>
      <c r="F148" s="10" t="n"/>
      <c r="G148" s="10">
        <f>IF(COUNT(D148:F148)=0,"",MIN(D148:F148))</f>
        <v/>
      </c>
      <c r="H148" s="10">
        <f>IF(COUNT(D148:F148)=0,"",MEDIAN(D148:F148))</f>
        <v/>
      </c>
      <c r="I148" s="10">
        <f>IF(COUNT(D148:F148)=0,"",MAX(D148:F148))</f>
        <v/>
      </c>
      <c r="J148" s="11">
        <f>IF(OR(G148="",G148=0),"",(I148-G148)/G148)</f>
        <v/>
      </c>
      <c r="K148" s="4">
        <f>IF(COUNT(D148:F148)=0,"",INDEX($D$1:$F$1,MATCH(MIN(D148:F148),D148:F148,0)))</f>
        <v/>
      </c>
      <c r="L148" s="10" t="n">
        <v>18221.03</v>
      </c>
      <c r="M148" s="12" t="n">
        <v>1</v>
      </c>
    </row>
    <row r="149">
      <c r="A149" s="4" t="inlineStr">
        <is>
          <t>MAT-16-004</t>
        </is>
      </c>
      <c r="B149" s="5" t="inlineStr">
        <is>
          <t>Kit de videovigilancia 4 cámaras domo 2 MP</t>
        </is>
      </c>
      <c r="C149" s="4" t="inlineStr">
        <is>
          <t>juego</t>
        </is>
      </c>
      <c r="D149" s="10" t="n">
        <v>17133.95</v>
      </c>
      <c r="E149" s="10" t="n"/>
      <c r="F149" s="10" t="n"/>
      <c r="G149" s="10">
        <f>IF(COUNT(D149:F149)=0,"",MIN(D149:F149))</f>
        <v/>
      </c>
      <c r="H149" s="10">
        <f>IF(COUNT(D149:F149)=0,"",MEDIAN(D149:F149))</f>
        <v/>
      </c>
      <c r="I149" s="10">
        <f>IF(COUNT(D149:F149)=0,"",MAX(D149:F149))</f>
        <v/>
      </c>
      <c r="J149" s="11">
        <f>IF(OR(G149="",G149=0),"",(I149-G149)/G149)</f>
        <v/>
      </c>
      <c r="K149" s="4">
        <f>IF(COUNT(D149:F149)=0,"",INDEX($D$1:$F$1,MATCH(MIN(D149:F149),D149:F149,0)))</f>
        <v/>
      </c>
      <c r="L149" s="10" t="n">
        <v>17133.95</v>
      </c>
      <c r="M149" s="12" t="n">
        <v>1</v>
      </c>
    </row>
    <row r="150">
      <c r="A150" s="4" t="inlineStr">
        <is>
          <t>MAT-16-005</t>
        </is>
      </c>
      <c r="B150" s="5" t="inlineStr">
        <is>
          <t>Cámara de seguridad</t>
        </is>
      </c>
      <c r="C150" s="4" t="inlineStr">
        <is>
          <t>unidad</t>
        </is>
      </c>
      <c r="D150" s="10" t="n">
        <v>2548.17</v>
      </c>
      <c r="E150" s="10" t="n"/>
      <c r="F150" s="10" t="n"/>
      <c r="G150" s="10">
        <f>IF(COUNT(D150:F150)=0,"",MIN(D150:F150))</f>
        <v/>
      </c>
      <c r="H150" s="10">
        <f>IF(COUNT(D150:F150)=0,"",MEDIAN(D150:F150))</f>
        <v/>
      </c>
      <c r="I150" s="10">
        <f>IF(COUNT(D150:F150)=0,"",MAX(D150:F150))</f>
        <v/>
      </c>
      <c r="J150" s="11">
        <f>IF(OR(G150="",G150=0),"",(I150-G150)/G150)</f>
        <v/>
      </c>
      <c r="K150" s="4">
        <f>IF(COUNT(D150:F150)=0,"",INDEX($D$1:$F$1,MATCH(MIN(D150:F150),D150:F150,0)))</f>
        <v/>
      </c>
      <c r="L150" s="10" t="n">
        <v>3342.09</v>
      </c>
      <c r="M150" s="12" t="n">
        <v>1</v>
      </c>
    </row>
    <row r="151">
      <c r="A151" s="4" t="inlineStr">
        <is>
          <t>MAT-16-006</t>
        </is>
      </c>
      <c r="B151" s="5" t="inlineStr">
        <is>
          <t>Cámara de seguridad bullet</t>
        </is>
      </c>
      <c r="C151" s="4" t="inlineStr">
        <is>
          <t>unidad</t>
        </is>
      </c>
      <c r="D151" s="10" t="n">
        <v>2191.4</v>
      </c>
      <c r="E151" s="10" t="n"/>
      <c r="F151" s="10" t="n"/>
      <c r="G151" s="10">
        <f>IF(COUNT(D151:F151)=0,"",MIN(D151:F151))</f>
        <v/>
      </c>
      <c r="H151" s="10">
        <f>IF(COUNT(D151:F151)=0,"",MEDIAN(D151:F151))</f>
        <v/>
      </c>
      <c r="I151" s="10">
        <f>IF(COUNT(D151:F151)=0,"",MAX(D151:F151))</f>
        <v/>
      </c>
      <c r="J151" s="11">
        <f>IF(OR(G151="",G151=0),"",(I151-G151)/G151)</f>
        <v/>
      </c>
      <c r="K151" s="4">
        <f>IF(COUNT(D151:F151)=0,"",INDEX($D$1:$F$1,MATCH(MIN(D151:F151),D151:F151,0)))</f>
        <v/>
      </c>
      <c r="L151" s="10" t="n">
        <v>2588.72</v>
      </c>
      <c r="M151" s="12" t="n">
        <v>1</v>
      </c>
    </row>
    <row r="152">
      <c r="A152" s="4" t="inlineStr">
        <is>
          <t>MAT-16-007</t>
        </is>
      </c>
      <c r="B152" s="5" t="inlineStr">
        <is>
          <t>Cámara de seguridad bullet 2 MP</t>
        </is>
      </c>
      <c r="C152" s="4" t="inlineStr">
        <is>
          <t>unidad</t>
        </is>
      </c>
      <c r="D152" s="10" t="n">
        <v>1784.16</v>
      </c>
      <c r="E152" s="10" t="n"/>
      <c r="F152" s="10" t="n"/>
      <c r="G152" s="10">
        <f>IF(COUNT(D152:F152)=0,"",MIN(D152:F152))</f>
        <v/>
      </c>
      <c r="H152" s="10">
        <f>IF(COUNT(D152:F152)=0,"",MEDIAN(D152:F152))</f>
        <v/>
      </c>
      <c r="I152" s="10">
        <f>IF(COUNT(D152:F152)=0,"",MAX(D152:F152))</f>
        <v/>
      </c>
      <c r="J152" s="11">
        <f>IF(OR(G152="",G152=0),"",(I152-G152)/G152)</f>
        <v/>
      </c>
      <c r="K152" s="4">
        <f>IF(COUNT(D152:F152)=0,"",INDEX($D$1:$F$1,MATCH(MIN(D152:F152),D152:F152,0)))</f>
        <v/>
      </c>
      <c r="L152" s="10" t="n">
        <v>4606.9</v>
      </c>
      <c r="M152" s="12" t="n">
        <v>1</v>
      </c>
    </row>
    <row r="153">
      <c r="A153" s="4" t="inlineStr">
        <is>
          <t>MAT-16-008</t>
        </is>
      </c>
      <c r="B153" s="5" t="inlineStr">
        <is>
          <t>Cámara de seguridad bullet 4 MP</t>
        </is>
      </c>
      <c r="C153" s="4" t="inlineStr">
        <is>
          <t>unidad</t>
        </is>
      </c>
      <c r="D153" s="10" t="n">
        <v>3087.35</v>
      </c>
      <c r="E153" s="10" t="n"/>
      <c r="F153" s="10" t="n"/>
      <c r="G153" s="10">
        <f>IF(COUNT(D153:F153)=0,"",MIN(D153:F153))</f>
        <v/>
      </c>
      <c r="H153" s="10">
        <f>IF(COUNT(D153:F153)=0,"",MEDIAN(D153:F153))</f>
        <v/>
      </c>
      <c r="I153" s="10">
        <f>IF(COUNT(D153:F153)=0,"",MAX(D153:F153))</f>
        <v/>
      </c>
      <c r="J153" s="11">
        <f>IF(OR(G153="",G153=0),"",(I153-G153)/G153)</f>
        <v/>
      </c>
      <c r="K153" s="4">
        <f>IF(COUNT(D153:F153)=0,"",INDEX($D$1:$F$1,MATCH(MIN(D153:F153),D153:F153,0)))</f>
        <v/>
      </c>
      <c r="L153" s="10" t="n">
        <v>9064.129999999999</v>
      </c>
      <c r="M153" s="12" t="n">
        <v>1</v>
      </c>
    </row>
    <row r="154">
      <c r="A154" s="4" t="inlineStr">
        <is>
          <t>MAT-16-009</t>
        </is>
      </c>
      <c r="B154" s="5" t="inlineStr">
        <is>
          <t>Cámara de seguridad bullet 5 MP</t>
        </is>
      </c>
      <c r="C154" s="4" t="inlineStr">
        <is>
          <t>unidad</t>
        </is>
      </c>
      <c r="D154" s="10" t="n">
        <v>1394.08</v>
      </c>
      <c r="E154" s="10" t="n"/>
      <c r="F154" s="10" t="n"/>
      <c r="G154" s="10">
        <f>IF(COUNT(D154:F154)=0,"",MIN(D154:F154))</f>
        <v/>
      </c>
      <c r="H154" s="10">
        <f>IF(COUNT(D154:F154)=0,"",MEDIAN(D154:F154))</f>
        <v/>
      </c>
      <c r="I154" s="10">
        <f>IF(COUNT(D154:F154)=0,"",MAX(D154:F154))</f>
        <v/>
      </c>
      <c r="J154" s="11">
        <f>IF(OR(G154="",G154=0),"",(I154-G154)/G154)</f>
        <v/>
      </c>
      <c r="K154" s="4">
        <f>IF(COUNT(D154:F154)=0,"",INDEX($D$1:$F$1,MATCH(MIN(D154:F154),D154:F154,0)))</f>
        <v/>
      </c>
      <c r="L154" s="10" t="n">
        <v>5675.9</v>
      </c>
      <c r="M154" s="12" t="n">
        <v>1</v>
      </c>
    </row>
    <row r="155">
      <c r="A155" s="4" t="inlineStr">
        <is>
          <t>MAT-16-010</t>
        </is>
      </c>
      <c r="B155" s="5" t="inlineStr">
        <is>
          <t>Cámara de seguridad bullet 8 MP</t>
        </is>
      </c>
      <c r="C155" s="4" t="inlineStr">
        <is>
          <t>unidad</t>
        </is>
      </c>
      <c r="D155" s="10" t="n">
        <v>13465.71</v>
      </c>
      <c r="E155" s="10" t="n"/>
      <c r="F155" s="10" t="n"/>
      <c r="G155" s="10">
        <f>IF(COUNT(D155:F155)=0,"",MIN(D155:F155))</f>
        <v/>
      </c>
      <c r="H155" s="10">
        <f>IF(COUNT(D155:F155)=0,"",MEDIAN(D155:F155))</f>
        <v/>
      </c>
      <c r="I155" s="10">
        <f>IF(COUNT(D155:F155)=0,"",MAX(D155:F155))</f>
        <v/>
      </c>
      <c r="J155" s="11">
        <f>IF(OR(G155="",G155=0),"",(I155-G155)/G155)</f>
        <v/>
      </c>
      <c r="K155" s="4">
        <f>IF(COUNT(D155:F155)=0,"",INDEX($D$1:$F$1,MATCH(MIN(D155:F155),D155:F155,0)))</f>
        <v/>
      </c>
      <c r="L155" s="10" t="n">
        <v>13465.71</v>
      </c>
      <c r="M155" s="12" t="n">
        <v>1</v>
      </c>
    </row>
    <row r="156">
      <c r="A156" s="4" t="inlineStr">
        <is>
          <t>MAT-16-011</t>
        </is>
      </c>
      <c r="B156" s="5" t="inlineStr">
        <is>
          <t>Cámara de seguridad domo</t>
        </is>
      </c>
      <c r="C156" s="4" t="inlineStr">
        <is>
          <t>unidad</t>
        </is>
      </c>
      <c r="D156" s="10" t="n">
        <v>12992.17</v>
      </c>
      <c r="E156" s="10" t="n"/>
      <c r="F156" s="10" t="n"/>
      <c r="G156" s="10">
        <f>IF(COUNT(D156:F156)=0,"",MIN(D156:F156))</f>
        <v/>
      </c>
      <c r="H156" s="10">
        <f>IF(COUNT(D156:F156)=0,"",MEDIAN(D156:F156))</f>
        <v/>
      </c>
      <c r="I156" s="10">
        <f>IF(COUNT(D156:F156)=0,"",MAX(D156:F156))</f>
        <v/>
      </c>
      <c r="J156" s="11">
        <f>IF(OR(G156="",G156=0),"",(I156-G156)/G156)</f>
        <v/>
      </c>
      <c r="K156" s="4">
        <f>IF(COUNT(D156:F156)=0,"",INDEX($D$1:$F$1,MATCH(MIN(D156:F156),D156:F156,0)))</f>
        <v/>
      </c>
      <c r="L156" s="10" t="n">
        <v>12992.17</v>
      </c>
      <c r="M156" s="12" t="n">
        <v>1</v>
      </c>
    </row>
    <row r="157">
      <c r="A157" s="4" t="inlineStr">
        <is>
          <t>MAT-16-012</t>
        </is>
      </c>
      <c r="B157" s="5" t="inlineStr">
        <is>
          <t>Cámara de seguridad domo 2 MP</t>
        </is>
      </c>
      <c r="C157" s="4" t="inlineStr">
        <is>
          <t>unidad</t>
        </is>
      </c>
      <c r="D157" s="10" t="n">
        <v>740.01</v>
      </c>
      <c r="E157" s="10" t="n"/>
      <c r="F157" s="10" t="n"/>
      <c r="G157" s="10">
        <f>IF(COUNT(D157:F157)=0,"",MIN(D157:F157))</f>
        <v/>
      </c>
      <c r="H157" s="10">
        <f>IF(COUNT(D157:F157)=0,"",MEDIAN(D157:F157))</f>
        <v/>
      </c>
      <c r="I157" s="10">
        <f>IF(COUNT(D157:F157)=0,"",MAX(D157:F157))</f>
        <v/>
      </c>
      <c r="J157" s="11">
        <f>IF(OR(G157="",G157=0),"",(I157-G157)/G157)</f>
        <v/>
      </c>
      <c r="K157" s="4">
        <f>IF(COUNT(D157:F157)=0,"",INDEX($D$1:$F$1,MATCH(MIN(D157:F157),D157:F157,0)))</f>
        <v/>
      </c>
      <c r="L157" s="10" t="n">
        <v>3461.37</v>
      </c>
      <c r="M157" s="12" t="n">
        <v>1</v>
      </c>
    </row>
    <row r="158">
      <c r="A158" s="4" t="inlineStr">
        <is>
          <t>MAT-16-013</t>
        </is>
      </c>
      <c r="B158" s="5" t="inlineStr">
        <is>
          <t>Cámara de seguridad domo 4 MP</t>
        </is>
      </c>
      <c r="C158" s="4" t="inlineStr">
        <is>
          <t>unidad</t>
        </is>
      </c>
      <c r="D158" s="10" t="n">
        <v>3695.82</v>
      </c>
      <c r="E158" s="10" t="n"/>
      <c r="F158" s="10" t="n"/>
      <c r="G158" s="10">
        <f>IF(COUNT(D158:F158)=0,"",MIN(D158:F158))</f>
        <v/>
      </c>
      <c r="H158" s="10">
        <f>IF(COUNT(D158:F158)=0,"",MEDIAN(D158:F158))</f>
        <v/>
      </c>
      <c r="I158" s="10">
        <f>IF(COUNT(D158:F158)=0,"",MAX(D158:F158))</f>
        <v/>
      </c>
      <c r="J158" s="11">
        <f>IF(OR(G158="",G158=0),"",(I158-G158)/G158)</f>
        <v/>
      </c>
      <c r="K158" s="4">
        <f>IF(COUNT(D158:F158)=0,"",INDEX($D$1:$F$1,MATCH(MIN(D158:F158),D158:F158,0)))</f>
        <v/>
      </c>
      <c r="L158" s="10" t="n">
        <v>5025.16</v>
      </c>
      <c r="M158" s="12" t="n">
        <v>1</v>
      </c>
    </row>
    <row r="159">
      <c r="A159" s="4" t="inlineStr">
        <is>
          <t>MAT-16-014</t>
        </is>
      </c>
      <c r="B159" s="5" t="inlineStr">
        <is>
          <t>Cámara de seguridad domo 5 MP</t>
        </is>
      </c>
      <c r="C159" s="4" t="inlineStr">
        <is>
          <t>unidad</t>
        </is>
      </c>
      <c r="D159" s="10" t="n">
        <v>1368.3</v>
      </c>
      <c r="E159" s="10" t="n"/>
      <c r="F159" s="10" t="n"/>
      <c r="G159" s="10">
        <f>IF(COUNT(D159:F159)=0,"",MIN(D159:F159))</f>
        <v/>
      </c>
      <c r="H159" s="10">
        <f>IF(COUNT(D159:F159)=0,"",MEDIAN(D159:F159))</f>
        <v/>
      </c>
      <c r="I159" s="10">
        <f>IF(COUNT(D159:F159)=0,"",MAX(D159:F159))</f>
        <v/>
      </c>
      <c r="J159" s="11">
        <f>IF(OR(G159="",G159=0),"",(I159-G159)/G159)</f>
        <v/>
      </c>
      <c r="K159" s="4">
        <f>IF(COUNT(D159:F159)=0,"",INDEX($D$1:$F$1,MATCH(MIN(D159:F159),D159:F159,0)))</f>
        <v/>
      </c>
      <c r="L159" s="10" t="n">
        <v>6122.92</v>
      </c>
      <c r="M159" s="12" t="n">
        <v>1</v>
      </c>
    </row>
    <row r="160">
      <c r="A160" s="4" t="inlineStr">
        <is>
          <t>MAT-16-015</t>
        </is>
      </c>
      <c r="B160" s="5" t="inlineStr">
        <is>
          <t>Cámara de seguridad ojo de pez 5 MP</t>
        </is>
      </c>
      <c r="C160" s="4" t="inlineStr">
        <is>
          <t>unidad</t>
        </is>
      </c>
      <c r="D160" s="10" t="n">
        <v>11020.47</v>
      </c>
      <c r="E160" s="10" t="n"/>
      <c r="F160" s="10" t="n"/>
      <c r="G160" s="10">
        <f>IF(COUNT(D160:F160)=0,"",MIN(D160:F160))</f>
        <v/>
      </c>
      <c r="H160" s="10">
        <f>IF(COUNT(D160:F160)=0,"",MEDIAN(D160:F160))</f>
        <v/>
      </c>
      <c r="I160" s="10">
        <f>IF(COUNT(D160:F160)=0,"",MAX(D160:F160))</f>
        <v/>
      </c>
      <c r="J160" s="11">
        <f>IF(OR(G160="",G160=0),"",(I160-G160)/G160)</f>
        <v/>
      </c>
      <c r="K160" s="4">
        <f>IF(COUNT(D160:F160)=0,"",INDEX($D$1:$F$1,MATCH(MIN(D160:F160),D160:F160,0)))</f>
        <v/>
      </c>
      <c r="L160" s="10" t="n">
        <v>11020.47</v>
      </c>
      <c r="M160" s="12" t="n">
        <v>1</v>
      </c>
    </row>
    <row r="161">
      <c r="A161" s="4" t="inlineStr">
        <is>
          <t>MAT-16-016</t>
        </is>
      </c>
      <c r="B161" s="5" t="inlineStr">
        <is>
          <t>Cámara de seguridad PTZ 2 MP</t>
        </is>
      </c>
      <c r="C161" s="4" t="inlineStr">
        <is>
          <t>unidad</t>
        </is>
      </c>
      <c r="D161" s="10" t="n">
        <v>30360.56</v>
      </c>
      <c r="E161" s="10" t="n"/>
      <c r="F161" s="10" t="n"/>
      <c r="G161" s="10">
        <f>IF(COUNT(D161:F161)=0,"",MIN(D161:F161))</f>
        <v/>
      </c>
      <c r="H161" s="10">
        <f>IF(COUNT(D161:F161)=0,"",MEDIAN(D161:F161))</f>
        <v/>
      </c>
      <c r="I161" s="10">
        <f>IF(COUNT(D161:F161)=0,"",MAX(D161:F161))</f>
        <v/>
      </c>
      <c r="J161" s="11">
        <f>IF(OR(G161="",G161=0),"",(I161-G161)/G161)</f>
        <v/>
      </c>
      <c r="K161" s="4">
        <f>IF(COUNT(D161:F161)=0,"",INDEX($D$1:$F$1,MATCH(MIN(D161:F161),D161:F161,0)))</f>
        <v/>
      </c>
      <c r="L161" s="10" t="n">
        <v>30360.56</v>
      </c>
      <c r="M161" s="12" t="n">
        <v>1</v>
      </c>
    </row>
    <row r="162">
      <c r="A162" s="4" t="inlineStr">
        <is>
          <t>MAT-16-017</t>
        </is>
      </c>
      <c r="B162" s="5" t="inlineStr">
        <is>
          <t>Cámara de seguridad PTZ 3 MP</t>
        </is>
      </c>
      <c r="C162" s="4" t="inlineStr">
        <is>
          <t>unidad</t>
        </is>
      </c>
      <c r="D162" s="10" t="n">
        <v>19602.61</v>
      </c>
      <c r="E162" s="10" t="n"/>
      <c r="F162" s="10" t="n"/>
      <c r="G162" s="10">
        <f>IF(COUNT(D162:F162)=0,"",MIN(D162:F162))</f>
        <v/>
      </c>
      <c r="H162" s="10">
        <f>IF(COUNT(D162:F162)=0,"",MEDIAN(D162:F162))</f>
        <v/>
      </c>
      <c r="I162" s="10">
        <f>IF(COUNT(D162:F162)=0,"",MAX(D162:F162))</f>
        <v/>
      </c>
      <c r="J162" s="11">
        <f>IF(OR(G162="",G162=0),"",(I162-G162)/G162)</f>
        <v/>
      </c>
      <c r="K162" s="4">
        <f>IF(COUNT(D162:F162)=0,"",INDEX($D$1:$F$1,MATCH(MIN(D162:F162),D162:F162,0)))</f>
        <v/>
      </c>
      <c r="L162" s="10" t="n">
        <v>19602.61</v>
      </c>
      <c r="M162" s="12" t="n">
        <v>1</v>
      </c>
    </row>
    <row r="163">
      <c r="A163" s="4" t="inlineStr">
        <is>
          <t>MAT-16-018</t>
        </is>
      </c>
      <c r="B163" s="5" t="inlineStr">
        <is>
          <t>Cámara de seguridad turret 2 MP</t>
        </is>
      </c>
      <c r="C163" s="4" t="inlineStr">
        <is>
          <t>unidad</t>
        </is>
      </c>
      <c r="D163" s="10" t="n">
        <v>2549.16</v>
      </c>
      <c r="E163" s="10" t="n"/>
      <c r="F163" s="10" t="n"/>
      <c r="G163" s="10">
        <f>IF(COUNT(D163:F163)=0,"",MIN(D163:F163))</f>
        <v/>
      </c>
      <c r="H163" s="10">
        <f>IF(COUNT(D163:F163)=0,"",MEDIAN(D163:F163))</f>
        <v/>
      </c>
      <c r="I163" s="10">
        <f>IF(COUNT(D163:F163)=0,"",MAX(D163:F163))</f>
        <v/>
      </c>
      <c r="J163" s="11">
        <f>IF(OR(G163="",G163=0),"",(I163-G163)/G163)</f>
        <v/>
      </c>
      <c r="K163" s="4">
        <f>IF(COUNT(D163:F163)=0,"",INDEX($D$1:$F$1,MATCH(MIN(D163:F163),D163:F163,0)))</f>
        <v/>
      </c>
      <c r="L163" s="10" t="n">
        <v>3614.58</v>
      </c>
      <c r="M163" s="12" t="n">
        <v>1</v>
      </c>
    </row>
    <row r="164">
      <c r="A164" s="4" t="inlineStr">
        <is>
          <t>MAT-16-019</t>
        </is>
      </c>
      <c r="B164" s="5" t="inlineStr">
        <is>
          <t>Cámara de seguridad turret 4 MP</t>
        </is>
      </c>
      <c r="C164" s="4" t="inlineStr">
        <is>
          <t>unidad</t>
        </is>
      </c>
      <c r="D164" s="10" t="n">
        <v>3073.06</v>
      </c>
      <c r="E164" s="10" t="n"/>
      <c r="F164" s="10" t="n"/>
      <c r="G164" s="10">
        <f>IF(COUNT(D164:F164)=0,"",MIN(D164:F164))</f>
        <v/>
      </c>
      <c r="H164" s="10">
        <f>IF(COUNT(D164:F164)=0,"",MEDIAN(D164:F164))</f>
        <v/>
      </c>
      <c r="I164" s="10">
        <f>IF(COUNT(D164:F164)=0,"",MAX(D164:F164))</f>
        <v/>
      </c>
      <c r="J164" s="11">
        <f>IF(OR(G164="",G164=0),"",(I164-G164)/G164)</f>
        <v/>
      </c>
      <c r="K164" s="4">
        <f>IF(COUNT(D164:F164)=0,"",INDEX($D$1:$F$1,MATCH(MIN(D164:F164),D164:F164,0)))</f>
        <v/>
      </c>
      <c r="L164" s="10" t="n">
        <v>3073.06</v>
      </c>
      <c r="M164" s="12" t="n">
        <v>1</v>
      </c>
    </row>
    <row r="165">
      <c r="A165" s="4" t="inlineStr">
        <is>
          <t>MAT-16-020</t>
        </is>
      </c>
      <c r="B165" s="5" t="inlineStr">
        <is>
          <t>Cámara de seguridad turret 5 MP</t>
        </is>
      </c>
      <c r="C165" s="4" t="inlineStr">
        <is>
          <t>unidad</t>
        </is>
      </c>
      <c r="D165" s="10" t="n">
        <v>3714.5</v>
      </c>
      <c r="E165" s="10" t="n"/>
      <c r="F165" s="10" t="n"/>
      <c r="G165" s="10">
        <f>IF(COUNT(D165:F165)=0,"",MIN(D165:F165))</f>
        <v/>
      </c>
      <c r="H165" s="10">
        <f>IF(COUNT(D165:F165)=0,"",MEDIAN(D165:F165))</f>
        <v/>
      </c>
      <c r="I165" s="10">
        <f>IF(COUNT(D165:F165)=0,"",MAX(D165:F165))</f>
        <v/>
      </c>
      <c r="J165" s="11">
        <f>IF(OR(G165="",G165=0),"",(I165-G165)/G165)</f>
        <v/>
      </c>
      <c r="K165" s="4">
        <f>IF(COUNT(D165:F165)=0,"",INDEX($D$1:$F$1,MATCH(MIN(D165:F165),D165:F165,0)))</f>
        <v/>
      </c>
      <c r="L165" s="10" t="n">
        <v>4570.82</v>
      </c>
      <c r="M165" s="12" t="n">
        <v>1</v>
      </c>
    </row>
    <row r="166">
      <c r="A166" s="4" t="inlineStr">
        <is>
          <t>MAT-16-021</t>
        </is>
      </c>
      <c r="B166" s="5" t="inlineStr">
        <is>
          <t>Cámara de seguridad 2 MP</t>
        </is>
      </c>
      <c r="C166" s="4" t="inlineStr">
        <is>
          <t>unidad</t>
        </is>
      </c>
      <c r="D166" s="10" t="n">
        <v>1576.87</v>
      </c>
      <c r="E166" s="10" t="n"/>
      <c r="F166" s="10" t="n"/>
      <c r="G166" s="10">
        <f>IF(COUNT(D166:F166)=0,"",MIN(D166:F166))</f>
        <v/>
      </c>
      <c r="H166" s="10">
        <f>IF(COUNT(D166:F166)=0,"",MEDIAN(D166:F166))</f>
        <v/>
      </c>
      <c r="I166" s="10">
        <f>IF(COUNT(D166:F166)=0,"",MAX(D166:F166))</f>
        <v/>
      </c>
      <c r="J166" s="11">
        <f>IF(OR(G166="",G166=0),"",(I166-G166)/G166)</f>
        <v/>
      </c>
      <c r="K166" s="4">
        <f>IF(COUNT(D166:F166)=0,"",INDEX($D$1:$F$1,MATCH(MIN(D166:F166),D166:F166,0)))</f>
        <v/>
      </c>
      <c r="L166" s="10" t="n">
        <v>5421.17</v>
      </c>
      <c r="M166" s="12" t="n">
        <v>1</v>
      </c>
    </row>
    <row r="167">
      <c r="A167" s="4" t="inlineStr">
        <is>
          <t>MAT-16-022</t>
        </is>
      </c>
      <c r="B167" s="5" t="inlineStr">
        <is>
          <t>Cámara de seguridad 5 MP</t>
        </is>
      </c>
      <c r="C167" s="4" t="inlineStr">
        <is>
          <t>unidad</t>
        </is>
      </c>
      <c r="D167" s="10" t="n">
        <v>3414.74</v>
      </c>
      <c r="E167" s="10" t="n"/>
      <c r="F167" s="10" t="n"/>
      <c r="G167" s="10">
        <f>IF(COUNT(D167:F167)=0,"",MIN(D167:F167))</f>
        <v/>
      </c>
      <c r="H167" s="10">
        <f>IF(COUNT(D167:F167)=0,"",MEDIAN(D167:F167))</f>
        <v/>
      </c>
      <c r="I167" s="10">
        <f>IF(COUNT(D167:F167)=0,"",MAX(D167:F167))</f>
        <v/>
      </c>
      <c r="J167" s="11">
        <f>IF(OR(G167="",G167=0),"",(I167-G167)/G167)</f>
        <v/>
      </c>
      <c r="K167" s="4">
        <f>IF(COUNT(D167:F167)=0,"",INDEX($D$1:$F$1,MATCH(MIN(D167:F167),D167:F167,0)))</f>
        <v/>
      </c>
      <c r="L167" s="10" t="n">
        <v>3414.74</v>
      </c>
      <c r="M167" s="12" t="n">
        <v>1</v>
      </c>
    </row>
    <row r="168">
      <c r="A168" s="4" t="inlineStr">
        <is>
          <t>MAT-16-023</t>
        </is>
      </c>
      <c r="B168" s="5" t="inlineStr">
        <is>
          <t>Grabador de video DVR 16 canales</t>
        </is>
      </c>
      <c r="C168" s="4" t="inlineStr">
        <is>
          <t>unidad</t>
        </is>
      </c>
      <c r="D168" s="10" t="n">
        <v>18426.33</v>
      </c>
      <c r="E168" s="10" t="n"/>
      <c r="F168" s="10" t="n"/>
      <c r="G168" s="10">
        <f>IF(COUNT(D168:F168)=0,"",MIN(D168:F168))</f>
        <v/>
      </c>
      <c r="H168" s="10">
        <f>IF(COUNT(D168:F168)=0,"",MEDIAN(D168:F168))</f>
        <v/>
      </c>
      <c r="I168" s="10">
        <f>IF(COUNT(D168:F168)=0,"",MAX(D168:F168))</f>
        <v/>
      </c>
      <c r="J168" s="11">
        <f>IF(OR(G168="",G168=0),"",(I168-G168)/G168)</f>
        <v/>
      </c>
      <c r="K168" s="4">
        <f>IF(COUNT(D168:F168)=0,"",INDEX($D$1:$F$1,MATCH(MIN(D168:F168),D168:F168,0)))</f>
        <v/>
      </c>
      <c r="L168" s="10" t="n">
        <v>18426.33</v>
      </c>
      <c r="M168" s="12" t="n">
        <v>1</v>
      </c>
    </row>
    <row r="169">
      <c r="A169" s="4" t="inlineStr">
        <is>
          <t>MAT-16-024</t>
        </is>
      </c>
      <c r="B169" s="5" t="inlineStr">
        <is>
          <t>Grabador de video DVR 4 canales</t>
        </is>
      </c>
      <c r="C169" s="4" t="inlineStr">
        <is>
          <t>unidad</t>
        </is>
      </c>
      <c r="D169" s="10" t="n">
        <v>6677.44</v>
      </c>
      <c r="E169" s="10" t="n"/>
      <c r="F169" s="10" t="n"/>
      <c r="G169" s="10">
        <f>IF(COUNT(D169:F169)=0,"",MIN(D169:F169))</f>
        <v/>
      </c>
      <c r="H169" s="10">
        <f>IF(COUNT(D169:F169)=0,"",MEDIAN(D169:F169))</f>
        <v/>
      </c>
      <c r="I169" s="10">
        <f>IF(COUNT(D169:F169)=0,"",MAX(D169:F169))</f>
        <v/>
      </c>
      <c r="J169" s="11">
        <f>IF(OR(G169="",G169=0),"",(I169-G169)/G169)</f>
        <v/>
      </c>
      <c r="K169" s="4">
        <f>IF(COUNT(D169:F169)=0,"",INDEX($D$1:$F$1,MATCH(MIN(D169:F169),D169:F169,0)))</f>
        <v/>
      </c>
      <c r="L169" s="10" t="n">
        <v>7057.8</v>
      </c>
      <c r="M169" s="12" t="n">
        <v>1</v>
      </c>
    </row>
    <row r="170">
      <c r="A170" s="4" t="inlineStr">
        <is>
          <t>MAT-16-025</t>
        </is>
      </c>
      <c r="B170" s="5" t="inlineStr">
        <is>
          <t>Grabador de video NVR 16 canales</t>
        </is>
      </c>
      <c r="C170" s="4" t="inlineStr">
        <is>
          <t>unidad</t>
        </is>
      </c>
      <c r="D170" s="10" t="n">
        <v>17077.39</v>
      </c>
      <c r="E170" s="10" t="n"/>
      <c r="F170" s="10" t="n"/>
      <c r="G170" s="10">
        <f>IF(COUNT(D170:F170)=0,"",MIN(D170:F170))</f>
        <v/>
      </c>
      <c r="H170" s="10">
        <f>IF(COUNT(D170:F170)=0,"",MEDIAN(D170:F170))</f>
        <v/>
      </c>
      <c r="I170" s="10">
        <f>IF(COUNT(D170:F170)=0,"",MAX(D170:F170))</f>
        <v/>
      </c>
      <c r="J170" s="11">
        <f>IF(OR(G170="",G170=0),"",(I170-G170)/G170)</f>
        <v/>
      </c>
      <c r="K170" s="4">
        <f>IF(COUNT(D170:F170)=0,"",INDEX($D$1:$F$1,MATCH(MIN(D170:F170),D170:F170,0)))</f>
        <v/>
      </c>
      <c r="L170" s="10" t="n">
        <v>17077.39</v>
      </c>
      <c r="M170" s="12" t="n">
        <v>1</v>
      </c>
    </row>
    <row r="171">
      <c r="A171" s="4" t="inlineStr">
        <is>
          <t>MAT-16-026</t>
        </is>
      </c>
      <c r="B171" s="5" t="inlineStr">
        <is>
          <t>Grabador de video NVR 32 canales</t>
        </is>
      </c>
      <c r="C171" s="4" t="inlineStr">
        <is>
          <t>unidad</t>
        </is>
      </c>
      <c r="D171" s="10" t="n">
        <v>20990.22</v>
      </c>
      <c r="E171" s="10" t="n"/>
      <c r="F171" s="10" t="n"/>
      <c r="G171" s="10">
        <f>IF(COUNT(D171:F171)=0,"",MIN(D171:F171))</f>
        <v/>
      </c>
      <c r="H171" s="10">
        <f>IF(COUNT(D171:F171)=0,"",MEDIAN(D171:F171))</f>
        <v/>
      </c>
      <c r="I171" s="10">
        <f>IF(COUNT(D171:F171)=0,"",MAX(D171:F171))</f>
        <v/>
      </c>
      <c r="J171" s="11">
        <f>IF(OR(G171="",G171=0),"",(I171-G171)/G171)</f>
        <v/>
      </c>
      <c r="K171" s="4">
        <f>IF(COUNT(D171:F171)=0,"",INDEX($D$1:$F$1,MATCH(MIN(D171:F171),D171:F171,0)))</f>
        <v/>
      </c>
      <c r="L171" s="10" t="n">
        <v>20990.22</v>
      </c>
      <c r="M171" s="12" t="n">
        <v>1</v>
      </c>
    </row>
    <row r="172">
      <c r="A172" s="4" t="inlineStr">
        <is>
          <t>MAT-16-027</t>
        </is>
      </c>
      <c r="B172" s="5" t="inlineStr">
        <is>
          <t>Grabador de video NVR 64 canales</t>
        </is>
      </c>
      <c r="C172" s="4" t="inlineStr">
        <is>
          <t>unidad</t>
        </is>
      </c>
      <c r="D172" s="10" t="n">
        <v>126684.93</v>
      </c>
      <c r="E172" s="10" t="n"/>
      <c r="F172" s="10" t="n"/>
      <c r="G172" s="10">
        <f>IF(COUNT(D172:F172)=0,"",MIN(D172:F172))</f>
        <v/>
      </c>
      <c r="H172" s="10">
        <f>IF(COUNT(D172:F172)=0,"",MEDIAN(D172:F172))</f>
        <v/>
      </c>
      <c r="I172" s="10">
        <f>IF(COUNT(D172:F172)=0,"",MAX(D172:F172))</f>
        <v/>
      </c>
      <c r="J172" s="11">
        <f>IF(OR(G172="",G172=0),"",(I172-G172)/G172)</f>
        <v/>
      </c>
      <c r="K172" s="4">
        <f>IF(COUNT(D172:F172)=0,"",INDEX($D$1:$F$1,MATCH(MIN(D172:F172),D172:F172,0)))</f>
        <v/>
      </c>
      <c r="L172" s="10" t="n">
        <v>126684.93</v>
      </c>
      <c r="M172" s="12" t="n">
        <v>1</v>
      </c>
    </row>
    <row r="173">
      <c r="A173" s="4" t="inlineStr">
        <is>
          <t>MAT-16-028</t>
        </is>
      </c>
      <c r="B173" s="5" t="inlineStr">
        <is>
          <t>Grabador de video XVR 16 canales</t>
        </is>
      </c>
      <c r="C173" s="4" t="inlineStr">
        <is>
          <t>unidad</t>
        </is>
      </c>
      <c r="D173" s="10" t="n">
        <v>6079.41</v>
      </c>
      <c r="E173" s="10" t="n"/>
      <c r="F173" s="10" t="n"/>
      <c r="G173" s="10">
        <f>IF(COUNT(D173:F173)=0,"",MIN(D173:F173))</f>
        <v/>
      </c>
      <c r="H173" s="10">
        <f>IF(COUNT(D173:F173)=0,"",MEDIAN(D173:F173))</f>
        <v/>
      </c>
      <c r="I173" s="10">
        <f>IF(COUNT(D173:F173)=0,"",MAX(D173:F173))</f>
        <v/>
      </c>
      <c r="J173" s="11">
        <f>IF(OR(G173="",G173=0),"",(I173-G173)/G173)</f>
        <v/>
      </c>
      <c r="K173" s="4">
        <f>IF(COUNT(D173:F173)=0,"",INDEX($D$1:$F$1,MATCH(MIN(D173:F173),D173:F173,0)))</f>
        <v/>
      </c>
      <c r="L173" s="10" t="n">
        <v>6079.41</v>
      </c>
      <c r="M173" s="12" t="n">
        <v>1</v>
      </c>
    </row>
    <row r="174">
      <c r="A174" s="4" t="inlineStr">
        <is>
          <t>MAT-16-029</t>
        </is>
      </c>
      <c r="B174" s="5" t="inlineStr">
        <is>
          <t>Disco duro para videovigilancia 1 TB</t>
        </is>
      </c>
      <c r="C174" s="4" t="inlineStr">
        <is>
          <t>unidad</t>
        </is>
      </c>
      <c r="D174" s="10" t="n">
        <v>7633.17</v>
      </c>
      <c r="E174" s="10" t="n"/>
      <c r="F174" s="10" t="n"/>
      <c r="G174" s="10">
        <f>IF(COUNT(D174:F174)=0,"",MIN(D174:F174))</f>
        <v/>
      </c>
      <c r="H174" s="10">
        <f>IF(COUNT(D174:F174)=0,"",MEDIAN(D174:F174))</f>
        <v/>
      </c>
      <c r="I174" s="10">
        <f>IF(COUNT(D174:F174)=0,"",MAX(D174:F174))</f>
        <v/>
      </c>
      <c r="J174" s="11">
        <f>IF(OR(G174="",G174=0),"",(I174-G174)/G174)</f>
        <v/>
      </c>
      <c r="K174" s="4">
        <f>IF(COUNT(D174:F174)=0,"",INDEX($D$1:$F$1,MATCH(MIN(D174:F174),D174:F174,0)))</f>
        <v/>
      </c>
      <c r="L174" s="10" t="n">
        <v>7633.17</v>
      </c>
      <c r="M174" s="12" t="n">
        <v>1</v>
      </c>
    </row>
    <row r="175">
      <c r="A175" s="4" t="inlineStr">
        <is>
          <t>MAT-16-030</t>
        </is>
      </c>
      <c r="B175" s="5" t="inlineStr">
        <is>
          <t>Disco duro para videovigilancia 8 TB</t>
        </is>
      </c>
      <c r="C175" s="4" t="inlineStr">
        <is>
          <t>unidad</t>
        </is>
      </c>
      <c r="D175" s="10" t="n">
        <v>22243.38</v>
      </c>
      <c r="E175" s="10" t="n"/>
      <c r="F175" s="10" t="n"/>
      <c r="G175" s="10">
        <f>IF(COUNT(D175:F175)=0,"",MIN(D175:F175))</f>
        <v/>
      </c>
      <c r="H175" s="10">
        <f>IF(COUNT(D175:F175)=0,"",MEDIAN(D175:F175))</f>
        <v/>
      </c>
      <c r="I175" s="10">
        <f>IF(COUNT(D175:F175)=0,"",MAX(D175:F175))</f>
        <v/>
      </c>
      <c r="J175" s="11">
        <f>IF(OR(G175="",G175=0),"",(I175-G175)/G175)</f>
        <v/>
      </c>
      <c r="K175" s="4">
        <f>IF(COUNT(D175:F175)=0,"",INDEX($D$1:$F$1,MATCH(MIN(D175:F175),D175:F175,0)))</f>
        <v/>
      </c>
      <c r="L175" s="10" t="n">
        <v>22243.38</v>
      </c>
      <c r="M175" s="12" t="n">
        <v>1</v>
      </c>
    </row>
    <row r="176">
      <c r="A176" s="4" t="inlineStr">
        <is>
          <t>MAT-16-031</t>
        </is>
      </c>
      <c r="B176" s="5" t="inlineStr">
        <is>
          <t>Monitor para CCTV</t>
        </is>
      </c>
      <c r="C176" s="4" t="inlineStr">
        <is>
          <t>unidad</t>
        </is>
      </c>
      <c r="D176" s="10" t="n">
        <v>2976.42</v>
      </c>
      <c r="E176" s="10" t="n"/>
      <c r="F176" s="10" t="n"/>
      <c r="G176" s="10">
        <f>IF(COUNT(D176:F176)=0,"",MIN(D176:F176))</f>
        <v/>
      </c>
      <c r="H176" s="10">
        <f>IF(COUNT(D176:F176)=0,"",MEDIAN(D176:F176))</f>
        <v/>
      </c>
      <c r="I176" s="10">
        <f>IF(COUNT(D176:F176)=0,"",MAX(D176:F176))</f>
        <v/>
      </c>
      <c r="J176" s="11">
        <f>IF(OR(G176="",G176=0),"",(I176-G176)/G176)</f>
        <v/>
      </c>
      <c r="K176" s="4">
        <f>IF(COUNT(D176:F176)=0,"",INDEX($D$1:$F$1,MATCH(MIN(D176:F176),D176:F176,0)))</f>
        <v/>
      </c>
      <c r="L176" s="10" t="n">
        <v>5019.51</v>
      </c>
      <c r="M176" s="12" t="n">
        <v>1</v>
      </c>
    </row>
    <row r="177">
      <c r="A177" s="4" t="inlineStr">
        <is>
          <t>MAT-16-032</t>
        </is>
      </c>
      <c r="B177" s="5" t="inlineStr">
        <is>
          <t>Monitor para CCTV 3.5"</t>
        </is>
      </c>
      <c r="C177" s="4" t="inlineStr">
        <is>
          <t>unidad</t>
        </is>
      </c>
      <c r="D177" s="10" t="n">
        <v>4362.91</v>
      </c>
      <c r="E177" s="10" t="n"/>
      <c r="F177" s="10" t="n"/>
      <c r="G177" s="10">
        <f>IF(COUNT(D177:F177)=0,"",MIN(D177:F177))</f>
        <v/>
      </c>
      <c r="H177" s="10">
        <f>IF(COUNT(D177:F177)=0,"",MEDIAN(D177:F177))</f>
        <v/>
      </c>
      <c r="I177" s="10">
        <f>IF(COUNT(D177:F177)=0,"",MAX(D177:F177))</f>
        <v/>
      </c>
      <c r="J177" s="11">
        <f>IF(OR(G177="",G177=0),"",(I177-G177)/G177)</f>
        <v/>
      </c>
      <c r="K177" s="4">
        <f>IF(COUNT(D177:F177)=0,"",INDEX($D$1:$F$1,MATCH(MIN(D177:F177),D177:F177,0)))</f>
        <v/>
      </c>
      <c r="L177" s="10" t="n">
        <v>4362.91</v>
      </c>
      <c r="M177" s="12" t="n">
        <v>1</v>
      </c>
    </row>
    <row r="178">
      <c r="A178" s="4" t="inlineStr">
        <is>
          <t>MAT-16-033</t>
        </is>
      </c>
      <c r="B178" s="5" t="inlineStr">
        <is>
          <t>Monitor para CCTV 32"</t>
        </is>
      </c>
      <c r="C178" s="4" t="inlineStr">
        <is>
          <t>unidad</t>
        </is>
      </c>
      <c r="D178" s="10" t="n">
        <v>15349.99</v>
      </c>
      <c r="E178" s="10" t="n"/>
      <c r="F178" s="10" t="n"/>
      <c r="G178" s="10">
        <f>IF(COUNT(D178:F178)=0,"",MIN(D178:F178))</f>
        <v/>
      </c>
      <c r="H178" s="10">
        <f>IF(COUNT(D178:F178)=0,"",MEDIAN(D178:F178))</f>
        <v/>
      </c>
      <c r="I178" s="10">
        <f>IF(COUNT(D178:F178)=0,"",MAX(D178:F178))</f>
        <v/>
      </c>
      <c r="J178" s="11">
        <f>IF(OR(G178="",G178=0),"",(I178-G178)/G178)</f>
        <v/>
      </c>
      <c r="K178" s="4">
        <f>IF(COUNT(D178:F178)=0,"",INDEX($D$1:$F$1,MATCH(MIN(D178:F178),D178:F178,0)))</f>
        <v/>
      </c>
      <c r="L178" s="10" t="n">
        <v>15349.99</v>
      </c>
      <c r="M178" s="12" t="n">
        <v>1</v>
      </c>
    </row>
    <row r="179">
      <c r="A179" s="4" t="inlineStr">
        <is>
          <t>MAT-16-034</t>
        </is>
      </c>
      <c r="B179" s="5" t="inlineStr">
        <is>
          <t>Monitor para CCTV 4"</t>
        </is>
      </c>
      <c r="C179" s="4" t="inlineStr">
        <is>
          <t>unidad</t>
        </is>
      </c>
      <c r="D179" s="10" t="n">
        <v>2707.65</v>
      </c>
      <c r="E179" s="10" t="n"/>
      <c r="F179" s="10" t="n"/>
      <c r="G179" s="10">
        <f>IF(COUNT(D179:F179)=0,"",MIN(D179:F179))</f>
        <v/>
      </c>
      <c r="H179" s="10">
        <f>IF(COUNT(D179:F179)=0,"",MEDIAN(D179:F179))</f>
        <v/>
      </c>
      <c r="I179" s="10">
        <f>IF(COUNT(D179:F179)=0,"",MAX(D179:F179))</f>
        <v/>
      </c>
      <c r="J179" s="11">
        <f>IF(OR(G179="",G179=0),"",(I179-G179)/G179)</f>
        <v/>
      </c>
      <c r="K179" s="4">
        <f>IF(COUNT(D179:F179)=0,"",INDEX($D$1:$F$1,MATCH(MIN(D179:F179),D179:F179,0)))</f>
        <v/>
      </c>
      <c r="L179" s="10" t="n">
        <v>2707.65</v>
      </c>
      <c r="M179" s="12" t="n">
        <v>1</v>
      </c>
    </row>
    <row r="180">
      <c r="A180" s="4" t="inlineStr">
        <is>
          <t>MAT-16-035</t>
        </is>
      </c>
      <c r="B180" s="5" t="inlineStr">
        <is>
          <t>Monitor para CCTV 7"</t>
        </is>
      </c>
      <c r="C180" s="4" t="inlineStr">
        <is>
          <t>unidad</t>
        </is>
      </c>
      <c r="D180" s="10" t="n">
        <v>5570.12</v>
      </c>
      <c r="E180" s="10" t="n"/>
      <c r="F180" s="10" t="n"/>
      <c r="G180" s="10">
        <f>IF(COUNT(D180:F180)=0,"",MIN(D180:F180))</f>
        <v/>
      </c>
      <c r="H180" s="10">
        <f>IF(COUNT(D180:F180)=0,"",MEDIAN(D180:F180))</f>
        <v/>
      </c>
      <c r="I180" s="10">
        <f>IF(COUNT(D180:F180)=0,"",MAX(D180:F180))</f>
        <v/>
      </c>
      <c r="J180" s="11">
        <f>IF(OR(G180="",G180=0),"",(I180-G180)/G180)</f>
        <v/>
      </c>
      <c r="K180" s="4">
        <f>IF(COUNT(D180:F180)=0,"",INDEX($D$1:$F$1,MATCH(MIN(D180:F180),D180:F180,0)))</f>
        <v/>
      </c>
      <c r="L180" s="10" t="n">
        <v>7823.52</v>
      </c>
      <c r="M180" s="12" t="n">
        <v>1</v>
      </c>
    </row>
    <row r="181">
      <c r="A181" s="4" t="inlineStr">
        <is>
          <t>MAT-16-036</t>
        </is>
      </c>
      <c r="B181" s="5" t="inlineStr">
        <is>
          <t>Soporte o caja para cámara</t>
        </is>
      </c>
      <c r="C181" s="4" t="inlineStr">
        <is>
          <t>unidad</t>
        </is>
      </c>
      <c r="D181" s="10" t="n">
        <v>1012.91</v>
      </c>
      <c r="E181" s="10" t="n"/>
      <c r="F181" s="10" t="n"/>
      <c r="G181" s="10">
        <f>IF(COUNT(D181:F181)=0,"",MIN(D181:F181))</f>
        <v/>
      </c>
      <c r="H181" s="10">
        <f>IF(COUNT(D181:F181)=0,"",MEDIAN(D181:F181))</f>
        <v/>
      </c>
      <c r="I181" s="10">
        <f>IF(COUNT(D181:F181)=0,"",MAX(D181:F181))</f>
        <v/>
      </c>
      <c r="J181" s="11">
        <f>IF(OR(G181="",G181=0),"",(I181-G181)/G181)</f>
        <v/>
      </c>
      <c r="K181" s="4">
        <f>IF(COUNT(D181:F181)=0,"",INDEX($D$1:$F$1,MATCH(MIN(D181:F181),D181:F181,0)))</f>
        <v/>
      </c>
      <c r="L181" s="10" t="n">
        <v>1012.91</v>
      </c>
      <c r="M181" s="12" t="n">
        <v>1</v>
      </c>
    </row>
    <row r="182">
      <c r="A182" s="4" t="inlineStr">
        <is>
          <t>MAT-16-037</t>
        </is>
      </c>
      <c r="B182" s="5" t="inlineStr">
        <is>
          <t>Video balun</t>
        </is>
      </c>
      <c r="C182" s="4" t="inlineStr">
        <is>
          <t>unidad</t>
        </is>
      </c>
      <c r="D182" s="10" t="n">
        <v>231.08</v>
      </c>
      <c r="E182" s="10" t="n"/>
      <c r="F182" s="10" t="n"/>
      <c r="G182" s="10">
        <f>IF(COUNT(D182:F182)=0,"",MIN(D182:F182))</f>
        <v/>
      </c>
      <c r="H182" s="10">
        <f>IF(COUNT(D182:F182)=0,"",MEDIAN(D182:F182))</f>
        <v/>
      </c>
      <c r="I182" s="10">
        <f>IF(COUNT(D182:F182)=0,"",MAX(D182:F182))</f>
        <v/>
      </c>
      <c r="J182" s="11">
        <f>IF(OR(G182="",G182=0),"",(I182-G182)/G182)</f>
        <v/>
      </c>
      <c r="K182" s="4">
        <f>IF(COUNT(D182:F182)=0,"",INDEX($D$1:$F$1,MATCH(MIN(D182:F182),D182:F182,0)))</f>
        <v/>
      </c>
      <c r="L182" s="10" t="n">
        <v>241.33</v>
      </c>
      <c r="M182" s="12" t="n">
        <v>1</v>
      </c>
    </row>
    <row r="183">
      <c r="A183" s="4" t="inlineStr">
        <is>
          <t>MAT-18-006</t>
        </is>
      </c>
      <c r="B183" s="5" t="inlineStr">
        <is>
          <t>Asfalto en frío, 25 kg</t>
        </is>
      </c>
      <c r="C183" s="4" t="inlineStr">
        <is>
          <t>unidad</t>
        </is>
      </c>
      <c r="D183" s="10" t="n"/>
      <c r="E183" s="10" t="n">
        <v>1695</v>
      </c>
      <c r="F183" s="10" t="n"/>
      <c r="G183" s="10">
        <f>IF(COUNT(D183:F183)=0,"",MIN(D183:F183))</f>
        <v/>
      </c>
      <c r="H183" s="10">
        <f>IF(COUNT(D183:F183)=0,"",MEDIAN(D183:F183))</f>
        <v/>
      </c>
      <c r="I183" s="10">
        <f>IF(COUNT(D183:F183)=0,"",MAX(D183:F183))</f>
        <v/>
      </c>
      <c r="J183" s="11">
        <f>IF(OR(G183="",G183=0),"",(I183-G183)/G183)</f>
        <v/>
      </c>
      <c r="K183" s="4">
        <f>IF(COUNT(D183:F183)=0,"",INDEX($D$1:$F$1,MATCH(MIN(D183:F183),D183:F183,0)))</f>
        <v/>
      </c>
      <c r="L183" s="10" t="n">
        <v>1695</v>
      </c>
      <c r="M183" s="12" t="n">
        <v>1</v>
      </c>
    </row>
    <row r="184">
      <c r="A184" s="4" t="inlineStr">
        <is>
          <t>MAT-19-001</t>
        </is>
      </c>
      <c r="B184" s="5" t="inlineStr">
        <is>
          <t>Perfil cuadrado negro 3/4" x 3/4" x 20 pies, pared 1.2 mm</t>
        </is>
      </c>
      <c r="C184" s="4" t="inlineStr">
        <is>
          <t>unidad</t>
        </is>
      </c>
      <c r="D184" s="10" t="n">
        <v>262.29</v>
      </c>
      <c r="E184" s="10" t="n"/>
      <c r="F184" s="10" t="n"/>
      <c r="G184" s="10">
        <f>IF(COUNT(D184:F184)=0,"",MIN(D184:F184))</f>
        <v/>
      </c>
      <c r="H184" s="10">
        <f>IF(COUNT(D184:F184)=0,"",MEDIAN(D184:F184))</f>
        <v/>
      </c>
      <c r="I184" s="10">
        <f>IF(COUNT(D184:F184)=0,"",MAX(D184:F184))</f>
        <v/>
      </c>
      <c r="J184" s="11">
        <f>IF(OR(G184="",G184=0),"",(I184-G184)/G184)</f>
        <v/>
      </c>
      <c r="K184" s="4">
        <f>IF(COUNT(D184:F184)=0,"",INDEX($D$1:$F$1,MATCH(MIN(D184:F184),D184:F184,0)))</f>
        <v/>
      </c>
      <c r="L184" s="10" t="n">
        <v>262.29</v>
      </c>
      <c r="M184" s="12" t="n">
        <v>1</v>
      </c>
    </row>
    <row r="185">
      <c r="A185" s="4" t="inlineStr">
        <is>
          <t>MAT-19-002</t>
        </is>
      </c>
      <c r="B185" s="5" t="inlineStr">
        <is>
          <t>Perfil cuadrado negro 3/4" x 3/4" x 20 pies, pared 1.6 mm</t>
        </is>
      </c>
      <c r="C185" s="4" t="inlineStr">
        <is>
          <t>unidad</t>
        </is>
      </c>
      <c r="D185" s="10" t="n">
        <v>321.76</v>
      </c>
      <c r="E185" s="10" t="n"/>
      <c r="F185" s="10" t="n"/>
      <c r="G185" s="10">
        <f>IF(COUNT(D185:F185)=0,"",MIN(D185:F185))</f>
        <v/>
      </c>
      <c r="H185" s="10">
        <f>IF(COUNT(D185:F185)=0,"",MEDIAN(D185:F185))</f>
        <v/>
      </c>
      <c r="I185" s="10">
        <f>IF(COUNT(D185:F185)=0,"",MAX(D185:F185))</f>
        <v/>
      </c>
      <c r="J185" s="11">
        <f>IF(OR(G185="",G185=0),"",(I185-G185)/G185)</f>
        <v/>
      </c>
      <c r="K185" s="4">
        <f>IF(COUNT(D185:F185)=0,"",INDEX($D$1:$F$1,MATCH(MIN(D185:F185),D185:F185,0)))</f>
        <v/>
      </c>
      <c r="L185" s="10" t="n">
        <v>321.76</v>
      </c>
      <c r="M185" s="12" t="n">
        <v>1</v>
      </c>
    </row>
    <row r="186">
      <c r="A186" s="4" t="inlineStr">
        <is>
          <t>MAT-19-003</t>
        </is>
      </c>
      <c r="B186" s="5" t="inlineStr">
        <is>
          <t>Perfil cuadrado negro 1" x 1" x 20 pies, pared 1.2 mm</t>
        </is>
      </c>
      <c r="C186" s="4" t="inlineStr">
        <is>
          <t>unidad</t>
        </is>
      </c>
      <c r="D186" s="10" t="n">
        <v>355.58</v>
      </c>
      <c r="E186" s="10" t="n"/>
      <c r="F186" s="10" t="n"/>
      <c r="G186" s="10">
        <f>IF(COUNT(D186:F186)=0,"",MIN(D186:F186))</f>
        <v/>
      </c>
      <c r="H186" s="10">
        <f>IF(COUNT(D186:F186)=0,"",MEDIAN(D186:F186))</f>
        <v/>
      </c>
      <c r="I186" s="10">
        <f>IF(COUNT(D186:F186)=0,"",MAX(D186:F186))</f>
        <v/>
      </c>
      <c r="J186" s="11">
        <f>IF(OR(G186="",G186=0),"",(I186-G186)/G186)</f>
        <v/>
      </c>
      <c r="K186" s="4">
        <f>IF(COUNT(D186:F186)=0,"",INDEX($D$1:$F$1,MATCH(MIN(D186:F186),D186:F186,0)))</f>
        <v/>
      </c>
      <c r="L186" s="10" t="n">
        <v>355.58</v>
      </c>
      <c r="M186" s="12" t="n">
        <v>1</v>
      </c>
    </row>
    <row r="187">
      <c r="A187" s="4" t="inlineStr">
        <is>
          <t>MAT-19-004</t>
        </is>
      </c>
      <c r="B187" s="5" t="inlineStr">
        <is>
          <t>Perfil cuadrado negro 1 1/4" x 1 1/4" x 20 pies, pared 1.2 mm</t>
        </is>
      </c>
      <c r="C187" s="4" t="inlineStr">
        <is>
          <t>unidad</t>
        </is>
      </c>
      <c r="D187" s="10" t="n">
        <v>510.43</v>
      </c>
      <c r="E187" s="10" t="n"/>
      <c r="F187" s="10" t="n"/>
      <c r="G187" s="10">
        <f>IF(COUNT(D187:F187)=0,"",MIN(D187:F187))</f>
        <v/>
      </c>
      <c r="H187" s="10">
        <f>IF(COUNT(D187:F187)=0,"",MEDIAN(D187:F187))</f>
        <v/>
      </c>
      <c r="I187" s="10">
        <f>IF(COUNT(D187:F187)=0,"",MAX(D187:F187))</f>
        <v/>
      </c>
      <c r="J187" s="11">
        <f>IF(OR(G187="",G187=0),"",(I187-G187)/G187)</f>
        <v/>
      </c>
      <c r="K187" s="4">
        <f>IF(COUNT(D187:F187)=0,"",INDEX($D$1:$F$1,MATCH(MIN(D187:F187),D187:F187,0)))</f>
        <v/>
      </c>
      <c r="L187" s="10" t="n">
        <v>510.43</v>
      </c>
      <c r="M187" s="12" t="n">
        <v>1</v>
      </c>
    </row>
    <row r="188">
      <c r="A188" s="4" t="inlineStr">
        <is>
          <t>MAT-19-005</t>
        </is>
      </c>
      <c r="B188" s="5" t="inlineStr">
        <is>
          <t>Perfil cuadrado negro 1 1/4" x 1 1/4" x 20 pies, pared 1.6 mm</t>
        </is>
      </c>
      <c r="C188" s="4" t="inlineStr">
        <is>
          <t>unidad</t>
        </is>
      </c>
      <c r="D188" s="10" t="n">
        <v>556.02</v>
      </c>
      <c r="E188" s="10" t="n"/>
      <c r="F188" s="10" t="n"/>
      <c r="G188" s="10">
        <f>IF(COUNT(D188:F188)=0,"",MIN(D188:F188))</f>
        <v/>
      </c>
      <c r="H188" s="10">
        <f>IF(COUNT(D188:F188)=0,"",MEDIAN(D188:F188))</f>
        <v/>
      </c>
      <c r="I188" s="10">
        <f>IF(COUNT(D188:F188)=0,"",MAX(D188:F188))</f>
        <v/>
      </c>
      <c r="J188" s="11">
        <f>IF(OR(G188="",G188=0),"",(I188-G188)/G188)</f>
        <v/>
      </c>
      <c r="K188" s="4">
        <f>IF(COUNT(D188:F188)=0,"",INDEX($D$1:$F$1,MATCH(MIN(D188:F188),D188:F188,0)))</f>
        <v/>
      </c>
      <c r="L188" s="10" t="n">
        <v>556.02</v>
      </c>
      <c r="M188" s="12" t="n">
        <v>1</v>
      </c>
    </row>
    <row r="189">
      <c r="A189" s="4" t="inlineStr">
        <is>
          <t>MAT-19-006</t>
        </is>
      </c>
      <c r="B189" s="5" t="inlineStr">
        <is>
          <t>Perfil cuadrado negro 1 1/2" x 1 1/2" x 20 pies, pared 1.2 mm</t>
        </is>
      </c>
      <c r="C189" s="4" t="inlineStr">
        <is>
          <t>unidad</t>
        </is>
      </c>
      <c r="D189" s="10" t="n">
        <v>542.15</v>
      </c>
      <c r="E189" s="10" t="n"/>
      <c r="F189" s="10" t="n"/>
      <c r="G189" s="10">
        <f>IF(COUNT(D189:F189)=0,"",MIN(D189:F189))</f>
        <v/>
      </c>
      <c r="H189" s="10">
        <f>IF(COUNT(D189:F189)=0,"",MEDIAN(D189:F189))</f>
        <v/>
      </c>
      <c r="I189" s="10">
        <f>IF(COUNT(D189:F189)=0,"",MAX(D189:F189))</f>
        <v/>
      </c>
      <c r="J189" s="11">
        <f>IF(OR(G189="",G189=0),"",(I189-G189)/G189)</f>
        <v/>
      </c>
      <c r="K189" s="4">
        <f>IF(COUNT(D189:F189)=0,"",INDEX($D$1:$F$1,MATCH(MIN(D189:F189),D189:F189,0)))</f>
        <v/>
      </c>
      <c r="L189" s="10" t="n">
        <v>542.15</v>
      </c>
      <c r="M189" s="12" t="n">
        <v>1</v>
      </c>
    </row>
    <row r="190">
      <c r="A190" s="4" t="inlineStr">
        <is>
          <t>MAT-19-007</t>
        </is>
      </c>
      <c r="B190" s="5" t="inlineStr">
        <is>
          <t>Perfil cuadrado negro 1 1/2" x 1 1/2" x 20 pies, pared 1.6 mm</t>
        </is>
      </c>
      <c r="C190" s="4" t="inlineStr">
        <is>
          <t>unidad</t>
        </is>
      </c>
      <c r="D190" s="10" t="n">
        <v>647.03</v>
      </c>
      <c r="E190" s="10" t="n"/>
      <c r="F190" s="10" t="n"/>
      <c r="G190" s="10">
        <f>IF(COUNT(D190:F190)=0,"",MIN(D190:F190))</f>
        <v/>
      </c>
      <c r="H190" s="10">
        <f>IF(COUNT(D190:F190)=0,"",MEDIAN(D190:F190))</f>
        <v/>
      </c>
      <c r="I190" s="10">
        <f>IF(COUNT(D190:F190)=0,"",MAX(D190:F190))</f>
        <v/>
      </c>
      <c r="J190" s="11">
        <f>IF(OR(G190="",G190=0),"",(I190-G190)/G190)</f>
        <v/>
      </c>
      <c r="K190" s="4">
        <f>IF(COUNT(D190:F190)=0,"",INDEX($D$1:$F$1,MATCH(MIN(D190:F190),D190:F190,0)))</f>
        <v/>
      </c>
      <c r="L190" s="10" t="n">
        <v>647.03</v>
      </c>
      <c r="M190" s="12" t="n">
        <v>1</v>
      </c>
    </row>
    <row r="191">
      <c r="A191" s="4" t="inlineStr">
        <is>
          <t>MAT-19-008</t>
        </is>
      </c>
      <c r="B191" s="5" t="inlineStr">
        <is>
          <t>Perfil cuadrado negro 2" x 2" x 20 pies, pared 1.6 mm</t>
        </is>
      </c>
      <c r="C191" s="4" t="inlineStr">
        <is>
          <t>unidad</t>
        </is>
      </c>
      <c r="D191" s="10" t="n">
        <v>867.64</v>
      </c>
      <c r="E191" s="10" t="n"/>
      <c r="F191" s="10" t="n"/>
      <c r="G191" s="10">
        <f>IF(COUNT(D191:F191)=0,"",MIN(D191:F191))</f>
        <v/>
      </c>
      <c r="H191" s="10">
        <f>IF(COUNT(D191:F191)=0,"",MEDIAN(D191:F191))</f>
        <v/>
      </c>
      <c r="I191" s="10">
        <f>IF(COUNT(D191:F191)=0,"",MAX(D191:F191))</f>
        <v/>
      </c>
      <c r="J191" s="11">
        <f>IF(OR(G191="",G191=0),"",(I191-G191)/G191)</f>
        <v/>
      </c>
      <c r="K191" s="4">
        <f>IF(COUNT(D191:F191)=0,"",INDEX($D$1:$F$1,MATCH(MIN(D191:F191),D191:F191,0)))</f>
        <v/>
      </c>
      <c r="L191" s="10" t="n">
        <v>867.64</v>
      </c>
      <c r="M191" s="12" t="n">
        <v>1</v>
      </c>
    </row>
    <row r="192">
      <c r="A192" s="4" t="inlineStr">
        <is>
          <t>MAT-19-009</t>
        </is>
      </c>
      <c r="B192" s="5" t="inlineStr">
        <is>
          <t>Perfil cuadrado negro 3" x 3" x 20 pies, pared 1.6 mm</t>
        </is>
      </c>
      <c r="C192" s="4" t="inlineStr">
        <is>
          <t>unidad</t>
        </is>
      </c>
      <c r="D192" s="10" t="n">
        <v>1319.81</v>
      </c>
      <c r="E192" s="10" t="n"/>
      <c r="F192" s="10" t="n"/>
      <c r="G192" s="10">
        <f>IF(COUNT(D192:F192)=0,"",MIN(D192:F192))</f>
        <v/>
      </c>
      <c r="H192" s="10">
        <f>IF(COUNT(D192:F192)=0,"",MEDIAN(D192:F192))</f>
        <v/>
      </c>
      <c r="I192" s="10">
        <f>IF(COUNT(D192:F192)=0,"",MAX(D192:F192))</f>
        <v/>
      </c>
      <c r="J192" s="11">
        <f>IF(OR(G192="",G192=0),"",(I192-G192)/G192)</f>
        <v/>
      </c>
      <c r="K192" s="4">
        <f>IF(COUNT(D192:F192)=0,"",INDEX($D$1:$F$1,MATCH(MIN(D192:F192),D192:F192,0)))</f>
        <v/>
      </c>
      <c r="L192" s="10" t="n">
        <v>1319.81</v>
      </c>
      <c r="M192" s="12" t="n">
        <v>1</v>
      </c>
    </row>
    <row r="193">
      <c r="A193" s="4" t="inlineStr">
        <is>
          <t>MAT-19-010</t>
        </is>
      </c>
      <c r="B193" s="5" t="inlineStr">
        <is>
          <t>Perfil cuadrado galvanizado 3/4" x 3/4" x 20 pies, pared 1.2 mm</t>
        </is>
      </c>
      <c r="C193" s="4" t="inlineStr">
        <is>
          <t>unidad</t>
        </is>
      </c>
      <c r="D193" s="10" t="n">
        <v>316.11</v>
      </c>
      <c r="E193" s="10" t="n"/>
      <c r="F193" s="10" t="n"/>
      <c r="G193" s="10">
        <f>IF(COUNT(D193:F193)=0,"",MIN(D193:F193))</f>
        <v/>
      </c>
      <c r="H193" s="10">
        <f>IF(COUNT(D193:F193)=0,"",MEDIAN(D193:F193))</f>
        <v/>
      </c>
      <c r="I193" s="10">
        <f>IF(COUNT(D193:F193)=0,"",MAX(D193:F193))</f>
        <v/>
      </c>
      <c r="J193" s="11">
        <f>IF(OR(G193="",G193=0),"",(I193-G193)/G193)</f>
        <v/>
      </c>
      <c r="K193" s="4">
        <f>IF(COUNT(D193:F193)=0,"",INDEX($D$1:$F$1,MATCH(MIN(D193:F193),D193:F193,0)))</f>
        <v/>
      </c>
      <c r="L193" s="10" t="n">
        <v>316.11</v>
      </c>
      <c r="M193" s="12" t="n">
        <v>1</v>
      </c>
    </row>
    <row r="194">
      <c r="A194" s="4" t="inlineStr">
        <is>
          <t>MAT-19-011</t>
        </is>
      </c>
      <c r="B194" s="5" t="inlineStr">
        <is>
          <t>Perfil cuadrado galvanizado 1" x 1" x 20 pies, pared 1.2 mm</t>
        </is>
      </c>
      <c r="C194" s="4" t="inlineStr">
        <is>
          <t>unidad</t>
        </is>
      </c>
      <c r="D194" s="10" t="n">
        <v>423.74</v>
      </c>
      <c r="E194" s="10" t="n"/>
      <c r="F194" s="10" t="n"/>
      <c r="G194" s="10">
        <f>IF(COUNT(D194:F194)=0,"",MIN(D194:F194))</f>
        <v/>
      </c>
      <c r="H194" s="10">
        <f>IF(COUNT(D194:F194)=0,"",MEDIAN(D194:F194))</f>
        <v/>
      </c>
      <c r="I194" s="10">
        <f>IF(COUNT(D194:F194)=0,"",MAX(D194:F194))</f>
        <v/>
      </c>
      <c r="J194" s="11">
        <f>IF(OR(G194="",G194=0),"",(I194-G194)/G194)</f>
        <v/>
      </c>
      <c r="K194" s="4">
        <f>IF(COUNT(D194:F194)=0,"",INDEX($D$1:$F$1,MATCH(MIN(D194:F194),D194:F194,0)))</f>
        <v/>
      </c>
      <c r="L194" s="10" t="n">
        <v>423.74</v>
      </c>
      <c r="M194" s="12" t="n">
        <v>1</v>
      </c>
    </row>
    <row r="195">
      <c r="A195" s="4" t="inlineStr">
        <is>
          <t>MAT-19-012</t>
        </is>
      </c>
      <c r="B195" s="5" t="inlineStr">
        <is>
          <t>Perfil cuadrado galvanizado 1" x 1" x 20 pies, pared 1.6 mm</t>
        </is>
      </c>
      <c r="C195" s="4" t="inlineStr">
        <is>
          <t>unidad</t>
        </is>
      </c>
      <c r="D195" s="10" t="n">
        <v>539.74</v>
      </c>
      <c r="E195" s="10" t="n"/>
      <c r="F195" s="10" t="n"/>
      <c r="G195" s="10">
        <f>IF(COUNT(D195:F195)=0,"",MIN(D195:F195))</f>
        <v/>
      </c>
      <c r="H195" s="10">
        <f>IF(COUNT(D195:F195)=0,"",MEDIAN(D195:F195))</f>
        <v/>
      </c>
      <c r="I195" s="10">
        <f>IF(COUNT(D195:F195)=0,"",MAX(D195:F195))</f>
        <v/>
      </c>
      <c r="J195" s="11">
        <f>IF(OR(G195="",G195=0),"",(I195-G195)/G195)</f>
        <v/>
      </c>
      <c r="K195" s="4">
        <f>IF(COUNT(D195:F195)=0,"",INDEX($D$1:$F$1,MATCH(MIN(D195:F195),D195:F195,0)))</f>
        <v/>
      </c>
      <c r="L195" s="10" t="n">
        <v>539.74</v>
      </c>
      <c r="M195" s="12" t="n">
        <v>1</v>
      </c>
    </row>
    <row r="196">
      <c r="A196" s="4" t="inlineStr">
        <is>
          <t>MAT-19-013</t>
        </is>
      </c>
      <c r="B196" s="5" t="inlineStr">
        <is>
          <t>Perfil cuadrado galvanizado 1 1/4" x 1 1/4" x 20 pies, pared 1.5 mm</t>
        </is>
      </c>
      <c r="C196" s="4" t="inlineStr">
        <is>
          <t>unidad</t>
        </is>
      </c>
      <c r="D196" s="10" t="n">
        <v>712.04</v>
      </c>
      <c r="E196" s="10" t="n"/>
      <c r="F196" s="10" t="n"/>
      <c r="G196" s="10">
        <f>IF(COUNT(D196:F196)=0,"",MIN(D196:F196))</f>
        <v/>
      </c>
      <c r="H196" s="10">
        <f>IF(COUNT(D196:F196)=0,"",MEDIAN(D196:F196))</f>
        <v/>
      </c>
      <c r="I196" s="10">
        <f>IF(COUNT(D196:F196)=0,"",MAX(D196:F196))</f>
        <v/>
      </c>
      <c r="J196" s="11">
        <f>IF(OR(G196="",G196=0),"",(I196-G196)/G196)</f>
        <v/>
      </c>
      <c r="K196" s="4">
        <f>IF(COUNT(D196:F196)=0,"",INDEX($D$1:$F$1,MATCH(MIN(D196:F196),D196:F196,0)))</f>
        <v/>
      </c>
      <c r="L196" s="10" t="n">
        <v>712.04</v>
      </c>
      <c r="M196" s="12" t="n">
        <v>1</v>
      </c>
    </row>
    <row r="197">
      <c r="A197" s="4" t="inlineStr">
        <is>
          <t>MAT-19-014</t>
        </is>
      </c>
      <c r="B197" s="5" t="inlineStr">
        <is>
          <t>Perfil cuadrado galvanizado 1 1/2" x 1 1/2" x 20 pies, pared 1.2 mm</t>
        </is>
      </c>
      <c r="C197" s="4" t="inlineStr">
        <is>
          <t>unidad</t>
        </is>
      </c>
      <c r="D197" s="10" t="n">
        <v>648.6799999999999</v>
      </c>
      <c r="E197" s="10" t="n"/>
      <c r="F197" s="10" t="n"/>
      <c r="G197" s="10">
        <f>IF(COUNT(D197:F197)=0,"",MIN(D197:F197))</f>
        <v/>
      </c>
      <c r="H197" s="10">
        <f>IF(COUNT(D197:F197)=0,"",MEDIAN(D197:F197))</f>
        <v/>
      </c>
      <c r="I197" s="10">
        <f>IF(COUNT(D197:F197)=0,"",MAX(D197:F197))</f>
        <v/>
      </c>
      <c r="J197" s="11">
        <f>IF(OR(G197="",G197=0),"",(I197-G197)/G197)</f>
        <v/>
      </c>
      <c r="K197" s="4">
        <f>IF(COUNT(D197:F197)=0,"",INDEX($D$1:$F$1,MATCH(MIN(D197:F197),D197:F197,0)))</f>
        <v/>
      </c>
      <c r="L197" s="10" t="n">
        <v>648.6799999999999</v>
      </c>
      <c r="M197" s="12" t="n">
        <v>1</v>
      </c>
    </row>
    <row r="198">
      <c r="A198" s="4" t="inlineStr">
        <is>
          <t>MAT-19-015</t>
        </is>
      </c>
      <c r="B198" s="5" t="inlineStr">
        <is>
          <t>Perfil cuadrado galvanizado 1 1/2" x 1 1/2" x 20 pies, pared 1.6 mm</t>
        </is>
      </c>
      <c r="C198" s="4" t="inlineStr">
        <is>
          <t>unidad</t>
        </is>
      </c>
      <c r="D198" s="10" t="n">
        <v>814.53</v>
      </c>
      <c r="E198" s="10" t="n"/>
      <c r="F198" s="10" t="n"/>
      <c r="G198" s="10">
        <f>IF(COUNT(D198:F198)=0,"",MIN(D198:F198))</f>
        <v/>
      </c>
      <c r="H198" s="10">
        <f>IF(COUNT(D198:F198)=0,"",MEDIAN(D198:F198))</f>
        <v/>
      </c>
      <c r="I198" s="10">
        <f>IF(COUNT(D198:F198)=0,"",MAX(D198:F198))</f>
        <v/>
      </c>
      <c r="J198" s="11">
        <f>IF(OR(G198="",G198=0),"",(I198-G198)/G198)</f>
        <v/>
      </c>
      <c r="K198" s="4">
        <f>IF(COUNT(D198:F198)=0,"",INDEX($D$1:$F$1,MATCH(MIN(D198:F198),D198:F198,0)))</f>
        <v/>
      </c>
      <c r="L198" s="10" t="n">
        <v>814.53</v>
      </c>
      <c r="M198" s="12" t="n">
        <v>1</v>
      </c>
    </row>
    <row r="199">
      <c r="A199" s="4" t="inlineStr">
        <is>
          <t>MAT-19-016</t>
        </is>
      </c>
      <c r="B199" s="5" t="inlineStr">
        <is>
          <t>Perfil cuadrado galvanizado 2" x 2" x 20 pies, pared 1.6 mm</t>
        </is>
      </c>
      <c r="C199" s="4" t="inlineStr">
        <is>
          <t>unidad</t>
        </is>
      </c>
      <c r="D199" s="10" t="n">
        <v>1108.57</v>
      </c>
      <c r="E199" s="10" t="n"/>
      <c r="F199" s="10" t="n"/>
      <c r="G199" s="10">
        <f>IF(COUNT(D199:F199)=0,"",MIN(D199:F199))</f>
        <v/>
      </c>
      <c r="H199" s="10">
        <f>IF(COUNT(D199:F199)=0,"",MEDIAN(D199:F199))</f>
        <v/>
      </c>
      <c r="I199" s="10">
        <f>IF(COUNT(D199:F199)=0,"",MAX(D199:F199))</f>
        <v/>
      </c>
      <c r="J199" s="11">
        <f>IF(OR(G199="",G199=0),"",(I199-G199)/G199)</f>
        <v/>
      </c>
      <c r="K199" s="4">
        <f>IF(COUNT(D199:F199)=0,"",INDEX($D$1:$F$1,MATCH(MIN(D199:F199),D199:F199,0)))</f>
        <v/>
      </c>
      <c r="L199" s="10" t="n">
        <v>1108.57</v>
      </c>
      <c r="M199" s="12" t="n">
        <v>1</v>
      </c>
    </row>
    <row r="200">
      <c r="A200" s="4" t="inlineStr">
        <is>
          <t>MAT-19-017</t>
        </is>
      </c>
      <c r="B200" s="5" t="inlineStr">
        <is>
          <t>Perfil cuadrado galvanizado 3" x 3" x 20 pies, pared 1.5 mm</t>
        </is>
      </c>
      <c r="C200" s="4" t="inlineStr">
        <is>
          <t>unidad</t>
        </is>
      </c>
      <c r="D200" s="10" t="n">
        <v>1707.91</v>
      </c>
      <c r="E200" s="10" t="n"/>
      <c r="F200" s="10" t="n"/>
      <c r="G200" s="10">
        <f>IF(COUNT(D200:F200)=0,"",MIN(D200:F200))</f>
        <v/>
      </c>
      <c r="H200" s="10">
        <f>IF(COUNT(D200:F200)=0,"",MEDIAN(D200:F200))</f>
        <v/>
      </c>
      <c r="I200" s="10">
        <f>IF(COUNT(D200:F200)=0,"",MAX(D200:F200))</f>
        <v/>
      </c>
      <c r="J200" s="11">
        <f>IF(OR(G200="",G200=0),"",(I200-G200)/G200)</f>
        <v/>
      </c>
      <c r="K200" s="4">
        <f>IF(COUNT(D200:F200)=0,"",INDEX($D$1:$F$1,MATCH(MIN(D200:F200),D200:F200,0)))</f>
        <v/>
      </c>
      <c r="L200" s="10" t="n">
        <v>1707.91</v>
      </c>
      <c r="M200" s="12" t="n">
        <v>1</v>
      </c>
    </row>
    <row r="201">
      <c r="A201" s="4" t="inlineStr">
        <is>
          <t>MAT-19-018</t>
        </is>
      </c>
      <c r="B201" s="5" t="inlineStr">
        <is>
          <t>Perfil rectangular negro 3/4" x 1 1/2" x 20 pies, pared 1.2 mm</t>
        </is>
      </c>
      <c r="C201" s="4" t="inlineStr">
        <is>
          <t>unidad</t>
        </is>
      </c>
      <c r="D201" s="10" t="n">
        <v>402.51</v>
      </c>
      <c r="E201" s="10" t="n"/>
      <c r="F201" s="10" t="n"/>
      <c r="G201" s="10">
        <f>IF(COUNT(D201:F201)=0,"",MIN(D201:F201))</f>
        <v/>
      </c>
      <c r="H201" s="10">
        <f>IF(COUNT(D201:F201)=0,"",MEDIAN(D201:F201))</f>
        <v/>
      </c>
      <c r="I201" s="10">
        <f>IF(COUNT(D201:F201)=0,"",MAX(D201:F201))</f>
        <v/>
      </c>
      <c r="J201" s="11">
        <f>IF(OR(G201="",G201=0),"",(I201-G201)/G201)</f>
        <v/>
      </c>
      <c r="K201" s="4">
        <f>IF(COUNT(D201:F201)=0,"",INDEX($D$1:$F$1,MATCH(MIN(D201:F201),D201:F201,0)))</f>
        <v/>
      </c>
      <c r="L201" s="10" t="n">
        <v>402.51</v>
      </c>
      <c r="M201" s="12" t="n">
        <v>1</v>
      </c>
    </row>
    <row r="202">
      <c r="A202" s="4" t="inlineStr">
        <is>
          <t>MAT-19-019</t>
        </is>
      </c>
      <c r="B202" s="5" t="inlineStr">
        <is>
          <t>Perfil rectangular negro 3/4" x 1 1/2" x 20 pies, pared 1.6 mm</t>
        </is>
      </c>
      <c r="C202" s="4" t="inlineStr">
        <is>
          <t>unidad</t>
        </is>
      </c>
      <c r="D202" s="10" t="n">
        <v>472.19</v>
      </c>
      <c r="E202" s="10" t="n"/>
      <c r="F202" s="10" t="n"/>
      <c r="G202" s="10">
        <f>IF(COUNT(D202:F202)=0,"",MIN(D202:F202))</f>
        <v/>
      </c>
      <c r="H202" s="10">
        <f>IF(COUNT(D202:F202)=0,"",MEDIAN(D202:F202))</f>
        <v/>
      </c>
      <c r="I202" s="10">
        <f>IF(COUNT(D202:F202)=0,"",MAX(D202:F202))</f>
        <v/>
      </c>
      <c r="J202" s="11">
        <f>IF(OR(G202="",G202=0),"",(I202-G202)/G202)</f>
        <v/>
      </c>
      <c r="K202" s="4">
        <f>IF(COUNT(D202:F202)=0,"",INDEX($D$1:$F$1,MATCH(MIN(D202:F202),D202:F202,0)))</f>
        <v/>
      </c>
      <c r="L202" s="10" t="n">
        <v>472.19</v>
      </c>
      <c r="M202" s="12" t="n">
        <v>1</v>
      </c>
    </row>
    <row r="203">
      <c r="A203" s="4" t="inlineStr">
        <is>
          <t>MAT-19-020</t>
        </is>
      </c>
      <c r="B203" s="5" t="inlineStr">
        <is>
          <t>Perfil rectangular negro 2" x 1" x 20 pies, pared 1.2 mm</t>
        </is>
      </c>
      <c r="C203" s="4" t="inlineStr">
        <is>
          <t>unidad</t>
        </is>
      </c>
      <c r="D203" s="10" t="n">
        <v>542.15</v>
      </c>
      <c r="E203" s="10" t="n"/>
      <c r="F203" s="10" t="n"/>
      <c r="G203" s="10">
        <f>IF(COUNT(D203:F203)=0,"",MIN(D203:F203))</f>
        <v/>
      </c>
      <c r="H203" s="10">
        <f>IF(COUNT(D203:F203)=0,"",MEDIAN(D203:F203))</f>
        <v/>
      </c>
      <c r="I203" s="10">
        <f>IF(COUNT(D203:F203)=0,"",MAX(D203:F203))</f>
        <v/>
      </c>
      <c r="J203" s="11">
        <f>IF(OR(G203="",G203=0),"",(I203-G203)/G203)</f>
        <v/>
      </c>
      <c r="K203" s="4">
        <f>IF(COUNT(D203:F203)=0,"",INDEX($D$1:$F$1,MATCH(MIN(D203:F203),D203:F203,0)))</f>
        <v/>
      </c>
      <c r="L203" s="10" t="n">
        <v>542.15</v>
      </c>
      <c r="M203" s="12" t="n">
        <v>1</v>
      </c>
    </row>
    <row r="204">
      <c r="A204" s="4" t="inlineStr">
        <is>
          <t>MAT-19-021</t>
        </is>
      </c>
      <c r="B204" s="5" t="inlineStr">
        <is>
          <t>Perfil rectangular negro 2" x 1" x 20 pies, pared 1.6 mm</t>
        </is>
      </c>
      <c r="C204" s="4" t="inlineStr">
        <is>
          <t>unidad</t>
        </is>
      </c>
      <c r="D204" s="10" t="n">
        <v>639.71</v>
      </c>
      <c r="E204" s="10" t="n"/>
      <c r="F204" s="10" t="n"/>
      <c r="G204" s="10">
        <f>IF(COUNT(D204:F204)=0,"",MIN(D204:F204))</f>
        <v/>
      </c>
      <c r="H204" s="10">
        <f>IF(COUNT(D204:F204)=0,"",MEDIAN(D204:F204))</f>
        <v/>
      </c>
      <c r="I204" s="10">
        <f>IF(COUNT(D204:F204)=0,"",MAX(D204:F204))</f>
        <v/>
      </c>
      <c r="J204" s="11">
        <f>IF(OR(G204="",G204=0),"",(I204-G204)/G204)</f>
        <v/>
      </c>
      <c r="K204" s="4">
        <f>IF(COUNT(D204:F204)=0,"",INDEX($D$1:$F$1,MATCH(MIN(D204:F204),D204:F204,0)))</f>
        <v/>
      </c>
      <c r="L204" s="10" t="n">
        <v>639.71</v>
      </c>
      <c r="M204" s="12" t="n">
        <v>1</v>
      </c>
    </row>
    <row r="205">
      <c r="A205" s="4" t="inlineStr">
        <is>
          <t>MAT-19-022</t>
        </is>
      </c>
      <c r="B205" s="5" t="inlineStr">
        <is>
          <t>Perfil rectangular negro 2" x 3" x 20 pies, pared 1.6 mm</t>
        </is>
      </c>
      <c r="C205" s="4" t="inlineStr">
        <is>
          <t>unidad</t>
        </is>
      </c>
      <c r="D205" s="10" t="n">
        <v>1082.3</v>
      </c>
      <c r="E205" s="10" t="n"/>
      <c r="F205" s="10" t="n"/>
      <c r="G205" s="10">
        <f>IF(COUNT(D205:F205)=0,"",MIN(D205:F205))</f>
        <v/>
      </c>
      <c r="H205" s="10">
        <f>IF(COUNT(D205:F205)=0,"",MEDIAN(D205:F205))</f>
        <v/>
      </c>
      <c r="I205" s="10">
        <f>IF(COUNT(D205:F205)=0,"",MAX(D205:F205))</f>
        <v/>
      </c>
      <c r="J205" s="11">
        <f>IF(OR(G205="",G205=0),"",(I205-G205)/G205)</f>
        <v/>
      </c>
      <c r="K205" s="4">
        <f>IF(COUNT(D205:F205)=0,"",INDEX($D$1:$F$1,MATCH(MIN(D205:F205),D205:F205,0)))</f>
        <v/>
      </c>
      <c r="L205" s="10" t="n">
        <v>1082.3</v>
      </c>
      <c r="M205" s="12" t="n">
        <v>1</v>
      </c>
    </row>
    <row r="206">
      <c r="A206" s="4" t="inlineStr">
        <is>
          <t>MAT-19-023</t>
        </is>
      </c>
      <c r="B206" s="5" t="inlineStr">
        <is>
          <t>Perfil rectangular negro 2" x 4" x 20 pies, pared 1.6 mm</t>
        </is>
      </c>
      <c r="C206" s="4" t="inlineStr">
        <is>
          <t>unidad</t>
        </is>
      </c>
      <c r="D206" s="10" t="n">
        <v>1349.04</v>
      </c>
      <c r="E206" s="10" t="n"/>
      <c r="F206" s="10" t="n"/>
      <c r="G206" s="10">
        <f>IF(COUNT(D206:F206)=0,"",MIN(D206:F206))</f>
        <v/>
      </c>
      <c r="H206" s="10">
        <f>IF(COUNT(D206:F206)=0,"",MEDIAN(D206:F206))</f>
        <v/>
      </c>
      <c r="I206" s="10">
        <f>IF(COUNT(D206:F206)=0,"",MAX(D206:F206))</f>
        <v/>
      </c>
      <c r="J206" s="11">
        <f>IF(OR(G206="",G206=0),"",(I206-G206)/G206)</f>
        <v/>
      </c>
      <c r="K206" s="4">
        <f>IF(COUNT(D206:F206)=0,"",INDEX($D$1:$F$1,MATCH(MIN(D206:F206),D206:F206,0)))</f>
        <v/>
      </c>
      <c r="L206" s="10" t="n">
        <v>1349.04</v>
      </c>
      <c r="M206" s="12" t="n">
        <v>1</v>
      </c>
    </row>
    <row r="207">
      <c r="A207" s="4" t="inlineStr">
        <is>
          <t>MAT-19-024</t>
        </is>
      </c>
      <c r="B207" s="5" t="inlineStr">
        <is>
          <t>Perfil rectangular negro 3" x 1 1/2" x 20 pies, pared 1.6 mm</t>
        </is>
      </c>
      <c r="C207" s="4" t="inlineStr">
        <is>
          <t>unidad</t>
        </is>
      </c>
      <c r="D207" s="10" t="n">
        <v>973.59</v>
      </c>
      <c r="E207" s="10" t="n"/>
      <c r="F207" s="10" t="n"/>
      <c r="G207" s="10">
        <f>IF(COUNT(D207:F207)=0,"",MIN(D207:F207))</f>
        <v/>
      </c>
      <c r="H207" s="10">
        <f>IF(COUNT(D207:F207)=0,"",MEDIAN(D207:F207))</f>
        <v/>
      </c>
      <c r="I207" s="10">
        <f>IF(COUNT(D207:F207)=0,"",MAX(D207:F207))</f>
        <v/>
      </c>
      <c r="J207" s="11">
        <f>IF(OR(G207="",G207=0),"",(I207-G207)/G207)</f>
        <v/>
      </c>
      <c r="K207" s="4">
        <f>IF(COUNT(D207:F207)=0,"",INDEX($D$1:$F$1,MATCH(MIN(D207:F207),D207:F207,0)))</f>
        <v/>
      </c>
      <c r="L207" s="10" t="n">
        <v>973.59</v>
      </c>
      <c r="M207" s="12" t="n">
        <v>1</v>
      </c>
    </row>
    <row r="208">
      <c r="A208" s="4" t="inlineStr">
        <is>
          <t>MAT-19-025</t>
        </is>
      </c>
      <c r="B208" s="5" t="inlineStr">
        <is>
          <t>Perfil rectangular galvanizado 3/4" x 1 1/2" x 20 pies, pared 1.2 mm</t>
        </is>
      </c>
      <c r="C208" s="4" t="inlineStr">
        <is>
          <t>unidad</t>
        </is>
      </c>
      <c r="D208" s="10" t="n">
        <v>492.8</v>
      </c>
      <c r="E208" s="10" t="n"/>
      <c r="F208" s="10" t="n"/>
      <c r="G208" s="10">
        <f>IF(COUNT(D208:F208)=0,"",MIN(D208:F208))</f>
        <v/>
      </c>
      <c r="H208" s="10">
        <f>IF(COUNT(D208:F208)=0,"",MEDIAN(D208:F208))</f>
        <v/>
      </c>
      <c r="I208" s="10">
        <f>IF(COUNT(D208:F208)=0,"",MAX(D208:F208))</f>
        <v/>
      </c>
      <c r="J208" s="11">
        <f>IF(OR(G208="",G208=0),"",(I208-G208)/G208)</f>
        <v/>
      </c>
      <c r="K208" s="4">
        <f>IF(COUNT(D208:F208)=0,"",INDEX($D$1:$F$1,MATCH(MIN(D208:F208),D208:F208,0)))</f>
        <v/>
      </c>
      <c r="L208" s="10" t="n">
        <v>492.8</v>
      </c>
      <c r="M208" s="12" t="n">
        <v>1</v>
      </c>
    </row>
    <row r="209">
      <c r="A209" s="4" t="inlineStr">
        <is>
          <t>MAT-19-026</t>
        </is>
      </c>
      <c r="B209" s="5" t="inlineStr">
        <is>
          <t>Perfil rectangular galvanizado 3/4" x 1 1/2" x 20 pies, pared 1.5 mm</t>
        </is>
      </c>
      <c r="C209" s="4" t="inlineStr">
        <is>
          <t>unidad</t>
        </is>
      </c>
      <c r="D209" s="10" t="n">
        <v>626.88</v>
      </c>
      <c r="E209" s="10" t="n"/>
      <c r="F209" s="10" t="n"/>
      <c r="G209" s="10">
        <f>IF(COUNT(D209:F209)=0,"",MIN(D209:F209))</f>
        <v/>
      </c>
      <c r="H209" s="10">
        <f>IF(COUNT(D209:F209)=0,"",MEDIAN(D209:F209))</f>
        <v/>
      </c>
      <c r="I209" s="10">
        <f>IF(COUNT(D209:F209)=0,"",MAX(D209:F209))</f>
        <v/>
      </c>
      <c r="J209" s="11">
        <f>IF(OR(G209="",G209=0),"",(I209-G209)/G209)</f>
        <v/>
      </c>
      <c r="K209" s="4">
        <f>IF(COUNT(D209:F209)=0,"",INDEX($D$1:$F$1,MATCH(MIN(D209:F209),D209:F209,0)))</f>
        <v/>
      </c>
      <c r="L209" s="10" t="n">
        <v>626.88</v>
      </c>
      <c r="M209" s="12" t="n">
        <v>1</v>
      </c>
    </row>
    <row r="210">
      <c r="A210" s="4" t="inlineStr">
        <is>
          <t>MAT-19-027</t>
        </is>
      </c>
      <c r="B210" s="5" t="inlineStr">
        <is>
          <t>Perfil rectangular galvanizado 2" x 1" x 20 pies, pared 1.2 mm</t>
        </is>
      </c>
      <c r="C210" s="4" t="inlineStr">
        <is>
          <t>unidad</t>
        </is>
      </c>
      <c r="D210" s="10" t="n">
        <v>646.73</v>
      </c>
      <c r="E210" s="10" t="n"/>
      <c r="F210" s="10" t="n"/>
      <c r="G210" s="10">
        <f>IF(COUNT(D210:F210)=0,"",MIN(D210:F210))</f>
        <v/>
      </c>
      <c r="H210" s="10">
        <f>IF(COUNT(D210:F210)=0,"",MEDIAN(D210:F210))</f>
        <v/>
      </c>
      <c r="I210" s="10">
        <f>IF(COUNT(D210:F210)=0,"",MAX(D210:F210))</f>
        <v/>
      </c>
      <c r="J210" s="11">
        <f>IF(OR(G210="",G210=0),"",(I210-G210)/G210)</f>
        <v/>
      </c>
      <c r="K210" s="4">
        <f>IF(COUNT(D210:F210)=0,"",INDEX($D$1:$F$1,MATCH(MIN(D210:F210),D210:F210,0)))</f>
        <v/>
      </c>
      <c r="L210" s="10" t="n">
        <v>646.73</v>
      </c>
      <c r="M210" s="12" t="n">
        <v>1</v>
      </c>
    </row>
    <row r="211">
      <c r="A211" s="4" t="inlineStr">
        <is>
          <t>MAT-19-028</t>
        </is>
      </c>
      <c r="B211" s="5" t="inlineStr">
        <is>
          <t>Perfil rectangular galvanizado 2" x 1" x 20 pies, pared 1.6 mm</t>
        </is>
      </c>
      <c r="C211" s="4" t="inlineStr">
        <is>
          <t>unidad</t>
        </is>
      </c>
      <c r="D211" s="10" t="n">
        <v>812.22</v>
      </c>
      <c r="E211" s="10" t="n"/>
      <c r="F211" s="10" t="n"/>
      <c r="G211" s="10">
        <f>IF(COUNT(D211:F211)=0,"",MIN(D211:F211))</f>
        <v/>
      </c>
      <c r="H211" s="10">
        <f>IF(COUNT(D211:F211)=0,"",MEDIAN(D211:F211))</f>
        <v/>
      </c>
      <c r="I211" s="10">
        <f>IF(COUNT(D211:F211)=0,"",MAX(D211:F211))</f>
        <v/>
      </c>
      <c r="J211" s="11">
        <f>IF(OR(G211="",G211=0),"",(I211-G211)/G211)</f>
        <v/>
      </c>
      <c r="K211" s="4">
        <f>IF(COUNT(D211:F211)=0,"",INDEX($D$1:$F$1,MATCH(MIN(D211:F211),D211:F211,0)))</f>
        <v/>
      </c>
      <c r="L211" s="10" t="n">
        <v>812.22</v>
      </c>
      <c r="M211" s="12" t="n">
        <v>1</v>
      </c>
    </row>
    <row r="212">
      <c r="A212" s="4" t="inlineStr">
        <is>
          <t>MAT-19-029</t>
        </is>
      </c>
      <c r="B212" s="5" t="inlineStr">
        <is>
          <t>Perfil rectangular galvanizado 2" x 3" x 20 pies, pared 1.6 mm</t>
        </is>
      </c>
      <c r="C212" s="4" t="inlineStr">
        <is>
          <t>unidad</t>
        </is>
      </c>
      <c r="D212" s="10" t="n">
        <v>1400.9</v>
      </c>
      <c r="E212" s="10" t="n"/>
      <c r="F212" s="10" t="n"/>
      <c r="G212" s="10">
        <f>IF(COUNT(D212:F212)=0,"",MIN(D212:F212))</f>
        <v/>
      </c>
      <c r="H212" s="10">
        <f>IF(COUNT(D212:F212)=0,"",MEDIAN(D212:F212))</f>
        <v/>
      </c>
      <c r="I212" s="10">
        <f>IF(COUNT(D212:F212)=0,"",MAX(D212:F212))</f>
        <v/>
      </c>
      <c r="J212" s="11">
        <f>IF(OR(G212="",G212=0),"",(I212-G212)/G212)</f>
        <v/>
      </c>
      <c r="K212" s="4">
        <f>IF(COUNT(D212:F212)=0,"",INDEX($D$1:$F$1,MATCH(MIN(D212:F212),D212:F212,0)))</f>
        <v/>
      </c>
      <c r="L212" s="10" t="n">
        <v>1400.9</v>
      </c>
      <c r="M212" s="12" t="n">
        <v>1</v>
      </c>
    </row>
    <row r="213">
      <c r="A213" s="4" t="inlineStr">
        <is>
          <t>MAT-19-030</t>
        </is>
      </c>
      <c r="B213" s="5" t="inlineStr">
        <is>
          <t>Perfil rectangular galvanizado 2" x 4" x 20 pies, pared 1.6 mm</t>
        </is>
      </c>
      <c r="C213" s="4" t="inlineStr">
        <is>
          <t>unidad</t>
        </is>
      </c>
      <c r="D213" s="10" t="n">
        <v>1695.85</v>
      </c>
      <c r="E213" s="10" t="n"/>
      <c r="F213" s="10" t="n"/>
      <c r="G213" s="10">
        <f>IF(COUNT(D213:F213)=0,"",MIN(D213:F213))</f>
        <v/>
      </c>
      <c r="H213" s="10">
        <f>IF(COUNT(D213:F213)=0,"",MEDIAN(D213:F213))</f>
        <v/>
      </c>
      <c r="I213" s="10">
        <f>IF(COUNT(D213:F213)=0,"",MAX(D213:F213))</f>
        <v/>
      </c>
      <c r="J213" s="11">
        <f>IF(OR(G213="",G213=0),"",(I213-G213)/G213)</f>
        <v/>
      </c>
      <c r="K213" s="4">
        <f>IF(COUNT(D213:F213)=0,"",INDEX($D$1:$F$1,MATCH(MIN(D213:F213),D213:F213,0)))</f>
        <v/>
      </c>
      <c r="L213" s="10" t="n">
        <v>1695.85</v>
      </c>
      <c r="M213" s="12" t="n">
        <v>1</v>
      </c>
    </row>
    <row r="214">
      <c r="A214" s="4" t="inlineStr">
        <is>
          <t>MAT-19-031</t>
        </is>
      </c>
      <c r="B214" s="5" t="inlineStr">
        <is>
          <t>Perfil rectangular galvanizado 3" x 1 1/2" x 20 pies, pared 1.6 mm</t>
        </is>
      </c>
      <c r="C214" s="4" t="inlineStr">
        <is>
          <t>unidad</t>
        </is>
      </c>
      <c r="D214" s="10" t="n">
        <v>1275.97</v>
      </c>
      <c r="E214" s="10" t="n"/>
      <c r="F214" s="10" t="n"/>
      <c r="G214" s="10">
        <f>IF(COUNT(D214:F214)=0,"",MIN(D214:F214))</f>
        <v/>
      </c>
      <c r="H214" s="10">
        <f>IF(COUNT(D214:F214)=0,"",MEDIAN(D214:F214))</f>
        <v/>
      </c>
      <c r="I214" s="10">
        <f>IF(COUNT(D214:F214)=0,"",MAX(D214:F214))</f>
        <v/>
      </c>
      <c r="J214" s="11">
        <f>IF(OR(G214="",G214=0),"",(I214-G214)/G214)</f>
        <v/>
      </c>
      <c r="K214" s="4">
        <f>IF(COUNT(D214:F214)=0,"",INDEX($D$1:$F$1,MATCH(MIN(D214:F214),D214:F214,0)))</f>
        <v/>
      </c>
      <c r="L214" s="10" t="n">
        <v>1275.97</v>
      </c>
      <c r="M214" s="12" t="n">
        <v>1</v>
      </c>
    </row>
    <row r="215">
      <c r="A215" s="4" t="inlineStr">
        <is>
          <t>MAT-19-032</t>
        </is>
      </c>
      <c r="B215" s="5" t="inlineStr">
        <is>
          <t>Tubo negro redondo 1/2" x 20 pies, pared 2.77 mm</t>
        </is>
      </c>
      <c r="C215" s="4" t="inlineStr">
        <is>
          <t>unidad</t>
        </is>
      </c>
      <c r="D215" s="10" t="n">
        <v>620.21</v>
      </c>
      <c r="E215" s="10" t="n"/>
      <c r="F215" s="10" t="n"/>
      <c r="G215" s="10">
        <f>IF(COUNT(D215:F215)=0,"",MIN(D215:F215))</f>
        <v/>
      </c>
      <c r="H215" s="10">
        <f>IF(COUNT(D215:F215)=0,"",MEDIAN(D215:F215))</f>
        <v/>
      </c>
      <c r="I215" s="10">
        <f>IF(COUNT(D215:F215)=0,"",MAX(D215:F215))</f>
        <v/>
      </c>
      <c r="J215" s="11">
        <f>IF(OR(G215="",G215=0),"",(I215-G215)/G215)</f>
        <v/>
      </c>
      <c r="K215" s="4">
        <f>IF(COUNT(D215:F215)=0,"",INDEX($D$1:$F$1,MATCH(MIN(D215:F215),D215:F215,0)))</f>
        <v/>
      </c>
      <c r="L215" s="10" t="n">
        <v>620.21</v>
      </c>
      <c r="M215" s="12" t="n">
        <v>1</v>
      </c>
    </row>
    <row r="216">
      <c r="A216" s="4" t="inlineStr">
        <is>
          <t>MAT-19-033</t>
        </is>
      </c>
      <c r="B216" s="5" t="inlineStr">
        <is>
          <t>Tubo negro redondo 3/4" x 20 pies, pared 2.87 mm</t>
        </is>
      </c>
      <c r="C216" s="4" t="inlineStr">
        <is>
          <t>unidad</t>
        </is>
      </c>
      <c r="D216" s="10" t="n">
        <v>826</v>
      </c>
      <c r="E216" s="10" t="n"/>
      <c r="F216" s="10" t="n"/>
      <c r="G216" s="10">
        <f>IF(COUNT(D216:F216)=0,"",MIN(D216:F216))</f>
        <v/>
      </c>
      <c r="H216" s="10">
        <f>IF(COUNT(D216:F216)=0,"",MEDIAN(D216:F216))</f>
        <v/>
      </c>
      <c r="I216" s="10">
        <f>IF(COUNT(D216:F216)=0,"",MAX(D216:F216))</f>
        <v/>
      </c>
      <c r="J216" s="11">
        <f>IF(OR(G216="",G216=0),"",(I216-G216)/G216)</f>
        <v/>
      </c>
      <c r="K216" s="4">
        <f>IF(COUNT(D216:F216)=0,"",INDEX($D$1:$F$1,MATCH(MIN(D216:F216),D216:F216,0)))</f>
        <v/>
      </c>
      <c r="L216" s="10" t="n">
        <v>826</v>
      </c>
      <c r="M216" s="12" t="n">
        <v>1</v>
      </c>
    </row>
    <row r="217">
      <c r="A217" s="4" t="inlineStr">
        <is>
          <t>MAT-19-034</t>
        </is>
      </c>
      <c r="B217" s="5" t="inlineStr">
        <is>
          <t>Tubo negro redondo 1" x 20 pies, pared 3.38 mm</t>
        </is>
      </c>
      <c r="C217" s="4" t="inlineStr">
        <is>
          <t>unidad</t>
        </is>
      </c>
      <c r="D217" s="10" t="n">
        <v>1206.29</v>
      </c>
      <c r="E217" s="10" t="n"/>
      <c r="F217" s="10" t="n"/>
      <c r="G217" s="10">
        <f>IF(COUNT(D217:F217)=0,"",MIN(D217:F217))</f>
        <v/>
      </c>
      <c r="H217" s="10">
        <f>IF(COUNT(D217:F217)=0,"",MEDIAN(D217:F217))</f>
        <v/>
      </c>
      <c r="I217" s="10">
        <f>IF(COUNT(D217:F217)=0,"",MAX(D217:F217))</f>
        <v/>
      </c>
      <c r="J217" s="11">
        <f>IF(OR(G217="",G217=0),"",(I217-G217)/G217)</f>
        <v/>
      </c>
      <c r="K217" s="4">
        <f>IF(COUNT(D217:F217)=0,"",INDEX($D$1:$F$1,MATCH(MIN(D217:F217),D217:F217,0)))</f>
        <v/>
      </c>
      <c r="L217" s="10" t="n">
        <v>1206.29</v>
      </c>
      <c r="M217" s="12" t="n">
        <v>1</v>
      </c>
    </row>
    <row r="218">
      <c r="A218" s="4" t="inlineStr">
        <is>
          <t>MAT-19-035</t>
        </is>
      </c>
      <c r="B218" s="5" t="inlineStr">
        <is>
          <t>Tubo negro redondo 1 1/4" x 20 pies, pared 3.56 mm</t>
        </is>
      </c>
      <c r="C218" s="4" t="inlineStr">
        <is>
          <t>unidad</t>
        </is>
      </c>
      <c r="D218" s="10" t="n">
        <v>1507.57</v>
      </c>
      <c r="E218" s="10" t="n"/>
      <c r="F218" s="10" t="n"/>
      <c r="G218" s="10">
        <f>IF(COUNT(D218:F218)=0,"",MIN(D218:F218))</f>
        <v/>
      </c>
      <c r="H218" s="10">
        <f>IF(COUNT(D218:F218)=0,"",MEDIAN(D218:F218))</f>
        <v/>
      </c>
      <c r="I218" s="10">
        <f>IF(COUNT(D218:F218)=0,"",MAX(D218:F218))</f>
        <v/>
      </c>
      <c r="J218" s="11">
        <f>IF(OR(G218="",G218=0),"",(I218-G218)/G218)</f>
        <v/>
      </c>
      <c r="K218" s="4">
        <f>IF(COUNT(D218:F218)=0,"",INDEX($D$1:$F$1,MATCH(MIN(D218:F218),D218:F218,0)))</f>
        <v/>
      </c>
      <c r="L218" s="10" t="n">
        <v>1507.57</v>
      </c>
      <c r="M218" s="12" t="n">
        <v>1</v>
      </c>
    </row>
    <row r="219">
      <c r="A219" s="4" t="inlineStr">
        <is>
          <t>MAT-19-036</t>
        </is>
      </c>
      <c r="B219" s="5" t="inlineStr">
        <is>
          <t>Tubo negro redondo 1 1/2" x 20 pies, pared 3.68 mm</t>
        </is>
      </c>
      <c r="C219" s="4" t="inlineStr">
        <is>
          <t>unidad</t>
        </is>
      </c>
      <c r="D219" s="10" t="n">
        <v>1952.51</v>
      </c>
      <c r="E219" s="10" t="n"/>
      <c r="F219" s="10" t="n"/>
      <c r="G219" s="10">
        <f>IF(COUNT(D219:F219)=0,"",MIN(D219:F219))</f>
        <v/>
      </c>
      <c r="H219" s="10">
        <f>IF(COUNT(D219:F219)=0,"",MEDIAN(D219:F219))</f>
        <v/>
      </c>
      <c r="I219" s="10">
        <f>IF(COUNT(D219:F219)=0,"",MAX(D219:F219))</f>
        <v/>
      </c>
      <c r="J219" s="11">
        <f>IF(OR(G219="",G219=0),"",(I219-G219)/G219)</f>
        <v/>
      </c>
      <c r="K219" s="4">
        <f>IF(COUNT(D219:F219)=0,"",INDEX($D$1:$F$1,MATCH(MIN(D219:F219),D219:F219,0)))</f>
        <v/>
      </c>
      <c r="L219" s="10" t="n">
        <v>1952.51</v>
      </c>
      <c r="M219" s="12" t="n">
        <v>1</v>
      </c>
    </row>
    <row r="220">
      <c r="A220" s="4" t="inlineStr">
        <is>
          <t>MAT-19-037</t>
        </is>
      </c>
      <c r="B220" s="5" t="inlineStr">
        <is>
          <t>Tubo negro redondo 2" x 20 pies, pared 3.91 mm</t>
        </is>
      </c>
      <c r="C220" s="4" t="inlineStr">
        <is>
          <t>unidad</t>
        </is>
      </c>
      <c r="D220" s="10" t="n">
        <v>2634.08</v>
      </c>
      <c r="E220" s="10" t="n"/>
      <c r="F220" s="10" t="n"/>
      <c r="G220" s="10">
        <f>IF(COUNT(D220:F220)=0,"",MIN(D220:F220))</f>
        <v/>
      </c>
      <c r="H220" s="10">
        <f>IF(COUNT(D220:F220)=0,"",MEDIAN(D220:F220))</f>
        <v/>
      </c>
      <c r="I220" s="10">
        <f>IF(COUNT(D220:F220)=0,"",MAX(D220:F220))</f>
        <v/>
      </c>
      <c r="J220" s="11">
        <f>IF(OR(G220="",G220=0),"",(I220-G220)/G220)</f>
        <v/>
      </c>
      <c r="K220" s="4">
        <f>IF(COUNT(D220:F220)=0,"",INDEX($D$1:$F$1,MATCH(MIN(D220:F220),D220:F220,0)))</f>
        <v/>
      </c>
      <c r="L220" s="10" t="n">
        <v>2634.08</v>
      </c>
      <c r="M220" s="12" t="n">
        <v>1</v>
      </c>
    </row>
    <row r="221">
      <c r="A221" s="4" t="inlineStr">
        <is>
          <t>MAT-19-038</t>
        </is>
      </c>
      <c r="B221" s="5" t="inlineStr">
        <is>
          <t>Tubo negro redondo 2 1/2" x 20 pies</t>
        </is>
      </c>
      <c r="C221" s="4" t="inlineStr">
        <is>
          <t>unidad</t>
        </is>
      </c>
      <c r="D221" s="10" t="n">
        <v>4173.42</v>
      </c>
      <c r="E221" s="10" t="n"/>
      <c r="F221" s="10" t="n"/>
      <c r="G221" s="10">
        <f>IF(COUNT(D221:F221)=0,"",MIN(D221:F221))</f>
        <v/>
      </c>
      <c r="H221" s="10">
        <f>IF(COUNT(D221:F221)=0,"",MEDIAN(D221:F221))</f>
        <v/>
      </c>
      <c r="I221" s="10">
        <f>IF(COUNT(D221:F221)=0,"",MAX(D221:F221))</f>
        <v/>
      </c>
      <c r="J221" s="11">
        <f>IF(OR(G221="",G221=0),"",(I221-G221)/G221)</f>
        <v/>
      </c>
      <c r="K221" s="4">
        <f>IF(COUNT(D221:F221)=0,"",INDEX($D$1:$F$1,MATCH(MIN(D221:F221),D221:F221,0)))</f>
        <v/>
      </c>
      <c r="L221" s="10" t="n">
        <v>4173.42</v>
      </c>
      <c r="M221" s="12" t="n">
        <v>1</v>
      </c>
    </row>
    <row r="222">
      <c r="A222" s="4" t="inlineStr">
        <is>
          <t>MAT-19-039</t>
        </is>
      </c>
      <c r="B222" s="5" t="inlineStr">
        <is>
          <t>Tubo negro redondo 3" x 20 pies</t>
        </is>
      </c>
      <c r="C222" s="4" t="inlineStr">
        <is>
          <t>unidad</t>
        </is>
      </c>
      <c r="D222" s="10" t="n">
        <v>5029.28</v>
      </c>
      <c r="E222" s="10" t="n"/>
      <c r="F222" s="10" t="n"/>
      <c r="G222" s="10">
        <f>IF(COUNT(D222:F222)=0,"",MIN(D222:F222))</f>
        <v/>
      </c>
      <c r="H222" s="10">
        <f>IF(COUNT(D222:F222)=0,"",MEDIAN(D222:F222))</f>
        <v/>
      </c>
      <c r="I222" s="10">
        <f>IF(COUNT(D222:F222)=0,"",MAX(D222:F222))</f>
        <v/>
      </c>
      <c r="J222" s="11">
        <f>IF(OR(G222="",G222=0),"",(I222-G222)/G222)</f>
        <v/>
      </c>
      <c r="K222" s="4">
        <f>IF(COUNT(D222:F222)=0,"",INDEX($D$1:$F$1,MATCH(MIN(D222:F222),D222:F222,0)))</f>
        <v/>
      </c>
      <c r="L222" s="10" t="n">
        <v>5029.28</v>
      </c>
      <c r="M222" s="12" t="n">
        <v>1</v>
      </c>
    </row>
    <row r="223">
      <c r="A223" s="4" t="inlineStr">
        <is>
          <t>MAT-19-040</t>
        </is>
      </c>
      <c r="B223" s="5" t="inlineStr">
        <is>
          <t>Tubo negro redondo 8" x 20 pies, pared 6 mm</t>
        </is>
      </c>
      <c r="C223" s="4" t="inlineStr">
        <is>
          <t>unidad</t>
        </is>
      </c>
      <c r="D223" s="10" t="n">
        <v>15250.64</v>
      </c>
      <c r="E223" s="10" t="n"/>
      <c r="F223" s="10" t="n"/>
      <c r="G223" s="10">
        <f>IF(COUNT(D223:F223)=0,"",MIN(D223:F223))</f>
        <v/>
      </c>
      <c r="H223" s="10">
        <f>IF(COUNT(D223:F223)=0,"",MEDIAN(D223:F223))</f>
        <v/>
      </c>
      <c r="I223" s="10">
        <f>IF(COUNT(D223:F223)=0,"",MAX(D223:F223))</f>
        <v/>
      </c>
      <c r="J223" s="11">
        <f>IF(OR(G223="",G223=0),"",(I223-G223)/G223)</f>
        <v/>
      </c>
      <c r="K223" s="4">
        <f>IF(COUNT(D223:F223)=0,"",INDEX($D$1:$F$1,MATCH(MIN(D223:F223),D223:F223,0)))</f>
        <v/>
      </c>
      <c r="L223" s="10" t="n">
        <v>15250.64</v>
      </c>
      <c r="M223" s="12" t="n">
        <v>1</v>
      </c>
    </row>
    <row r="224">
      <c r="A224" s="4" t="inlineStr">
        <is>
          <t>MAT-19-041</t>
        </is>
      </c>
      <c r="B224" s="5" t="inlineStr">
        <is>
          <t>Tubo negro redondo 8" x 20 pies, pared 6.35 mm</t>
        </is>
      </c>
      <c r="C224" s="4" t="inlineStr">
        <is>
          <t>unidad</t>
        </is>
      </c>
      <c r="D224" s="10" t="n">
        <v>11671.14</v>
      </c>
      <c r="E224" s="10" t="n"/>
      <c r="F224" s="10" t="n"/>
      <c r="G224" s="10">
        <f>IF(COUNT(D224:F224)=0,"",MIN(D224:F224))</f>
        <v/>
      </c>
      <c r="H224" s="10">
        <f>IF(COUNT(D224:F224)=0,"",MEDIAN(D224:F224))</f>
        <v/>
      </c>
      <c r="I224" s="10">
        <f>IF(COUNT(D224:F224)=0,"",MAX(D224:F224))</f>
        <v/>
      </c>
      <c r="J224" s="11">
        <f>IF(OR(G224="",G224=0),"",(I224-G224)/G224)</f>
        <v/>
      </c>
      <c r="K224" s="4">
        <f>IF(COUNT(D224:F224)=0,"",INDEX($D$1:$F$1,MATCH(MIN(D224:F224),D224:F224,0)))</f>
        <v/>
      </c>
      <c r="L224" s="10" t="n">
        <v>11671.14</v>
      </c>
      <c r="M224" s="12" t="n">
        <v>1</v>
      </c>
    </row>
    <row r="225">
      <c r="A225" s="4" t="inlineStr">
        <is>
          <t>MAT-19-042</t>
        </is>
      </c>
      <c r="B225" s="5" t="inlineStr">
        <is>
          <t>Tubo negro redondo 10" x 20 pies, pared 6.00 mm</t>
        </is>
      </c>
      <c r="C225" s="4" t="inlineStr">
        <is>
          <t>unidad</t>
        </is>
      </c>
      <c r="D225" s="10" t="n">
        <v>18313.02</v>
      </c>
      <c r="E225" s="10" t="n"/>
      <c r="F225" s="10" t="n"/>
      <c r="G225" s="10">
        <f>IF(COUNT(D225:F225)=0,"",MIN(D225:F225))</f>
        <v/>
      </c>
      <c r="H225" s="10">
        <f>IF(COUNT(D225:F225)=0,"",MEDIAN(D225:F225))</f>
        <v/>
      </c>
      <c r="I225" s="10">
        <f>IF(COUNT(D225:F225)=0,"",MAX(D225:F225))</f>
        <v/>
      </c>
      <c r="J225" s="11">
        <f>IF(OR(G225="",G225=0),"",(I225-G225)/G225)</f>
        <v/>
      </c>
      <c r="K225" s="4">
        <f>IF(COUNT(D225:F225)=0,"",INDEX($D$1:$F$1,MATCH(MIN(D225:F225),D225:F225,0)))</f>
        <v/>
      </c>
      <c r="L225" s="10" t="n">
        <v>18313.02</v>
      </c>
      <c r="M225" s="12" t="n">
        <v>1</v>
      </c>
    </row>
    <row r="226">
      <c r="A226" s="4" t="inlineStr">
        <is>
          <t>MAT-19-043</t>
        </is>
      </c>
      <c r="B226" s="5" t="inlineStr">
        <is>
          <t>Tubo negro redondo 14" x 20 pies, pared 6 mm</t>
        </is>
      </c>
      <c r="C226" s="4" t="inlineStr">
        <is>
          <t>unidad</t>
        </is>
      </c>
      <c r="D226" s="10" t="n">
        <v>27695.11</v>
      </c>
      <c r="E226" s="10" t="n"/>
      <c r="F226" s="10" t="n"/>
      <c r="G226" s="10">
        <f>IF(COUNT(D226:F226)=0,"",MIN(D226:F226))</f>
        <v/>
      </c>
      <c r="H226" s="10">
        <f>IF(COUNT(D226:F226)=0,"",MEDIAN(D226:F226))</f>
        <v/>
      </c>
      <c r="I226" s="10">
        <f>IF(COUNT(D226:F226)=0,"",MAX(D226:F226))</f>
        <v/>
      </c>
      <c r="J226" s="11">
        <f>IF(OR(G226="",G226=0),"",(I226-G226)/G226)</f>
        <v/>
      </c>
      <c r="K226" s="4">
        <f>IF(COUNT(D226:F226)=0,"",INDEX($D$1:$F$1,MATCH(MIN(D226:F226),D226:F226,0)))</f>
        <v/>
      </c>
      <c r="L226" s="10" t="n">
        <v>27695.11</v>
      </c>
      <c r="M226" s="12" t="n">
        <v>1</v>
      </c>
    </row>
    <row r="227">
      <c r="A227" s="4" t="inlineStr">
        <is>
          <t>MAT-19-044</t>
        </is>
      </c>
      <c r="B227" s="5" t="inlineStr">
        <is>
          <t>Tubo negro redondo 16" x 20 pies, pared 12.70 mm</t>
        </is>
      </c>
      <c r="C227" s="4" t="inlineStr">
        <is>
          <t>unidad</t>
        </is>
      </c>
      <c r="D227" s="10" t="n">
        <v>62026.36</v>
      </c>
      <c r="E227" s="10" t="n"/>
      <c r="F227" s="10" t="n"/>
      <c r="G227" s="10">
        <f>IF(COUNT(D227:F227)=0,"",MIN(D227:F227))</f>
        <v/>
      </c>
      <c r="H227" s="10">
        <f>IF(COUNT(D227:F227)=0,"",MEDIAN(D227:F227))</f>
        <v/>
      </c>
      <c r="I227" s="10">
        <f>IF(COUNT(D227:F227)=0,"",MAX(D227:F227))</f>
        <v/>
      </c>
      <c r="J227" s="11">
        <f>IF(OR(G227="",G227=0),"",(I227-G227)/G227)</f>
        <v/>
      </c>
      <c r="K227" s="4">
        <f>IF(COUNT(D227:F227)=0,"",INDEX($D$1:$F$1,MATCH(MIN(D227:F227),D227:F227,0)))</f>
        <v/>
      </c>
      <c r="L227" s="10" t="n">
        <v>62026.36</v>
      </c>
      <c r="M227" s="12" t="n">
        <v>1</v>
      </c>
    </row>
    <row r="228">
      <c r="A228" s="4" t="inlineStr">
        <is>
          <t>MAT-19-045</t>
        </is>
      </c>
      <c r="B228" s="5" t="inlineStr">
        <is>
          <t>Correa galvanizada tipo Z 6" x 1/16" x 20 pies</t>
        </is>
      </c>
      <c r="C228" s="4" t="inlineStr">
        <is>
          <t>unidad</t>
        </is>
      </c>
      <c r="D228" s="10" t="n">
        <v>2658</v>
      </c>
      <c r="E228" s="10" t="n"/>
      <c r="F228" s="10" t="n"/>
      <c r="G228" s="10">
        <f>IF(COUNT(D228:F228)=0,"",MIN(D228:F228))</f>
        <v/>
      </c>
      <c r="H228" s="10">
        <f>IF(COUNT(D228:F228)=0,"",MEDIAN(D228:F228))</f>
        <v/>
      </c>
      <c r="I228" s="10">
        <f>IF(COUNT(D228:F228)=0,"",MAX(D228:F228))</f>
        <v/>
      </c>
      <c r="J228" s="11">
        <f>IF(OR(G228="",G228=0),"",(I228-G228)/G228)</f>
        <v/>
      </c>
      <c r="K228" s="4">
        <f>IF(COUNT(D228:F228)=0,"",INDEX($D$1:$F$1,MATCH(MIN(D228:F228),D228:F228,0)))</f>
        <v/>
      </c>
      <c r="L228" s="10" t="n">
        <v>2658</v>
      </c>
      <c r="M228" s="12" t="n">
        <v>1</v>
      </c>
    </row>
    <row r="229">
      <c r="A229" s="4" t="inlineStr">
        <is>
          <t>MAT-19-046</t>
        </is>
      </c>
      <c r="B229" s="5" t="inlineStr">
        <is>
          <t>Correa galvanizada tipo Z 8" x 1/16" x 20 pies</t>
        </is>
      </c>
      <c r="C229" s="4" t="inlineStr">
        <is>
          <t>unidad</t>
        </is>
      </c>
      <c r="D229" s="10" t="n">
        <v>3039.2</v>
      </c>
      <c r="E229" s="10" t="n"/>
      <c r="F229" s="10" t="n"/>
      <c r="G229" s="10">
        <f>IF(COUNT(D229:F229)=0,"",MIN(D229:F229))</f>
        <v/>
      </c>
      <c r="H229" s="10">
        <f>IF(COUNT(D229:F229)=0,"",MEDIAN(D229:F229))</f>
        <v/>
      </c>
      <c r="I229" s="10">
        <f>IF(COUNT(D229:F229)=0,"",MAX(D229:F229))</f>
        <v/>
      </c>
      <c r="J229" s="11">
        <f>IF(OR(G229="",G229=0),"",(I229-G229)/G229)</f>
        <v/>
      </c>
      <c r="K229" s="4">
        <f>IF(COUNT(D229:F229)=0,"",INDEX($D$1:$F$1,MATCH(MIN(D229:F229),D229:F229,0)))</f>
        <v/>
      </c>
      <c r="L229" s="10" t="n">
        <v>3039.2</v>
      </c>
      <c r="M229" s="12" t="n">
        <v>1</v>
      </c>
    </row>
    <row r="230">
      <c r="A230" s="4" t="inlineStr">
        <is>
          <t>MAT-20-001</t>
        </is>
      </c>
      <c r="B230" s="5" t="inlineStr">
        <is>
          <t>Angular de hierro negro 3/4" x 1/8" x 20 pies</t>
        </is>
      </c>
      <c r="C230" s="4" t="inlineStr">
        <is>
          <t>unidad</t>
        </is>
      </c>
      <c r="D230" s="10" t="n">
        <v>449.99</v>
      </c>
      <c r="E230" s="10" t="n"/>
      <c r="F230" s="10" t="n"/>
      <c r="G230" s="10">
        <f>IF(COUNT(D230:F230)=0,"",MIN(D230:F230))</f>
        <v/>
      </c>
      <c r="H230" s="10">
        <f>IF(COUNT(D230:F230)=0,"",MEDIAN(D230:F230))</f>
        <v/>
      </c>
      <c r="I230" s="10">
        <f>IF(COUNT(D230:F230)=0,"",MAX(D230:F230))</f>
        <v/>
      </c>
      <c r="J230" s="11">
        <f>IF(OR(G230="",G230=0),"",(I230-G230)/G230)</f>
        <v/>
      </c>
      <c r="K230" s="4">
        <f>IF(COUNT(D230:F230)=0,"",INDEX($D$1:$F$1,MATCH(MIN(D230:F230),D230:F230,0)))</f>
        <v/>
      </c>
      <c r="L230" s="10" t="n">
        <v>449.99</v>
      </c>
      <c r="M230" s="12" t="n">
        <v>1</v>
      </c>
    </row>
    <row r="231">
      <c r="A231" s="4" t="inlineStr">
        <is>
          <t>MAT-20-002</t>
        </is>
      </c>
      <c r="B231" s="5" t="inlineStr">
        <is>
          <t>Angular de hierro negro 1" x 1/8" x 20 pies</t>
        </is>
      </c>
      <c r="C231" s="4" t="inlineStr">
        <is>
          <t>unidad</t>
        </is>
      </c>
      <c r="D231" s="10" t="n">
        <v>560</v>
      </c>
      <c r="E231" s="10" t="n"/>
      <c r="F231" s="10" t="n"/>
      <c r="G231" s="10">
        <f>IF(COUNT(D231:F231)=0,"",MIN(D231:F231))</f>
        <v/>
      </c>
      <c r="H231" s="10">
        <f>IF(COUNT(D231:F231)=0,"",MEDIAN(D231:F231))</f>
        <v/>
      </c>
      <c r="I231" s="10">
        <f>IF(COUNT(D231:F231)=0,"",MAX(D231:F231))</f>
        <v/>
      </c>
      <c r="J231" s="11">
        <f>IF(OR(G231="",G231=0),"",(I231-G231)/G231)</f>
        <v/>
      </c>
      <c r="K231" s="4">
        <f>IF(COUNT(D231:F231)=0,"",INDEX($D$1:$F$1,MATCH(MIN(D231:F231),D231:F231,0)))</f>
        <v/>
      </c>
      <c r="L231" s="10" t="n">
        <v>560</v>
      </c>
      <c r="M231" s="12" t="n">
        <v>1</v>
      </c>
    </row>
    <row r="232">
      <c r="A232" s="4" t="inlineStr">
        <is>
          <t>MAT-20-003</t>
        </is>
      </c>
      <c r="B232" s="5" t="inlineStr">
        <is>
          <t>Angular de hierro negro 1" x 3/16" x 20 pies</t>
        </is>
      </c>
      <c r="C232" s="4" t="inlineStr">
        <is>
          <t>unidad</t>
        </is>
      </c>
      <c r="D232" s="10" t="n">
        <v>812.01</v>
      </c>
      <c r="E232" s="10" t="n"/>
      <c r="F232" s="10" t="n"/>
      <c r="G232" s="10">
        <f>IF(COUNT(D232:F232)=0,"",MIN(D232:F232))</f>
        <v/>
      </c>
      <c r="H232" s="10">
        <f>IF(COUNT(D232:F232)=0,"",MEDIAN(D232:F232))</f>
        <v/>
      </c>
      <c r="I232" s="10">
        <f>IF(COUNT(D232:F232)=0,"",MAX(D232:F232))</f>
        <v/>
      </c>
      <c r="J232" s="11">
        <f>IF(OR(G232="",G232=0),"",(I232-G232)/G232)</f>
        <v/>
      </c>
      <c r="K232" s="4">
        <f>IF(COUNT(D232:F232)=0,"",INDEX($D$1:$F$1,MATCH(MIN(D232:F232),D232:F232,0)))</f>
        <v/>
      </c>
      <c r="L232" s="10" t="n">
        <v>812.01</v>
      </c>
      <c r="M232" s="12" t="n">
        <v>1</v>
      </c>
    </row>
    <row r="233">
      <c r="A233" s="4" t="inlineStr">
        <is>
          <t>MAT-20-004</t>
        </is>
      </c>
      <c r="B233" s="5" t="inlineStr">
        <is>
          <t>Angular de hierro negro 1" x 1/4" x 20 pies</t>
        </is>
      </c>
      <c r="C233" s="4" t="inlineStr">
        <is>
          <t>unidad</t>
        </is>
      </c>
      <c r="D233" s="10" t="n">
        <v>1163.48</v>
      </c>
      <c r="E233" s="10" t="n"/>
      <c r="F233" s="10" t="n"/>
      <c r="G233" s="10">
        <f>IF(COUNT(D233:F233)=0,"",MIN(D233:F233))</f>
        <v/>
      </c>
      <c r="H233" s="10">
        <f>IF(COUNT(D233:F233)=0,"",MEDIAN(D233:F233))</f>
        <v/>
      </c>
      <c r="I233" s="10">
        <f>IF(COUNT(D233:F233)=0,"",MAX(D233:F233))</f>
        <v/>
      </c>
      <c r="J233" s="11">
        <f>IF(OR(G233="",G233=0),"",(I233-G233)/G233)</f>
        <v/>
      </c>
      <c r="K233" s="4">
        <f>IF(COUNT(D233:F233)=0,"",INDEX($D$1:$F$1,MATCH(MIN(D233:F233),D233:F233,0)))</f>
        <v/>
      </c>
      <c r="L233" s="10" t="n">
        <v>1163.48</v>
      </c>
      <c r="M233" s="12" t="n">
        <v>1</v>
      </c>
    </row>
    <row r="234">
      <c r="A234" s="4" t="inlineStr">
        <is>
          <t>MAT-20-005</t>
        </is>
      </c>
      <c r="B234" s="5" t="inlineStr">
        <is>
          <t>Angular de hierro negro 1 1/4" x 1/8" x 20 pies</t>
        </is>
      </c>
      <c r="C234" s="4" t="inlineStr">
        <is>
          <t>unidad</t>
        </is>
      </c>
      <c r="D234" s="10" t="n">
        <v>781</v>
      </c>
      <c r="E234" s="10" t="n"/>
      <c r="F234" s="10" t="n"/>
      <c r="G234" s="10">
        <f>IF(COUNT(D234:F234)=0,"",MIN(D234:F234))</f>
        <v/>
      </c>
      <c r="H234" s="10">
        <f>IF(COUNT(D234:F234)=0,"",MEDIAN(D234:F234))</f>
        <v/>
      </c>
      <c r="I234" s="10">
        <f>IF(COUNT(D234:F234)=0,"",MAX(D234:F234))</f>
        <v/>
      </c>
      <c r="J234" s="11">
        <f>IF(OR(G234="",G234=0),"",(I234-G234)/G234)</f>
        <v/>
      </c>
      <c r="K234" s="4">
        <f>IF(COUNT(D234:F234)=0,"",INDEX($D$1:$F$1,MATCH(MIN(D234:F234),D234:F234,0)))</f>
        <v/>
      </c>
      <c r="L234" s="10" t="n">
        <v>781</v>
      </c>
      <c r="M234" s="12" t="n">
        <v>1</v>
      </c>
    </row>
    <row r="235">
      <c r="A235" s="4" t="inlineStr">
        <is>
          <t>MAT-20-006</t>
        </is>
      </c>
      <c r="B235" s="5" t="inlineStr">
        <is>
          <t>Angular de hierro negro 1 1/4" x 3/16" x 20 pies</t>
        </is>
      </c>
      <c r="C235" s="4" t="inlineStr">
        <is>
          <t>unidad</t>
        </is>
      </c>
      <c r="D235" s="10" t="n">
        <v>1036</v>
      </c>
      <c r="E235" s="10" t="n"/>
      <c r="F235" s="10" t="n"/>
      <c r="G235" s="10">
        <f>IF(COUNT(D235:F235)=0,"",MIN(D235:F235))</f>
        <v/>
      </c>
      <c r="H235" s="10">
        <f>IF(COUNT(D235:F235)=0,"",MEDIAN(D235:F235))</f>
        <v/>
      </c>
      <c r="I235" s="10">
        <f>IF(COUNT(D235:F235)=0,"",MAX(D235:F235))</f>
        <v/>
      </c>
      <c r="J235" s="11">
        <f>IF(OR(G235="",G235=0),"",(I235-G235)/G235)</f>
        <v/>
      </c>
      <c r="K235" s="4">
        <f>IF(COUNT(D235:F235)=0,"",INDEX($D$1:$F$1,MATCH(MIN(D235:F235),D235:F235,0)))</f>
        <v/>
      </c>
      <c r="L235" s="10" t="n">
        <v>1036</v>
      </c>
      <c r="M235" s="12" t="n">
        <v>1</v>
      </c>
    </row>
    <row r="236">
      <c r="A236" s="4" t="inlineStr">
        <is>
          <t>MAT-20-007</t>
        </is>
      </c>
      <c r="B236" s="5" t="inlineStr">
        <is>
          <t>Angular de hierro negro 1 1/4" x 1/4" x 20 pies</t>
        </is>
      </c>
      <c r="C236" s="4" t="inlineStr">
        <is>
          <t>unidad</t>
        </is>
      </c>
      <c r="D236" s="10" t="n">
        <v>1344</v>
      </c>
      <c r="E236" s="10" t="n"/>
      <c r="F236" s="10" t="n"/>
      <c r="G236" s="10">
        <f>IF(COUNT(D236:F236)=0,"",MIN(D236:F236))</f>
        <v/>
      </c>
      <c r="H236" s="10">
        <f>IF(COUNT(D236:F236)=0,"",MEDIAN(D236:F236))</f>
        <v/>
      </c>
      <c r="I236" s="10">
        <f>IF(COUNT(D236:F236)=0,"",MAX(D236:F236))</f>
        <v/>
      </c>
      <c r="J236" s="11">
        <f>IF(OR(G236="",G236=0),"",(I236-G236)/G236)</f>
        <v/>
      </c>
      <c r="K236" s="4">
        <f>IF(COUNT(D236:F236)=0,"",INDEX($D$1:$F$1,MATCH(MIN(D236:F236),D236:F236,0)))</f>
        <v/>
      </c>
      <c r="L236" s="10" t="n">
        <v>1344</v>
      </c>
      <c r="M236" s="12" t="n">
        <v>1</v>
      </c>
    </row>
    <row r="237">
      <c r="A237" s="4" t="inlineStr">
        <is>
          <t>MAT-20-008</t>
        </is>
      </c>
      <c r="B237" s="5" t="inlineStr">
        <is>
          <t>Angular de hierro negro 1 1/2" x 3/16" x 20 pies</t>
        </is>
      </c>
      <c r="C237" s="4" t="inlineStr">
        <is>
          <t>unidad</t>
        </is>
      </c>
      <c r="D237" s="10" t="n">
        <v>1260</v>
      </c>
      <c r="E237" s="10" t="n"/>
      <c r="F237" s="10" t="n"/>
      <c r="G237" s="10">
        <f>IF(COUNT(D237:F237)=0,"",MIN(D237:F237))</f>
        <v/>
      </c>
      <c r="H237" s="10">
        <f>IF(COUNT(D237:F237)=0,"",MEDIAN(D237:F237))</f>
        <v/>
      </c>
      <c r="I237" s="10">
        <f>IF(COUNT(D237:F237)=0,"",MAX(D237:F237))</f>
        <v/>
      </c>
      <c r="J237" s="11">
        <f>IF(OR(G237="",G237=0),"",(I237-G237)/G237)</f>
        <v/>
      </c>
      <c r="K237" s="4">
        <f>IF(COUNT(D237:F237)=0,"",INDEX($D$1:$F$1,MATCH(MIN(D237:F237),D237:F237,0)))</f>
        <v/>
      </c>
      <c r="L237" s="10" t="n">
        <v>1260</v>
      </c>
      <c r="M237" s="12" t="n">
        <v>1</v>
      </c>
    </row>
    <row r="238">
      <c r="A238" s="4" t="inlineStr">
        <is>
          <t>MAT-20-009</t>
        </is>
      </c>
      <c r="B238" s="5" t="inlineStr">
        <is>
          <t>Angular de hierro negro 1 1/2" x 1/4" x 20 pies</t>
        </is>
      </c>
      <c r="C238" s="4" t="inlineStr">
        <is>
          <t>unidad</t>
        </is>
      </c>
      <c r="D238" s="10" t="n">
        <v>1638.01</v>
      </c>
      <c r="E238" s="10" t="n"/>
      <c r="F238" s="10" t="n"/>
      <c r="G238" s="10">
        <f>IF(COUNT(D238:F238)=0,"",MIN(D238:F238))</f>
        <v/>
      </c>
      <c r="H238" s="10">
        <f>IF(COUNT(D238:F238)=0,"",MEDIAN(D238:F238))</f>
        <v/>
      </c>
      <c r="I238" s="10">
        <f>IF(COUNT(D238:F238)=0,"",MAX(D238:F238))</f>
        <v/>
      </c>
      <c r="J238" s="11">
        <f>IF(OR(G238="",G238=0),"",(I238-G238)/G238)</f>
        <v/>
      </c>
      <c r="K238" s="4">
        <f>IF(COUNT(D238:F238)=0,"",INDEX($D$1:$F$1,MATCH(MIN(D238:F238),D238:F238,0)))</f>
        <v/>
      </c>
      <c r="L238" s="10" t="n">
        <v>1638.01</v>
      </c>
      <c r="M238" s="12" t="n">
        <v>1</v>
      </c>
    </row>
    <row r="239">
      <c r="A239" s="4" t="inlineStr">
        <is>
          <t>MAT-20-010</t>
        </is>
      </c>
      <c r="B239" s="5" t="inlineStr">
        <is>
          <t>Angular de hierro negro 2" x 1/8" x 20 pies</t>
        </is>
      </c>
      <c r="C239" s="4" t="inlineStr">
        <is>
          <t>unidad</t>
        </is>
      </c>
      <c r="D239" s="10" t="n">
        <v>1155</v>
      </c>
      <c r="E239" s="10" t="n"/>
      <c r="F239" s="10" t="n"/>
      <c r="G239" s="10">
        <f>IF(COUNT(D239:F239)=0,"",MIN(D239:F239))</f>
        <v/>
      </c>
      <c r="H239" s="10">
        <f>IF(COUNT(D239:F239)=0,"",MEDIAN(D239:F239))</f>
        <v/>
      </c>
      <c r="I239" s="10">
        <f>IF(COUNT(D239:F239)=0,"",MAX(D239:F239))</f>
        <v/>
      </c>
      <c r="J239" s="11">
        <f>IF(OR(G239="",G239=0),"",(I239-G239)/G239)</f>
        <v/>
      </c>
      <c r="K239" s="4">
        <f>IF(COUNT(D239:F239)=0,"",INDEX($D$1:$F$1,MATCH(MIN(D239:F239),D239:F239,0)))</f>
        <v/>
      </c>
      <c r="L239" s="10" t="n">
        <v>1155</v>
      </c>
      <c r="M239" s="12" t="n">
        <v>1</v>
      </c>
    </row>
    <row r="240">
      <c r="A240" s="4" t="inlineStr">
        <is>
          <t>MAT-20-011</t>
        </is>
      </c>
      <c r="B240" s="5" t="inlineStr">
        <is>
          <t>Angular de hierro negro 2" x 3/16" x 20 pies</t>
        </is>
      </c>
      <c r="C240" s="4" t="inlineStr">
        <is>
          <t>unidad</t>
        </is>
      </c>
      <c r="D240" s="10" t="n">
        <v>1708</v>
      </c>
      <c r="E240" s="10" t="n"/>
      <c r="F240" s="10" t="n"/>
      <c r="G240" s="10">
        <f>IF(COUNT(D240:F240)=0,"",MIN(D240:F240))</f>
        <v/>
      </c>
      <c r="H240" s="10">
        <f>IF(COUNT(D240:F240)=0,"",MEDIAN(D240:F240))</f>
        <v/>
      </c>
      <c r="I240" s="10">
        <f>IF(COUNT(D240:F240)=0,"",MAX(D240:F240))</f>
        <v/>
      </c>
      <c r="J240" s="11">
        <f>IF(OR(G240="",G240=0),"",(I240-G240)/G240)</f>
        <v/>
      </c>
      <c r="K240" s="4">
        <f>IF(COUNT(D240:F240)=0,"",INDEX($D$1:$F$1,MATCH(MIN(D240:F240),D240:F240,0)))</f>
        <v/>
      </c>
      <c r="L240" s="10" t="n">
        <v>1708</v>
      </c>
      <c r="M240" s="12" t="n">
        <v>1</v>
      </c>
    </row>
    <row r="241">
      <c r="A241" s="4" t="inlineStr">
        <is>
          <t>MAT-20-012</t>
        </is>
      </c>
      <c r="B241" s="5" t="inlineStr">
        <is>
          <t>Angular de hierro negro 2" x 1/4" x 20 pies</t>
        </is>
      </c>
      <c r="C241" s="4" t="inlineStr">
        <is>
          <t>unidad</t>
        </is>
      </c>
      <c r="D241" s="10" t="n">
        <v>2324.69</v>
      </c>
      <c r="E241" s="10" t="n"/>
      <c r="F241" s="10" t="n"/>
      <c r="G241" s="10">
        <f>IF(COUNT(D241:F241)=0,"",MIN(D241:F241))</f>
        <v/>
      </c>
      <c r="H241" s="10">
        <f>IF(COUNT(D241:F241)=0,"",MEDIAN(D241:F241))</f>
        <v/>
      </c>
      <c r="I241" s="10">
        <f>IF(COUNT(D241:F241)=0,"",MAX(D241:F241))</f>
        <v/>
      </c>
      <c r="J241" s="11">
        <f>IF(OR(G241="",G241=0),"",(I241-G241)/G241)</f>
        <v/>
      </c>
      <c r="K241" s="4">
        <f>IF(COUNT(D241:F241)=0,"",INDEX($D$1:$F$1,MATCH(MIN(D241:F241),D241:F241,0)))</f>
        <v/>
      </c>
      <c r="L241" s="10" t="n">
        <v>2324.69</v>
      </c>
      <c r="M241" s="12" t="n">
        <v>1</v>
      </c>
    </row>
    <row r="242">
      <c r="A242" s="4" t="inlineStr">
        <is>
          <t>MAT-20-013</t>
        </is>
      </c>
      <c r="B242" s="5" t="inlineStr">
        <is>
          <t>Angular de hierro negro 2" x 3/8" x 20 pies</t>
        </is>
      </c>
      <c r="C242" s="4" t="inlineStr">
        <is>
          <t>unidad</t>
        </is>
      </c>
      <c r="D242" s="10" t="n">
        <v>3290.01</v>
      </c>
      <c r="E242" s="10" t="n"/>
      <c r="F242" s="10" t="n"/>
      <c r="G242" s="10">
        <f>IF(COUNT(D242:F242)=0,"",MIN(D242:F242))</f>
        <v/>
      </c>
      <c r="H242" s="10">
        <f>IF(COUNT(D242:F242)=0,"",MEDIAN(D242:F242))</f>
        <v/>
      </c>
      <c r="I242" s="10">
        <f>IF(COUNT(D242:F242)=0,"",MAX(D242:F242))</f>
        <v/>
      </c>
      <c r="J242" s="11">
        <f>IF(OR(G242="",G242=0),"",(I242-G242)/G242)</f>
        <v/>
      </c>
      <c r="K242" s="4">
        <f>IF(COUNT(D242:F242)=0,"",INDEX($D$1:$F$1,MATCH(MIN(D242:F242),D242:F242,0)))</f>
        <v/>
      </c>
      <c r="L242" s="10" t="n">
        <v>3290.01</v>
      </c>
      <c r="M242" s="12" t="n">
        <v>1</v>
      </c>
    </row>
    <row r="243">
      <c r="A243" s="4" t="inlineStr">
        <is>
          <t>MAT-20-014</t>
        </is>
      </c>
      <c r="B243" s="5" t="inlineStr">
        <is>
          <t>Angular de hierro negro 2 1/2" x 3/16" x 20 pies</t>
        </is>
      </c>
      <c r="C243" s="4" t="inlineStr">
        <is>
          <t>unidad</t>
        </is>
      </c>
      <c r="D243" s="10" t="n">
        <v>2149</v>
      </c>
      <c r="E243" s="10" t="n"/>
      <c r="F243" s="10" t="n"/>
      <c r="G243" s="10">
        <f>IF(COUNT(D243:F243)=0,"",MIN(D243:F243))</f>
        <v/>
      </c>
      <c r="H243" s="10">
        <f>IF(COUNT(D243:F243)=0,"",MEDIAN(D243:F243))</f>
        <v/>
      </c>
      <c r="I243" s="10">
        <f>IF(COUNT(D243:F243)=0,"",MAX(D243:F243))</f>
        <v/>
      </c>
      <c r="J243" s="11">
        <f>IF(OR(G243="",G243=0),"",(I243-G243)/G243)</f>
        <v/>
      </c>
      <c r="K243" s="4">
        <f>IF(COUNT(D243:F243)=0,"",INDEX($D$1:$F$1,MATCH(MIN(D243:F243),D243:F243,0)))</f>
        <v/>
      </c>
      <c r="L243" s="10" t="n">
        <v>2149</v>
      </c>
      <c r="M243" s="12" t="n">
        <v>1</v>
      </c>
    </row>
    <row r="244">
      <c r="A244" s="4" t="inlineStr">
        <is>
          <t>MAT-20-015</t>
        </is>
      </c>
      <c r="B244" s="5" t="inlineStr">
        <is>
          <t>Angular de hierro negro 2 1/2" x 1/4" x 20 pies</t>
        </is>
      </c>
      <c r="C244" s="4" t="inlineStr">
        <is>
          <t>unidad</t>
        </is>
      </c>
      <c r="D244" s="10" t="n">
        <v>2870</v>
      </c>
      <c r="E244" s="10" t="n"/>
      <c r="F244" s="10" t="n"/>
      <c r="G244" s="10">
        <f>IF(COUNT(D244:F244)=0,"",MIN(D244:F244))</f>
        <v/>
      </c>
      <c r="H244" s="10">
        <f>IF(COUNT(D244:F244)=0,"",MEDIAN(D244:F244))</f>
        <v/>
      </c>
      <c r="I244" s="10">
        <f>IF(COUNT(D244:F244)=0,"",MAX(D244:F244))</f>
        <v/>
      </c>
      <c r="J244" s="11">
        <f>IF(OR(G244="",G244=0),"",(I244-G244)/G244)</f>
        <v/>
      </c>
      <c r="K244" s="4">
        <f>IF(COUNT(D244:F244)=0,"",INDEX($D$1:$F$1,MATCH(MIN(D244:F244),D244:F244,0)))</f>
        <v/>
      </c>
      <c r="L244" s="10" t="n">
        <v>2870</v>
      </c>
      <c r="M244" s="12" t="n">
        <v>1</v>
      </c>
    </row>
    <row r="245">
      <c r="A245" s="4" t="inlineStr">
        <is>
          <t>MAT-20-016</t>
        </is>
      </c>
      <c r="B245" s="5" t="inlineStr">
        <is>
          <t>Angular de hierro negro 2 1/2" x 3/8" x 20 pies</t>
        </is>
      </c>
      <c r="C245" s="4" t="inlineStr">
        <is>
          <t>unidad</t>
        </is>
      </c>
      <c r="D245" s="10" t="n">
        <v>4130</v>
      </c>
      <c r="E245" s="10" t="n"/>
      <c r="F245" s="10" t="n"/>
      <c r="G245" s="10">
        <f>IF(COUNT(D245:F245)=0,"",MIN(D245:F245))</f>
        <v/>
      </c>
      <c r="H245" s="10">
        <f>IF(COUNT(D245:F245)=0,"",MEDIAN(D245:F245))</f>
        <v/>
      </c>
      <c r="I245" s="10">
        <f>IF(COUNT(D245:F245)=0,"",MAX(D245:F245))</f>
        <v/>
      </c>
      <c r="J245" s="11">
        <f>IF(OR(G245="",G245=0),"",(I245-G245)/G245)</f>
        <v/>
      </c>
      <c r="K245" s="4">
        <f>IF(COUNT(D245:F245)=0,"",INDEX($D$1:$F$1,MATCH(MIN(D245:F245),D245:F245,0)))</f>
        <v/>
      </c>
      <c r="L245" s="10" t="n">
        <v>4130</v>
      </c>
      <c r="M245" s="12" t="n">
        <v>1</v>
      </c>
    </row>
    <row r="246">
      <c r="A246" s="4" t="inlineStr">
        <is>
          <t>MAT-20-017</t>
        </is>
      </c>
      <c r="B246" s="5" t="inlineStr">
        <is>
          <t>Angular de hierro negro 3" x 1/4" x 20 pies</t>
        </is>
      </c>
      <c r="C246" s="4" t="inlineStr">
        <is>
          <t>unidad</t>
        </is>
      </c>
      <c r="D246" s="10" t="n">
        <v>3430</v>
      </c>
      <c r="E246" s="10" t="n"/>
      <c r="F246" s="10" t="n"/>
      <c r="G246" s="10">
        <f>IF(COUNT(D246:F246)=0,"",MIN(D246:F246))</f>
        <v/>
      </c>
      <c r="H246" s="10">
        <f>IF(COUNT(D246:F246)=0,"",MEDIAN(D246:F246))</f>
        <v/>
      </c>
      <c r="I246" s="10">
        <f>IF(COUNT(D246:F246)=0,"",MAX(D246:F246))</f>
        <v/>
      </c>
      <c r="J246" s="11">
        <f>IF(OR(G246="",G246=0),"",(I246-G246)/G246)</f>
        <v/>
      </c>
      <c r="K246" s="4">
        <f>IF(COUNT(D246:F246)=0,"",INDEX($D$1:$F$1,MATCH(MIN(D246:F246),D246:F246,0)))</f>
        <v/>
      </c>
      <c r="L246" s="10" t="n">
        <v>3430</v>
      </c>
      <c r="M246" s="12" t="n">
        <v>1</v>
      </c>
    </row>
    <row r="247">
      <c r="A247" s="4" t="inlineStr">
        <is>
          <t>MAT-20-018</t>
        </is>
      </c>
      <c r="B247" s="5" t="inlineStr">
        <is>
          <t>Angular de hierro negro 3" x 3/8" x 20 pies</t>
        </is>
      </c>
      <c r="C247" s="4" t="inlineStr">
        <is>
          <t>unidad</t>
        </is>
      </c>
      <c r="D247" s="10" t="n">
        <v>5622.2</v>
      </c>
      <c r="E247" s="10" t="n"/>
      <c r="F247" s="10" t="n"/>
      <c r="G247" s="10">
        <f>IF(COUNT(D247:F247)=0,"",MIN(D247:F247))</f>
        <v/>
      </c>
      <c r="H247" s="10">
        <f>IF(COUNT(D247:F247)=0,"",MEDIAN(D247:F247))</f>
        <v/>
      </c>
      <c r="I247" s="10">
        <f>IF(COUNT(D247:F247)=0,"",MAX(D247:F247))</f>
        <v/>
      </c>
      <c r="J247" s="11">
        <f>IF(OR(G247="",G247=0),"",(I247-G247)/G247)</f>
        <v/>
      </c>
      <c r="K247" s="4">
        <f>IF(COUNT(D247:F247)=0,"",INDEX($D$1:$F$1,MATCH(MIN(D247:F247),D247:F247,0)))</f>
        <v/>
      </c>
      <c r="L247" s="10" t="n">
        <v>5622.2</v>
      </c>
      <c r="M247" s="12" t="n">
        <v>1</v>
      </c>
    </row>
    <row r="248">
      <c r="A248" s="4" t="inlineStr">
        <is>
          <t>MAT-20-019</t>
        </is>
      </c>
      <c r="B248" s="5" t="inlineStr">
        <is>
          <t>Angular de hierro negro 4" x 1/4" x 20 pies</t>
        </is>
      </c>
      <c r="C248" s="4" t="inlineStr">
        <is>
          <t>unidad</t>
        </is>
      </c>
      <c r="D248" s="10" t="n">
        <v>4117.73</v>
      </c>
      <c r="E248" s="10" t="n"/>
      <c r="F248" s="10" t="n"/>
      <c r="G248" s="10">
        <f>IF(COUNT(D248:F248)=0,"",MIN(D248:F248))</f>
        <v/>
      </c>
      <c r="H248" s="10">
        <f>IF(COUNT(D248:F248)=0,"",MEDIAN(D248:F248))</f>
        <v/>
      </c>
      <c r="I248" s="10">
        <f>IF(COUNT(D248:F248)=0,"",MAX(D248:F248))</f>
        <v/>
      </c>
      <c r="J248" s="11">
        <f>IF(OR(G248="",G248=0),"",(I248-G248)/G248)</f>
        <v/>
      </c>
      <c r="K248" s="4">
        <f>IF(COUNT(D248:F248)=0,"",INDEX($D$1:$F$1,MATCH(MIN(D248:F248),D248:F248,0)))</f>
        <v/>
      </c>
      <c r="L248" s="10" t="n">
        <v>4117.73</v>
      </c>
      <c r="M248" s="12" t="n">
        <v>1</v>
      </c>
    </row>
    <row r="249">
      <c r="A249" s="4" t="inlineStr">
        <is>
          <t>MAT-20-020</t>
        </is>
      </c>
      <c r="B249" s="5" t="inlineStr">
        <is>
          <t>Angular de hierro negro 4" x 1/2" x 20 pies</t>
        </is>
      </c>
      <c r="C249" s="4" t="inlineStr">
        <is>
          <t>unidad</t>
        </is>
      </c>
      <c r="D249" s="10" t="n">
        <v>9995.309999999999</v>
      </c>
      <c r="E249" s="10" t="n"/>
      <c r="F249" s="10" t="n"/>
      <c r="G249" s="10">
        <f>IF(COUNT(D249:F249)=0,"",MIN(D249:F249))</f>
        <v/>
      </c>
      <c r="H249" s="10">
        <f>IF(COUNT(D249:F249)=0,"",MEDIAN(D249:F249))</f>
        <v/>
      </c>
      <c r="I249" s="10">
        <f>IF(COUNT(D249:F249)=0,"",MAX(D249:F249))</f>
        <v/>
      </c>
      <c r="J249" s="11">
        <f>IF(OR(G249="",G249=0),"",(I249-G249)/G249)</f>
        <v/>
      </c>
      <c r="K249" s="4">
        <f>IF(COUNT(D249:F249)=0,"",INDEX($D$1:$F$1,MATCH(MIN(D249:F249),D249:F249,0)))</f>
        <v/>
      </c>
      <c r="L249" s="10" t="n">
        <v>9995.309999999999</v>
      </c>
      <c r="M249" s="12" t="n">
        <v>1</v>
      </c>
    </row>
    <row r="250">
      <c r="A250" s="4" t="inlineStr">
        <is>
          <t>MAT-20-021</t>
        </is>
      </c>
      <c r="B250" s="5" t="inlineStr">
        <is>
          <t>Angular perforado, 1-1/2X1-1/2"X10'</t>
        </is>
      </c>
      <c r="C250" s="4" t="inlineStr">
        <is>
          <t>unidad</t>
        </is>
      </c>
      <c r="D250" s="10" t="n"/>
      <c r="E250" s="10" t="n">
        <v>425</v>
      </c>
      <c r="F250" s="10" t="n"/>
      <c r="G250" s="10">
        <f>IF(COUNT(D250:F250)=0,"",MIN(D250:F250))</f>
        <v/>
      </c>
      <c r="H250" s="10">
        <f>IF(COUNT(D250:F250)=0,"",MEDIAN(D250:F250))</f>
        <v/>
      </c>
      <c r="I250" s="10">
        <f>IF(COUNT(D250:F250)=0,"",MAX(D250:F250))</f>
        <v/>
      </c>
      <c r="J250" s="11">
        <f>IF(OR(G250="",G250=0),"",(I250-G250)/G250)</f>
        <v/>
      </c>
      <c r="K250" s="4">
        <f>IF(COUNT(D250:F250)=0,"",INDEX($D$1:$F$1,MATCH(MIN(D250:F250),D250:F250,0)))</f>
        <v/>
      </c>
      <c r="L250" s="10" t="n">
        <v>425</v>
      </c>
      <c r="M250" s="12" t="n">
        <v>1</v>
      </c>
    </row>
    <row r="251">
      <c r="A251" s="4" t="inlineStr">
        <is>
          <t>MAT-20-022</t>
        </is>
      </c>
      <c r="B251" s="5" t="inlineStr">
        <is>
          <t>Angular perforado, 1-1/2X1-1/2"X8'</t>
        </is>
      </c>
      <c r="C251" s="4" t="inlineStr">
        <is>
          <t>unidad</t>
        </is>
      </c>
      <c r="D251" s="10" t="n"/>
      <c r="E251" s="10" t="n">
        <v>360</v>
      </c>
      <c r="F251" s="10" t="n"/>
      <c r="G251" s="10">
        <f>IF(COUNT(D251:F251)=0,"",MIN(D251:F251))</f>
        <v/>
      </c>
      <c r="H251" s="10">
        <f>IF(COUNT(D251:F251)=0,"",MEDIAN(D251:F251))</f>
        <v/>
      </c>
      <c r="I251" s="10">
        <f>IF(COUNT(D251:F251)=0,"",MAX(D251:F251))</f>
        <v/>
      </c>
      <c r="J251" s="11">
        <f>IF(OR(G251="",G251=0),"",(I251-G251)/G251)</f>
        <v/>
      </c>
      <c r="K251" s="4">
        <f>IF(COUNT(D251:F251)=0,"",INDEX($D$1:$F$1,MATCH(MIN(D251:F251),D251:F251,0)))</f>
        <v/>
      </c>
      <c r="L251" s="10" t="n">
        <v>360</v>
      </c>
      <c r="M251" s="12" t="n">
        <v>1</v>
      </c>
    </row>
    <row r="252">
      <c r="A252" s="4" t="inlineStr">
        <is>
          <t>MAT-20-023</t>
        </is>
      </c>
      <c r="B252" s="5" t="inlineStr">
        <is>
          <t>Planchuela de hierro negro 1/2" x 1/8" x 20 pies</t>
        </is>
      </c>
      <c r="C252" s="4" t="inlineStr">
        <is>
          <t>unidad</t>
        </is>
      </c>
      <c r="D252" s="10" t="n">
        <v>141.64</v>
      </c>
      <c r="E252" s="10" t="n"/>
      <c r="F252" s="10" t="n"/>
      <c r="G252" s="10">
        <f>IF(COUNT(D252:F252)=0,"",MIN(D252:F252))</f>
        <v/>
      </c>
      <c r="H252" s="10">
        <f>IF(COUNT(D252:F252)=0,"",MEDIAN(D252:F252))</f>
        <v/>
      </c>
      <c r="I252" s="10">
        <f>IF(COUNT(D252:F252)=0,"",MAX(D252:F252))</f>
        <v/>
      </c>
      <c r="J252" s="11">
        <f>IF(OR(G252="",G252=0),"",(I252-G252)/G252)</f>
        <v/>
      </c>
      <c r="K252" s="4">
        <f>IF(COUNT(D252:F252)=0,"",INDEX($D$1:$F$1,MATCH(MIN(D252:F252),D252:F252,0)))</f>
        <v/>
      </c>
      <c r="L252" s="10" t="n">
        <v>141.64</v>
      </c>
      <c r="M252" s="12" t="n">
        <v>1</v>
      </c>
    </row>
    <row r="253">
      <c r="A253" s="4" t="inlineStr">
        <is>
          <t>MAT-20-024</t>
        </is>
      </c>
      <c r="B253" s="5" t="inlineStr">
        <is>
          <t>Planchuela de hierro negro 1/2" x 3/16" x 20 pies</t>
        </is>
      </c>
      <c r="C253" s="4" t="inlineStr">
        <is>
          <t>unidad</t>
        </is>
      </c>
      <c r="D253" s="10" t="n">
        <v>249.92</v>
      </c>
      <c r="E253" s="10" t="n"/>
      <c r="F253" s="10" t="n"/>
      <c r="G253" s="10">
        <f>IF(COUNT(D253:F253)=0,"",MIN(D253:F253))</f>
        <v/>
      </c>
      <c r="H253" s="10">
        <f>IF(COUNT(D253:F253)=0,"",MEDIAN(D253:F253))</f>
        <v/>
      </c>
      <c r="I253" s="10">
        <f>IF(COUNT(D253:F253)=0,"",MAX(D253:F253))</f>
        <v/>
      </c>
      <c r="J253" s="11">
        <f>IF(OR(G253="",G253=0),"",(I253-G253)/G253)</f>
        <v/>
      </c>
      <c r="K253" s="4">
        <f>IF(COUNT(D253:F253)=0,"",INDEX($D$1:$F$1,MATCH(MIN(D253:F253),D253:F253,0)))</f>
        <v/>
      </c>
      <c r="L253" s="10" t="n">
        <v>249.92</v>
      </c>
      <c r="M253" s="12" t="n">
        <v>1</v>
      </c>
    </row>
    <row r="254">
      <c r="A254" s="4" t="inlineStr">
        <is>
          <t>MAT-20-025</t>
        </is>
      </c>
      <c r="B254" s="5" t="inlineStr">
        <is>
          <t>Planchuela de hierro negro 1/2" x 1/4" x 20 pies</t>
        </is>
      </c>
      <c r="C254" s="4" t="inlineStr">
        <is>
          <t>unidad</t>
        </is>
      </c>
      <c r="D254" s="10" t="n">
        <v>331.8</v>
      </c>
      <c r="E254" s="10" t="n"/>
      <c r="F254" s="10" t="n"/>
      <c r="G254" s="10">
        <f>IF(COUNT(D254:F254)=0,"",MIN(D254:F254))</f>
        <v/>
      </c>
      <c r="H254" s="10">
        <f>IF(COUNT(D254:F254)=0,"",MEDIAN(D254:F254))</f>
        <v/>
      </c>
      <c r="I254" s="10">
        <f>IF(COUNT(D254:F254)=0,"",MAX(D254:F254))</f>
        <v/>
      </c>
      <c r="J254" s="11">
        <f>IF(OR(G254="",G254=0),"",(I254-G254)/G254)</f>
        <v/>
      </c>
      <c r="K254" s="4">
        <f>IF(COUNT(D254:F254)=0,"",INDEX($D$1:$F$1,MATCH(MIN(D254:F254),D254:F254,0)))</f>
        <v/>
      </c>
      <c r="L254" s="10" t="n">
        <v>331.8</v>
      </c>
      <c r="M254" s="12" t="n">
        <v>1</v>
      </c>
    </row>
    <row r="255">
      <c r="A255" s="4" t="inlineStr">
        <is>
          <t>MAT-20-026</t>
        </is>
      </c>
      <c r="B255" s="5" t="inlineStr">
        <is>
          <t>Planchuela de hierro negro 3/4" x 1/8" x 20 pies</t>
        </is>
      </c>
      <c r="C255" s="4" t="inlineStr">
        <is>
          <t>unidad</t>
        </is>
      </c>
      <c r="D255" s="10" t="n">
        <v>298.91</v>
      </c>
      <c r="E255" s="10" t="n"/>
      <c r="F255" s="10" t="n"/>
      <c r="G255" s="10">
        <f>IF(COUNT(D255:F255)=0,"",MIN(D255:F255))</f>
        <v/>
      </c>
      <c r="H255" s="10">
        <f>IF(COUNT(D255:F255)=0,"",MEDIAN(D255:F255))</f>
        <v/>
      </c>
      <c r="I255" s="10">
        <f>IF(COUNT(D255:F255)=0,"",MAX(D255:F255))</f>
        <v/>
      </c>
      <c r="J255" s="11">
        <f>IF(OR(G255="",G255=0),"",(I255-G255)/G255)</f>
        <v/>
      </c>
      <c r="K255" s="4">
        <f>IF(COUNT(D255:F255)=0,"",INDEX($D$1:$F$1,MATCH(MIN(D255:F255),D255:F255,0)))</f>
        <v/>
      </c>
      <c r="L255" s="10" t="n">
        <v>298.91</v>
      </c>
      <c r="M255" s="12" t="n">
        <v>1</v>
      </c>
    </row>
    <row r="256">
      <c r="A256" s="4" t="inlineStr">
        <is>
          <t>MAT-20-027</t>
        </is>
      </c>
      <c r="B256" s="5" t="inlineStr">
        <is>
          <t>Planchuela de hierro negro 3/4" x 3/16" x 20 pies</t>
        </is>
      </c>
      <c r="C256" s="4" t="inlineStr">
        <is>
          <t>unidad</t>
        </is>
      </c>
      <c r="D256" s="10" t="n">
        <v>373</v>
      </c>
      <c r="E256" s="10" t="n"/>
      <c r="F256" s="10" t="n"/>
      <c r="G256" s="10">
        <f>IF(COUNT(D256:F256)=0,"",MIN(D256:F256))</f>
        <v/>
      </c>
      <c r="H256" s="10">
        <f>IF(COUNT(D256:F256)=0,"",MEDIAN(D256:F256))</f>
        <v/>
      </c>
      <c r="I256" s="10">
        <f>IF(COUNT(D256:F256)=0,"",MAX(D256:F256))</f>
        <v/>
      </c>
      <c r="J256" s="11">
        <f>IF(OR(G256="",G256=0),"",(I256-G256)/G256)</f>
        <v/>
      </c>
      <c r="K256" s="4">
        <f>IF(COUNT(D256:F256)=0,"",INDEX($D$1:$F$1,MATCH(MIN(D256:F256),D256:F256,0)))</f>
        <v/>
      </c>
      <c r="L256" s="10" t="n">
        <v>373</v>
      </c>
      <c r="M256" s="12" t="n">
        <v>1</v>
      </c>
    </row>
    <row r="257">
      <c r="A257" s="4" t="inlineStr">
        <is>
          <t>MAT-20-028</t>
        </is>
      </c>
      <c r="B257" s="5" t="inlineStr">
        <is>
          <t>Planchuela de hierro negro 3/4" x 1/4" x 20 pies</t>
        </is>
      </c>
      <c r="C257" s="4" t="inlineStr">
        <is>
          <t>unidad</t>
        </is>
      </c>
      <c r="D257" s="10" t="n">
        <v>497.72</v>
      </c>
      <c r="E257" s="10" t="n"/>
      <c r="F257" s="10" t="n"/>
      <c r="G257" s="10">
        <f>IF(COUNT(D257:F257)=0,"",MIN(D257:F257))</f>
        <v/>
      </c>
      <c r="H257" s="10">
        <f>IF(COUNT(D257:F257)=0,"",MEDIAN(D257:F257))</f>
        <v/>
      </c>
      <c r="I257" s="10">
        <f>IF(COUNT(D257:F257)=0,"",MAX(D257:F257))</f>
        <v/>
      </c>
      <c r="J257" s="11">
        <f>IF(OR(G257="",G257=0),"",(I257-G257)/G257)</f>
        <v/>
      </c>
      <c r="K257" s="4">
        <f>IF(COUNT(D257:F257)=0,"",INDEX($D$1:$F$1,MATCH(MIN(D257:F257),D257:F257,0)))</f>
        <v/>
      </c>
      <c r="L257" s="10" t="n">
        <v>497.72</v>
      </c>
      <c r="M257" s="12" t="n">
        <v>1</v>
      </c>
    </row>
    <row r="258">
      <c r="A258" s="4" t="inlineStr">
        <is>
          <t>MAT-20-029</t>
        </is>
      </c>
      <c r="B258" s="5" t="inlineStr">
        <is>
          <t>Planchuela de hierro negro 1" x 1/8" x 20 pies</t>
        </is>
      </c>
      <c r="C258" s="4" t="inlineStr">
        <is>
          <t>unidad</t>
        </is>
      </c>
      <c r="D258" s="10" t="n">
        <v>297.5</v>
      </c>
      <c r="E258" s="10" t="n"/>
      <c r="F258" s="10" t="n"/>
      <c r="G258" s="10">
        <f>IF(COUNT(D258:F258)=0,"",MIN(D258:F258))</f>
        <v/>
      </c>
      <c r="H258" s="10">
        <f>IF(COUNT(D258:F258)=0,"",MEDIAN(D258:F258))</f>
        <v/>
      </c>
      <c r="I258" s="10">
        <f>IF(COUNT(D258:F258)=0,"",MAX(D258:F258))</f>
        <v/>
      </c>
      <c r="J258" s="11">
        <f>IF(OR(G258="",G258=0),"",(I258-G258)/G258)</f>
        <v/>
      </c>
      <c r="K258" s="4">
        <f>IF(COUNT(D258:F258)=0,"",INDEX($D$1:$F$1,MATCH(MIN(D258:F258),D258:F258,0)))</f>
        <v/>
      </c>
      <c r="L258" s="10" t="n">
        <v>297.5</v>
      </c>
      <c r="M258" s="12" t="n">
        <v>1</v>
      </c>
    </row>
    <row r="259">
      <c r="A259" s="4" t="inlineStr">
        <is>
          <t>MAT-20-030</t>
        </is>
      </c>
      <c r="B259" s="5" t="inlineStr">
        <is>
          <t>Planchuela de hierro negro 1" x 3/16" x 20 pies</t>
        </is>
      </c>
      <c r="C259" s="4" t="inlineStr">
        <is>
          <t>unidad</t>
        </is>
      </c>
      <c r="D259" s="10" t="n">
        <v>446.25</v>
      </c>
      <c r="E259" s="10" t="n"/>
      <c r="F259" s="10" t="n"/>
      <c r="G259" s="10">
        <f>IF(COUNT(D259:F259)=0,"",MIN(D259:F259))</f>
        <v/>
      </c>
      <c r="H259" s="10">
        <f>IF(COUNT(D259:F259)=0,"",MEDIAN(D259:F259))</f>
        <v/>
      </c>
      <c r="I259" s="10">
        <f>IF(COUNT(D259:F259)=0,"",MAX(D259:F259))</f>
        <v/>
      </c>
      <c r="J259" s="11">
        <f>IF(OR(G259="",G259=0),"",(I259-G259)/G259)</f>
        <v/>
      </c>
      <c r="K259" s="4">
        <f>IF(COUNT(D259:F259)=0,"",INDEX($D$1:$F$1,MATCH(MIN(D259:F259),D259:F259,0)))</f>
        <v/>
      </c>
      <c r="L259" s="10" t="n">
        <v>446.25</v>
      </c>
      <c r="M259" s="12" t="n">
        <v>1</v>
      </c>
    </row>
    <row r="260">
      <c r="A260" s="4" t="inlineStr">
        <is>
          <t>MAT-20-031</t>
        </is>
      </c>
      <c r="B260" s="5" t="inlineStr">
        <is>
          <t>Planchuela de hierro negro 1" x 1/4" x 20 pies</t>
        </is>
      </c>
      <c r="C260" s="4" t="inlineStr">
        <is>
          <t>unidad</t>
        </is>
      </c>
      <c r="D260" s="10" t="n">
        <v>595</v>
      </c>
      <c r="E260" s="10" t="n"/>
      <c r="F260" s="10" t="n"/>
      <c r="G260" s="10">
        <f>IF(COUNT(D260:F260)=0,"",MIN(D260:F260))</f>
        <v/>
      </c>
      <c r="H260" s="10">
        <f>IF(COUNT(D260:F260)=0,"",MEDIAN(D260:F260))</f>
        <v/>
      </c>
      <c r="I260" s="10">
        <f>IF(COUNT(D260:F260)=0,"",MAX(D260:F260))</f>
        <v/>
      </c>
      <c r="J260" s="11">
        <f>IF(OR(G260="",G260=0),"",(I260-G260)/G260)</f>
        <v/>
      </c>
      <c r="K260" s="4">
        <f>IF(COUNT(D260:F260)=0,"",INDEX($D$1:$F$1,MATCH(MIN(D260:F260),D260:F260,0)))</f>
        <v/>
      </c>
      <c r="L260" s="10" t="n">
        <v>595</v>
      </c>
      <c r="M260" s="12" t="n">
        <v>1</v>
      </c>
    </row>
    <row r="261">
      <c r="A261" s="4" t="inlineStr">
        <is>
          <t>MAT-20-032</t>
        </is>
      </c>
      <c r="B261" s="5" t="inlineStr">
        <is>
          <t>Planchuela de hierro negro 1" x 1/2" x 20 pies</t>
        </is>
      </c>
      <c r="C261" s="4" t="inlineStr">
        <is>
          <t>unidad</t>
        </is>
      </c>
      <c r="D261" s="10" t="n">
        <v>1327.5</v>
      </c>
      <c r="E261" s="10" t="n"/>
      <c r="F261" s="10" t="n"/>
      <c r="G261" s="10">
        <f>IF(COUNT(D261:F261)=0,"",MIN(D261:F261))</f>
        <v/>
      </c>
      <c r="H261" s="10">
        <f>IF(COUNT(D261:F261)=0,"",MEDIAN(D261:F261))</f>
        <v/>
      </c>
      <c r="I261" s="10">
        <f>IF(COUNT(D261:F261)=0,"",MAX(D261:F261))</f>
        <v/>
      </c>
      <c r="J261" s="11">
        <f>IF(OR(G261="",G261=0),"",(I261-G261)/G261)</f>
        <v/>
      </c>
      <c r="K261" s="4">
        <f>IF(COUNT(D261:F261)=0,"",INDEX($D$1:$F$1,MATCH(MIN(D261:F261),D261:F261,0)))</f>
        <v/>
      </c>
      <c r="L261" s="10" t="n">
        <v>1327.5</v>
      </c>
      <c r="M261" s="12" t="n">
        <v>1</v>
      </c>
    </row>
    <row r="262">
      <c r="A262" s="4" t="inlineStr">
        <is>
          <t>MAT-20-033</t>
        </is>
      </c>
      <c r="B262" s="5" t="inlineStr">
        <is>
          <t>Planchuela de hierro negro 1 1/4" x 1/8" x 20 pies</t>
        </is>
      </c>
      <c r="C262" s="4" t="inlineStr">
        <is>
          <t>unidad</t>
        </is>
      </c>
      <c r="D262" s="10" t="n">
        <v>415.35</v>
      </c>
      <c r="E262" s="10" t="n"/>
      <c r="F262" s="10" t="n"/>
      <c r="G262" s="10">
        <f>IF(COUNT(D262:F262)=0,"",MIN(D262:F262))</f>
        <v/>
      </c>
      <c r="H262" s="10">
        <f>IF(COUNT(D262:F262)=0,"",MEDIAN(D262:F262))</f>
        <v/>
      </c>
      <c r="I262" s="10">
        <f>IF(COUNT(D262:F262)=0,"",MAX(D262:F262))</f>
        <v/>
      </c>
      <c r="J262" s="11">
        <f>IF(OR(G262="",G262=0),"",(I262-G262)/G262)</f>
        <v/>
      </c>
      <c r="K262" s="4">
        <f>IF(COUNT(D262:F262)=0,"",INDEX($D$1:$F$1,MATCH(MIN(D262:F262),D262:F262,0)))</f>
        <v/>
      </c>
      <c r="L262" s="10" t="n">
        <v>415.35</v>
      </c>
      <c r="M262" s="12" t="n">
        <v>1</v>
      </c>
    </row>
    <row r="263">
      <c r="A263" s="4" t="inlineStr">
        <is>
          <t>MAT-20-034</t>
        </is>
      </c>
      <c r="B263" s="5" t="inlineStr">
        <is>
          <t>Planchuela de hierro negro 1 1/4" x 3/16" x 20 pies</t>
        </is>
      </c>
      <c r="C263" s="4" t="inlineStr">
        <is>
          <t>unidad</t>
        </is>
      </c>
      <c r="D263" s="10" t="n">
        <v>614.58</v>
      </c>
      <c r="E263" s="10" t="n"/>
      <c r="F263" s="10" t="n"/>
      <c r="G263" s="10">
        <f>IF(COUNT(D263:F263)=0,"",MIN(D263:F263))</f>
        <v/>
      </c>
      <c r="H263" s="10">
        <f>IF(COUNT(D263:F263)=0,"",MEDIAN(D263:F263))</f>
        <v/>
      </c>
      <c r="I263" s="10">
        <f>IF(COUNT(D263:F263)=0,"",MAX(D263:F263))</f>
        <v/>
      </c>
      <c r="J263" s="11">
        <f>IF(OR(G263="",G263=0),"",(I263-G263)/G263)</f>
        <v/>
      </c>
      <c r="K263" s="4">
        <f>IF(COUNT(D263:F263)=0,"",INDEX($D$1:$F$1,MATCH(MIN(D263:F263),D263:F263,0)))</f>
        <v/>
      </c>
      <c r="L263" s="10" t="n">
        <v>614.58</v>
      </c>
      <c r="M263" s="12" t="n">
        <v>1</v>
      </c>
    </row>
    <row r="264">
      <c r="A264" s="4" t="inlineStr">
        <is>
          <t>MAT-20-035</t>
        </is>
      </c>
      <c r="B264" s="5" t="inlineStr">
        <is>
          <t>Planchuela de hierro negro 1 1/4" x 1/4" x 20 pies</t>
        </is>
      </c>
      <c r="C264" s="4" t="inlineStr">
        <is>
          <t>unidad</t>
        </is>
      </c>
      <c r="D264" s="10" t="n">
        <v>745.5</v>
      </c>
      <c r="E264" s="10" t="n"/>
      <c r="F264" s="10" t="n"/>
      <c r="G264" s="10">
        <f>IF(COUNT(D264:F264)=0,"",MIN(D264:F264))</f>
        <v/>
      </c>
      <c r="H264" s="10">
        <f>IF(COUNT(D264:F264)=0,"",MEDIAN(D264:F264))</f>
        <v/>
      </c>
      <c r="I264" s="10">
        <f>IF(COUNT(D264:F264)=0,"",MAX(D264:F264))</f>
        <v/>
      </c>
      <c r="J264" s="11">
        <f>IF(OR(G264="",G264=0),"",(I264-G264)/G264)</f>
        <v/>
      </c>
      <c r="K264" s="4">
        <f>IF(COUNT(D264:F264)=0,"",INDEX($D$1:$F$1,MATCH(MIN(D264:F264),D264:F264,0)))</f>
        <v/>
      </c>
      <c r="L264" s="10" t="n">
        <v>745.5</v>
      </c>
      <c r="M264" s="12" t="n">
        <v>1</v>
      </c>
    </row>
    <row r="265">
      <c r="A265" s="4" t="inlineStr">
        <is>
          <t>MAT-20-036</t>
        </is>
      </c>
      <c r="B265" s="5" t="inlineStr">
        <is>
          <t>Planchuela de hierro negro 1 1/4" x 3/8" x 20 pies</t>
        </is>
      </c>
      <c r="C265" s="4" t="inlineStr">
        <is>
          <t>unidad</t>
        </is>
      </c>
      <c r="D265" s="10" t="n">
        <v>1115.73</v>
      </c>
      <c r="E265" s="10" t="n"/>
      <c r="F265" s="10" t="n"/>
      <c r="G265" s="10">
        <f>IF(COUNT(D265:F265)=0,"",MIN(D265:F265))</f>
        <v/>
      </c>
      <c r="H265" s="10">
        <f>IF(COUNT(D265:F265)=0,"",MEDIAN(D265:F265))</f>
        <v/>
      </c>
      <c r="I265" s="10">
        <f>IF(COUNT(D265:F265)=0,"",MAX(D265:F265))</f>
        <v/>
      </c>
      <c r="J265" s="11">
        <f>IF(OR(G265="",G265=0),"",(I265-G265)/G265)</f>
        <v/>
      </c>
      <c r="K265" s="4">
        <f>IF(COUNT(D265:F265)=0,"",INDEX($D$1:$F$1,MATCH(MIN(D265:F265),D265:F265,0)))</f>
        <v/>
      </c>
      <c r="L265" s="10" t="n">
        <v>1115.73</v>
      </c>
      <c r="M265" s="12" t="n">
        <v>1</v>
      </c>
    </row>
    <row r="266">
      <c r="A266" s="4" t="inlineStr">
        <is>
          <t>MAT-20-037</t>
        </is>
      </c>
      <c r="B266" s="5" t="inlineStr">
        <is>
          <t>Planchuela de hierro negro 1 1/2" x 1/8" x 20 pies</t>
        </is>
      </c>
      <c r="C266" s="4" t="inlineStr">
        <is>
          <t>unidad</t>
        </is>
      </c>
      <c r="D266" s="10" t="n">
        <v>451.7</v>
      </c>
      <c r="E266" s="10" t="n"/>
      <c r="F266" s="10" t="n"/>
      <c r="G266" s="10">
        <f>IF(COUNT(D266:F266)=0,"",MIN(D266:F266))</f>
        <v/>
      </c>
      <c r="H266" s="10">
        <f>IF(COUNT(D266:F266)=0,"",MEDIAN(D266:F266))</f>
        <v/>
      </c>
      <c r="I266" s="10">
        <f>IF(COUNT(D266:F266)=0,"",MAX(D266:F266))</f>
        <v/>
      </c>
      <c r="J266" s="11">
        <f>IF(OR(G266="",G266=0),"",(I266-G266)/G266)</f>
        <v/>
      </c>
      <c r="K266" s="4">
        <f>IF(COUNT(D266:F266)=0,"",INDEX($D$1:$F$1,MATCH(MIN(D266:F266),D266:F266,0)))</f>
        <v/>
      </c>
      <c r="L266" s="10" t="n">
        <v>451.7</v>
      </c>
      <c r="M266" s="12" t="n">
        <v>1</v>
      </c>
    </row>
    <row r="267">
      <c r="A267" s="4" t="inlineStr">
        <is>
          <t>MAT-20-038</t>
        </is>
      </c>
      <c r="B267" s="5" t="inlineStr">
        <is>
          <t>Planchuela de hierro negro 1 1/2" x 3/16" x 20 pies</t>
        </is>
      </c>
      <c r="C267" s="4" t="inlineStr">
        <is>
          <t>unidad</t>
        </is>
      </c>
      <c r="D267" s="10" t="n">
        <v>682.5</v>
      </c>
      <c r="E267" s="10" t="n"/>
      <c r="F267" s="10" t="n"/>
      <c r="G267" s="10">
        <f>IF(COUNT(D267:F267)=0,"",MIN(D267:F267))</f>
        <v/>
      </c>
      <c r="H267" s="10">
        <f>IF(COUNT(D267:F267)=0,"",MEDIAN(D267:F267))</f>
        <v/>
      </c>
      <c r="I267" s="10">
        <f>IF(COUNT(D267:F267)=0,"",MAX(D267:F267))</f>
        <v/>
      </c>
      <c r="J267" s="11">
        <f>IF(OR(G267="",G267=0),"",(I267-G267)/G267)</f>
        <v/>
      </c>
      <c r="K267" s="4">
        <f>IF(COUNT(D267:F267)=0,"",INDEX($D$1:$F$1,MATCH(MIN(D267:F267),D267:F267,0)))</f>
        <v/>
      </c>
      <c r="L267" s="10" t="n">
        <v>682.5</v>
      </c>
      <c r="M267" s="12" t="n">
        <v>1</v>
      </c>
    </row>
    <row r="268">
      <c r="A268" s="4" t="inlineStr">
        <is>
          <t>MAT-20-039</t>
        </is>
      </c>
      <c r="B268" s="5" t="inlineStr">
        <is>
          <t>Planchuela de hierro negro 1 1/2" x 1/4" x 20 pies</t>
        </is>
      </c>
      <c r="C268" s="4" t="inlineStr">
        <is>
          <t>unidad</t>
        </is>
      </c>
      <c r="D268" s="10" t="n">
        <v>892.5</v>
      </c>
      <c r="E268" s="10" t="n"/>
      <c r="F268" s="10" t="n"/>
      <c r="G268" s="10">
        <f>IF(COUNT(D268:F268)=0,"",MIN(D268:F268))</f>
        <v/>
      </c>
      <c r="H268" s="10">
        <f>IF(COUNT(D268:F268)=0,"",MEDIAN(D268:F268))</f>
        <v/>
      </c>
      <c r="I268" s="10">
        <f>IF(COUNT(D268:F268)=0,"",MAX(D268:F268))</f>
        <v/>
      </c>
      <c r="J268" s="11">
        <f>IF(OR(G268="",G268=0),"",(I268-G268)/G268)</f>
        <v/>
      </c>
      <c r="K268" s="4">
        <f>IF(COUNT(D268:F268)=0,"",INDEX($D$1:$F$1,MATCH(MIN(D268:F268),D268:F268,0)))</f>
        <v/>
      </c>
      <c r="L268" s="10" t="n">
        <v>892.5</v>
      </c>
      <c r="M268" s="12" t="n">
        <v>1</v>
      </c>
    </row>
    <row r="269">
      <c r="A269" s="4" t="inlineStr">
        <is>
          <t>MAT-20-040</t>
        </is>
      </c>
      <c r="B269" s="5" t="inlineStr">
        <is>
          <t>Planchuela de hierro negro 1 1/2" x 3/8" x 20 pies</t>
        </is>
      </c>
      <c r="C269" s="4" t="inlineStr">
        <is>
          <t>unidad</t>
        </is>
      </c>
      <c r="D269" s="10" t="n">
        <v>1338.75</v>
      </c>
      <c r="E269" s="10" t="n"/>
      <c r="F269" s="10" t="n"/>
      <c r="G269" s="10">
        <f>IF(COUNT(D269:F269)=0,"",MIN(D269:F269))</f>
        <v/>
      </c>
      <c r="H269" s="10">
        <f>IF(COUNT(D269:F269)=0,"",MEDIAN(D269:F269))</f>
        <v/>
      </c>
      <c r="I269" s="10">
        <f>IF(COUNT(D269:F269)=0,"",MAX(D269:F269))</f>
        <v/>
      </c>
      <c r="J269" s="11">
        <f>IF(OR(G269="",G269=0),"",(I269-G269)/G269)</f>
        <v/>
      </c>
      <c r="K269" s="4">
        <f>IF(COUNT(D269:F269)=0,"",INDEX($D$1:$F$1,MATCH(MIN(D269:F269),D269:F269,0)))</f>
        <v/>
      </c>
      <c r="L269" s="10" t="n">
        <v>1338.75</v>
      </c>
      <c r="M269" s="12" t="n">
        <v>1</v>
      </c>
    </row>
    <row r="270">
      <c r="A270" s="4" t="inlineStr">
        <is>
          <t>MAT-20-041</t>
        </is>
      </c>
      <c r="B270" s="5" t="inlineStr">
        <is>
          <t>Planchuela de hierro negro 1 1/2" x 1/2" x 20 pies</t>
        </is>
      </c>
      <c r="C270" s="4" t="inlineStr">
        <is>
          <t>unidad</t>
        </is>
      </c>
      <c r="D270" s="10" t="n">
        <v>1991.13</v>
      </c>
      <c r="E270" s="10" t="n"/>
      <c r="F270" s="10" t="n"/>
      <c r="G270" s="10">
        <f>IF(COUNT(D270:F270)=0,"",MIN(D270:F270))</f>
        <v/>
      </c>
      <c r="H270" s="10">
        <f>IF(COUNT(D270:F270)=0,"",MEDIAN(D270:F270))</f>
        <v/>
      </c>
      <c r="I270" s="10">
        <f>IF(COUNT(D270:F270)=0,"",MAX(D270:F270))</f>
        <v/>
      </c>
      <c r="J270" s="11">
        <f>IF(OR(G270="",G270=0),"",(I270-G270)/G270)</f>
        <v/>
      </c>
      <c r="K270" s="4">
        <f>IF(COUNT(D270:F270)=0,"",INDEX($D$1:$F$1,MATCH(MIN(D270:F270),D270:F270,0)))</f>
        <v/>
      </c>
      <c r="L270" s="10" t="n">
        <v>1991.13</v>
      </c>
      <c r="M270" s="12" t="n">
        <v>1</v>
      </c>
    </row>
    <row r="271">
      <c r="A271" s="4" t="inlineStr">
        <is>
          <t>MAT-20-042</t>
        </is>
      </c>
      <c r="B271" s="5" t="inlineStr">
        <is>
          <t>Planchuela de hierro negro 2" x 1/8" x 20 pies</t>
        </is>
      </c>
      <c r="C271" s="4" t="inlineStr">
        <is>
          <t>unidad</t>
        </is>
      </c>
      <c r="D271" s="10" t="n">
        <v>595</v>
      </c>
      <c r="E271" s="10" t="n"/>
      <c r="F271" s="10" t="n"/>
      <c r="G271" s="10">
        <f>IF(COUNT(D271:F271)=0,"",MIN(D271:F271))</f>
        <v/>
      </c>
      <c r="H271" s="10">
        <f>IF(COUNT(D271:F271)=0,"",MEDIAN(D271:F271))</f>
        <v/>
      </c>
      <c r="I271" s="10">
        <f>IF(COUNT(D271:F271)=0,"",MAX(D271:F271))</f>
        <v/>
      </c>
      <c r="J271" s="11">
        <f>IF(OR(G271="",G271=0),"",(I271-G271)/G271)</f>
        <v/>
      </c>
      <c r="K271" s="4">
        <f>IF(COUNT(D271:F271)=0,"",INDEX($D$1:$F$1,MATCH(MIN(D271:F271),D271:F271,0)))</f>
        <v/>
      </c>
      <c r="L271" s="10" t="n">
        <v>595</v>
      </c>
      <c r="M271" s="12" t="n">
        <v>1</v>
      </c>
    </row>
    <row r="272">
      <c r="A272" s="4" t="inlineStr">
        <is>
          <t>MAT-20-043</t>
        </is>
      </c>
      <c r="B272" s="5" t="inlineStr">
        <is>
          <t>Planchuela de hierro negro 2" x 3/16" x 20 pies</t>
        </is>
      </c>
      <c r="C272" s="4" t="inlineStr">
        <is>
          <t>unidad</t>
        </is>
      </c>
      <c r="D272" s="10" t="n">
        <v>892.5</v>
      </c>
      <c r="E272" s="10" t="n"/>
      <c r="F272" s="10" t="n"/>
      <c r="G272" s="10">
        <f>IF(COUNT(D272:F272)=0,"",MIN(D272:F272))</f>
        <v/>
      </c>
      <c r="H272" s="10">
        <f>IF(COUNT(D272:F272)=0,"",MEDIAN(D272:F272))</f>
        <v/>
      </c>
      <c r="I272" s="10">
        <f>IF(COUNT(D272:F272)=0,"",MAX(D272:F272))</f>
        <v/>
      </c>
      <c r="J272" s="11">
        <f>IF(OR(G272="",G272=0),"",(I272-G272)/G272)</f>
        <v/>
      </c>
      <c r="K272" s="4">
        <f>IF(COUNT(D272:F272)=0,"",INDEX($D$1:$F$1,MATCH(MIN(D272:F272),D272:F272,0)))</f>
        <v/>
      </c>
      <c r="L272" s="10" t="n">
        <v>892.5</v>
      </c>
      <c r="M272" s="12" t="n">
        <v>1</v>
      </c>
    </row>
    <row r="273">
      <c r="A273" s="4" t="inlineStr">
        <is>
          <t>MAT-20-044</t>
        </is>
      </c>
      <c r="B273" s="5" t="inlineStr">
        <is>
          <t>Planchuela de hierro negro 2" x 1/4" x 20 pies</t>
        </is>
      </c>
      <c r="C273" s="4" t="inlineStr">
        <is>
          <t>unidad</t>
        </is>
      </c>
      <c r="D273" s="10" t="n">
        <v>1189.99</v>
      </c>
      <c r="E273" s="10" t="n"/>
      <c r="F273" s="10" t="n"/>
      <c r="G273" s="10">
        <f>IF(COUNT(D273:F273)=0,"",MIN(D273:F273))</f>
        <v/>
      </c>
      <c r="H273" s="10">
        <f>IF(COUNT(D273:F273)=0,"",MEDIAN(D273:F273))</f>
        <v/>
      </c>
      <c r="I273" s="10">
        <f>IF(COUNT(D273:F273)=0,"",MAX(D273:F273))</f>
        <v/>
      </c>
      <c r="J273" s="11">
        <f>IF(OR(G273="",G273=0),"",(I273-G273)/G273)</f>
        <v/>
      </c>
      <c r="K273" s="4">
        <f>IF(COUNT(D273:F273)=0,"",INDEX($D$1:$F$1,MATCH(MIN(D273:F273),D273:F273,0)))</f>
        <v/>
      </c>
      <c r="L273" s="10" t="n">
        <v>1189.99</v>
      </c>
      <c r="M273" s="12" t="n">
        <v>1</v>
      </c>
    </row>
    <row r="274">
      <c r="A274" s="4" t="inlineStr">
        <is>
          <t>MAT-20-045</t>
        </is>
      </c>
      <c r="B274" s="5" t="inlineStr">
        <is>
          <t>Planchuela de hierro negro 2" x 3/8" x 20 pies</t>
        </is>
      </c>
      <c r="C274" s="4" t="inlineStr">
        <is>
          <t>unidad</t>
        </is>
      </c>
      <c r="D274" s="10" t="n">
        <v>1785</v>
      </c>
      <c r="E274" s="10" t="n"/>
      <c r="F274" s="10" t="n"/>
      <c r="G274" s="10">
        <f>IF(COUNT(D274:F274)=0,"",MIN(D274:F274))</f>
        <v/>
      </c>
      <c r="H274" s="10">
        <f>IF(COUNT(D274:F274)=0,"",MEDIAN(D274:F274))</f>
        <v/>
      </c>
      <c r="I274" s="10">
        <f>IF(COUNT(D274:F274)=0,"",MAX(D274:F274))</f>
        <v/>
      </c>
      <c r="J274" s="11">
        <f>IF(OR(G274="",G274=0),"",(I274-G274)/G274)</f>
        <v/>
      </c>
      <c r="K274" s="4">
        <f>IF(COUNT(D274:F274)=0,"",INDEX($D$1:$F$1,MATCH(MIN(D274:F274),D274:F274,0)))</f>
        <v/>
      </c>
      <c r="L274" s="10" t="n">
        <v>1785</v>
      </c>
      <c r="M274" s="12" t="n">
        <v>1</v>
      </c>
    </row>
    <row r="275">
      <c r="A275" s="4" t="inlineStr">
        <is>
          <t>MAT-20-046</t>
        </is>
      </c>
      <c r="B275" s="5" t="inlineStr">
        <is>
          <t>Planchuela de hierro negro 2" x 1/2" x 20 pies</t>
        </is>
      </c>
      <c r="C275" s="4" t="inlineStr">
        <is>
          <t>unidad</t>
        </is>
      </c>
      <c r="D275" s="10" t="n">
        <v>2380</v>
      </c>
      <c r="E275" s="10" t="n"/>
      <c r="F275" s="10" t="n"/>
      <c r="G275" s="10">
        <f>IF(COUNT(D275:F275)=0,"",MIN(D275:F275))</f>
        <v/>
      </c>
      <c r="H275" s="10">
        <f>IF(COUNT(D275:F275)=0,"",MEDIAN(D275:F275))</f>
        <v/>
      </c>
      <c r="I275" s="10">
        <f>IF(COUNT(D275:F275)=0,"",MAX(D275:F275))</f>
        <v/>
      </c>
      <c r="J275" s="11">
        <f>IF(OR(G275="",G275=0),"",(I275-G275)/G275)</f>
        <v/>
      </c>
      <c r="K275" s="4">
        <f>IF(COUNT(D275:F275)=0,"",INDEX($D$1:$F$1,MATCH(MIN(D275:F275),D275:F275,0)))</f>
        <v/>
      </c>
      <c r="L275" s="10" t="n">
        <v>2380</v>
      </c>
      <c r="M275" s="12" t="n">
        <v>1</v>
      </c>
    </row>
    <row r="276">
      <c r="A276" s="4" t="inlineStr">
        <is>
          <t>MAT-20-047</t>
        </is>
      </c>
      <c r="B276" s="5" t="inlineStr">
        <is>
          <t>Planchuela de hierro negro 2 1/2" x 1/4" x 20 pies</t>
        </is>
      </c>
      <c r="C276" s="4" t="inlineStr">
        <is>
          <t>unidad</t>
        </is>
      </c>
      <c r="D276" s="10" t="n">
        <v>1487.5</v>
      </c>
      <c r="E276" s="10" t="n"/>
      <c r="F276" s="10" t="n"/>
      <c r="G276" s="10">
        <f>IF(COUNT(D276:F276)=0,"",MIN(D276:F276))</f>
        <v/>
      </c>
      <c r="H276" s="10">
        <f>IF(COUNT(D276:F276)=0,"",MEDIAN(D276:F276))</f>
        <v/>
      </c>
      <c r="I276" s="10">
        <f>IF(COUNT(D276:F276)=0,"",MAX(D276:F276))</f>
        <v/>
      </c>
      <c r="J276" s="11">
        <f>IF(OR(G276="",G276=0),"",(I276-G276)/G276)</f>
        <v/>
      </c>
      <c r="K276" s="4">
        <f>IF(COUNT(D276:F276)=0,"",INDEX($D$1:$F$1,MATCH(MIN(D276:F276),D276:F276,0)))</f>
        <v/>
      </c>
      <c r="L276" s="10" t="n">
        <v>1487.5</v>
      </c>
      <c r="M276" s="12" t="n">
        <v>1</v>
      </c>
    </row>
    <row r="277">
      <c r="A277" s="4" t="inlineStr">
        <is>
          <t>MAT-20-048</t>
        </is>
      </c>
      <c r="B277" s="5" t="inlineStr">
        <is>
          <t>Planchuela de hierro negro 2 1/2" x 3/8" x 20 pies</t>
        </is>
      </c>
      <c r="C277" s="4" t="inlineStr">
        <is>
          <t>unidad</t>
        </is>
      </c>
      <c r="D277" s="10" t="n">
        <v>2231.6</v>
      </c>
      <c r="E277" s="10" t="n"/>
      <c r="F277" s="10" t="n"/>
      <c r="G277" s="10">
        <f>IF(COUNT(D277:F277)=0,"",MIN(D277:F277))</f>
        <v/>
      </c>
      <c r="H277" s="10">
        <f>IF(COUNT(D277:F277)=0,"",MEDIAN(D277:F277))</f>
        <v/>
      </c>
      <c r="I277" s="10">
        <f>IF(COUNT(D277:F277)=0,"",MAX(D277:F277))</f>
        <v/>
      </c>
      <c r="J277" s="11">
        <f>IF(OR(G277="",G277=0),"",(I277-G277)/G277)</f>
        <v/>
      </c>
      <c r="K277" s="4">
        <f>IF(COUNT(D277:F277)=0,"",INDEX($D$1:$F$1,MATCH(MIN(D277:F277),D277:F277,0)))</f>
        <v/>
      </c>
      <c r="L277" s="10" t="n">
        <v>2231.6</v>
      </c>
      <c r="M277" s="12" t="n">
        <v>1</v>
      </c>
    </row>
    <row r="278">
      <c r="A278" s="4" t="inlineStr">
        <is>
          <t>MAT-20-049</t>
        </is>
      </c>
      <c r="B278" s="5" t="inlineStr">
        <is>
          <t>Planchuela de hierro negro 3" x 1/4" x 20 pies</t>
        </is>
      </c>
      <c r="C278" s="4" t="inlineStr">
        <is>
          <t>unidad</t>
        </is>
      </c>
      <c r="D278" s="10" t="n">
        <v>1785</v>
      </c>
      <c r="E278" s="10" t="n"/>
      <c r="F278" s="10" t="n"/>
      <c r="G278" s="10">
        <f>IF(COUNT(D278:F278)=0,"",MIN(D278:F278))</f>
        <v/>
      </c>
      <c r="H278" s="10">
        <f>IF(COUNT(D278:F278)=0,"",MEDIAN(D278:F278))</f>
        <v/>
      </c>
      <c r="I278" s="10">
        <f>IF(COUNT(D278:F278)=0,"",MAX(D278:F278))</f>
        <v/>
      </c>
      <c r="J278" s="11">
        <f>IF(OR(G278="",G278=0),"",(I278-G278)/G278)</f>
        <v/>
      </c>
      <c r="K278" s="4">
        <f>IF(COUNT(D278:F278)=0,"",INDEX($D$1:$F$1,MATCH(MIN(D278:F278),D278:F278,0)))</f>
        <v/>
      </c>
      <c r="L278" s="10" t="n">
        <v>1785</v>
      </c>
      <c r="M278" s="12" t="n">
        <v>1</v>
      </c>
    </row>
    <row r="279">
      <c r="A279" s="4" t="inlineStr">
        <is>
          <t>MAT-20-050</t>
        </is>
      </c>
      <c r="B279" s="5" t="inlineStr">
        <is>
          <t>Planchuela de hierro negro 3" x 3/8" x 20 pies</t>
        </is>
      </c>
      <c r="C279" s="4" t="inlineStr">
        <is>
          <t>unidad</t>
        </is>
      </c>
      <c r="D279" s="10" t="n">
        <v>2677.62</v>
      </c>
      <c r="E279" s="10" t="n"/>
      <c r="F279" s="10" t="n"/>
      <c r="G279" s="10">
        <f>IF(COUNT(D279:F279)=0,"",MIN(D279:F279))</f>
        <v/>
      </c>
      <c r="H279" s="10">
        <f>IF(COUNT(D279:F279)=0,"",MEDIAN(D279:F279))</f>
        <v/>
      </c>
      <c r="I279" s="10">
        <f>IF(COUNT(D279:F279)=0,"",MAX(D279:F279))</f>
        <v/>
      </c>
      <c r="J279" s="11">
        <f>IF(OR(G279="",G279=0),"",(I279-G279)/G279)</f>
        <v/>
      </c>
      <c r="K279" s="4">
        <f>IF(COUNT(D279:F279)=0,"",INDEX($D$1:$F$1,MATCH(MIN(D279:F279),D279:F279,0)))</f>
        <v/>
      </c>
      <c r="L279" s="10" t="n">
        <v>2677.62</v>
      </c>
      <c r="M279" s="12" t="n">
        <v>1</v>
      </c>
    </row>
    <row r="280">
      <c r="A280" s="4" t="inlineStr">
        <is>
          <t>MAT-20-051</t>
        </is>
      </c>
      <c r="B280" s="5" t="inlineStr">
        <is>
          <t>Planchuela de hierro negro 4" x 1/4" x 20 pies</t>
        </is>
      </c>
      <c r="C280" s="4" t="inlineStr">
        <is>
          <t>unidad</t>
        </is>
      </c>
      <c r="D280" s="10" t="n">
        <v>2380</v>
      </c>
      <c r="E280" s="10" t="n"/>
      <c r="F280" s="10" t="n"/>
      <c r="G280" s="10">
        <f>IF(COUNT(D280:F280)=0,"",MIN(D280:F280))</f>
        <v/>
      </c>
      <c r="H280" s="10">
        <f>IF(COUNT(D280:F280)=0,"",MEDIAN(D280:F280))</f>
        <v/>
      </c>
      <c r="I280" s="10">
        <f>IF(COUNT(D280:F280)=0,"",MAX(D280:F280))</f>
        <v/>
      </c>
      <c r="J280" s="11">
        <f>IF(OR(G280="",G280=0),"",(I280-G280)/G280)</f>
        <v/>
      </c>
      <c r="K280" s="4">
        <f>IF(COUNT(D280:F280)=0,"",INDEX($D$1:$F$1,MATCH(MIN(D280:F280),D280:F280,0)))</f>
        <v/>
      </c>
      <c r="L280" s="10" t="n">
        <v>2380</v>
      </c>
      <c r="M280" s="12" t="n">
        <v>1</v>
      </c>
    </row>
    <row r="281">
      <c r="A281" s="4" t="inlineStr">
        <is>
          <t>MAT-20-052</t>
        </is>
      </c>
      <c r="B281" s="5" t="inlineStr">
        <is>
          <t>Planchuela de hierro negro 4" x 3/8" x 20 pies</t>
        </is>
      </c>
      <c r="C281" s="4" t="inlineStr">
        <is>
          <t>unidad</t>
        </is>
      </c>
      <c r="D281" s="10" t="n">
        <v>3982.5</v>
      </c>
      <c r="E281" s="10" t="n"/>
      <c r="F281" s="10" t="n"/>
      <c r="G281" s="10">
        <f>IF(COUNT(D281:F281)=0,"",MIN(D281:F281))</f>
        <v/>
      </c>
      <c r="H281" s="10">
        <f>IF(COUNT(D281:F281)=0,"",MEDIAN(D281:F281))</f>
        <v/>
      </c>
      <c r="I281" s="10">
        <f>IF(COUNT(D281:F281)=0,"",MAX(D281:F281))</f>
        <v/>
      </c>
      <c r="J281" s="11">
        <f>IF(OR(G281="",G281=0),"",(I281-G281)/G281)</f>
        <v/>
      </c>
      <c r="K281" s="4">
        <f>IF(COUNT(D281:F281)=0,"",INDEX($D$1:$F$1,MATCH(MIN(D281:F281),D281:F281,0)))</f>
        <v/>
      </c>
      <c r="L281" s="10" t="n">
        <v>3982.5</v>
      </c>
      <c r="M281" s="12" t="n">
        <v>1</v>
      </c>
    </row>
    <row r="282">
      <c r="A282" s="4" t="inlineStr">
        <is>
          <t>MAT-20-053</t>
        </is>
      </c>
      <c r="B282" s="5" t="inlineStr">
        <is>
          <t>Planchuela de acero inoxidable 2" x 1/8" x 20 pies</t>
        </is>
      </c>
      <c r="C282" s="4" t="inlineStr">
        <is>
          <t>unidad</t>
        </is>
      </c>
      <c r="D282" s="10" t="n">
        <v>1397.2</v>
      </c>
      <c r="E282" s="10" t="n"/>
      <c r="F282" s="10" t="n"/>
      <c r="G282" s="10">
        <f>IF(COUNT(D282:F282)=0,"",MIN(D282:F282))</f>
        <v/>
      </c>
      <c r="H282" s="10">
        <f>IF(COUNT(D282:F282)=0,"",MEDIAN(D282:F282))</f>
        <v/>
      </c>
      <c r="I282" s="10">
        <f>IF(COUNT(D282:F282)=0,"",MAX(D282:F282))</f>
        <v/>
      </c>
      <c r="J282" s="11">
        <f>IF(OR(G282="",G282=0),"",(I282-G282)/G282)</f>
        <v/>
      </c>
      <c r="K282" s="4">
        <f>IF(COUNT(D282:F282)=0,"",INDEX($D$1:$F$1,MATCH(MIN(D282:F282),D282:F282,0)))</f>
        <v/>
      </c>
      <c r="L282" s="10" t="n">
        <v>1397.2</v>
      </c>
      <c r="M282" s="12" t="n">
        <v>1</v>
      </c>
    </row>
    <row r="283">
      <c r="A283" s="4" t="inlineStr">
        <is>
          <t>MAT-20-054</t>
        </is>
      </c>
      <c r="B283" s="5" t="inlineStr">
        <is>
          <t>Barra cuadrada de acero 7/16" x 20 pies</t>
        </is>
      </c>
      <c r="C283" s="4" t="inlineStr">
        <is>
          <t>unidad</t>
        </is>
      </c>
      <c r="D283" s="10" t="n">
        <v>411.76</v>
      </c>
      <c r="E283" s="10" t="n"/>
      <c r="F283" s="10" t="n"/>
      <c r="G283" s="10">
        <f>IF(COUNT(D283:F283)=0,"",MIN(D283:F283))</f>
        <v/>
      </c>
      <c r="H283" s="10">
        <f>IF(COUNT(D283:F283)=0,"",MEDIAN(D283:F283))</f>
        <v/>
      </c>
      <c r="I283" s="10">
        <f>IF(COUNT(D283:F283)=0,"",MAX(D283:F283))</f>
        <v/>
      </c>
      <c r="J283" s="11">
        <f>IF(OR(G283="",G283=0),"",(I283-G283)/G283)</f>
        <v/>
      </c>
      <c r="K283" s="4">
        <f>IF(COUNT(D283:F283)=0,"",INDEX($D$1:$F$1,MATCH(MIN(D283:F283),D283:F283,0)))</f>
        <v/>
      </c>
      <c r="L283" s="10" t="n">
        <v>411.76</v>
      </c>
      <c r="M283" s="12" t="n">
        <v>1</v>
      </c>
    </row>
    <row r="284">
      <c r="A284" s="4" t="inlineStr">
        <is>
          <t>MAT-20-055</t>
        </is>
      </c>
      <c r="B284" s="5" t="inlineStr">
        <is>
          <t>Barra cuadrada de acero 1/2" x 20 pies</t>
        </is>
      </c>
      <c r="C284" s="4" t="inlineStr">
        <is>
          <t>unidad</t>
        </is>
      </c>
      <c r="D284" s="10" t="n">
        <v>538.46</v>
      </c>
      <c r="E284" s="10" t="n"/>
      <c r="F284" s="10" t="n"/>
      <c r="G284" s="10">
        <f>IF(COUNT(D284:F284)=0,"",MIN(D284:F284))</f>
        <v/>
      </c>
      <c r="H284" s="10">
        <f>IF(COUNT(D284:F284)=0,"",MEDIAN(D284:F284))</f>
        <v/>
      </c>
      <c r="I284" s="10">
        <f>IF(COUNT(D284:F284)=0,"",MAX(D284:F284))</f>
        <v/>
      </c>
      <c r="J284" s="11">
        <f>IF(OR(G284="",G284=0),"",(I284-G284)/G284)</f>
        <v/>
      </c>
      <c r="K284" s="4">
        <f>IF(COUNT(D284:F284)=0,"",INDEX($D$1:$F$1,MATCH(MIN(D284:F284),D284:F284,0)))</f>
        <v/>
      </c>
      <c r="L284" s="10" t="n">
        <v>538.46</v>
      </c>
      <c r="M284" s="12" t="n">
        <v>1</v>
      </c>
    </row>
    <row r="285">
      <c r="A285" s="4" t="inlineStr">
        <is>
          <t>MAT-20-056</t>
        </is>
      </c>
      <c r="B285" s="5" t="inlineStr">
        <is>
          <t>Barra cuadrada de acero 5/8" x 20 pies</t>
        </is>
      </c>
      <c r="C285" s="4" t="inlineStr">
        <is>
          <t>unidad</t>
        </is>
      </c>
      <c r="D285" s="10" t="n">
        <v>843.37</v>
      </c>
      <c r="E285" s="10" t="n"/>
      <c r="F285" s="10" t="n"/>
      <c r="G285" s="10">
        <f>IF(COUNT(D285:F285)=0,"",MIN(D285:F285))</f>
        <v/>
      </c>
      <c r="H285" s="10">
        <f>IF(COUNT(D285:F285)=0,"",MEDIAN(D285:F285))</f>
        <v/>
      </c>
      <c r="I285" s="10">
        <f>IF(COUNT(D285:F285)=0,"",MAX(D285:F285))</f>
        <v/>
      </c>
      <c r="J285" s="11">
        <f>IF(OR(G285="",G285=0),"",(I285-G285)/G285)</f>
        <v/>
      </c>
      <c r="K285" s="4">
        <f>IF(COUNT(D285:F285)=0,"",INDEX($D$1:$F$1,MATCH(MIN(D285:F285),D285:F285,0)))</f>
        <v/>
      </c>
      <c r="L285" s="10" t="n">
        <v>843.37</v>
      </c>
      <c r="M285" s="12" t="n">
        <v>1</v>
      </c>
    </row>
    <row r="286">
      <c r="A286" s="4" t="inlineStr">
        <is>
          <t>MAT-20-057</t>
        </is>
      </c>
      <c r="B286" s="5" t="inlineStr">
        <is>
          <t>Barra redonda de acero 3/8" x 20 pies</t>
        </is>
      </c>
      <c r="C286" s="4" t="inlineStr">
        <is>
          <t>unidad</t>
        </is>
      </c>
      <c r="D286" s="10" t="n">
        <v>238.1</v>
      </c>
      <c r="E286" s="10" t="n"/>
      <c r="F286" s="10" t="n"/>
      <c r="G286" s="10">
        <f>IF(COUNT(D286:F286)=0,"",MIN(D286:F286))</f>
        <v/>
      </c>
      <c r="H286" s="10">
        <f>IF(COUNT(D286:F286)=0,"",MEDIAN(D286:F286))</f>
        <v/>
      </c>
      <c r="I286" s="10">
        <f>IF(COUNT(D286:F286)=0,"",MAX(D286:F286))</f>
        <v/>
      </c>
      <c r="J286" s="11">
        <f>IF(OR(G286="",G286=0),"",(I286-G286)/G286)</f>
        <v/>
      </c>
      <c r="K286" s="4">
        <f>IF(COUNT(D286:F286)=0,"",INDEX($D$1:$F$1,MATCH(MIN(D286:F286),D286:F286,0)))</f>
        <v/>
      </c>
      <c r="L286" s="10" t="n">
        <v>238.1</v>
      </c>
      <c r="M286" s="12" t="n">
        <v>1</v>
      </c>
    </row>
    <row r="287">
      <c r="A287" s="4" t="inlineStr">
        <is>
          <t>MAT-20-058</t>
        </is>
      </c>
      <c r="B287" s="5" t="inlineStr">
        <is>
          <t>Barra redonda de acero 1/2" x 20 pies</t>
        </is>
      </c>
      <c r="C287" s="4" t="inlineStr">
        <is>
          <t>unidad</t>
        </is>
      </c>
      <c r="D287" s="10" t="n">
        <v>421.68</v>
      </c>
      <c r="E287" s="10" t="n"/>
      <c r="F287" s="10" t="n"/>
      <c r="G287" s="10">
        <f>IF(COUNT(D287:F287)=0,"",MIN(D287:F287))</f>
        <v/>
      </c>
      <c r="H287" s="10">
        <f>IF(COUNT(D287:F287)=0,"",MEDIAN(D287:F287))</f>
        <v/>
      </c>
      <c r="I287" s="10">
        <f>IF(COUNT(D287:F287)=0,"",MAX(D287:F287))</f>
        <v/>
      </c>
      <c r="J287" s="11">
        <f>IF(OR(G287="",G287=0),"",(I287-G287)/G287)</f>
        <v/>
      </c>
      <c r="K287" s="4">
        <f>IF(COUNT(D287:F287)=0,"",INDEX($D$1:$F$1,MATCH(MIN(D287:F287),D287:F287,0)))</f>
        <v/>
      </c>
      <c r="L287" s="10" t="n">
        <v>421.68</v>
      </c>
      <c r="M287" s="12" t="n">
        <v>1</v>
      </c>
    </row>
    <row r="288">
      <c r="A288" s="4" t="inlineStr">
        <is>
          <t>MAT-20-059</t>
        </is>
      </c>
      <c r="B288" s="5" t="inlineStr">
        <is>
          <t>Barra redonda de acero 5/8" x 20 pies</t>
        </is>
      </c>
      <c r="C288" s="4" t="inlineStr">
        <is>
          <t>unidad</t>
        </is>
      </c>
      <c r="D288" s="10" t="n">
        <v>660.38</v>
      </c>
      <c r="E288" s="10" t="n"/>
      <c r="F288" s="10" t="n"/>
      <c r="G288" s="10">
        <f>IF(COUNT(D288:F288)=0,"",MIN(D288:F288))</f>
        <v/>
      </c>
      <c r="H288" s="10">
        <f>IF(COUNT(D288:F288)=0,"",MEDIAN(D288:F288))</f>
        <v/>
      </c>
      <c r="I288" s="10">
        <f>IF(COUNT(D288:F288)=0,"",MAX(D288:F288))</f>
        <v/>
      </c>
      <c r="J288" s="11">
        <f>IF(OR(G288="",G288=0),"",(I288-G288)/G288)</f>
        <v/>
      </c>
      <c r="K288" s="4">
        <f>IF(COUNT(D288:F288)=0,"",INDEX($D$1:$F$1,MATCH(MIN(D288:F288),D288:F288,0)))</f>
        <v/>
      </c>
      <c r="L288" s="10" t="n">
        <v>660.38</v>
      </c>
      <c r="M288" s="12" t="n">
        <v>1</v>
      </c>
    </row>
    <row r="289">
      <c r="A289" s="4" t="inlineStr">
        <is>
          <t>MAT-20-060</t>
        </is>
      </c>
      <c r="B289" s="5" t="inlineStr">
        <is>
          <t>Barra redonda de acero 3/4" x 20 pies</t>
        </is>
      </c>
      <c r="C289" s="4" t="inlineStr">
        <is>
          <t>unidad</t>
        </is>
      </c>
      <c r="D289" s="10" t="n">
        <v>945.95</v>
      </c>
      <c r="E289" s="10" t="n"/>
      <c r="F289" s="10" t="n"/>
      <c r="G289" s="10">
        <f>IF(COUNT(D289:F289)=0,"",MIN(D289:F289))</f>
        <v/>
      </c>
      <c r="H289" s="10">
        <f>IF(COUNT(D289:F289)=0,"",MEDIAN(D289:F289))</f>
        <v/>
      </c>
      <c r="I289" s="10">
        <f>IF(COUNT(D289:F289)=0,"",MAX(D289:F289))</f>
        <v/>
      </c>
      <c r="J289" s="11">
        <f>IF(OR(G289="",G289=0),"",(I289-G289)/G289)</f>
        <v/>
      </c>
      <c r="K289" s="4">
        <f>IF(COUNT(D289:F289)=0,"",INDEX($D$1:$F$1,MATCH(MIN(D289:F289),D289:F289,0)))</f>
        <v/>
      </c>
      <c r="L289" s="10" t="n">
        <v>945.95</v>
      </c>
      <c r="M289" s="12" t="n">
        <v>1</v>
      </c>
    </row>
    <row r="290">
      <c r="A290" s="4" t="inlineStr">
        <is>
          <t>MAT-20-061</t>
        </is>
      </c>
      <c r="B290" s="5" t="inlineStr">
        <is>
          <t>Barra redonda de acero 1" x 20 pies</t>
        </is>
      </c>
      <c r="C290" s="4" t="inlineStr">
        <is>
          <t>unidad</t>
        </is>
      </c>
      <c r="D290" s="10" t="n">
        <v>1666.67</v>
      </c>
      <c r="E290" s="10" t="n"/>
      <c r="F290" s="10" t="n"/>
      <c r="G290" s="10">
        <f>IF(COUNT(D290:F290)=0,"",MIN(D290:F290))</f>
        <v/>
      </c>
      <c r="H290" s="10">
        <f>IF(COUNT(D290:F290)=0,"",MEDIAN(D290:F290))</f>
        <v/>
      </c>
      <c r="I290" s="10">
        <f>IF(COUNT(D290:F290)=0,"",MAX(D290:F290))</f>
        <v/>
      </c>
      <c r="J290" s="11">
        <f>IF(OR(G290="",G290=0),"",(I290-G290)/G290)</f>
        <v/>
      </c>
      <c r="K290" s="4">
        <f>IF(COUNT(D290:F290)=0,"",INDEX($D$1:$F$1,MATCH(MIN(D290:F290),D290:F290,0)))</f>
        <v/>
      </c>
      <c r="L290" s="10" t="n">
        <v>1666.67</v>
      </c>
      <c r="M290" s="12" t="n">
        <v>1</v>
      </c>
    </row>
    <row r="291">
      <c r="A291" s="4" t="inlineStr">
        <is>
          <t>MAT-20-062</t>
        </is>
      </c>
      <c r="B291" s="5" t="inlineStr">
        <is>
          <t>Barra redonda torneada de acero 7/16" x 20 pies</t>
        </is>
      </c>
      <c r="C291" s="4" t="inlineStr">
        <is>
          <t>unidad</t>
        </is>
      </c>
      <c r="D291" s="10" t="n">
        <v>426.77</v>
      </c>
      <c r="E291" s="10" t="n"/>
      <c r="F291" s="10" t="n"/>
      <c r="G291" s="10">
        <f>IF(COUNT(D291:F291)=0,"",MIN(D291:F291))</f>
        <v/>
      </c>
      <c r="H291" s="10">
        <f>IF(COUNT(D291:F291)=0,"",MEDIAN(D291:F291))</f>
        <v/>
      </c>
      <c r="I291" s="10">
        <f>IF(COUNT(D291:F291)=0,"",MAX(D291:F291))</f>
        <v/>
      </c>
      <c r="J291" s="11">
        <f>IF(OR(G291="",G291=0),"",(I291-G291)/G291)</f>
        <v/>
      </c>
      <c r="K291" s="4">
        <f>IF(COUNT(D291:F291)=0,"",INDEX($D$1:$F$1,MATCH(MIN(D291:F291),D291:F291,0)))</f>
        <v/>
      </c>
      <c r="L291" s="10" t="n">
        <v>426.77</v>
      </c>
      <c r="M291" s="12" t="n">
        <v>1</v>
      </c>
    </row>
    <row r="292">
      <c r="A292" s="4" t="inlineStr">
        <is>
          <t>MAT-20-063</t>
        </is>
      </c>
      <c r="B292" s="5" t="inlineStr">
        <is>
          <t>Barra redonda torneada de acero 1/2" x 20 pies</t>
        </is>
      </c>
      <c r="C292" s="4" t="inlineStr">
        <is>
          <t>unidad</t>
        </is>
      </c>
      <c r="D292" s="10" t="n">
        <v>553.47</v>
      </c>
      <c r="E292" s="10" t="n"/>
      <c r="F292" s="10" t="n"/>
      <c r="G292" s="10">
        <f>IF(COUNT(D292:F292)=0,"",MIN(D292:F292))</f>
        <v/>
      </c>
      <c r="H292" s="10">
        <f>IF(COUNT(D292:F292)=0,"",MEDIAN(D292:F292))</f>
        <v/>
      </c>
      <c r="I292" s="10">
        <f>IF(COUNT(D292:F292)=0,"",MAX(D292:F292))</f>
        <v/>
      </c>
      <c r="J292" s="11">
        <f>IF(OR(G292="",G292=0),"",(I292-G292)/G292)</f>
        <v/>
      </c>
      <c r="K292" s="4">
        <f>IF(COUNT(D292:F292)=0,"",INDEX($D$1:$F$1,MATCH(MIN(D292:F292),D292:F292,0)))</f>
        <v/>
      </c>
      <c r="L292" s="10" t="n">
        <v>553.47</v>
      </c>
      <c r="M292" s="12" t="n">
        <v>1</v>
      </c>
    </row>
    <row r="293">
      <c r="A293" s="4" t="inlineStr">
        <is>
          <t>MAT-20-064</t>
        </is>
      </c>
      <c r="B293" s="5" t="inlineStr">
        <is>
          <t>Barra redonda torneada de acero 5/8" x 20 pies</t>
        </is>
      </c>
      <c r="C293" s="4" t="inlineStr">
        <is>
          <t>unidad</t>
        </is>
      </c>
      <c r="D293" s="10" t="n">
        <v>858.38</v>
      </c>
      <c r="E293" s="10" t="n"/>
      <c r="F293" s="10" t="n"/>
      <c r="G293" s="10">
        <f>IF(COUNT(D293:F293)=0,"",MIN(D293:F293))</f>
        <v/>
      </c>
      <c r="H293" s="10">
        <f>IF(COUNT(D293:F293)=0,"",MEDIAN(D293:F293))</f>
        <v/>
      </c>
      <c r="I293" s="10">
        <f>IF(COUNT(D293:F293)=0,"",MAX(D293:F293))</f>
        <v/>
      </c>
      <c r="J293" s="11">
        <f>IF(OR(G293="",G293=0),"",(I293-G293)/G293)</f>
        <v/>
      </c>
      <c r="K293" s="4">
        <f>IF(COUNT(D293:F293)=0,"",INDEX($D$1:$F$1,MATCH(MIN(D293:F293),D293:F293,0)))</f>
        <v/>
      </c>
      <c r="L293" s="10" t="n">
        <v>858.38</v>
      </c>
      <c r="M293" s="12" t="n">
        <v>1</v>
      </c>
    </row>
    <row r="294">
      <c r="A294" s="4" t="inlineStr">
        <is>
          <t>MAT-21-001</t>
        </is>
      </c>
      <c r="B294" s="5" t="inlineStr">
        <is>
          <t>Tola negra 1/32", plancha 4 x 8 pies</t>
        </is>
      </c>
      <c r="C294" s="4" t="inlineStr">
        <is>
          <t>plancha</t>
        </is>
      </c>
      <c r="D294" s="10" t="n">
        <v>1113.61</v>
      </c>
      <c r="E294" s="10" t="n"/>
      <c r="F294" s="10" t="n"/>
      <c r="G294" s="10">
        <f>IF(COUNT(D294:F294)=0,"",MIN(D294:F294))</f>
        <v/>
      </c>
      <c r="H294" s="10">
        <f>IF(COUNT(D294:F294)=0,"",MEDIAN(D294:F294))</f>
        <v/>
      </c>
      <c r="I294" s="10">
        <f>IF(COUNT(D294:F294)=0,"",MAX(D294:F294))</f>
        <v/>
      </c>
      <c r="J294" s="11">
        <f>IF(OR(G294="",G294=0),"",(I294-G294)/G294)</f>
        <v/>
      </c>
      <c r="K294" s="4">
        <f>IF(COUNT(D294:F294)=0,"",INDEX($D$1:$F$1,MATCH(MIN(D294:F294),D294:F294,0)))</f>
        <v/>
      </c>
      <c r="L294" s="10" t="n">
        <v>1113.61</v>
      </c>
      <c r="M294" s="12" t="n">
        <v>1</v>
      </c>
    </row>
    <row r="295">
      <c r="A295" s="4" t="inlineStr">
        <is>
          <t>MAT-21-002</t>
        </is>
      </c>
      <c r="B295" s="5" t="inlineStr">
        <is>
          <t>Tola negra 1/22", plancha 4 x 8 pies</t>
        </is>
      </c>
      <c r="C295" s="4" t="inlineStr">
        <is>
          <t>plancha</t>
        </is>
      </c>
      <c r="D295" s="10" t="n">
        <v>1497.04</v>
      </c>
      <c r="E295" s="10" t="n"/>
      <c r="F295" s="10" t="n"/>
      <c r="G295" s="10">
        <f>IF(COUNT(D295:F295)=0,"",MIN(D295:F295))</f>
        <v/>
      </c>
      <c r="H295" s="10">
        <f>IF(COUNT(D295:F295)=0,"",MEDIAN(D295:F295))</f>
        <v/>
      </c>
      <c r="I295" s="10">
        <f>IF(COUNT(D295:F295)=0,"",MAX(D295:F295))</f>
        <v/>
      </c>
      <c r="J295" s="11">
        <f>IF(OR(G295="",G295=0),"",(I295-G295)/G295)</f>
        <v/>
      </c>
      <c r="K295" s="4">
        <f>IF(COUNT(D295:F295)=0,"",INDEX($D$1:$F$1,MATCH(MIN(D295:F295),D295:F295,0)))</f>
        <v/>
      </c>
      <c r="L295" s="10" t="n">
        <v>1497.04</v>
      </c>
      <c r="M295" s="12" t="n">
        <v>1</v>
      </c>
    </row>
    <row r="296">
      <c r="A296" s="4" t="inlineStr">
        <is>
          <t>MAT-21-003</t>
        </is>
      </c>
      <c r="B296" s="5" t="inlineStr">
        <is>
          <t>Tola negra 1/16", plancha 4 x 10 pies</t>
        </is>
      </c>
      <c r="C296" s="4" t="inlineStr">
        <is>
          <t>plancha</t>
        </is>
      </c>
      <c r="D296" s="10" t="n">
        <v>2938.54</v>
      </c>
      <c r="E296" s="10" t="n"/>
      <c r="F296" s="10" t="n"/>
      <c r="G296" s="10">
        <f>IF(COUNT(D296:F296)=0,"",MIN(D296:F296))</f>
        <v/>
      </c>
      <c r="H296" s="10">
        <f>IF(COUNT(D296:F296)=0,"",MEDIAN(D296:F296))</f>
        <v/>
      </c>
      <c r="I296" s="10">
        <f>IF(COUNT(D296:F296)=0,"",MAX(D296:F296))</f>
        <v/>
      </c>
      <c r="J296" s="11">
        <f>IF(OR(G296="",G296=0),"",(I296-G296)/G296)</f>
        <v/>
      </c>
      <c r="K296" s="4">
        <f>IF(COUNT(D296:F296)=0,"",INDEX($D$1:$F$1,MATCH(MIN(D296:F296),D296:F296,0)))</f>
        <v/>
      </c>
      <c r="L296" s="10" t="n">
        <v>2938.54</v>
      </c>
      <c r="M296" s="12" t="n">
        <v>1</v>
      </c>
    </row>
    <row r="297">
      <c r="A297" s="4" t="inlineStr">
        <is>
          <t>MAT-21-004</t>
        </is>
      </c>
      <c r="B297" s="5" t="inlineStr">
        <is>
          <t>Tola negra 1/16", plancha 4 x 8 pies</t>
        </is>
      </c>
      <c r="C297" s="4" t="inlineStr">
        <is>
          <t>plancha</t>
        </is>
      </c>
      <c r="D297" s="10" t="n">
        <v>2224.54</v>
      </c>
      <c r="E297" s="10" t="n"/>
      <c r="F297" s="10" t="n"/>
      <c r="G297" s="10">
        <f>IF(COUNT(D297:F297)=0,"",MIN(D297:F297))</f>
        <v/>
      </c>
      <c r="H297" s="10">
        <f>IF(COUNT(D297:F297)=0,"",MEDIAN(D297:F297))</f>
        <v/>
      </c>
      <c r="I297" s="10">
        <f>IF(COUNT(D297:F297)=0,"",MAX(D297:F297))</f>
        <v/>
      </c>
      <c r="J297" s="11">
        <f>IF(OR(G297="",G297=0),"",(I297-G297)/G297)</f>
        <v/>
      </c>
      <c r="K297" s="4">
        <f>IF(COUNT(D297:F297)=0,"",INDEX($D$1:$F$1,MATCH(MIN(D297:F297),D297:F297,0)))</f>
        <v/>
      </c>
      <c r="L297" s="10" t="n">
        <v>2224.54</v>
      </c>
      <c r="M297" s="12" t="n">
        <v>1</v>
      </c>
    </row>
    <row r="298">
      <c r="A298" s="4" t="inlineStr">
        <is>
          <t>MAT-21-005</t>
        </is>
      </c>
      <c r="B298" s="5" t="inlineStr">
        <is>
          <t>Tola negra 3/32", plancha 4 x 8 pies</t>
        </is>
      </c>
      <c r="C298" s="4" t="inlineStr">
        <is>
          <t>plancha</t>
        </is>
      </c>
      <c r="D298" s="10" t="n">
        <v>3132.92</v>
      </c>
      <c r="E298" s="10" t="n"/>
      <c r="F298" s="10" t="n"/>
      <c r="G298" s="10">
        <f>IF(COUNT(D298:F298)=0,"",MIN(D298:F298))</f>
        <v/>
      </c>
      <c r="H298" s="10">
        <f>IF(COUNT(D298:F298)=0,"",MEDIAN(D298:F298))</f>
        <v/>
      </c>
      <c r="I298" s="10">
        <f>IF(COUNT(D298:F298)=0,"",MAX(D298:F298))</f>
        <v/>
      </c>
      <c r="J298" s="11">
        <f>IF(OR(G298="",G298=0),"",(I298-G298)/G298)</f>
        <v/>
      </c>
      <c r="K298" s="4">
        <f>IF(COUNT(D298:F298)=0,"",INDEX($D$1:$F$1,MATCH(MIN(D298:F298),D298:F298,0)))</f>
        <v/>
      </c>
      <c r="L298" s="10" t="n">
        <v>3132.92</v>
      </c>
      <c r="M298" s="12" t="n">
        <v>1</v>
      </c>
    </row>
    <row r="299">
      <c r="A299" s="4" t="inlineStr">
        <is>
          <t>MAT-21-006</t>
        </is>
      </c>
      <c r="B299" s="5" t="inlineStr">
        <is>
          <t>Tola negra 1/8", plancha 4 x 10 pies</t>
        </is>
      </c>
      <c r="C299" s="4" t="inlineStr">
        <is>
          <t>plancha</t>
        </is>
      </c>
      <c r="D299" s="10" t="n">
        <v>5622.83</v>
      </c>
      <c r="E299" s="10" t="n"/>
      <c r="F299" s="10" t="n"/>
      <c r="G299" s="10">
        <f>IF(COUNT(D299:F299)=0,"",MIN(D299:F299))</f>
        <v/>
      </c>
      <c r="H299" s="10">
        <f>IF(COUNT(D299:F299)=0,"",MEDIAN(D299:F299))</f>
        <v/>
      </c>
      <c r="I299" s="10">
        <f>IF(COUNT(D299:F299)=0,"",MAX(D299:F299))</f>
        <v/>
      </c>
      <c r="J299" s="11">
        <f>IF(OR(G299="",G299=0),"",(I299-G299)/G299)</f>
        <v/>
      </c>
      <c r="K299" s="4">
        <f>IF(COUNT(D299:F299)=0,"",INDEX($D$1:$F$1,MATCH(MIN(D299:F299),D299:F299,0)))</f>
        <v/>
      </c>
      <c r="L299" s="10" t="n">
        <v>5622.83</v>
      </c>
      <c r="M299" s="12" t="n">
        <v>1</v>
      </c>
    </row>
    <row r="300">
      <c r="A300" s="4" t="inlineStr">
        <is>
          <t>MAT-21-007</t>
        </is>
      </c>
      <c r="B300" s="5" t="inlineStr">
        <is>
          <t>Tola negra 1/8", plancha 4 x 8 pies</t>
        </is>
      </c>
      <c r="C300" s="4" t="inlineStr">
        <is>
          <t>plancha</t>
        </is>
      </c>
      <c r="D300" s="10" t="n">
        <v>4104.8</v>
      </c>
      <c r="E300" s="10" t="n"/>
      <c r="F300" s="10" t="n"/>
      <c r="G300" s="10">
        <f>IF(COUNT(D300:F300)=0,"",MIN(D300:F300))</f>
        <v/>
      </c>
      <c r="H300" s="10">
        <f>IF(COUNT(D300:F300)=0,"",MEDIAN(D300:F300))</f>
        <v/>
      </c>
      <c r="I300" s="10">
        <f>IF(COUNT(D300:F300)=0,"",MAX(D300:F300))</f>
        <v/>
      </c>
      <c r="J300" s="11">
        <f>IF(OR(G300="",G300=0),"",(I300-G300)/G300)</f>
        <v/>
      </c>
      <c r="K300" s="4">
        <f>IF(COUNT(D300:F300)=0,"",INDEX($D$1:$F$1,MATCH(MIN(D300:F300),D300:F300,0)))</f>
        <v/>
      </c>
      <c r="L300" s="10" t="n">
        <v>4104.8</v>
      </c>
      <c r="M300" s="12" t="n">
        <v>1</v>
      </c>
    </row>
    <row r="301">
      <c r="A301" s="4" t="inlineStr">
        <is>
          <t>MAT-21-008</t>
        </is>
      </c>
      <c r="B301" s="5" t="inlineStr">
        <is>
          <t>Tola negra 1/8", plancha 5 x 10 pies</t>
        </is>
      </c>
      <c r="C301" s="4" t="inlineStr">
        <is>
          <t>plancha</t>
        </is>
      </c>
      <c r="D301" s="10" t="n">
        <v>6428.83</v>
      </c>
      <c r="E301" s="10" t="n"/>
      <c r="F301" s="10" t="n"/>
      <c r="G301" s="10">
        <f>IF(COUNT(D301:F301)=0,"",MIN(D301:F301))</f>
        <v/>
      </c>
      <c r="H301" s="10">
        <f>IF(COUNT(D301:F301)=0,"",MEDIAN(D301:F301))</f>
        <v/>
      </c>
      <c r="I301" s="10">
        <f>IF(COUNT(D301:F301)=0,"",MAX(D301:F301))</f>
        <v/>
      </c>
      <c r="J301" s="11">
        <f>IF(OR(G301="",G301=0),"",(I301-G301)/G301)</f>
        <v/>
      </c>
      <c r="K301" s="4">
        <f>IF(COUNT(D301:F301)=0,"",INDEX($D$1:$F$1,MATCH(MIN(D301:F301),D301:F301,0)))</f>
        <v/>
      </c>
      <c r="L301" s="10" t="n">
        <v>6428.83</v>
      </c>
      <c r="M301" s="12" t="n">
        <v>1</v>
      </c>
    </row>
    <row r="302">
      <c r="A302" s="4" t="inlineStr">
        <is>
          <t>MAT-21-009</t>
        </is>
      </c>
      <c r="B302" s="5" t="inlineStr">
        <is>
          <t>Tola negra 3/16", plancha 4 x 8 pies</t>
        </is>
      </c>
      <c r="C302" s="4" t="inlineStr">
        <is>
          <t>plancha</t>
        </is>
      </c>
      <c r="D302" s="10" t="n">
        <v>6678.8</v>
      </c>
      <c r="E302" s="10" t="n"/>
      <c r="F302" s="10" t="n"/>
      <c r="G302" s="10">
        <f>IF(COUNT(D302:F302)=0,"",MIN(D302:F302))</f>
        <v/>
      </c>
      <c r="H302" s="10">
        <f>IF(COUNT(D302:F302)=0,"",MEDIAN(D302:F302))</f>
        <v/>
      </c>
      <c r="I302" s="10">
        <f>IF(COUNT(D302:F302)=0,"",MAX(D302:F302))</f>
        <v/>
      </c>
      <c r="J302" s="11">
        <f>IF(OR(G302="",G302=0),"",(I302-G302)/G302)</f>
        <v/>
      </c>
      <c r="K302" s="4">
        <f>IF(COUNT(D302:F302)=0,"",INDEX($D$1:$F$1,MATCH(MIN(D302:F302),D302:F302,0)))</f>
        <v/>
      </c>
      <c r="L302" s="10" t="n">
        <v>6678.8</v>
      </c>
      <c r="M302" s="12" t="n">
        <v>1</v>
      </c>
    </row>
    <row r="303">
      <c r="A303" s="4" t="inlineStr">
        <is>
          <t>MAT-21-010</t>
        </is>
      </c>
      <c r="B303" s="5" t="inlineStr">
        <is>
          <t>Tola negra 3/16", plancha 5 x 10 pies</t>
        </is>
      </c>
      <c r="C303" s="4" t="inlineStr">
        <is>
          <t>plancha</t>
        </is>
      </c>
      <c r="D303" s="10" t="n">
        <v>10410.48</v>
      </c>
      <c r="E303" s="10" t="n"/>
      <c r="F303" s="10" t="n"/>
      <c r="G303" s="10">
        <f>IF(COUNT(D303:F303)=0,"",MIN(D303:F303))</f>
        <v/>
      </c>
      <c r="H303" s="10">
        <f>IF(COUNT(D303:F303)=0,"",MEDIAN(D303:F303))</f>
        <v/>
      </c>
      <c r="I303" s="10">
        <f>IF(COUNT(D303:F303)=0,"",MAX(D303:F303))</f>
        <v/>
      </c>
      <c r="J303" s="11">
        <f>IF(OR(G303="",G303=0),"",(I303-G303)/G303)</f>
        <v/>
      </c>
      <c r="K303" s="4">
        <f>IF(COUNT(D303:F303)=0,"",INDEX($D$1:$F$1,MATCH(MIN(D303:F303),D303:F303,0)))</f>
        <v/>
      </c>
      <c r="L303" s="10" t="n">
        <v>10410.48</v>
      </c>
      <c r="M303" s="12" t="n">
        <v>1</v>
      </c>
    </row>
    <row r="304">
      <c r="A304" s="4" t="inlineStr">
        <is>
          <t>MAT-21-011</t>
        </is>
      </c>
      <c r="B304" s="5" t="inlineStr">
        <is>
          <t>Tola negra 3/16", plancha 6 x 10 pies</t>
        </is>
      </c>
      <c r="C304" s="4" t="inlineStr">
        <is>
          <t>plancha</t>
        </is>
      </c>
      <c r="D304" s="10" t="n">
        <v>12392.84</v>
      </c>
      <c r="E304" s="10" t="n"/>
      <c r="F304" s="10" t="n"/>
      <c r="G304" s="10">
        <f>IF(COUNT(D304:F304)=0,"",MIN(D304:F304))</f>
        <v/>
      </c>
      <c r="H304" s="10">
        <f>IF(COUNT(D304:F304)=0,"",MEDIAN(D304:F304))</f>
        <v/>
      </c>
      <c r="I304" s="10">
        <f>IF(COUNT(D304:F304)=0,"",MAX(D304:F304))</f>
        <v/>
      </c>
      <c r="J304" s="11">
        <f>IF(OR(G304="",G304=0),"",(I304-G304)/G304)</f>
        <v/>
      </c>
      <c r="K304" s="4">
        <f>IF(COUNT(D304:F304)=0,"",INDEX($D$1:$F$1,MATCH(MIN(D304:F304),D304:F304,0)))</f>
        <v/>
      </c>
      <c r="L304" s="10" t="n">
        <v>12392.84</v>
      </c>
      <c r="M304" s="12" t="n">
        <v>1</v>
      </c>
    </row>
    <row r="305">
      <c r="A305" s="4" t="inlineStr">
        <is>
          <t>MAT-21-012</t>
        </is>
      </c>
      <c r="B305" s="5" t="inlineStr">
        <is>
          <t>Tola negra 1/4", plancha 4 x 8 pies</t>
        </is>
      </c>
      <c r="C305" s="4" t="inlineStr">
        <is>
          <t>plancha</t>
        </is>
      </c>
      <c r="D305" s="10" t="n">
        <v>8276.58</v>
      </c>
      <c r="E305" s="10" t="n"/>
      <c r="F305" s="10" t="n"/>
      <c r="G305" s="10">
        <f>IF(COUNT(D305:F305)=0,"",MIN(D305:F305))</f>
        <v/>
      </c>
      <c r="H305" s="10">
        <f>IF(COUNT(D305:F305)=0,"",MEDIAN(D305:F305))</f>
        <v/>
      </c>
      <c r="I305" s="10">
        <f>IF(COUNT(D305:F305)=0,"",MAX(D305:F305))</f>
        <v/>
      </c>
      <c r="J305" s="11">
        <f>IF(OR(G305="",G305=0),"",(I305-G305)/G305)</f>
        <v/>
      </c>
      <c r="K305" s="4">
        <f>IF(COUNT(D305:F305)=0,"",INDEX($D$1:$F$1,MATCH(MIN(D305:F305),D305:F305,0)))</f>
        <v/>
      </c>
      <c r="L305" s="10" t="n">
        <v>8276.58</v>
      </c>
      <c r="M305" s="12" t="n">
        <v>1</v>
      </c>
    </row>
    <row r="306">
      <c r="A306" s="4" t="inlineStr">
        <is>
          <t>MAT-21-013</t>
        </is>
      </c>
      <c r="B306" s="5" t="inlineStr">
        <is>
          <t>Tola negra 1/4", plancha 6 x 10 pies</t>
        </is>
      </c>
      <c r="C306" s="4" t="inlineStr">
        <is>
          <t>plancha</t>
        </is>
      </c>
      <c r="D306" s="10" t="n">
        <v>16280.34</v>
      </c>
      <c r="E306" s="10" t="n"/>
      <c r="F306" s="10" t="n"/>
      <c r="G306" s="10">
        <f>IF(COUNT(D306:F306)=0,"",MIN(D306:F306))</f>
        <v/>
      </c>
      <c r="H306" s="10">
        <f>IF(COUNT(D306:F306)=0,"",MEDIAN(D306:F306))</f>
        <v/>
      </c>
      <c r="I306" s="10">
        <f>IF(COUNT(D306:F306)=0,"",MAX(D306:F306))</f>
        <v/>
      </c>
      <c r="J306" s="11">
        <f>IF(OR(G306="",G306=0),"",(I306-G306)/G306)</f>
        <v/>
      </c>
      <c r="K306" s="4">
        <f>IF(COUNT(D306:F306)=0,"",INDEX($D$1:$F$1,MATCH(MIN(D306:F306),D306:F306,0)))</f>
        <v/>
      </c>
      <c r="L306" s="10" t="n">
        <v>16280.34</v>
      </c>
      <c r="M306" s="12" t="n">
        <v>1</v>
      </c>
    </row>
    <row r="307">
      <c r="A307" s="4" t="inlineStr">
        <is>
          <t>MAT-21-014</t>
        </is>
      </c>
      <c r="B307" s="5" t="inlineStr">
        <is>
          <t>Tola negra 3/8", plancha 4 x 8 pies</t>
        </is>
      </c>
      <c r="C307" s="4" t="inlineStr">
        <is>
          <t>plancha</t>
        </is>
      </c>
      <c r="D307" s="10" t="n">
        <v>12665.86</v>
      </c>
      <c r="E307" s="10" t="n"/>
      <c r="F307" s="10" t="n"/>
      <c r="G307" s="10">
        <f>IF(COUNT(D307:F307)=0,"",MIN(D307:F307))</f>
        <v/>
      </c>
      <c r="H307" s="10">
        <f>IF(COUNT(D307:F307)=0,"",MEDIAN(D307:F307))</f>
        <v/>
      </c>
      <c r="I307" s="10">
        <f>IF(COUNT(D307:F307)=0,"",MAX(D307:F307))</f>
        <v/>
      </c>
      <c r="J307" s="11">
        <f>IF(OR(G307="",G307=0),"",(I307-G307)/G307)</f>
        <v/>
      </c>
      <c r="K307" s="4">
        <f>IF(COUNT(D307:F307)=0,"",INDEX($D$1:$F$1,MATCH(MIN(D307:F307),D307:F307,0)))</f>
        <v/>
      </c>
      <c r="L307" s="10" t="n">
        <v>12665.86</v>
      </c>
      <c r="M307" s="12" t="n">
        <v>1</v>
      </c>
    </row>
    <row r="308">
      <c r="A308" s="4" t="inlineStr">
        <is>
          <t>MAT-21-015</t>
        </is>
      </c>
      <c r="B308" s="5" t="inlineStr">
        <is>
          <t>Tola negra 5/8", plancha 4 x 8 pies</t>
        </is>
      </c>
      <c r="C308" s="4" t="inlineStr">
        <is>
          <t>plancha</t>
        </is>
      </c>
      <c r="D308" s="10" t="n">
        <v>21001.52</v>
      </c>
      <c r="E308" s="10" t="n"/>
      <c r="F308" s="10" t="n"/>
      <c r="G308" s="10">
        <f>IF(COUNT(D308:F308)=0,"",MIN(D308:F308))</f>
        <v/>
      </c>
      <c r="H308" s="10">
        <f>IF(COUNT(D308:F308)=0,"",MEDIAN(D308:F308))</f>
        <v/>
      </c>
      <c r="I308" s="10">
        <f>IF(COUNT(D308:F308)=0,"",MAX(D308:F308))</f>
        <v/>
      </c>
      <c r="J308" s="11">
        <f>IF(OR(G308="",G308=0),"",(I308-G308)/G308)</f>
        <v/>
      </c>
      <c r="K308" s="4">
        <f>IF(COUNT(D308:F308)=0,"",INDEX($D$1:$F$1,MATCH(MIN(D308:F308),D308:F308,0)))</f>
        <v/>
      </c>
      <c r="L308" s="10" t="n">
        <v>21001.52</v>
      </c>
      <c r="M308" s="12" t="n">
        <v>1</v>
      </c>
    </row>
    <row r="309">
      <c r="A309" s="4" t="inlineStr">
        <is>
          <t>MAT-21-016</t>
        </is>
      </c>
      <c r="B309" s="5" t="inlineStr">
        <is>
          <t>Tola negra 1", plancha 4 x 8 pies</t>
        </is>
      </c>
      <c r="C309" s="4" t="inlineStr">
        <is>
          <t>plancha</t>
        </is>
      </c>
      <c r="D309" s="10" t="n">
        <v>37319.49</v>
      </c>
      <c r="E309" s="10" t="n"/>
      <c r="F309" s="10" t="n"/>
      <c r="G309" s="10">
        <f>IF(COUNT(D309:F309)=0,"",MIN(D309:F309))</f>
        <v/>
      </c>
      <c r="H309" s="10">
        <f>IF(COUNT(D309:F309)=0,"",MEDIAN(D309:F309))</f>
        <v/>
      </c>
      <c r="I309" s="10">
        <f>IF(COUNT(D309:F309)=0,"",MAX(D309:F309))</f>
        <v/>
      </c>
      <c r="J309" s="11">
        <f>IF(OR(G309="",G309=0),"",(I309-G309)/G309)</f>
        <v/>
      </c>
      <c r="K309" s="4">
        <f>IF(COUNT(D309:F309)=0,"",INDEX($D$1:$F$1,MATCH(MIN(D309:F309),D309:F309,0)))</f>
        <v/>
      </c>
      <c r="L309" s="10" t="n">
        <v>37319.49</v>
      </c>
      <c r="M309" s="12" t="n">
        <v>1</v>
      </c>
    </row>
    <row r="310">
      <c r="A310" s="4" t="inlineStr">
        <is>
          <t>MAT-21-017</t>
        </is>
      </c>
      <c r="B310" s="5" t="inlineStr">
        <is>
          <t>Tola corrugada 3/32", plancha 4 x 8 pies</t>
        </is>
      </c>
      <c r="C310" s="4" t="inlineStr">
        <is>
          <t>plancha</t>
        </is>
      </c>
      <c r="D310" s="10" t="n">
        <v>3253.65</v>
      </c>
      <c r="E310" s="10" t="n"/>
      <c r="F310" s="10" t="n"/>
      <c r="G310" s="10">
        <f>IF(COUNT(D310:F310)=0,"",MIN(D310:F310))</f>
        <v/>
      </c>
      <c r="H310" s="10">
        <f>IF(COUNT(D310:F310)=0,"",MEDIAN(D310:F310))</f>
        <v/>
      </c>
      <c r="I310" s="10">
        <f>IF(COUNT(D310:F310)=0,"",MAX(D310:F310))</f>
        <v/>
      </c>
      <c r="J310" s="11">
        <f>IF(OR(G310="",G310=0),"",(I310-G310)/G310)</f>
        <v/>
      </c>
      <c r="K310" s="4">
        <f>IF(COUNT(D310:F310)=0,"",INDEX($D$1:$F$1,MATCH(MIN(D310:F310),D310:F310,0)))</f>
        <v/>
      </c>
      <c r="L310" s="10" t="n">
        <v>3253.65</v>
      </c>
      <c r="M310" s="12" t="n">
        <v>1</v>
      </c>
    </row>
    <row r="311">
      <c r="A311" s="4" t="inlineStr">
        <is>
          <t>MAT-21-018</t>
        </is>
      </c>
      <c r="B311" s="5" t="inlineStr">
        <is>
          <t>Tola corrugada 1/8", plancha 4 x 8 pies</t>
        </is>
      </c>
      <c r="C311" s="4" t="inlineStr">
        <is>
          <t>plancha</t>
        </is>
      </c>
      <c r="D311" s="10" t="n">
        <v>4279.86</v>
      </c>
      <c r="E311" s="10" t="n"/>
      <c r="F311" s="10" t="n"/>
      <c r="G311" s="10">
        <f>IF(COUNT(D311:F311)=0,"",MIN(D311:F311))</f>
        <v/>
      </c>
      <c r="H311" s="10">
        <f>IF(COUNT(D311:F311)=0,"",MEDIAN(D311:F311))</f>
        <v/>
      </c>
      <c r="I311" s="10">
        <f>IF(COUNT(D311:F311)=0,"",MAX(D311:F311))</f>
        <v/>
      </c>
      <c r="J311" s="11">
        <f>IF(OR(G311="",G311=0),"",(I311-G311)/G311)</f>
        <v/>
      </c>
      <c r="K311" s="4">
        <f>IF(COUNT(D311:F311)=0,"",INDEX($D$1:$F$1,MATCH(MIN(D311:F311),D311:F311,0)))</f>
        <v/>
      </c>
      <c r="L311" s="10" t="n">
        <v>4279.86</v>
      </c>
      <c r="M311" s="12" t="n">
        <v>1</v>
      </c>
    </row>
    <row r="312">
      <c r="A312" s="4" t="inlineStr">
        <is>
          <t>MAT-21-019</t>
        </is>
      </c>
      <c r="B312" s="5" t="inlineStr">
        <is>
          <t>Tola corrugada 3/16", plancha 4 x 8 pies</t>
        </is>
      </c>
      <c r="C312" s="4" t="inlineStr">
        <is>
          <t>plancha</t>
        </is>
      </c>
      <c r="D312" s="10" t="n">
        <v>6433.47</v>
      </c>
      <c r="E312" s="10" t="n"/>
      <c r="F312" s="10" t="n"/>
      <c r="G312" s="10">
        <f>IF(COUNT(D312:F312)=0,"",MIN(D312:F312))</f>
        <v/>
      </c>
      <c r="H312" s="10">
        <f>IF(COUNT(D312:F312)=0,"",MEDIAN(D312:F312))</f>
        <v/>
      </c>
      <c r="I312" s="10">
        <f>IF(COUNT(D312:F312)=0,"",MAX(D312:F312))</f>
        <v/>
      </c>
      <c r="J312" s="11">
        <f>IF(OR(G312="",G312=0),"",(I312-G312)/G312)</f>
        <v/>
      </c>
      <c r="K312" s="4">
        <f>IF(COUNT(D312:F312)=0,"",INDEX($D$1:$F$1,MATCH(MIN(D312:F312),D312:F312,0)))</f>
        <v/>
      </c>
      <c r="L312" s="10" t="n">
        <v>6433.47</v>
      </c>
      <c r="M312" s="12" t="n">
        <v>1</v>
      </c>
    </row>
    <row r="313">
      <c r="A313" s="4" t="inlineStr">
        <is>
          <t>MAT-21-020</t>
        </is>
      </c>
      <c r="B313" s="5" t="inlineStr">
        <is>
          <t>Tola galvanizada 4 x 8 pies, 25 lb</t>
        </is>
      </c>
      <c r="C313" s="4" t="inlineStr">
        <is>
          <t>plancha</t>
        </is>
      </c>
      <c r="D313" s="10" t="n">
        <v>825.17</v>
      </c>
      <c r="E313" s="10" t="n"/>
      <c r="F313" s="10" t="n"/>
      <c r="G313" s="10">
        <f>IF(COUNT(D313:F313)=0,"",MIN(D313:F313))</f>
        <v/>
      </c>
      <c r="H313" s="10">
        <f>IF(COUNT(D313:F313)=0,"",MEDIAN(D313:F313))</f>
        <v/>
      </c>
      <c r="I313" s="10">
        <f>IF(COUNT(D313:F313)=0,"",MAX(D313:F313))</f>
        <v/>
      </c>
      <c r="J313" s="11">
        <f>IF(OR(G313="",G313=0),"",(I313-G313)/G313)</f>
        <v/>
      </c>
      <c r="K313" s="4">
        <f>IF(COUNT(D313:F313)=0,"",INDEX($D$1:$F$1,MATCH(MIN(D313:F313),D313:F313,0)))</f>
        <v/>
      </c>
      <c r="L313" s="10" t="n">
        <v>825.17</v>
      </c>
      <c r="M313" s="12" t="n">
        <v>1</v>
      </c>
    </row>
    <row r="314">
      <c r="A314" s="4" t="inlineStr">
        <is>
          <t>MAT-21-021</t>
        </is>
      </c>
      <c r="B314" s="5" t="inlineStr">
        <is>
          <t>Tola galvanizada 4 x 8 pies, 32 lb</t>
        </is>
      </c>
      <c r="C314" s="4" t="inlineStr">
        <is>
          <t>plancha</t>
        </is>
      </c>
      <c r="D314" s="10" t="n">
        <v>952.1900000000001</v>
      </c>
      <c r="E314" s="10" t="n"/>
      <c r="F314" s="10" t="n"/>
      <c r="G314" s="10">
        <f>IF(COUNT(D314:F314)=0,"",MIN(D314:F314))</f>
        <v/>
      </c>
      <c r="H314" s="10">
        <f>IF(COUNT(D314:F314)=0,"",MEDIAN(D314:F314))</f>
        <v/>
      </c>
      <c r="I314" s="10">
        <f>IF(COUNT(D314:F314)=0,"",MAX(D314:F314))</f>
        <v/>
      </c>
      <c r="J314" s="11">
        <f>IF(OR(G314="",G314=0),"",(I314-G314)/G314)</f>
        <v/>
      </c>
      <c r="K314" s="4">
        <f>IF(COUNT(D314:F314)=0,"",INDEX($D$1:$F$1,MATCH(MIN(D314:F314),D314:F314,0)))</f>
        <v/>
      </c>
      <c r="L314" s="10" t="n">
        <v>952.1900000000001</v>
      </c>
      <c r="M314" s="12" t="n">
        <v>1</v>
      </c>
    </row>
    <row r="315">
      <c r="A315" s="4" t="inlineStr">
        <is>
          <t>MAT-21-022</t>
        </is>
      </c>
      <c r="B315" s="5" t="inlineStr">
        <is>
          <t>Tola galvanizada 4 x 8 pies, 44 lb</t>
        </is>
      </c>
      <c r="C315" s="4" t="inlineStr">
        <is>
          <t>plancha</t>
        </is>
      </c>
      <c r="D315" s="10" t="n">
        <v>1169.6</v>
      </c>
      <c r="E315" s="10" t="n"/>
      <c r="F315" s="10" t="n"/>
      <c r="G315" s="10">
        <f>IF(COUNT(D315:F315)=0,"",MIN(D315:F315))</f>
        <v/>
      </c>
      <c r="H315" s="10">
        <f>IF(COUNT(D315:F315)=0,"",MEDIAN(D315:F315))</f>
        <v/>
      </c>
      <c r="I315" s="10">
        <f>IF(COUNT(D315:F315)=0,"",MAX(D315:F315))</f>
        <v/>
      </c>
      <c r="J315" s="11">
        <f>IF(OR(G315="",G315=0),"",(I315-G315)/G315)</f>
        <v/>
      </c>
      <c r="K315" s="4">
        <f>IF(COUNT(D315:F315)=0,"",INDEX($D$1:$F$1,MATCH(MIN(D315:F315),D315:F315,0)))</f>
        <v/>
      </c>
      <c r="L315" s="10" t="n">
        <v>1169.6</v>
      </c>
      <c r="M315" s="12" t="n">
        <v>1</v>
      </c>
    </row>
    <row r="316">
      <c r="A316" s="4" t="inlineStr">
        <is>
          <t>MAT-21-023</t>
        </is>
      </c>
      <c r="B316" s="5" t="inlineStr">
        <is>
          <t>Tola galvanizada 4 x 8 pies, 52 lb</t>
        </is>
      </c>
      <c r="C316" s="4" t="inlineStr">
        <is>
          <t>plancha</t>
        </is>
      </c>
      <c r="D316" s="10" t="n">
        <v>1551.37</v>
      </c>
      <c r="E316" s="10" t="n"/>
      <c r="F316" s="10" t="n"/>
      <c r="G316" s="10">
        <f>IF(COUNT(D316:F316)=0,"",MIN(D316:F316))</f>
        <v/>
      </c>
      <c r="H316" s="10">
        <f>IF(COUNT(D316:F316)=0,"",MEDIAN(D316:F316))</f>
        <v/>
      </c>
      <c r="I316" s="10">
        <f>IF(COUNT(D316:F316)=0,"",MAX(D316:F316))</f>
        <v/>
      </c>
      <c r="J316" s="11">
        <f>IF(OR(G316="",G316=0),"",(I316-G316)/G316)</f>
        <v/>
      </c>
      <c r="K316" s="4">
        <f>IF(COUNT(D316:F316)=0,"",INDEX($D$1:$F$1,MATCH(MIN(D316:F316),D316:F316,0)))</f>
        <v/>
      </c>
      <c r="L316" s="10" t="n">
        <v>1551.37</v>
      </c>
      <c r="M316" s="12" t="n">
        <v>1</v>
      </c>
    </row>
    <row r="317">
      <c r="A317" s="4" t="inlineStr">
        <is>
          <t>MAT-21-024</t>
        </is>
      </c>
      <c r="B317" s="5" t="inlineStr">
        <is>
          <t>Tola galvanizada 4 x 8 pies, 83.75 lb</t>
        </is>
      </c>
      <c r="C317" s="4" t="inlineStr">
        <is>
          <t>plancha</t>
        </is>
      </c>
      <c r="D317" s="10" t="n">
        <v>2364.86</v>
      </c>
      <c r="E317" s="10" t="n"/>
      <c r="F317" s="10" t="n"/>
      <c r="G317" s="10">
        <f>IF(COUNT(D317:F317)=0,"",MIN(D317:F317))</f>
        <v/>
      </c>
      <c r="H317" s="10">
        <f>IF(COUNT(D317:F317)=0,"",MEDIAN(D317:F317))</f>
        <v/>
      </c>
      <c r="I317" s="10">
        <f>IF(COUNT(D317:F317)=0,"",MAX(D317:F317))</f>
        <v/>
      </c>
      <c r="J317" s="11">
        <f>IF(OR(G317="",G317=0),"",(I317-G317)/G317)</f>
        <v/>
      </c>
      <c r="K317" s="4">
        <f>IF(COUNT(D317:F317)=0,"",INDEX($D$1:$F$1,MATCH(MIN(D317:F317),D317:F317,0)))</f>
        <v/>
      </c>
      <c r="L317" s="10" t="n">
        <v>2364.86</v>
      </c>
      <c r="M317" s="12" t="n">
        <v>1</v>
      </c>
    </row>
    <row r="318">
      <c r="A318" s="4" t="inlineStr">
        <is>
          <t>MAT-21-025</t>
        </is>
      </c>
      <c r="B318" s="5" t="inlineStr">
        <is>
          <t>Metal desplegable plano 3/8", plancha 4 x 8 pies</t>
        </is>
      </c>
      <c r="C318" s="4" t="inlineStr">
        <is>
          <t>plancha</t>
        </is>
      </c>
      <c r="D318" s="10" t="n">
        <v>2209.05</v>
      </c>
      <c r="E318" s="10" t="n"/>
      <c r="F318" s="10" t="n"/>
      <c r="G318" s="10">
        <f>IF(COUNT(D318:F318)=0,"",MIN(D318:F318))</f>
        <v/>
      </c>
      <c r="H318" s="10">
        <f>IF(COUNT(D318:F318)=0,"",MEDIAN(D318:F318))</f>
        <v/>
      </c>
      <c r="I318" s="10">
        <f>IF(COUNT(D318:F318)=0,"",MAX(D318:F318))</f>
        <v/>
      </c>
      <c r="J318" s="11">
        <f>IF(OR(G318="",G318=0),"",(I318-G318)/G318)</f>
        <v/>
      </c>
      <c r="K318" s="4">
        <f>IF(COUNT(D318:F318)=0,"",INDEX($D$1:$F$1,MATCH(MIN(D318:F318),D318:F318,0)))</f>
        <v/>
      </c>
      <c r="L318" s="10" t="n">
        <v>2209.05</v>
      </c>
      <c r="M318" s="12" t="n">
        <v>1</v>
      </c>
    </row>
    <row r="319">
      <c r="A319" s="4" t="inlineStr">
        <is>
          <t>MAT-21-026</t>
        </is>
      </c>
      <c r="B319" s="5" t="inlineStr">
        <is>
          <t>Metal desplegable plano 1/2", plancha 4 x 8 pies</t>
        </is>
      </c>
      <c r="C319" s="4" t="inlineStr">
        <is>
          <t>plancha</t>
        </is>
      </c>
      <c r="D319" s="10" t="n">
        <v>765.55</v>
      </c>
      <c r="E319" s="10" t="n"/>
      <c r="F319" s="10" t="n"/>
      <c r="G319" s="10">
        <f>IF(COUNT(D319:F319)=0,"",MIN(D319:F319))</f>
        <v/>
      </c>
      <c r="H319" s="10">
        <f>IF(COUNT(D319:F319)=0,"",MEDIAN(D319:F319))</f>
        <v/>
      </c>
      <c r="I319" s="10">
        <f>IF(COUNT(D319:F319)=0,"",MAX(D319:F319))</f>
        <v/>
      </c>
      <c r="J319" s="11">
        <f>IF(OR(G319="",G319=0),"",(I319-G319)/G319)</f>
        <v/>
      </c>
      <c r="K319" s="4">
        <f>IF(COUNT(D319:F319)=0,"",INDEX($D$1:$F$1,MATCH(MIN(D319:F319),D319:F319,0)))</f>
        <v/>
      </c>
      <c r="L319" s="10" t="n">
        <v>765.55</v>
      </c>
      <c r="M319" s="12" t="n">
        <v>1</v>
      </c>
    </row>
    <row r="320">
      <c r="A320" s="4" t="inlineStr">
        <is>
          <t>MAT-21-027</t>
        </is>
      </c>
      <c r="B320" s="5" t="inlineStr">
        <is>
          <t>Metal desplegable plano 3/4", plancha 4 x 8 pies</t>
        </is>
      </c>
      <c r="C320" s="4" t="inlineStr">
        <is>
          <t>plancha</t>
        </is>
      </c>
      <c r="D320" s="10" t="n">
        <v>850</v>
      </c>
      <c r="E320" s="10" t="n"/>
      <c r="F320" s="10" t="n"/>
      <c r="G320" s="10">
        <f>IF(COUNT(D320:F320)=0,"",MIN(D320:F320))</f>
        <v/>
      </c>
      <c r="H320" s="10">
        <f>IF(COUNT(D320:F320)=0,"",MEDIAN(D320:F320))</f>
        <v/>
      </c>
      <c r="I320" s="10">
        <f>IF(COUNT(D320:F320)=0,"",MAX(D320:F320))</f>
        <v/>
      </c>
      <c r="J320" s="11">
        <f>IF(OR(G320="",G320=0),"",(I320-G320)/G320)</f>
        <v/>
      </c>
      <c r="K320" s="4">
        <f>IF(COUNT(D320:F320)=0,"",INDEX($D$1:$F$1,MATCH(MIN(D320:F320),D320:F320,0)))</f>
        <v/>
      </c>
      <c r="L320" s="10" t="n">
        <v>850</v>
      </c>
      <c r="M320" s="12" t="n">
        <v>1</v>
      </c>
    </row>
    <row r="321">
      <c r="A321" s="4" t="inlineStr">
        <is>
          <t>MAT-21-028</t>
        </is>
      </c>
      <c r="B321" s="5" t="inlineStr">
        <is>
          <t>Metal desplegable plano 1", plancha 4 x 8 pies</t>
        </is>
      </c>
      <c r="C321" s="4" t="inlineStr">
        <is>
          <t>plancha</t>
        </is>
      </c>
      <c r="D321" s="10" t="n">
        <v>1080.47</v>
      </c>
      <c r="E321" s="10" t="n"/>
      <c r="F321" s="10" t="n"/>
      <c r="G321" s="10">
        <f>IF(COUNT(D321:F321)=0,"",MIN(D321:F321))</f>
        <v/>
      </c>
      <c r="H321" s="10">
        <f>IF(COUNT(D321:F321)=0,"",MEDIAN(D321:F321))</f>
        <v/>
      </c>
      <c r="I321" s="10">
        <f>IF(COUNT(D321:F321)=0,"",MAX(D321:F321))</f>
        <v/>
      </c>
      <c r="J321" s="11">
        <f>IF(OR(G321="",G321=0),"",(I321-G321)/G321)</f>
        <v/>
      </c>
      <c r="K321" s="4">
        <f>IF(COUNT(D321:F321)=0,"",INDEX($D$1:$F$1,MATCH(MIN(D321:F321),D321:F321,0)))</f>
        <v/>
      </c>
      <c r="L321" s="10" t="n">
        <v>1080.47</v>
      </c>
      <c r="M321" s="12" t="n">
        <v>1</v>
      </c>
    </row>
    <row r="322">
      <c r="A322" s="4" t="inlineStr">
        <is>
          <t>MAT-21-029</t>
        </is>
      </c>
      <c r="B322" s="5" t="inlineStr">
        <is>
          <t>Metal desplegable plano 1 1/2", plancha 4 x 8 pies</t>
        </is>
      </c>
      <c r="C322" s="4" t="inlineStr">
        <is>
          <t>plancha</t>
        </is>
      </c>
      <c r="D322" s="10" t="n">
        <v>939.35</v>
      </c>
      <c r="E322" s="10" t="n"/>
      <c r="F322" s="10" t="n"/>
      <c r="G322" s="10">
        <f>IF(COUNT(D322:F322)=0,"",MIN(D322:F322))</f>
        <v/>
      </c>
      <c r="H322" s="10">
        <f>IF(COUNT(D322:F322)=0,"",MEDIAN(D322:F322))</f>
        <v/>
      </c>
      <c r="I322" s="10">
        <f>IF(COUNT(D322:F322)=0,"",MAX(D322:F322))</f>
        <v/>
      </c>
      <c r="J322" s="11">
        <f>IF(OR(G322="",G322=0),"",(I322-G322)/G322)</f>
        <v/>
      </c>
      <c r="K322" s="4">
        <f>IF(COUNT(D322:F322)=0,"",INDEX($D$1:$F$1,MATCH(MIN(D322:F322),D322:F322,0)))</f>
        <v/>
      </c>
      <c r="L322" s="10" t="n">
        <v>939.35</v>
      </c>
      <c r="M322" s="12" t="n">
        <v>1</v>
      </c>
    </row>
    <row r="323">
      <c r="A323" s="4" t="inlineStr">
        <is>
          <t>MAT-22-001</t>
        </is>
      </c>
      <c r="B323" s="5" t="inlineStr">
        <is>
          <t>Malla ciclónica calibre 9, 3 pies de alto, rollo de 50 pies</t>
        </is>
      </c>
      <c r="C323" s="4" t="inlineStr">
        <is>
          <t>rollo</t>
        </is>
      </c>
      <c r="D323" s="10" t="n">
        <v>5223.1</v>
      </c>
      <c r="E323" s="10" t="n"/>
      <c r="F323" s="10" t="n"/>
      <c r="G323" s="10">
        <f>IF(COUNT(D323:F323)=0,"",MIN(D323:F323))</f>
        <v/>
      </c>
      <c r="H323" s="10">
        <f>IF(COUNT(D323:F323)=0,"",MEDIAN(D323:F323))</f>
        <v/>
      </c>
      <c r="I323" s="10">
        <f>IF(COUNT(D323:F323)=0,"",MAX(D323:F323))</f>
        <v/>
      </c>
      <c r="J323" s="11">
        <f>IF(OR(G323="",G323=0),"",(I323-G323)/G323)</f>
        <v/>
      </c>
      <c r="K323" s="4">
        <f>IF(COUNT(D323:F323)=0,"",INDEX($D$1:$F$1,MATCH(MIN(D323:F323),D323:F323,0)))</f>
        <v/>
      </c>
      <c r="L323" s="10" t="n">
        <v>5223.1</v>
      </c>
      <c r="M323" s="12" t="n">
        <v>1</v>
      </c>
    </row>
    <row r="324">
      <c r="A324" s="4" t="inlineStr">
        <is>
          <t>MAT-22-002</t>
        </is>
      </c>
      <c r="B324" s="5" t="inlineStr">
        <is>
          <t>Malla ciclónica calibre 9, 4 pies de alto, rollo de 50 pies</t>
        </is>
      </c>
      <c r="C324" s="4" t="inlineStr">
        <is>
          <t>rollo</t>
        </is>
      </c>
      <c r="D324" s="10" t="n">
        <v>6121.98</v>
      </c>
      <c r="E324" s="10" t="n"/>
      <c r="F324" s="10" t="n"/>
      <c r="G324" s="10">
        <f>IF(COUNT(D324:F324)=0,"",MIN(D324:F324))</f>
        <v/>
      </c>
      <c r="H324" s="10">
        <f>IF(COUNT(D324:F324)=0,"",MEDIAN(D324:F324))</f>
        <v/>
      </c>
      <c r="I324" s="10">
        <f>IF(COUNT(D324:F324)=0,"",MAX(D324:F324))</f>
        <v/>
      </c>
      <c r="J324" s="11">
        <f>IF(OR(G324="",G324=0),"",(I324-G324)/G324)</f>
        <v/>
      </c>
      <c r="K324" s="4">
        <f>IF(COUNT(D324:F324)=0,"",INDEX($D$1:$F$1,MATCH(MIN(D324:F324),D324:F324,0)))</f>
        <v/>
      </c>
      <c r="L324" s="10" t="n">
        <v>6121.98</v>
      </c>
      <c r="M324" s="12" t="n">
        <v>1</v>
      </c>
    </row>
    <row r="325">
      <c r="A325" s="4" t="inlineStr">
        <is>
          <t>MAT-22-003</t>
        </is>
      </c>
      <c r="B325" s="5" t="inlineStr">
        <is>
          <t>Malla ciclónica calibre 9, 6 pies de alto, rollo de 50 pies</t>
        </is>
      </c>
      <c r="C325" s="4" t="inlineStr">
        <is>
          <t>rollo</t>
        </is>
      </c>
      <c r="D325" s="10" t="n">
        <v>9867.16</v>
      </c>
      <c r="E325" s="10" t="n"/>
      <c r="F325" s="10" t="n"/>
      <c r="G325" s="10">
        <f>IF(COUNT(D325:F325)=0,"",MIN(D325:F325))</f>
        <v/>
      </c>
      <c r="H325" s="10">
        <f>IF(COUNT(D325:F325)=0,"",MEDIAN(D325:F325))</f>
        <v/>
      </c>
      <c r="I325" s="10">
        <f>IF(COUNT(D325:F325)=0,"",MAX(D325:F325))</f>
        <v/>
      </c>
      <c r="J325" s="11">
        <f>IF(OR(G325="",G325=0),"",(I325-G325)/G325)</f>
        <v/>
      </c>
      <c r="K325" s="4">
        <f>IF(COUNT(D325:F325)=0,"",INDEX($D$1:$F$1,MATCH(MIN(D325:F325),D325:F325,0)))</f>
        <v/>
      </c>
      <c r="L325" s="10" t="n">
        <v>9867.16</v>
      </c>
      <c r="M325" s="12" t="n">
        <v>1</v>
      </c>
    </row>
    <row r="326">
      <c r="A326" s="4" t="inlineStr">
        <is>
          <t>MAT-22-004</t>
        </is>
      </c>
      <c r="B326" s="5" t="inlineStr">
        <is>
          <t>Malla ciclónica calibre 9 revestida en PVC, 6 pies de alto, rollo de 50 pies</t>
        </is>
      </c>
      <c r="C326" s="4" t="inlineStr">
        <is>
          <t>rollo</t>
        </is>
      </c>
      <c r="D326" s="10" t="n">
        <v>11757.65</v>
      </c>
      <c r="E326" s="10" t="n">
        <v>14690</v>
      </c>
      <c r="F326" s="10" t="n"/>
      <c r="G326" s="10">
        <f>IF(COUNT(D326:F326)=0,"",MIN(D326:F326))</f>
        <v/>
      </c>
      <c r="H326" s="10">
        <f>IF(COUNT(D326:F326)=0,"",MEDIAN(D326:F326))</f>
        <v/>
      </c>
      <c r="I326" s="10">
        <f>IF(COUNT(D326:F326)=0,"",MAX(D326:F326))</f>
        <v/>
      </c>
      <c r="J326" s="11">
        <f>IF(OR(G326="",G326=0),"",(I326-G326)/G326)</f>
        <v/>
      </c>
      <c r="K326" s="4">
        <f>IF(COUNT(D326:F326)=0,"",INDEX($D$1:$F$1,MATCH(MIN(D326:F326),D326:F326,0)))</f>
        <v/>
      </c>
      <c r="L326" s="10" t="n">
        <v>13223.83</v>
      </c>
      <c r="M326" s="12" t="n">
        <v>2</v>
      </c>
    </row>
    <row r="327">
      <c r="A327" s="4" t="inlineStr">
        <is>
          <t>MAT-22-005</t>
        </is>
      </c>
      <c r="B327" s="5" t="inlineStr">
        <is>
          <t>Malla ciclónica calibre 9, 8 pies de alto, rollo de 50 pies</t>
        </is>
      </c>
      <c r="C327" s="4" t="inlineStr">
        <is>
          <t>rollo</t>
        </is>
      </c>
      <c r="D327" s="10" t="n">
        <v>13273.54</v>
      </c>
      <c r="E327" s="10" t="n"/>
      <c r="F327" s="10" t="n"/>
      <c r="G327" s="10">
        <f>IF(COUNT(D327:F327)=0,"",MIN(D327:F327))</f>
        <v/>
      </c>
      <c r="H327" s="10">
        <f>IF(COUNT(D327:F327)=0,"",MEDIAN(D327:F327))</f>
        <v/>
      </c>
      <c r="I327" s="10">
        <f>IF(COUNT(D327:F327)=0,"",MAX(D327:F327))</f>
        <v/>
      </c>
      <c r="J327" s="11">
        <f>IF(OR(G327="",G327=0),"",(I327-G327)/G327)</f>
        <v/>
      </c>
      <c r="K327" s="4">
        <f>IF(COUNT(D327:F327)=0,"",INDEX($D$1:$F$1,MATCH(MIN(D327:F327),D327:F327,0)))</f>
        <v/>
      </c>
      <c r="L327" s="10" t="n">
        <v>13273.54</v>
      </c>
      <c r="M327" s="12" t="n">
        <v>1</v>
      </c>
    </row>
    <row r="328">
      <c r="A328" s="4" t="inlineStr">
        <is>
          <t>MAT-22-006</t>
        </is>
      </c>
      <c r="B328" s="5" t="inlineStr">
        <is>
          <t>Tubo galvanizado para malla ciclónica 1 1/4" x 20 pies</t>
        </is>
      </c>
      <c r="C328" s="4" t="inlineStr">
        <is>
          <t>unidad</t>
        </is>
      </c>
      <c r="D328" s="10" t="n">
        <v>527.0599999999999</v>
      </c>
      <c r="E328" s="10" t="n">
        <v>730</v>
      </c>
      <c r="F328" s="10" t="n"/>
      <c r="G328" s="10">
        <f>IF(COUNT(D328:F328)=0,"",MIN(D328:F328))</f>
        <v/>
      </c>
      <c r="H328" s="10">
        <f>IF(COUNT(D328:F328)=0,"",MEDIAN(D328:F328))</f>
        <v/>
      </c>
      <c r="I328" s="10">
        <f>IF(COUNT(D328:F328)=0,"",MAX(D328:F328))</f>
        <v/>
      </c>
      <c r="J328" s="11">
        <f>IF(OR(G328="",G328=0),"",(I328-G328)/G328)</f>
        <v/>
      </c>
      <c r="K328" s="4">
        <f>IF(COUNT(D328:F328)=0,"",INDEX($D$1:$F$1,MATCH(MIN(D328:F328),D328:F328,0)))</f>
        <v/>
      </c>
      <c r="L328" s="10" t="n">
        <v>628.53</v>
      </c>
      <c r="M328" s="12" t="n">
        <v>2</v>
      </c>
    </row>
    <row r="329">
      <c r="A329" s="4" t="inlineStr">
        <is>
          <t>MAT-22-007</t>
        </is>
      </c>
      <c r="B329" s="5" t="inlineStr">
        <is>
          <t>Tubo galvanizado para malla ciclónica 1 1/2" x 15 pies</t>
        </is>
      </c>
      <c r="C329" s="4" t="inlineStr">
        <is>
          <t>unidad</t>
        </is>
      </c>
      <c r="D329" s="10" t="n">
        <v>462.61</v>
      </c>
      <c r="E329" s="10" t="n">
        <v>625</v>
      </c>
      <c r="F329" s="10" t="n"/>
      <c r="G329" s="10">
        <f>IF(COUNT(D329:F329)=0,"",MIN(D329:F329))</f>
        <v/>
      </c>
      <c r="H329" s="10">
        <f>IF(COUNT(D329:F329)=0,"",MEDIAN(D329:F329))</f>
        <v/>
      </c>
      <c r="I329" s="10">
        <f>IF(COUNT(D329:F329)=0,"",MAX(D329:F329))</f>
        <v/>
      </c>
      <c r="J329" s="11">
        <f>IF(OR(G329="",G329=0),"",(I329-G329)/G329)</f>
        <v/>
      </c>
      <c r="K329" s="4">
        <f>IF(COUNT(D329:F329)=0,"",INDEX($D$1:$F$1,MATCH(MIN(D329:F329),D329:F329,0)))</f>
        <v/>
      </c>
      <c r="L329" s="10" t="n">
        <v>543.8099999999999</v>
      </c>
      <c r="M329" s="12" t="n">
        <v>2</v>
      </c>
    </row>
    <row r="330">
      <c r="A330" s="4" t="inlineStr">
        <is>
          <t>MAT-22-008</t>
        </is>
      </c>
      <c r="B330" s="5" t="inlineStr">
        <is>
          <t>Tubo galvanizado para malla ciclónica 2" x 20 pies</t>
        </is>
      </c>
      <c r="C330" s="4" t="inlineStr">
        <is>
          <t>unidad</t>
        </is>
      </c>
      <c r="D330" s="10" t="n">
        <v>699.92</v>
      </c>
      <c r="E330" s="10" t="n"/>
      <c r="F330" s="10" t="n"/>
      <c r="G330" s="10">
        <f>IF(COUNT(D330:F330)=0,"",MIN(D330:F330))</f>
        <v/>
      </c>
      <c r="H330" s="10">
        <f>IF(COUNT(D330:F330)=0,"",MEDIAN(D330:F330))</f>
        <v/>
      </c>
      <c r="I330" s="10">
        <f>IF(COUNT(D330:F330)=0,"",MAX(D330:F330))</f>
        <v/>
      </c>
      <c r="J330" s="11">
        <f>IF(OR(G330="",G330=0),"",(I330-G330)/G330)</f>
        <v/>
      </c>
      <c r="K330" s="4">
        <f>IF(COUNT(D330:F330)=0,"",INDEX($D$1:$F$1,MATCH(MIN(D330:F330),D330:F330,0)))</f>
        <v/>
      </c>
      <c r="L330" s="10" t="n">
        <v>699.92</v>
      </c>
      <c r="M330" s="12" t="n">
        <v>1</v>
      </c>
    </row>
    <row r="331">
      <c r="A331" s="4" t="inlineStr">
        <is>
          <t>MAT-22-009</t>
        </is>
      </c>
      <c r="B331" s="5" t="inlineStr">
        <is>
          <t>Malla ciclónica calibre 11, 3 pies de alto, rollo de 50 pies</t>
        </is>
      </c>
      <c r="C331" s="4" t="inlineStr">
        <is>
          <t>rollo</t>
        </is>
      </c>
      <c r="D331" s="10" t="n">
        <v>4335.91</v>
      </c>
      <c r="E331" s="10" t="n"/>
      <c r="F331" s="10" t="n"/>
      <c r="G331" s="10">
        <f>IF(COUNT(D331:F331)=0,"",MIN(D331:F331))</f>
        <v/>
      </c>
      <c r="H331" s="10">
        <f>IF(COUNT(D331:F331)=0,"",MEDIAN(D331:F331))</f>
        <v/>
      </c>
      <c r="I331" s="10">
        <f>IF(COUNT(D331:F331)=0,"",MAX(D331:F331))</f>
        <v/>
      </c>
      <c r="J331" s="11">
        <f>IF(OR(G331="",G331=0),"",(I331-G331)/G331)</f>
        <v/>
      </c>
      <c r="K331" s="4">
        <f>IF(COUNT(D331:F331)=0,"",INDEX($D$1:$F$1,MATCH(MIN(D331:F331),D331:F331,0)))</f>
        <v/>
      </c>
      <c r="L331" s="10" t="n">
        <v>4335.91</v>
      </c>
      <c r="M331" s="12" t="n">
        <v>1</v>
      </c>
    </row>
    <row r="332">
      <c r="A332" s="4" t="inlineStr">
        <is>
          <t>MAT-22-010</t>
        </is>
      </c>
      <c r="B332" s="5" t="inlineStr">
        <is>
          <t>Malla ciclónica calibre 11, 6 pies de alto, rollo de 50 pies</t>
        </is>
      </c>
      <c r="C332" s="4" t="inlineStr">
        <is>
          <t>rollo</t>
        </is>
      </c>
      <c r="D332" s="10" t="n">
        <v>8694.459999999999</v>
      </c>
      <c r="E332" s="10" t="n">
        <v>10250</v>
      </c>
      <c r="F332" s="10" t="n"/>
      <c r="G332" s="10">
        <f>IF(COUNT(D332:F332)=0,"",MIN(D332:F332))</f>
        <v/>
      </c>
      <c r="H332" s="10">
        <f>IF(COUNT(D332:F332)=0,"",MEDIAN(D332:F332))</f>
        <v/>
      </c>
      <c r="I332" s="10">
        <f>IF(COUNT(D332:F332)=0,"",MAX(D332:F332))</f>
        <v/>
      </c>
      <c r="J332" s="11">
        <f>IF(OR(G332="",G332=0),"",(I332-G332)/G332)</f>
        <v/>
      </c>
      <c r="K332" s="4">
        <f>IF(COUNT(D332:F332)=0,"",INDEX($D$1:$F$1,MATCH(MIN(D332:F332),D332:F332,0)))</f>
        <v/>
      </c>
      <c r="L332" s="10" t="n">
        <v>9472.23</v>
      </c>
      <c r="M332" s="12" t="n">
        <v>2</v>
      </c>
    </row>
    <row r="333">
      <c r="A333" s="4" t="inlineStr">
        <is>
          <t>MAT-22-011</t>
        </is>
      </c>
      <c r="B333" s="5" t="inlineStr">
        <is>
          <t>Alambre de púas 1.50 mm, rollo de 250 metros</t>
        </is>
      </c>
      <c r="C333" s="4" t="inlineStr">
        <is>
          <t>rollo</t>
        </is>
      </c>
      <c r="D333" s="10" t="n">
        <v>2601.2</v>
      </c>
      <c r="E333" s="10" t="n"/>
      <c r="F333" s="10" t="n"/>
      <c r="G333" s="10">
        <f>IF(COUNT(D333:F333)=0,"",MIN(D333:F333))</f>
        <v/>
      </c>
      <c r="H333" s="10">
        <f>IF(COUNT(D333:F333)=0,"",MEDIAN(D333:F333))</f>
        <v/>
      </c>
      <c r="I333" s="10">
        <f>IF(COUNT(D333:F333)=0,"",MAX(D333:F333))</f>
        <v/>
      </c>
      <c r="J333" s="11">
        <f>IF(OR(G333="",G333=0),"",(I333-G333)/G333)</f>
        <v/>
      </c>
      <c r="K333" s="4">
        <f>IF(COUNT(D333:F333)=0,"",INDEX($D$1:$F$1,MATCH(MIN(D333:F333),D333:F333,0)))</f>
        <v/>
      </c>
      <c r="L333" s="10" t="n">
        <v>2601.2</v>
      </c>
      <c r="M333" s="12" t="n">
        <v>1</v>
      </c>
    </row>
    <row r="334">
      <c r="A334" s="4" t="inlineStr">
        <is>
          <t>MAT-22-012</t>
        </is>
      </c>
      <c r="B334" s="5" t="inlineStr">
        <is>
          <t>Alambre de púas calibre 15, rollo de 250 metros</t>
        </is>
      </c>
      <c r="C334" s="4" t="inlineStr">
        <is>
          <t>rollo</t>
        </is>
      </c>
      <c r="D334" s="10" t="n">
        <v>2541.47</v>
      </c>
      <c r="E334" s="10" t="n"/>
      <c r="F334" s="10" t="n"/>
      <c r="G334" s="10">
        <f>IF(COUNT(D334:F334)=0,"",MIN(D334:F334))</f>
        <v/>
      </c>
      <c r="H334" s="10">
        <f>IF(COUNT(D334:F334)=0,"",MEDIAN(D334:F334))</f>
        <v/>
      </c>
      <c r="I334" s="10">
        <f>IF(COUNT(D334:F334)=0,"",MAX(D334:F334))</f>
        <v/>
      </c>
      <c r="J334" s="11">
        <f>IF(OR(G334="",G334=0),"",(I334-G334)/G334)</f>
        <v/>
      </c>
      <c r="K334" s="4">
        <f>IF(COUNT(D334:F334)=0,"",INDEX($D$1:$F$1,MATCH(MIN(D334:F334),D334:F334,0)))</f>
        <v/>
      </c>
      <c r="L334" s="10" t="n">
        <v>2541.47</v>
      </c>
      <c r="M334" s="12" t="n">
        <v>1</v>
      </c>
    </row>
    <row r="335">
      <c r="A335" s="4" t="inlineStr">
        <is>
          <t>MAT-22-013</t>
        </is>
      </c>
      <c r="B335" s="5" t="inlineStr">
        <is>
          <t>Alambre de púas calibre 16, rollo de 110 metros</t>
        </is>
      </c>
      <c r="C335" s="4" t="inlineStr">
        <is>
          <t>rollo</t>
        </is>
      </c>
      <c r="D335" s="10" t="n">
        <v>964.11</v>
      </c>
      <c r="E335" s="10" t="n">
        <v>845</v>
      </c>
      <c r="F335" s="10" t="n"/>
      <c r="G335" s="10">
        <f>IF(COUNT(D335:F335)=0,"",MIN(D335:F335))</f>
        <v/>
      </c>
      <c r="H335" s="10">
        <f>IF(COUNT(D335:F335)=0,"",MEDIAN(D335:F335))</f>
        <v/>
      </c>
      <c r="I335" s="10">
        <f>IF(COUNT(D335:F335)=0,"",MAX(D335:F335))</f>
        <v/>
      </c>
      <c r="J335" s="11">
        <f>IF(OR(G335="",G335=0),"",(I335-G335)/G335)</f>
        <v/>
      </c>
      <c r="K335" s="4">
        <f>IF(COUNT(D335:F335)=0,"",INDEX($D$1:$F$1,MATCH(MIN(D335:F335),D335:F335,0)))</f>
        <v/>
      </c>
      <c r="L335" s="10" t="n">
        <v>904.5599999999999</v>
      </c>
      <c r="M335" s="12" t="n">
        <v>2</v>
      </c>
    </row>
    <row r="336">
      <c r="A336" s="4" t="inlineStr">
        <is>
          <t>MAT-22-014</t>
        </is>
      </c>
      <c r="B336" s="5" t="inlineStr">
        <is>
          <t>Alambre de púas calibre 16, rollo de 250 metros</t>
        </is>
      </c>
      <c r="C336" s="4" t="inlineStr">
        <is>
          <t>rollo</t>
        </is>
      </c>
      <c r="D336" s="10" t="n">
        <v>2108.46</v>
      </c>
      <c r="E336" s="10" t="n">
        <v>1885</v>
      </c>
      <c r="F336" s="10" t="n"/>
      <c r="G336" s="10">
        <f>IF(COUNT(D336:F336)=0,"",MIN(D336:F336))</f>
        <v/>
      </c>
      <c r="H336" s="10">
        <f>IF(COUNT(D336:F336)=0,"",MEDIAN(D336:F336))</f>
        <v/>
      </c>
      <c r="I336" s="10">
        <f>IF(COUNT(D336:F336)=0,"",MAX(D336:F336))</f>
        <v/>
      </c>
      <c r="J336" s="11">
        <f>IF(OR(G336="",G336=0),"",(I336-G336)/G336)</f>
        <v/>
      </c>
      <c r="K336" s="4">
        <f>IF(COUNT(D336:F336)=0,"",INDEX($D$1:$F$1,MATCH(MIN(D336:F336),D336:F336,0)))</f>
        <v/>
      </c>
      <c r="L336" s="10" t="n">
        <v>2533.09</v>
      </c>
      <c r="M336" s="12" t="n">
        <v>2</v>
      </c>
    </row>
    <row r="337">
      <c r="A337" s="4" t="inlineStr">
        <is>
          <t>MAT-22-015</t>
        </is>
      </c>
      <c r="B337" s="5" t="inlineStr">
        <is>
          <t>Alambre de púas calibre 17, rollo de 250 metros</t>
        </is>
      </c>
      <c r="C337" s="4" t="inlineStr">
        <is>
          <t>rollo</t>
        </is>
      </c>
      <c r="D337" s="10" t="n">
        <v>1933.36</v>
      </c>
      <c r="E337" s="10" t="n"/>
      <c r="F337" s="10" t="n"/>
      <c r="G337" s="10">
        <f>IF(COUNT(D337:F337)=0,"",MIN(D337:F337))</f>
        <v/>
      </c>
      <c r="H337" s="10">
        <f>IF(COUNT(D337:F337)=0,"",MEDIAN(D337:F337))</f>
        <v/>
      </c>
      <c r="I337" s="10">
        <f>IF(COUNT(D337:F337)=0,"",MAX(D337:F337))</f>
        <v/>
      </c>
      <c r="J337" s="11">
        <f>IF(OR(G337="",G337=0),"",(I337-G337)/G337)</f>
        <v/>
      </c>
      <c r="K337" s="4">
        <f>IF(COUNT(D337:F337)=0,"",INDEX($D$1:$F$1,MATCH(MIN(D337:F337),D337:F337,0)))</f>
        <v/>
      </c>
      <c r="L337" s="10" t="n">
        <v>1933.36</v>
      </c>
      <c r="M337" s="12" t="n">
        <v>1</v>
      </c>
    </row>
    <row r="338">
      <c r="A338" s="4" t="inlineStr">
        <is>
          <t>MAT-22-016</t>
        </is>
      </c>
      <c r="B338" s="5" t="inlineStr">
        <is>
          <t>Tela metálica calibre 16, retícula 1" x 2", 4 pies de alto</t>
        </is>
      </c>
      <c r="C338" s="4" t="inlineStr">
        <is>
          <t>yarda</t>
        </is>
      </c>
      <c r="D338" s="10" t="n">
        <v>113.78</v>
      </c>
      <c r="E338" s="10" t="n"/>
      <c r="F338" s="10" t="n"/>
      <c r="G338" s="10">
        <f>IF(COUNT(D338:F338)=0,"",MIN(D338:F338))</f>
        <v/>
      </c>
      <c r="H338" s="10">
        <f>IF(COUNT(D338:F338)=0,"",MEDIAN(D338:F338))</f>
        <v/>
      </c>
      <c r="I338" s="10">
        <f>IF(COUNT(D338:F338)=0,"",MAX(D338:F338))</f>
        <v/>
      </c>
      <c r="J338" s="11">
        <f>IF(OR(G338="",G338=0),"",(I338-G338)/G338)</f>
        <v/>
      </c>
      <c r="K338" s="4">
        <f>IF(COUNT(D338:F338)=0,"",INDEX($D$1:$F$1,MATCH(MIN(D338:F338),D338:F338,0)))</f>
        <v/>
      </c>
      <c r="L338" s="10" t="n">
        <v>113.78</v>
      </c>
      <c r="M338" s="12" t="n">
        <v>1</v>
      </c>
    </row>
    <row r="339">
      <c r="A339" s="4" t="inlineStr">
        <is>
          <t>MAT-22-017</t>
        </is>
      </c>
      <c r="B339" s="5" t="inlineStr">
        <is>
          <t>Tela metálica calibre 18, retícula 1/2" x 1/2", 4 pies de alto</t>
        </is>
      </c>
      <c r="C339" s="4" t="inlineStr">
        <is>
          <t>yarda</t>
        </is>
      </c>
      <c r="D339" s="10" t="n">
        <v>192.26</v>
      </c>
      <c r="E339" s="10" t="n"/>
      <c r="F339" s="10" t="n"/>
      <c r="G339" s="10">
        <f>IF(COUNT(D339:F339)=0,"",MIN(D339:F339))</f>
        <v/>
      </c>
      <c r="H339" s="10">
        <f>IF(COUNT(D339:F339)=0,"",MEDIAN(D339:F339))</f>
        <v/>
      </c>
      <c r="I339" s="10">
        <f>IF(COUNT(D339:F339)=0,"",MAX(D339:F339))</f>
        <v/>
      </c>
      <c r="J339" s="11">
        <f>IF(OR(G339="",G339=0),"",(I339-G339)/G339)</f>
        <v/>
      </c>
      <c r="K339" s="4">
        <f>IF(COUNT(D339:F339)=0,"",INDEX($D$1:$F$1,MATCH(MIN(D339:F339),D339:F339,0)))</f>
        <v/>
      </c>
      <c r="L339" s="10" t="n">
        <v>192.26</v>
      </c>
      <c r="M339" s="12" t="n">
        <v>1</v>
      </c>
    </row>
    <row r="340">
      <c r="A340" s="4" t="inlineStr">
        <is>
          <t>MAT-22-018</t>
        </is>
      </c>
      <c r="B340" s="5" t="inlineStr">
        <is>
          <t>Tela metálica calibre 18, retícula 1" x 1/2", 3 pies de alto</t>
        </is>
      </c>
      <c r="C340" s="4" t="inlineStr">
        <is>
          <t>yarda</t>
        </is>
      </c>
      <c r="D340" s="10" t="n">
        <v>106.11</v>
      </c>
      <c r="E340" s="10" t="n"/>
      <c r="F340" s="10" t="n"/>
      <c r="G340" s="10">
        <f>IF(COUNT(D340:F340)=0,"",MIN(D340:F340))</f>
        <v/>
      </c>
      <c r="H340" s="10">
        <f>IF(COUNT(D340:F340)=0,"",MEDIAN(D340:F340))</f>
        <v/>
      </c>
      <c r="I340" s="10">
        <f>IF(COUNT(D340:F340)=0,"",MAX(D340:F340))</f>
        <v/>
      </c>
      <c r="J340" s="11">
        <f>IF(OR(G340="",G340=0),"",(I340-G340)/G340)</f>
        <v/>
      </c>
      <c r="K340" s="4">
        <f>IF(COUNT(D340:F340)=0,"",INDEX($D$1:$F$1,MATCH(MIN(D340:F340),D340:F340,0)))</f>
        <v/>
      </c>
      <c r="L340" s="10" t="n">
        <v>106.11</v>
      </c>
      <c r="M340" s="12" t="n">
        <v>1</v>
      </c>
    </row>
    <row r="341">
      <c r="A341" s="4" t="inlineStr">
        <is>
          <t>MAT-22-019</t>
        </is>
      </c>
      <c r="B341" s="5" t="inlineStr">
        <is>
          <t>Tela metálica calibre 18, retícula 1" x 1/2", 4 pies de alto</t>
        </is>
      </c>
      <c r="C341" s="4" t="inlineStr">
        <is>
          <t>yarda</t>
        </is>
      </c>
      <c r="D341" s="10" t="n">
        <v>145.1</v>
      </c>
      <c r="E341" s="10" t="n"/>
      <c r="F341" s="10" t="n"/>
      <c r="G341" s="10">
        <f>IF(COUNT(D341:F341)=0,"",MIN(D341:F341))</f>
        <v/>
      </c>
      <c r="H341" s="10">
        <f>IF(COUNT(D341:F341)=0,"",MEDIAN(D341:F341))</f>
        <v/>
      </c>
      <c r="I341" s="10">
        <f>IF(COUNT(D341:F341)=0,"",MAX(D341:F341))</f>
        <v/>
      </c>
      <c r="J341" s="11">
        <f>IF(OR(G341="",G341=0),"",(I341-G341)/G341)</f>
        <v/>
      </c>
      <c r="K341" s="4">
        <f>IF(COUNT(D341:F341)=0,"",INDEX($D$1:$F$1,MATCH(MIN(D341:F341),D341:F341,0)))</f>
        <v/>
      </c>
      <c r="L341" s="10" t="n">
        <v>145.1</v>
      </c>
      <c r="M341" s="12" t="n">
        <v>1</v>
      </c>
    </row>
    <row r="342">
      <c r="A342" s="4" t="inlineStr">
        <is>
          <t>MAT-22-020</t>
        </is>
      </c>
      <c r="B342" s="5" t="inlineStr">
        <is>
          <t>Tela metálica calibre 20, retícula 1" x 2", 3 pies de alto</t>
        </is>
      </c>
      <c r="C342" s="4" t="inlineStr">
        <is>
          <t>yarda</t>
        </is>
      </c>
      <c r="D342" s="10" t="n">
        <v>37.54</v>
      </c>
      <c r="E342" s="10" t="n"/>
      <c r="F342" s="10" t="n"/>
      <c r="G342" s="10">
        <f>IF(COUNT(D342:F342)=0,"",MIN(D342:F342))</f>
        <v/>
      </c>
      <c r="H342" s="10">
        <f>IF(COUNT(D342:F342)=0,"",MEDIAN(D342:F342))</f>
        <v/>
      </c>
      <c r="I342" s="10">
        <f>IF(COUNT(D342:F342)=0,"",MAX(D342:F342))</f>
        <v/>
      </c>
      <c r="J342" s="11">
        <f>IF(OR(G342="",G342=0),"",(I342-G342)/G342)</f>
        <v/>
      </c>
      <c r="K342" s="4">
        <f>IF(COUNT(D342:F342)=0,"",INDEX($D$1:$F$1,MATCH(MIN(D342:F342),D342:F342,0)))</f>
        <v/>
      </c>
      <c r="L342" s="10" t="n">
        <v>37.54</v>
      </c>
      <c r="M342" s="12" t="n">
        <v>1</v>
      </c>
    </row>
    <row r="343">
      <c r="A343" s="4" t="inlineStr">
        <is>
          <t>MAT-22-021</t>
        </is>
      </c>
      <c r="B343" s="5" t="inlineStr">
        <is>
          <t>Tela metálica calibre 21, retícula 3/8" x 3/8", 3 pies de alto</t>
        </is>
      </c>
      <c r="C343" s="4" t="inlineStr">
        <is>
          <t>yarda</t>
        </is>
      </c>
      <c r="D343" s="10" t="n">
        <v>72.61</v>
      </c>
      <c r="E343" s="10" t="n"/>
      <c r="F343" s="10" t="n"/>
      <c r="G343" s="10">
        <f>IF(COUNT(D343:F343)=0,"",MIN(D343:F343))</f>
        <v/>
      </c>
      <c r="H343" s="10">
        <f>IF(COUNT(D343:F343)=0,"",MEDIAN(D343:F343))</f>
        <v/>
      </c>
      <c r="I343" s="10">
        <f>IF(COUNT(D343:F343)=0,"",MAX(D343:F343))</f>
        <v/>
      </c>
      <c r="J343" s="11">
        <f>IF(OR(G343="",G343=0),"",(I343-G343)/G343)</f>
        <v/>
      </c>
      <c r="K343" s="4">
        <f>IF(COUNT(D343:F343)=0,"",INDEX($D$1:$F$1,MATCH(MIN(D343:F343),D343:F343,0)))</f>
        <v/>
      </c>
      <c r="L343" s="10" t="n">
        <v>72.61</v>
      </c>
      <c r="M343" s="12" t="n">
        <v>1</v>
      </c>
    </row>
    <row r="344">
      <c r="A344" s="4" t="inlineStr">
        <is>
          <t>MAT-22-022</t>
        </is>
      </c>
      <c r="B344" s="5" t="inlineStr">
        <is>
          <t>Tela para gallinero calibre 19, 3 pies de alto</t>
        </is>
      </c>
      <c r="C344" s="4" t="inlineStr">
        <is>
          <t>yarda</t>
        </is>
      </c>
      <c r="D344" s="10" t="n">
        <v>54.04</v>
      </c>
      <c r="E344" s="10" t="n"/>
      <c r="F344" s="10" t="n"/>
      <c r="G344" s="10">
        <f>IF(COUNT(D344:F344)=0,"",MIN(D344:F344))</f>
        <v/>
      </c>
      <c r="H344" s="10">
        <f>IF(COUNT(D344:F344)=0,"",MEDIAN(D344:F344))</f>
        <v/>
      </c>
      <c r="I344" s="10">
        <f>IF(COUNT(D344:F344)=0,"",MAX(D344:F344))</f>
        <v/>
      </c>
      <c r="J344" s="11">
        <f>IF(OR(G344="",G344=0),"",(I344-G344)/G344)</f>
        <v/>
      </c>
      <c r="K344" s="4">
        <f>IF(COUNT(D344:F344)=0,"",INDEX($D$1:$F$1,MATCH(MIN(D344:F344),D344:F344,0)))</f>
        <v/>
      </c>
      <c r="L344" s="10" t="n">
        <v>54.04</v>
      </c>
      <c r="M344" s="12" t="n">
        <v>1</v>
      </c>
    </row>
    <row r="345">
      <c r="A345" s="4" t="inlineStr">
        <is>
          <t>MAT-22-023</t>
        </is>
      </c>
      <c r="B345" s="5" t="inlineStr">
        <is>
          <t>Tela para gallinero calibre 20, 3 pies de alto</t>
        </is>
      </c>
      <c r="C345" s="4" t="inlineStr">
        <is>
          <t>yarda</t>
        </is>
      </c>
      <c r="D345" s="10" t="n">
        <v>46.53</v>
      </c>
      <c r="E345" s="10" t="n"/>
      <c r="F345" s="10" t="n"/>
      <c r="G345" s="10">
        <f>IF(COUNT(D345:F345)=0,"",MIN(D345:F345))</f>
        <v/>
      </c>
      <c r="H345" s="10">
        <f>IF(COUNT(D345:F345)=0,"",MEDIAN(D345:F345))</f>
        <v/>
      </c>
      <c r="I345" s="10">
        <f>IF(COUNT(D345:F345)=0,"",MAX(D345:F345))</f>
        <v/>
      </c>
      <c r="J345" s="11">
        <f>IF(OR(G345="",G345=0),"",(I345-G345)/G345)</f>
        <v/>
      </c>
      <c r="K345" s="4">
        <f>IF(COUNT(D345:F345)=0,"",INDEX($D$1:$F$1,MATCH(MIN(D345:F345),D345:F345,0)))</f>
        <v/>
      </c>
      <c r="L345" s="10" t="n">
        <v>46.53</v>
      </c>
      <c r="M345" s="12" t="n">
        <v>1</v>
      </c>
    </row>
    <row r="346">
      <c r="A346" s="4" t="inlineStr">
        <is>
          <t>MAT-22-024</t>
        </is>
      </c>
      <c r="B346" s="5" t="inlineStr">
        <is>
          <t>Alambre de trinchera, 45 Mts</t>
        </is>
      </c>
      <c r="C346" s="4" t="inlineStr">
        <is>
          <t>rollo</t>
        </is>
      </c>
      <c r="D346" s="10" t="n"/>
      <c r="E346" s="10" t="n">
        <v>595</v>
      </c>
      <c r="F346" s="10" t="n"/>
      <c r="G346" s="10">
        <f>IF(COUNT(D346:F346)=0,"",MIN(D346:F346))</f>
        <v/>
      </c>
      <c r="H346" s="10">
        <f>IF(COUNT(D346:F346)=0,"",MEDIAN(D346:F346))</f>
        <v/>
      </c>
      <c r="I346" s="10">
        <f>IF(COUNT(D346:F346)=0,"",MAX(D346:F346))</f>
        <v/>
      </c>
      <c r="J346" s="11">
        <f>IF(OR(G346="",G346=0),"",(I346-G346)/G346)</f>
        <v/>
      </c>
      <c r="K346" s="4">
        <f>IF(COUNT(D346:F346)=0,"",INDEX($D$1:$F$1,MATCH(MIN(D346:F346),D346:F346,0)))</f>
        <v/>
      </c>
      <c r="L346" s="10" t="n">
        <v>595</v>
      </c>
      <c r="M346" s="12" t="n">
        <v>1</v>
      </c>
    </row>
    <row r="347">
      <c r="A347" s="4" t="inlineStr">
        <is>
          <t>MAT-22-025</t>
        </is>
      </c>
      <c r="B347" s="5" t="inlineStr">
        <is>
          <t>Protección de verja, 1mt</t>
        </is>
      </c>
      <c r="C347" s="4" t="inlineStr">
        <is>
          <t>unidad</t>
        </is>
      </c>
      <c r="D347" s="10" t="n"/>
      <c r="E347" s="10" t="n">
        <v>985</v>
      </c>
      <c r="F347" s="10" t="n"/>
      <c r="G347" s="10">
        <f>IF(COUNT(D347:F347)=0,"",MIN(D347:F347))</f>
        <v/>
      </c>
      <c r="H347" s="10">
        <f>IF(COUNT(D347:F347)=0,"",MEDIAN(D347:F347))</f>
        <v/>
      </c>
      <c r="I347" s="10">
        <f>IF(COUNT(D347:F347)=0,"",MAX(D347:F347))</f>
        <v/>
      </c>
      <c r="J347" s="11">
        <f>IF(OR(G347="",G347=0),"",(I347-G347)/G347)</f>
        <v/>
      </c>
      <c r="K347" s="4">
        <f>IF(COUNT(D347:F347)=0,"",INDEX($D$1:$F$1,MATCH(MIN(D347:F347),D347:F347,0)))</f>
        <v/>
      </c>
      <c r="L347" s="10" t="n">
        <v>990</v>
      </c>
      <c r="M347" s="12" t="n">
        <v>1</v>
      </c>
    </row>
    <row r="348">
      <c r="A348" s="4" t="inlineStr">
        <is>
          <t>MAT-22-026</t>
        </is>
      </c>
      <c r="B348" s="5" t="inlineStr">
        <is>
          <t>Abrazadera corta para malla ciclónica 1 1/4"</t>
        </is>
      </c>
      <c r="C348" s="4" t="inlineStr">
        <is>
          <t>unidad</t>
        </is>
      </c>
      <c r="D348" s="10" t="n">
        <v>16.91</v>
      </c>
      <c r="E348" s="10" t="n"/>
      <c r="F348" s="10" t="n"/>
      <c r="G348" s="10">
        <f>IF(COUNT(D348:F348)=0,"",MIN(D348:F348))</f>
        <v/>
      </c>
      <c r="H348" s="10">
        <f>IF(COUNT(D348:F348)=0,"",MEDIAN(D348:F348))</f>
        <v/>
      </c>
      <c r="I348" s="10">
        <f>IF(COUNT(D348:F348)=0,"",MAX(D348:F348))</f>
        <v/>
      </c>
      <c r="J348" s="11">
        <f>IF(OR(G348="",G348=0),"",(I348-G348)/G348)</f>
        <v/>
      </c>
      <c r="K348" s="4">
        <f>IF(COUNT(D348:F348)=0,"",INDEX($D$1:$F$1,MATCH(MIN(D348:F348),D348:F348,0)))</f>
        <v/>
      </c>
      <c r="L348" s="10" t="n">
        <v>16.91</v>
      </c>
      <c r="M348" s="12" t="n">
        <v>1</v>
      </c>
    </row>
    <row r="349">
      <c r="A349" s="4" t="inlineStr">
        <is>
          <t>MAT-22-027</t>
        </is>
      </c>
      <c r="B349" s="5" t="inlineStr">
        <is>
          <t>Copa pasante para malla ciclónica 1 1/4" x 1 1/2"</t>
        </is>
      </c>
      <c r="C349" s="4" t="inlineStr">
        <is>
          <t>unidad</t>
        </is>
      </c>
      <c r="D349" s="10" t="n">
        <v>76.66</v>
      </c>
      <c r="E349" s="10" t="n">
        <v>98</v>
      </c>
      <c r="F349" s="10" t="n"/>
      <c r="G349" s="10">
        <f>IF(COUNT(D349:F349)=0,"",MIN(D349:F349))</f>
        <v/>
      </c>
      <c r="H349" s="10">
        <f>IF(COUNT(D349:F349)=0,"",MEDIAN(D349:F349))</f>
        <v/>
      </c>
      <c r="I349" s="10">
        <f>IF(COUNT(D349:F349)=0,"",MAX(D349:F349))</f>
        <v/>
      </c>
      <c r="J349" s="11">
        <f>IF(OR(G349="",G349=0),"",(I349-G349)/G349)</f>
        <v/>
      </c>
      <c r="K349" s="4">
        <f>IF(COUNT(D349:F349)=0,"",INDEX($D$1:$F$1,MATCH(MIN(D349:F349),D349:F349,0)))</f>
        <v/>
      </c>
      <c r="L349" s="10" t="n">
        <v>87.33</v>
      </c>
      <c r="M349" s="12" t="n">
        <v>2</v>
      </c>
    </row>
    <row r="350">
      <c r="A350" s="4" t="inlineStr">
        <is>
          <t>MAT-22-028</t>
        </is>
      </c>
      <c r="B350" s="5" t="inlineStr">
        <is>
          <t>Copa tensora para malla ciclónica 1 1/4"</t>
        </is>
      </c>
      <c r="C350" s="4" t="inlineStr">
        <is>
          <t>unidad</t>
        </is>
      </c>
      <c r="D350" s="10" t="n">
        <v>55.61</v>
      </c>
      <c r="E350" s="10" t="n"/>
      <c r="F350" s="10" t="n"/>
      <c r="G350" s="10">
        <f>IF(COUNT(D350:F350)=0,"",MIN(D350:F350))</f>
        <v/>
      </c>
      <c r="H350" s="10">
        <f>IF(COUNT(D350:F350)=0,"",MEDIAN(D350:F350))</f>
        <v/>
      </c>
      <c r="I350" s="10">
        <f>IF(COUNT(D350:F350)=0,"",MAX(D350:F350))</f>
        <v/>
      </c>
      <c r="J350" s="11">
        <f>IF(OR(G350="",G350=0),"",(I350-G350)/G350)</f>
        <v/>
      </c>
      <c r="K350" s="4">
        <f>IF(COUNT(D350:F350)=0,"",INDEX($D$1:$F$1,MATCH(MIN(D350:F350),D350:F350,0)))</f>
        <v/>
      </c>
      <c r="L350" s="10" t="n">
        <v>55.61</v>
      </c>
      <c r="M350" s="12" t="n">
        <v>1</v>
      </c>
    </row>
    <row r="351">
      <c r="A351" s="4" t="inlineStr">
        <is>
          <t>MAT-22-029</t>
        </is>
      </c>
      <c r="B351" s="5" t="inlineStr">
        <is>
          <t>Copa terminal para malla ciclónica 1 1/4"</t>
        </is>
      </c>
      <c r="C351" s="4" t="inlineStr">
        <is>
          <t>unidad</t>
        </is>
      </c>
      <c r="D351" s="10" t="n">
        <v>36.96</v>
      </c>
      <c r="E351" s="10" t="n"/>
      <c r="F351" s="10" t="n"/>
      <c r="G351" s="10">
        <f>IF(COUNT(D351:F351)=0,"",MIN(D351:F351))</f>
        <v/>
      </c>
      <c r="H351" s="10">
        <f>IF(COUNT(D351:F351)=0,"",MEDIAN(D351:F351))</f>
        <v/>
      </c>
      <c r="I351" s="10">
        <f>IF(COUNT(D351:F351)=0,"",MAX(D351:F351))</f>
        <v/>
      </c>
      <c r="J351" s="11">
        <f>IF(OR(G351="",G351=0),"",(I351-G351)/G351)</f>
        <v/>
      </c>
      <c r="K351" s="4">
        <f>IF(COUNT(D351:F351)=0,"",INDEX($D$1:$F$1,MATCH(MIN(D351:F351),D351:F351,0)))</f>
        <v/>
      </c>
      <c r="L351" s="10" t="n">
        <v>36.96</v>
      </c>
      <c r="M351" s="12" t="n">
        <v>1</v>
      </c>
    </row>
    <row r="352">
      <c r="A352" s="4" t="inlineStr">
        <is>
          <t>MAT-22-030</t>
        </is>
      </c>
      <c r="B352" s="5" t="inlineStr">
        <is>
          <t>Unión reforzada para malla ciclónica 1 1/4"</t>
        </is>
      </c>
      <c r="C352" s="4" t="inlineStr">
        <is>
          <t>unidad</t>
        </is>
      </c>
      <c r="D352" s="10" t="n">
        <v>60.03</v>
      </c>
      <c r="E352" s="10" t="n"/>
      <c r="F352" s="10" t="n"/>
      <c r="G352" s="10">
        <f>IF(COUNT(D352:F352)=0,"",MIN(D352:F352))</f>
        <v/>
      </c>
      <c r="H352" s="10">
        <f>IF(COUNT(D352:F352)=0,"",MEDIAN(D352:F352))</f>
        <v/>
      </c>
      <c r="I352" s="10">
        <f>IF(COUNT(D352:F352)=0,"",MAX(D352:F352))</f>
        <v/>
      </c>
      <c r="J352" s="11">
        <f>IF(OR(G352="",G352=0),"",(I352-G352)/G352)</f>
        <v/>
      </c>
      <c r="K352" s="4">
        <f>IF(COUNT(D352:F352)=0,"",INDEX($D$1:$F$1,MATCH(MIN(D352:F352),D352:F352,0)))</f>
        <v/>
      </c>
      <c r="L352" s="10" t="n">
        <v>60.03</v>
      </c>
      <c r="M352" s="12" t="n">
        <v>1</v>
      </c>
    </row>
    <row r="353">
      <c r="A353" s="4" t="inlineStr">
        <is>
          <t>MAT-22-031</t>
        </is>
      </c>
      <c r="B353" s="5" t="inlineStr">
        <is>
          <t>Abrazadera corta para malla ciclónica 1 1/2"</t>
        </is>
      </c>
      <c r="C353" s="4" t="inlineStr">
        <is>
          <t>unidad</t>
        </is>
      </c>
      <c r="D353" s="10" t="n">
        <v>19.14</v>
      </c>
      <c r="E353" s="10" t="n"/>
      <c r="F353" s="10" t="n"/>
      <c r="G353" s="10">
        <f>IF(COUNT(D353:F353)=0,"",MIN(D353:F353))</f>
        <v/>
      </c>
      <c r="H353" s="10">
        <f>IF(COUNT(D353:F353)=0,"",MEDIAN(D353:F353))</f>
        <v/>
      </c>
      <c r="I353" s="10">
        <f>IF(COUNT(D353:F353)=0,"",MAX(D353:F353))</f>
        <v/>
      </c>
      <c r="J353" s="11">
        <f>IF(OR(G353="",G353=0),"",(I353-G353)/G353)</f>
        <v/>
      </c>
      <c r="K353" s="4">
        <f>IF(COUNT(D353:F353)=0,"",INDEX($D$1:$F$1,MATCH(MIN(D353:F353),D353:F353,0)))</f>
        <v/>
      </c>
      <c r="L353" s="10" t="n">
        <v>19.14</v>
      </c>
      <c r="M353" s="12" t="n">
        <v>1</v>
      </c>
    </row>
    <row r="354">
      <c r="A354" s="4" t="inlineStr">
        <is>
          <t>MAT-22-032</t>
        </is>
      </c>
      <c r="B354" s="5" t="inlineStr">
        <is>
          <t>Abrazadera larga para malla ciclónica 1 1/2"</t>
        </is>
      </c>
      <c r="C354" s="4" t="inlineStr">
        <is>
          <t>unidad</t>
        </is>
      </c>
      <c r="D354" s="10" t="n">
        <v>28.77</v>
      </c>
      <c r="E354" s="10" t="n">
        <v>46</v>
      </c>
      <c r="F354" s="10" t="n"/>
      <c r="G354" s="10">
        <f>IF(COUNT(D354:F354)=0,"",MIN(D354:F354))</f>
        <v/>
      </c>
      <c r="H354" s="10">
        <f>IF(COUNT(D354:F354)=0,"",MEDIAN(D354:F354))</f>
        <v/>
      </c>
      <c r="I354" s="10">
        <f>IF(COUNT(D354:F354)=0,"",MAX(D354:F354))</f>
        <v/>
      </c>
      <c r="J354" s="11">
        <f>IF(OR(G354="",G354=0),"",(I354-G354)/G354)</f>
        <v/>
      </c>
      <c r="K354" s="4">
        <f>IF(COUNT(D354:F354)=0,"",INDEX($D$1:$F$1,MATCH(MIN(D354:F354),D354:F354,0)))</f>
        <v/>
      </c>
      <c r="L354" s="10" t="n">
        <v>37.39</v>
      </c>
      <c r="M354" s="12" t="n">
        <v>2</v>
      </c>
    </row>
    <row r="355">
      <c r="A355" s="4" t="inlineStr">
        <is>
          <t>MAT-22-033</t>
        </is>
      </c>
      <c r="B355" s="5" t="inlineStr">
        <is>
          <t>Brazo doble para malla ciclónica 1 1/2" x 1 1/4"</t>
        </is>
      </c>
      <c r="C355" s="4" t="inlineStr">
        <is>
          <t>unidad</t>
        </is>
      </c>
      <c r="D355" s="10" t="n">
        <v>187.9</v>
      </c>
      <c r="E355" s="10" t="n">
        <v>277</v>
      </c>
      <c r="F355" s="10" t="n"/>
      <c r="G355" s="10">
        <f>IF(COUNT(D355:F355)=0,"",MIN(D355:F355))</f>
        <v/>
      </c>
      <c r="H355" s="10">
        <f>IF(COUNT(D355:F355)=0,"",MEDIAN(D355:F355))</f>
        <v/>
      </c>
      <c r="I355" s="10">
        <f>IF(COUNT(D355:F355)=0,"",MAX(D355:F355))</f>
        <v/>
      </c>
      <c r="J355" s="11">
        <f>IF(OR(G355="",G355=0),"",(I355-G355)/G355)</f>
        <v/>
      </c>
      <c r="K355" s="4">
        <f>IF(COUNT(D355:F355)=0,"",INDEX($D$1:$F$1,MATCH(MIN(D355:F355),D355:F355,0)))</f>
        <v/>
      </c>
      <c r="L355" s="10" t="n">
        <v>232.45</v>
      </c>
      <c r="M355" s="12" t="n">
        <v>2</v>
      </c>
    </row>
    <row r="356">
      <c r="A356" s="4" t="inlineStr">
        <is>
          <t>MAT-22-034</t>
        </is>
      </c>
      <c r="B356" s="5" t="inlineStr">
        <is>
          <t>Brazo sencillo para malla ciclónica 1 1/2" x 1 1/4"</t>
        </is>
      </c>
      <c r="C356" s="4" t="inlineStr">
        <is>
          <t>unidad</t>
        </is>
      </c>
      <c r="D356" s="10" t="n">
        <v>124.76</v>
      </c>
      <c r="E356" s="10" t="n">
        <v>168</v>
      </c>
      <c r="F356" s="10" t="n"/>
      <c r="G356" s="10">
        <f>IF(COUNT(D356:F356)=0,"",MIN(D356:F356))</f>
        <v/>
      </c>
      <c r="H356" s="10">
        <f>IF(COUNT(D356:F356)=0,"",MEDIAN(D356:F356))</f>
        <v/>
      </c>
      <c r="I356" s="10">
        <f>IF(COUNT(D356:F356)=0,"",MAX(D356:F356))</f>
        <v/>
      </c>
      <c r="J356" s="11">
        <f>IF(OR(G356="",G356=0),"",(I356-G356)/G356)</f>
        <v/>
      </c>
      <c r="K356" s="4">
        <f>IF(COUNT(D356:F356)=0,"",INDEX($D$1:$F$1,MATCH(MIN(D356:F356),D356:F356,0)))</f>
        <v/>
      </c>
      <c r="L356" s="10" t="n">
        <v>146.38</v>
      </c>
      <c r="M356" s="12" t="n">
        <v>2</v>
      </c>
    </row>
    <row r="357">
      <c r="A357" s="4" t="inlineStr">
        <is>
          <t>MAT-22-035</t>
        </is>
      </c>
      <c r="B357" s="5" t="inlineStr">
        <is>
          <t>Copa pasante para malla ciclónica 1 1/2" x 1 1/2"</t>
        </is>
      </c>
      <c r="C357" s="4" t="inlineStr">
        <is>
          <t>unidad</t>
        </is>
      </c>
      <c r="D357" s="10" t="n">
        <v>76.66</v>
      </c>
      <c r="E357" s="10" t="n"/>
      <c r="F357" s="10" t="n"/>
      <c r="G357" s="10">
        <f>IF(COUNT(D357:F357)=0,"",MIN(D357:F357))</f>
        <v/>
      </c>
      <c r="H357" s="10">
        <f>IF(COUNT(D357:F357)=0,"",MEDIAN(D357:F357))</f>
        <v/>
      </c>
      <c r="I357" s="10">
        <f>IF(COUNT(D357:F357)=0,"",MAX(D357:F357))</f>
        <v/>
      </c>
      <c r="J357" s="11">
        <f>IF(OR(G357="",G357=0),"",(I357-G357)/G357)</f>
        <v/>
      </c>
      <c r="K357" s="4">
        <f>IF(COUNT(D357:F357)=0,"",INDEX($D$1:$F$1,MATCH(MIN(D357:F357),D357:F357,0)))</f>
        <v/>
      </c>
      <c r="L357" s="10" t="n">
        <v>76.66</v>
      </c>
      <c r="M357" s="12" t="n">
        <v>1</v>
      </c>
    </row>
    <row r="358">
      <c r="A358" s="4" t="inlineStr">
        <is>
          <t>MAT-22-036</t>
        </is>
      </c>
      <c r="B358" s="5" t="inlineStr">
        <is>
          <t>Copa terminal para malla ciclónica 1 1/2"</t>
        </is>
      </c>
      <c r="C358" s="4" t="inlineStr">
        <is>
          <t>unidad</t>
        </is>
      </c>
      <c r="D358" s="10" t="n">
        <v>61.63</v>
      </c>
      <c r="E358" s="10" t="n">
        <v>105</v>
      </c>
      <c r="F358" s="10" t="n"/>
      <c r="G358" s="10">
        <f>IF(COUNT(D358:F358)=0,"",MIN(D358:F358))</f>
        <v/>
      </c>
      <c r="H358" s="10">
        <f>IF(COUNT(D358:F358)=0,"",MEDIAN(D358:F358))</f>
        <v/>
      </c>
      <c r="I358" s="10">
        <f>IF(COUNT(D358:F358)=0,"",MAX(D358:F358))</f>
        <v/>
      </c>
      <c r="J358" s="11">
        <f>IF(OR(G358="",G358=0),"",(I358-G358)/G358)</f>
        <v/>
      </c>
      <c r="K358" s="4">
        <f>IF(COUNT(D358:F358)=0,"",INDEX($D$1:$F$1,MATCH(MIN(D358:F358),D358:F358,0)))</f>
        <v/>
      </c>
      <c r="L358" s="10" t="n">
        <v>83.31999999999999</v>
      </c>
      <c r="M358" s="12" t="n">
        <v>2</v>
      </c>
    </row>
    <row r="359">
      <c r="A359" s="4" t="inlineStr">
        <is>
          <t>MAT-22-037</t>
        </is>
      </c>
      <c r="B359" s="5" t="inlineStr">
        <is>
          <t>Abrazadera corta para malla ciclónica 2"</t>
        </is>
      </c>
      <c r="C359" s="4" t="inlineStr">
        <is>
          <t>unidad</t>
        </is>
      </c>
      <c r="D359" s="10" t="n">
        <v>21.04</v>
      </c>
      <c r="E359" s="10" t="n"/>
      <c r="F359" s="10" t="n"/>
      <c r="G359" s="10">
        <f>IF(COUNT(D359:F359)=0,"",MIN(D359:F359))</f>
        <v/>
      </c>
      <c r="H359" s="10">
        <f>IF(COUNT(D359:F359)=0,"",MEDIAN(D359:F359))</f>
        <v/>
      </c>
      <c r="I359" s="10">
        <f>IF(COUNT(D359:F359)=0,"",MAX(D359:F359))</f>
        <v/>
      </c>
      <c r="J359" s="11">
        <f>IF(OR(G359="",G359=0),"",(I359-G359)/G359)</f>
        <v/>
      </c>
      <c r="K359" s="4">
        <f>IF(COUNT(D359:F359)=0,"",INDEX($D$1:$F$1,MATCH(MIN(D359:F359),D359:F359,0)))</f>
        <v/>
      </c>
      <c r="L359" s="10" t="n">
        <v>21.04</v>
      </c>
      <c r="M359" s="12" t="n">
        <v>1</v>
      </c>
    </row>
    <row r="360">
      <c r="A360" s="4" t="inlineStr">
        <is>
          <t>MAT-22-038</t>
        </is>
      </c>
      <c r="B360" s="5" t="inlineStr">
        <is>
          <t>Abrazadera larga para malla ciclónica 2"</t>
        </is>
      </c>
      <c r="C360" s="4" t="inlineStr">
        <is>
          <t>unidad</t>
        </is>
      </c>
      <c r="D360" s="10" t="n">
        <v>20.38</v>
      </c>
      <c r="E360" s="10" t="n"/>
      <c r="F360" s="10" t="n"/>
      <c r="G360" s="10">
        <f>IF(COUNT(D360:F360)=0,"",MIN(D360:F360))</f>
        <v/>
      </c>
      <c r="H360" s="10">
        <f>IF(COUNT(D360:F360)=0,"",MEDIAN(D360:F360))</f>
        <v/>
      </c>
      <c r="I360" s="10">
        <f>IF(COUNT(D360:F360)=0,"",MAX(D360:F360))</f>
        <v/>
      </c>
      <c r="J360" s="11">
        <f>IF(OR(G360="",G360=0),"",(I360-G360)/G360)</f>
        <v/>
      </c>
      <c r="K360" s="4">
        <f>IF(COUNT(D360:F360)=0,"",INDEX($D$1:$F$1,MATCH(MIN(D360:F360),D360:F360,0)))</f>
        <v/>
      </c>
      <c r="L360" s="10" t="n">
        <v>20.38</v>
      </c>
      <c r="M360" s="12" t="n">
        <v>1</v>
      </c>
    </row>
    <row r="361">
      <c r="A361" s="4" t="inlineStr">
        <is>
          <t>MAT-22-039</t>
        </is>
      </c>
      <c r="B361" s="5" t="inlineStr">
        <is>
          <t>Brazo sencillo para malla ciclónica 2" x 1 1/4"</t>
        </is>
      </c>
      <c r="C361" s="4" t="inlineStr">
        <is>
          <t>unidad</t>
        </is>
      </c>
      <c r="D361" s="10" t="n">
        <v>187.9</v>
      </c>
      <c r="E361" s="10" t="n"/>
      <c r="F361" s="10" t="n"/>
      <c r="G361" s="10">
        <f>IF(COUNT(D361:F361)=0,"",MIN(D361:F361))</f>
        <v/>
      </c>
      <c r="H361" s="10">
        <f>IF(COUNT(D361:F361)=0,"",MEDIAN(D361:F361))</f>
        <v/>
      </c>
      <c r="I361" s="10">
        <f>IF(COUNT(D361:F361)=0,"",MAX(D361:F361))</f>
        <v/>
      </c>
      <c r="J361" s="11">
        <f>IF(OR(G361="",G361=0),"",(I361-G361)/G361)</f>
        <v/>
      </c>
      <c r="K361" s="4">
        <f>IF(COUNT(D361:F361)=0,"",INDEX($D$1:$F$1,MATCH(MIN(D361:F361),D361:F361,0)))</f>
        <v/>
      </c>
      <c r="L361" s="10" t="n">
        <v>187.9</v>
      </c>
      <c r="M361" s="12" t="n">
        <v>1</v>
      </c>
    </row>
    <row r="362">
      <c r="A362" s="4" t="inlineStr">
        <is>
          <t>MAT-22-040</t>
        </is>
      </c>
      <c r="B362" s="5" t="inlineStr">
        <is>
          <t>Brazo doble para malla ciclónica 2" x 1 1/2"</t>
        </is>
      </c>
      <c r="C362" s="4" t="inlineStr">
        <is>
          <t>unidad</t>
        </is>
      </c>
      <c r="D362" s="10" t="n">
        <v>373.18</v>
      </c>
      <c r="E362" s="10" t="n"/>
      <c r="F362" s="10" t="n"/>
      <c r="G362" s="10">
        <f>IF(COUNT(D362:F362)=0,"",MIN(D362:F362))</f>
        <v/>
      </c>
      <c r="H362" s="10">
        <f>IF(COUNT(D362:F362)=0,"",MEDIAN(D362:F362))</f>
        <v/>
      </c>
      <c r="I362" s="10">
        <f>IF(COUNT(D362:F362)=0,"",MAX(D362:F362))</f>
        <v/>
      </c>
      <c r="J362" s="11">
        <f>IF(OR(G362="",G362=0),"",(I362-G362)/G362)</f>
        <v/>
      </c>
      <c r="K362" s="4">
        <f>IF(COUNT(D362:F362)=0,"",INDEX($D$1:$F$1,MATCH(MIN(D362:F362),D362:F362,0)))</f>
        <v/>
      </c>
      <c r="L362" s="10" t="n">
        <v>373.18</v>
      </c>
      <c r="M362" s="12" t="n">
        <v>1</v>
      </c>
    </row>
    <row r="363">
      <c r="A363" s="4" t="inlineStr">
        <is>
          <t>MAT-22-041</t>
        </is>
      </c>
      <c r="B363" s="5" t="inlineStr">
        <is>
          <t>Copa terminal para malla ciclónica 2"</t>
        </is>
      </c>
      <c r="C363" s="4" t="inlineStr">
        <is>
          <t>unidad</t>
        </is>
      </c>
      <c r="D363" s="10" t="n">
        <v>51.11</v>
      </c>
      <c r="E363" s="10" t="n"/>
      <c r="F363" s="10" t="n"/>
      <c r="G363" s="10">
        <f>IF(COUNT(D363:F363)=0,"",MIN(D363:F363))</f>
        <v/>
      </c>
      <c r="H363" s="10">
        <f>IF(COUNT(D363:F363)=0,"",MEDIAN(D363:F363))</f>
        <v/>
      </c>
      <c r="I363" s="10">
        <f>IF(COUNT(D363:F363)=0,"",MAX(D363:F363))</f>
        <v/>
      </c>
      <c r="J363" s="11">
        <f>IF(OR(G363="",G363=0),"",(I363-G363)/G363)</f>
        <v/>
      </c>
      <c r="K363" s="4">
        <f>IF(COUNT(D363:F363)=0,"",INDEX($D$1:$F$1,MATCH(MIN(D363:F363),D363:F363,0)))</f>
        <v/>
      </c>
      <c r="L363" s="10" t="n">
        <v>51.11</v>
      </c>
      <c r="M363" s="12" t="n">
        <v>1</v>
      </c>
    </row>
    <row r="364">
      <c r="A364" s="4" t="inlineStr">
        <is>
          <t>MAT-22-042</t>
        </is>
      </c>
      <c r="B364" s="5" t="inlineStr">
        <is>
          <t>Brazo para malla ciclónica 2 3/8" x 1 1/2"</t>
        </is>
      </c>
      <c r="C364" s="4" t="inlineStr">
        <is>
          <t>unidad</t>
        </is>
      </c>
      <c r="D364" s="10" t="n">
        <v>300.64</v>
      </c>
      <c r="E364" s="10" t="n"/>
      <c r="F364" s="10" t="n"/>
      <c r="G364" s="10">
        <f>IF(COUNT(D364:F364)=0,"",MIN(D364:F364))</f>
        <v/>
      </c>
      <c r="H364" s="10">
        <f>IF(COUNT(D364:F364)=0,"",MEDIAN(D364:F364))</f>
        <v/>
      </c>
      <c r="I364" s="10">
        <f>IF(COUNT(D364:F364)=0,"",MAX(D364:F364))</f>
        <v/>
      </c>
      <c r="J364" s="11">
        <f>IF(OR(G364="",G364=0),"",(I364-G364)/G364)</f>
        <v/>
      </c>
      <c r="K364" s="4">
        <f>IF(COUNT(D364:F364)=0,"",INDEX($D$1:$F$1,MATCH(MIN(D364:F364),D364:F364,0)))</f>
        <v/>
      </c>
      <c r="L364" s="10" t="n">
        <v>300.64</v>
      </c>
      <c r="M364" s="12" t="n">
        <v>1</v>
      </c>
    </row>
    <row r="365">
      <c r="A365" s="4" t="inlineStr">
        <is>
          <t>MAT-22-043</t>
        </is>
      </c>
      <c r="B365" s="5" t="inlineStr">
        <is>
          <t>Copa terminal para malla ciclónica 3"</t>
        </is>
      </c>
      <c r="C365" s="4" t="inlineStr">
        <is>
          <t>unidad</t>
        </is>
      </c>
      <c r="D365" s="10" t="n">
        <v>36.5</v>
      </c>
      <c r="E365" s="10" t="n"/>
      <c r="F365" s="10" t="n"/>
      <c r="G365" s="10">
        <f>IF(COUNT(D365:F365)=0,"",MIN(D365:F365))</f>
        <v/>
      </c>
      <c r="H365" s="10">
        <f>IF(COUNT(D365:F365)=0,"",MEDIAN(D365:F365))</f>
        <v/>
      </c>
      <c r="I365" s="10">
        <f>IF(COUNT(D365:F365)=0,"",MAX(D365:F365))</f>
        <v/>
      </c>
      <c r="J365" s="11">
        <f>IF(OR(G365="",G365=0),"",(I365-G365)/G365)</f>
        <v/>
      </c>
      <c r="K365" s="4">
        <f>IF(COUNT(D365:F365)=0,"",INDEX($D$1:$F$1,MATCH(MIN(D365:F365),D365:F365,0)))</f>
        <v/>
      </c>
      <c r="L365" s="10" t="n">
        <v>36.5</v>
      </c>
      <c r="M365" s="12" t="n">
        <v>1</v>
      </c>
    </row>
    <row r="366">
      <c r="A366" s="4" t="inlineStr">
        <is>
          <t>MAT-23-001</t>
        </is>
      </c>
      <c r="B366" s="5" t="inlineStr">
        <is>
          <t>Tubo redondo de aluminio 3/8" x 19.20 pies</t>
        </is>
      </c>
      <c r="C366" s="4" t="inlineStr">
        <is>
          <t>unidad</t>
        </is>
      </c>
      <c r="D366" s="10" t="n">
        <v>299.9</v>
      </c>
      <c r="E366" s="10" t="n"/>
      <c r="F366" s="10" t="n"/>
      <c r="G366" s="10">
        <f>IF(COUNT(D366:F366)=0,"",MIN(D366:F366))</f>
        <v/>
      </c>
      <c r="H366" s="10">
        <f>IF(COUNT(D366:F366)=0,"",MEDIAN(D366:F366))</f>
        <v/>
      </c>
      <c r="I366" s="10">
        <f>IF(COUNT(D366:F366)=0,"",MAX(D366:F366))</f>
        <v/>
      </c>
      <c r="J366" s="11">
        <f>IF(OR(G366="",G366=0),"",(I366-G366)/G366)</f>
        <v/>
      </c>
      <c r="K366" s="4">
        <f>IF(COUNT(D366:F366)=0,"",INDEX($D$1:$F$1,MATCH(MIN(D366:F366),D366:F366,0)))</f>
        <v/>
      </c>
      <c r="L366" s="10" t="n">
        <v>299.9</v>
      </c>
      <c r="M366" s="12" t="n">
        <v>1</v>
      </c>
    </row>
    <row r="367">
      <c r="A367" s="4" t="inlineStr">
        <is>
          <t>MAT-23-002</t>
        </is>
      </c>
      <c r="B367" s="5" t="inlineStr">
        <is>
          <t>Tubo redondo de aluminio 1/2" x 19.20 pies</t>
        </is>
      </c>
      <c r="C367" s="4" t="inlineStr">
        <is>
          <t>unidad</t>
        </is>
      </c>
      <c r="D367" s="10" t="n">
        <v>373.61</v>
      </c>
      <c r="E367" s="10" t="n"/>
      <c r="F367" s="10" t="n"/>
      <c r="G367" s="10">
        <f>IF(COUNT(D367:F367)=0,"",MIN(D367:F367))</f>
        <v/>
      </c>
      <c r="H367" s="10">
        <f>IF(COUNT(D367:F367)=0,"",MEDIAN(D367:F367))</f>
        <v/>
      </c>
      <c r="I367" s="10">
        <f>IF(COUNT(D367:F367)=0,"",MAX(D367:F367))</f>
        <v/>
      </c>
      <c r="J367" s="11">
        <f>IF(OR(G367="",G367=0),"",(I367-G367)/G367)</f>
        <v/>
      </c>
      <c r="K367" s="4">
        <f>IF(COUNT(D367:F367)=0,"",INDEX($D$1:$F$1,MATCH(MIN(D367:F367),D367:F367,0)))</f>
        <v/>
      </c>
      <c r="L367" s="10" t="n">
        <v>373.61</v>
      </c>
      <c r="M367" s="12" t="n">
        <v>1</v>
      </c>
    </row>
    <row r="368">
      <c r="A368" s="4" t="inlineStr">
        <is>
          <t>MAT-23-003</t>
        </is>
      </c>
      <c r="B368" s="5" t="inlineStr">
        <is>
          <t>Planchuela de aluminio 1/2" x 1/8" x 19.20 pies</t>
        </is>
      </c>
      <c r="C368" s="4" t="inlineStr">
        <is>
          <t>unidad</t>
        </is>
      </c>
      <c r="D368" s="10" t="n">
        <v>452.36</v>
      </c>
      <c r="E368" s="10" t="n"/>
      <c r="F368" s="10" t="n"/>
      <c r="G368" s="10">
        <f>IF(COUNT(D368:F368)=0,"",MIN(D368:F368))</f>
        <v/>
      </c>
      <c r="H368" s="10">
        <f>IF(COUNT(D368:F368)=0,"",MEDIAN(D368:F368))</f>
        <v/>
      </c>
      <c r="I368" s="10">
        <f>IF(COUNT(D368:F368)=0,"",MAX(D368:F368))</f>
        <v/>
      </c>
      <c r="J368" s="11">
        <f>IF(OR(G368="",G368=0),"",(I368-G368)/G368)</f>
        <v/>
      </c>
      <c r="K368" s="4">
        <f>IF(COUNT(D368:F368)=0,"",INDEX($D$1:$F$1,MATCH(MIN(D368:F368),D368:F368,0)))</f>
        <v/>
      </c>
      <c r="L368" s="10" t="n">
        <v>452.36</v>
      </c>
      <c r="M368" s="12" t="n">
        <v>1</v>
      </c>
    </row>
    <row r="369">
      <c r="A369" s="4" t="inlineStr">
        <is>
          <t>MAT-23-004</t>
        </is>
      </c>
      <c r="B369" s="5" t="inlineStr">
        <is>
          <t>Angular de aluminio 1/2" x 1/2" x 19.20 pies</t>
        </is>
      </c>
      <c r="C369" s="4" t="inlineStr">
        <is>
          <t>unidad</t>
        </is>
      </c>
      <c r="D369" s="10" t="n">
        <v>394.72</v>
      </c>
      <c r="E369" s="10" t="n">
        <v>295</v>
      </c>
      <c r="F369" s="10" t="n"/>
      <c r="G369" s="10">
        <f>IF(COUNT(D369:F369)=0,"",MIN(D369:F369))</f>
        <v/>
      </c>
      <c r="H369" s="10">
        <f>IF(COUNT(D369:F369)=0,"",MEDIAN(D369:F369))</f>
        <v/>
      </c>
      <c r="I369" s="10">
        <f>IF(COUNT(D369:F369)=0,"",MAX(D369:F369))</f>
        <v/>
      </c>
      <c r="J369" s="11">
        <f>IF(OR(G369="",G369=0),"",(I369-G369)/G369)</f>
        <v/>
      </c>
      <c r="K369" s="4">
        <f>IF(COUNT(D369:F369)=0,"",INDEX($D$1:$F$1,MATCH(MIN(D369:F369),D369:F369,0)))</f>
        <v/>
      </c>
      <c r="L369" s="10" t="n">
        <v>344.86</v>
      </c>
      <c r="M369" s="12" t="n">
        <v>2</v>
      </c>
    </row>
    <row r="370">
      <c r="A370" s="4" t="inlineStr">
        <is>
          <t>MAT-23-005</t>
        </is>
      </c>
      <c r="B370" s="5" t="inlineStr">
        <is>
          <t>Moldura U de aluminio 1/2" x 1/2" x 19.20 pies</t>
        </is>
      </c>
      <c r="C370" s="4" t="inlineStr">
        <is>
          <t>unidad</t>
        </is>
      </c>
      <c r="D370" s="10" t="n">
        <v>377.71</v>
      </c>
      <c r="E370" s="10" t="n"/>
      <c r="F370" s="10" t="n"/>
      <c r="G370" s="10">
        <f>IF(COUNT(D370:F370)=0,"",MIN(D370:F370))</f>
        <v/>
      </c>
      <c r="H370" s="10">
        <f>IF(COUNT(D370:F370)=0,"",MEDIAN(D370:F370))</f>
        <v/>
      </c>
      <c r="I370" s="10">
        <f>IF(COUNT(D370:F370)=0,"",MAX(D370:F370))</f>
        <v/>
      </c>
      <c r="J370" s="11">
        <f>IF(OR(G370="",G370=0),"",(I370-G370)/G370)</f>
        <v/>
      </c>
      <c r="K370" s="4">
        <f>IF(COUNT(D370:F370)=0,"",INDEX($D$1:$F$1,MATCH(MIN(D370:F370),D370:F370,0)))</f>
        <v/>
      </c>
      <c r="L370" s="10" t="n">
        <v>377.71</v>
      </c>
      <c r="M370" s="12" t="n">
        <v>1</v>
      </c>
    </row>
    <row r="371">
      <c r="A371" s="4" t="inlineStr">
        <is>
          <t>MAT-23-006</t>
        </is>
      </c>
      <c r="B371" s="5" t="inlineStr">
        <is>
          <t>Moldura U de aluminio 5/8" x 5/8" x 19.20 pies</t>
        </is>
      </c>
      <c r="C371" s="4" t="inlineStr">
        <is>
          <t>unidad</t>
        </is>
      </c>
      <c r="D371" s="10" t="n">
        <v>827.9</v>
      </c>
      <c r="E371" s="10" t="n"/>
      <c r="F371" s="10" t="n"/>
      <c r="G371" s="10">
        <f>IF(COUNT(D371:F371)=0,"",MIN(D371:F371))</f>
        <v/>
      </c>
      <c r="H371" s="10">
        <f>IF(COUNT(D371:F371)=0,"",MEDIAN(D371:F371))</f>
        <v/>
      </c>
      <c r="I371" s="10">
        <f>IF(COUNT(D371:F371)=0,"",MAX(D371:F371))</f>
        <v/>
      </c>
      <c r="J371" s="11">
        <f>IF(OR(G371="",G371=0),"",(I371-G371)/G371)</f>
        <v/>
      </c>
      <c r="K371" s="4">
        <f>IF(COUNT(D371:F371)=0,"",INDEX($D$1:$F$1,MATCH(MIN(D371:F371),D371:F371,0)))</f>
        <v/>
      </c>
      <c r="L371" s="10" t="n">
        <v>827.9</v>
      </c>
      <c r="M371" s="12" t="n">
        <v>1</v>
      </c>
    </row>
    <row r="372">
      <c r="A372" s="4" t="inlineStr">
        <is>
          <t>MAT-23-007</t>
        </is>
      </c>
      <c r="B372" s="5" t="inlineStr">
        <is>
          <t>Tubo redondo de aluminio 3/4" x 19.20 pies</t>
        </is>
      </c>
      <c r="C372" s="4" t="inlineStr">
        <is>
          <t>unidad</t>
        </is>
      </c>
      <c r="D372" s="10" t="n">
        <v>772.42</v>
      </c>
      <c r="E372" s="10" t="n"/>
      <c r="F372" s="10" t="n"/>
      <c r="G372" s="10">
        <f>IF(COUNT(D372:F372)=0,"",MIN(D372:F372))</f>
        <v/>
      </c>
      <c r="H372" s="10">
        <f>IF(COUNT(D372:F372)=0,"",MEDIAN(D372:F372))</f>
        <v/>
      </c>
      <c r="I372" s="10">
        <f>IF(COUNT(D372:F372)=0,"",MAX(D372:F372))</f>
        <v/>
      </c>
      <c r="J372" s="11">
        <f>IF(OR(G372="",G372=0),"",(I372-G372)/G372)</f>
        <v/>
      </c>
      <c r="K372" s="4">
        <f>IF(COUNT(D372:F372)=0,"",INDEX($D$1:$F$1,MATCH(MIN(D372:F372),D372:F372,0)))</f>
        <v/>
      </c>
      <c r="L372" s="10" t="n">
        <v>772.42</v>
      </c>
      <c r="M372" s="12" t="n">
        <v>1</v>
      </c>
    </row>
    <row r="373">
      <c r="A373" s="4" t="inlineStr">
        <is>
          <t>MAT-23-008</t>
        </is>
      </c>
      <c r="B373" s="5" t="inlineStr">
        <is>
          <t>Angular de aluminio 3/4" x 3/4" x 19.20 pies</t>
        </is>
      </c>
      <c r="C373" s="4" t="inlineStr">
        <is>
          <t>unidad</t>
        </is>
      </c>
      <c r="D373" s="10" t="n">
        <v>436.29</v>
      </c>
      <c r="E373" s="10" t="n">
        <v>445</v>
      </c>
      <c r="F373" s="10" t="n"/>
      <c r="G373" s="10">
        <f>IF(COUNT(D373:F373)=0,"",MIN(D373:F373))</f>
        <v/>
      </c>
      <c r="H373" s="10">
        <f>IF(COUNT(D373:F373)=0,"",MEDIAN(D373:F373))</f>
        <v/>
      </c>
      <c r="I373" s="10">
        <f>IF(COUNT(D373:F373)=0,"",MAX(D373:F373))</f>
        <v/>
      </c>
      <c r="J373" s="11">
        <f>IF(OR(G373="",G373=0),"",(I373-G373)/G373)</f>
        <v/>
      </c>
      <c r="K373" s="4">
        <f>IF(COUNT(D373:F373)=0,"",INDEX($D$1:$F$1,MATCH(MIN(D373:F373),D373:F373,0)))</f>
        <v/>
      </c>
      <c r="L373" s="10" t="n">
        <v>440.65</v>
      </c>
      <c r="M373" s="12" t="n">
        <v>2</v>
      </c>
    </row>
    <row r="374">
      <c r="A374" s="4" t="inlineStr">
        <is>
          <t>MAT-23-009</t>
        </is>
      </c>
      <c r="B374" s="5" t="inlineStr">
        <is>
          <t>Tubo redondo de aluminio 1" x 19.20 pies</t>
        </is>
      </c>
      <c r="C374" s="4" t="inlineStr">
        <is>
          <t>unidad</t>
        </is>
      </c>
      <c r="D374" s="10" t="n">
        <v>957.33</v>
      </c>
      <c r="E374" s="10" t="n"/>
      <c r="F374" s="10" t="n"/>
      <c r="G374" s="10">
        <f>IF(COUNT(D374:F374)=0,"",MIN(D374:F374))</f>
        <v/>
      </c>
      <c r="H374" s="10">
        <f>IF(COUNT(D374:F374)=0,"",MEDIAN(D374:F374))</f>
        <v/>
      </c>
      <c r="I374" s="10">
        <f>IF(COUNT(D374:F374)=0,"",MAX(D374:F374))</f>
        <v/>
      </c>
      <c r="J374" s="11">
        <f>IF(OR(G374="",G374=0),"",(I374-G374)/G374)</f>
        <v/>
      </c>
      <c r="K374" s="4">
        <f>IF(COUNT(D374:F374)=0,"",INDEX($D$1:$F$1,MATCH(MIN(D374:F374),D374:F374,0)))</f>
        <v/>
      </c>
      <c r="L374" s="10" t="n">
        <v>957.33</v>
      </c>
      <c r="M374" s="12" t="n">
        <v>1</v>
      </c>
    </row>
    <row r="375">
      <c r="A375" s="4" t="inlineStr">
        <is>
          <t>MAT-23-010</t>
        </is>
      </c>
      <c r="B375" s="5" t="inlineStr">
        <is>
          <t>Planchuela de aluminio 1" x 1/4" x 19.20 pies</t>
        </is>
      </c>
      <c r="C375" s="4" t="inlineStr">
        <is>
          <t>unidad</t>
        </is>
      </c>
      <c r="D375" s="10" t="n">
        <v>1709.91</v>
      </c>
      <c r="E375" s="10" t="n"/>
      <c r="F375" s="10" t="n"/>
      <c r="G375" s="10">
        <f>IF(COUNT(D375:F375)=0,"",MIN(D375:F375))</f>
        <v/>
      </c>
      <c r="H375" s="10">
        <f>IF(COUNT(D375:F375)=0,"",MEDIAN(D375:F375))</f>
        <v/>
      </c>
      <c r="I375" s="10">
        <f>IF(COUNT(D375:F375)=0,"",MAX(D375:F375))</f>
        <v/>
      </c>
      <c r="J375" s="11">
        <f>IF(OR(G375="",G375=0),"",(I375-G375)/G375)</f>
        <v/>
      </c>
      <c r="K375" s="4">
        <f>IF(COUNT(D375:F375)=0,"",INDEX($D$1:$F$1,MATCH(MIN(D375:F375),D375:F375,0)))</f>
        <v/>
      </c>
      <c r="L375" s="10" t="n">
        <v>1709.91</v>
      </c>
      <c r="M375" s="12" t="n">
        <v>1</v>
      </c>
    </row>
    <row r="376">
      <c r="A376" s="4" t="inlineStr">
        <is>
          <t>MAT-23-011</t>
        </is>
      </c>
      <c r="B376" s="5" t="inlineStr">
        <is>
          <t>Angular de aluminio 1" x 3/4" x 19.20 pies</t>
        </is>
      </c>
      <c r="C376" s="4" t="inlineStr">
        <is>
          <t>unidad</t>
        </is>
      </c>
      <c r="D376" s="10" t="n">
        <v>626.5700000000001</v>
      </c>
      <c r="E376" s="10" t="n">
        <v>755</v>
      </c>
      <c r="F376" s="10" t="n"/>
      <c r="G376" s="10">
        <f>IF(COUNT(D376:F376)=0,"",MIN(D376:F376))</f>
        <v/>
      </c>
      <c r="H376" s="10">
        <f>IF(COUNT(D376:F376)=0,"",MEDIAN(D376:F376))</f>
        <v/>
      </c>
      <c r="I376" s="10">
        <f>IF(COUNT(D376:F376)=0,"",MAX(D376:F376))</f>
        <v/>
      </c>
      <c r="J376" s="11">
        <f>IF(OR(G376="",G376=0),"",(I376-G376)/G376)</f>
        <v/>
      </c>
      <c r="K376" s="4">
        <f>IF(COUNT(D376:F376)=0,"",INDEX($D$1:$F$1,MATCH(MIN(D376:F376),D376:F376,0)))</f>
        <v/>
      </c>
      <c r="L376" s="10" t="n">
        <v>690.79</v>
      </c>
      <c r="M376" s="12" t="n">
        <v>2</v>
      </c>
    </row>
    <row r="377">
      <c r="A377" s="4" t="inlineStr">
        <is>
          <t>MAT-23-012</t>
        </is>
      </c>
      <c r="B377" s="5" t="inlineStr">
        <is>
          <t>Perfil de aluminio 1" x 1" x 19.20 pies</t>
        </is>
      </c>
      <c r="C377" s="4" t="inlineStr">
        <is>
          <t>unidad</t>
        </is>
      </c>
      <c r="D377" s="10" t="n">
        <v>1336.93</v>
      </c>
      <c r="E377" s="10" t="n"/>
      <c r="F377" s="10" t="n"/>
      <c r="G377" s="10">
        <f>IF(COUNT(D377:F377)=0,"",MIN(D377:F377))</f>
        <v/>
      </c>
      <c r="H377" s="10">
        <f>IF(COUNT(D377:F377)=0,"",MEDIAN(D377:F377))</f>
        <v/>
      </c>
      <c r="I377" s="10">
        <f>IF(COUNT(D377:F377)=0,"",MAX(D377:F377))</f>
        <v/>
      </c>
      <c r="J377" s="11">
        <f>IF(OR(G377="",G377=0),"",(I377-G377)/G377)</f>
        <v/>
      </c>
      <c r="K377" s="4">
        <f>IF(COUNT(D377:F377)=0,"",INDEX($D$1:$F$1,MATCH(MIN(D377:F377),D377:F377,0)))</f>
        <v/>
      </c>
      <c r="L377" s="10" t="n">
        <v>1336.93</v>
      </c>
      <c r="M377" s="12" t="n">
        <v>1</v>
      </c>
    </row>
    <row r="378">
      <c r="A378" s="4" t="inlineStr">
        <is>
          <t>MAT-23-013</t>
        </is>
      </c>
      <c r="B378" s="5" t="inlineStr">
        <is>
          <t>Tubo redondo de aluminio 1 1/4" x 19.20 pies</t>
        </is>
      </c>
      <c r="C378" s="4" t="inlineStr">
        <is>
          <t>unidad</t>
        </is>
      </c>
      <c r="D378" s="10" t="n">
        <v>2185.58</v>
      </c>
      <c r="E378" s="10" t="n"/>
      <c r="F378" s="10" t="n"/>
      <c r="G378" s="10">
        <f>IF(COUNT(D378:F378)=0,"",MIN(D378:F378))</f>
        <v/>
      </c>
      <c r="H378" s="10">
        <f>IF(COUNT(D378:F378)=0,"",MEDIAN(D378:F378))</f>
        <v/>
      </c>
      <c r="I378" s="10">
        <f>IF(COUNT(D378:F378)=0,"",MAX(D378:F378))</f>
        <v/>
      </c>
      <c r="J378" s="11">
        <f>IF(OR(G378="",G378=0),"",(I378-G378)/G378)</f>
        <v/>
      </c>
      <c r="K378" s="4">
        <f>IF(COUNT(D378:F378)=0,"",INDEX($D$1:$F$1,MATCH(MIN(D378:F378),D378:F378,0)))</f>
        <v/>
      </c>
      <c r="L378" s="10" t="n">
        <v>2185.58</v>
      </c>
      <c r="M378" s="12" t="n">
        <v>1</v>
      </c>
    </row>
    <row r="379">
      <c r="A379" s="4" t="inlineStr">
        <is>
          <t>MAT-23-014</t>
        </is>
      </c>
      <c r="B379" s="5" t="inlineStr">
        <is>
          <t>Angular de aluminio 1 1/4" x 1 1/4" x 19.20 pies</t>
        </is>
      </c>
      <c r="C379" s="4" t="inlineStr">
        <is>
          <t>unidad</t>
        </is>
      </c>
      <c r="D379" s="10" t="n">
        <v>982.22</v>
      </c>
      <c r="E379" s="10" t="n">
        <v>1165</v>
      </c>
      <c r="F379" s="10" t="n"/>
      <c r="G379" s="10">
        <f>IF(COUNT(D379:F379)=0,"",MIN(D379:F379))</f>
        <v/>
      </c>
      <c r="H379" s="10">
        <f>IF(COUNT(D379:F379)=0,"",MEDIAN(D379:F379))</f>
        <v/>
      </c>
      <c r="I379" s="10">
        <f>IF(COUNT(D379:F379)=0,"",MAX(D379:F379))</f>
        <v/>
      </c>
      <c r="J379" s="11">
        <f>IF(OR(G379="",G379=0),"",(I379-G379)/G379)</f>
        <v/>
      </c>
      <c r="K379" s="4">
        <f>IF(COUNT(D379:F379)=0,"",INDEX($D$1:$F$1,MATCH(MIN(D379:F379),D379:F379,0)))</f>
        <v/>
      </c>
      <c r="L379" s="10" t="n">
        <v>1073.61</v>
      </c>
      <c r="M379" s="12" t="n">
        <v>2</v>
      </c>
    </row>
    <row r="380">
      <c r="A380" s="4" t="inlineStr">
        <is>
          <t>MAT-23-015</t>
        </is>
      </c>
      <c r="B380" s="5" t="inlineStr">
        <is>
          <t>Planchuela de aluminio 1 1/2" x 1/4" x 19.20 pies</t>
        </is>
      </c>
      <c r="C380" s="4" t="inlineStr">
        <is>
          <t>unidad</t>
        </is>
      </c>
      <c r="D380" s="10" t="n">
        <v>2567.7</v>
      </c>
      <c r="E380" s="10" t="n"/>
      <c r="F380" s="10" t="n"/>
      <c r="G380" s="10">
        <f>IF(COUNT(D380:F380)=0,"",MIN(D380:F380))</f>
        <v/>
      </c>
      <c r="H380" s="10">
        <f>IF(COUNT(D380:F380)=0,"",MEDIAN(D380:F380))</f>
        <v/>
      </c>
      <c r="I380" s="10">
        <f>IF(COUNT(D380:F380)=0,"",MAX(D380:F380))</f>
        <v/>
      </c>
      <c r="J380" s="11">
        <f>IF(OR(G380="",G380=0),"",(I380-G380)/G380)</f>
        <v/>
      </c>
      <c r="K380" s="4">
        <f>IF(COUNT(D380:F380)=0,"",INDEX($D$1:$F$1,MATCH(MIN(D380:F380),D380:F380,0)))</f>
        <v/>
      </c>
      <c r="L380" s="10" t="n">
        <v>2567.7</v>
      </c>
      <c r="M380" s="12" t="n">
        <v>1</v>
      </c>
    </row>
    <row r="381">
      <c r="A381" s="4" t="inlineStr">
        <is>
          <t>MAT-23-016</t>
        </is>
      </c>
      <c r="B381" s="5" t="inlineStr">
        <is>
          <t>Moldura U de aluminio 1 1/2" x 3/4" x 19.20 pies</t>
        </is>
      </c>
      <c r="C381" s="4" t="inlineStr">
        <is>
          <t>unidad</t>
        </is>
      </c>
      <c r="D381" s="10" t="n">
        <v>1117.37</v>
      </c>
      <c r="E381" s="10" t="n"/>
      <c r="F381" s="10" t="n"/>
      <c r="G381" s="10">
        <f>IF(COUNT(D381:F381)=0,"",MIN(D381:F381))</f>
        <v/>
      </c>
      <c r="H381" s="10">
        <f>IF(COUNT(D381:F381)=0,"",MEDIAN(D381:F381))</f>
        <v/>
      </c>
      <c r="I381" s="10">
        <f>IF(COUNT(D381:F381)=0,"",MAX(D381:F381))</f>
        <v/>
      </c>
      <c r="J381" s="11">
        <f>IF(OR(G381="",G381=0),"",(I381-G381)/G381)</f>
        <v/>
      </c>
      <c r="K381" s="4">
        <f>IF(COUNT(D381:F381)=0,"",INDEX($D$1:$F$1,MATCH(MIN(D381:F381),D381:F381,0)))</f>
        <v/>
      </c>
      <c r="L381" s="10" t="n">
        <v>1117.37</v>
      </c>
      <c r="M381" s="12" t="n">
        <v>1</v>
      </c>
    </row>
    <row r="382">
      <c r="A382" s="4" t="inlineStr">
        <is>
          <t>MAT-23-017</t>
        </is>
      </c>
      <c r="B382" s="5" t="inlineStr">
        <is>
          <t>Angular de aluminio 1 1/2" x 1 1/2" x 19.20 pies</t>
        </is>
      </c>
      <c r="C382" s="4" t="inlineStr">
        <is>
          <t>unidad</t>
        </is>
      </c>
      <c r="D382" s="10" t="n">
        <v>2473.52</v>
      </c>
      <c r="E382" s="10" t="n"/>
      <c r="F382" s="10" t="n"/>
      <c r="G382" s="10">
        <f>IF(COUNT(D382:F382)=0,"",MIN(D382:F382))</f>
        <v/>
      </c>
      <c r="H382" s="10">
        <f>IF(COUNT(D382:F382)=0,"",MEDIAN(D382:F382))</f>
        <v/>
      </c>
      <c r="I382" s="10">
        <f>IF(COUNT(D382:F382)=0,"",MAX(D382:F382))</f>
        <v/>
      </c>
      <c r="J382" s="11">
        <f>IF(OR(G382="",G382=0),"",(I382-G382)/G382)</f>
        <v/>
      </c>
      <c r="K382" s="4">
        <f>IF(COUNT(D382:F382)=0,"",INDEX($D$1:$F$1,MATCH(MIN(D382:F382),D382:F382,0)))</f>
        <v/>
      </c>
      <c r="L382" s="10" t="n">
        <v>2473.52</v>
      </c>
      <c r="M382" s="12" t="n">
        <v>1</v>
      </c>
    </row>
    <row r="383">
      <c r="A383" s="4" t="inlineStr">
        <is>
          <t>MAT-23-018</t>
        </is>
      </c>
      <c r="B383" s="5" t="inlineStr">
        <is>
          <t>Perfil cuadrado de aluminio 1 1/2" x 1 1/2" x 19.20 pies</t>
        </is>
      </c>
      <c r="C383" s="4" t="inlineStr">
        <is>
          <t>unidad</t>
        </is>
      </c>
      <c r="D383" s="10" t="n">
        <v>1701.73</v>
      </c>
      <c r="E383" s="10" t="n"/>
      <c r="F383" s="10" t="n"/>
      <c r="G383" s="10">
        <f>IF(COUNT(D383:F383)=0,"",MIN(D383:F383))</f>
        <v/>
      </c>
      <c r="H383" s="10">
        <f>IF(COUNT(D383:F383)=0,"",MEDIAN(D383:F383))</f>
        <v/>
      </c>
      <c r="I383" s="10">
        <f>IF(COUNT(D383:F383)=0,"",MAX(D383:F383))</f>
        <v/>
      </c>
      <c r="J383" s="11">
        <f>IF(OR(G383="",G383=0),"",(I383-G383)/G383)</f>
        <v/>
      </c>
      <c r="K383" s="4">
        <f>IF(COUNT(D383:F383)=0,"",INDEX($D$1:$F$1,MATCH(MIN(D383:F383),D383:F383,0)))</f>
        <v/>
      </c>
      <c r="L383" s="10" t="n">
        <v>1701.73</v>
      </c>
      <c r="M383" s="12" t="n">
        <v>1</v>
      </c>
    </row>
    <row r="384">
      <c r="A384" s="4" t="inlineStr">
        <is>
          <t>MAT-23-019</t>
        </is>
      </c>
      <c r="B384" s="5" t="inlineStr">
        <is>
          <t>Perfil rectangular de aluminio 2" x 1" x 19.20 pies</t>
        </is>
      </c>
      <c r="C384" s="4" t="inlineStr">
        <is>
          <t>unidad</t>
        </is>
      </c>
      <c r="D384" s="10" t="n">
        <v>1846.63</v>
      </c>
      <c r="E384" s="10" t="n"/>
      <c r="F384" s="10" t="n"/>
      <c r="G384" s="10">
        <f>IF(COUNT(D384:F384)=0,"",MIN(D384:F384))</f>
        <v/>
      </c>
      <c r="H384" s="10">
        <f>IF(COUNT(D384:F384)=0,"",MEDIAN(D384:F384))</f>
        <v/>
      </c>
      <c r="I384" s="10">
        <f>IF(COUNT(D384:F384)=0,"",MAX(D384:F384))</f>
        <v/>
      </c>
      <c r="J384" s="11">
        <f>IF(OR(G384="",G384=0),"",(I384-G384)/G384)</f>
        <v/>
      </c>
      <c r="K384" s="4">
        <f>IF(COUNT(D384:F384)=0,"",INDEX($D$1:$F$1,MATCH(MIN(D384:F384),D384:F384,0)))</f>
        <v/>
      </c>
      <c r="L384" s="10" t="n">
        <v>1846.63</v>
      </c>
      <c r="M384" s="12" t="n">
        <v>1</v>
      </c>
    </row>
    <row r="385">
      <c r="A385" s="4" t="inlineStr">
        <is>
          <t>MAT-23-020</t>
        </is>
      </c>
      <c r="B385" s="5" t="inlineStr">
        <is>
          <t>Angular de aluminio 2" x 2" x 19.20 pies</t>
        </is>
      </c>
      <c r="C385" s="4" t="inlineStr">
        <is>
          <t>unidad</t>
        </is>
      </c>
      <c r="D385" s="10" t="n">
        <v>3334.76</v>
      </c>
      <c r="E385" s="10" t="n"/>
      <c r="F385" s="10" t="n"/>
      <c r="G385" s="10">
        <f>IF(COUNT(D385:F385)=0,"",MIN(D385:F385))</f>
        <v/>
      </c>
      <c r="H385" s="10">
        <f>IF(COUNT(D385:F385)=0,"",MEDIAN(D385:F385))</f>
        <v/>
      </c>
      <c r="I385" s="10">
        <f>IF(COUNT(D385:F385)=0,"",MAX(D385:F385))</f>
        <v/>
      </c>
      <c r="J385" s="11">
        <f>IF(OR(G385="",G385=0),"",(I385-G385)/G385)</f>
        <v/>
      </c>
      <c r="K385" s="4">
        <f>IF(COUNT(D385:F385)=0,"",INDEX($D$1:$F$1,MATCH(MIN(D385:F385),D385:F385,0)))</f>
        <v/>
      </c>
      <c r="L385" s="10" t="n">
        <v>3334.76</v>
      </c>
      <c r="M385" s="12" t="n">
        <v>1</v>
      </c>
    </row>
    <row r="386">
      <c r="A386" s="4" t="inlineStr">
        <is>
          <t>MAT-23-021</t>
        </is>
      </c>
      <c r="B386" s="5" t="inlineStr">
        <is>
          <t>Planchuela de aluminio 3" x 3/16" x 19.20 pies</t>
        </is>
      </c>
      <c r="C386" s="4" t="inlineStr">
        <is>
          <t>unidad</t>
        </is>
      </c>
      <c r="D386" s="10" t="n">
        <v>2695.59</v>
      </c>
      <c r="E386" s="10" t="n"/>
      <c r="F386" s="10" t="n"/>
      <c r="G386" s="10">
        <f>IF(COUNT(D386:F386)=0,"",MIN(D386:F386))</f>
        <v/>
      </c>
      <c r="H386" s="10">
        <f>IF(COUNT(D386:F386)=0,"",MEDIAN(D386:F386))</f>
        <v/>
      </c>
      <c r="I386" s="10">
        <f>IF(COUNT(D386:F386)=0,"",MAX(D386:F386))</f>
        <v/>
      </c>
      <c r="J386" s="11">
        <f>IF(OR(G386="",G386=0),"",(I386-G386)/G386)</f>
        <v/>
      </c>
      <c r="K386" s="4">
        <f>IF(COUNT(D386:F386)=0,"",INDEX($D$1:$F$1,MATCH(MIN(D386:F386),D386:F386,0)))</f>
        <v/>
      </c>
      <c r="L386" s="10" t="n">
        <v>2695.59</v>
      </c>
      <c r="M386" s="12" t="n">
        <v>1</v>
      </c>
    </row>
    <row r="387">
      <c r="A387" s="4" t="inlineStr">
        <is>
          <t>MAT-23-022</t>
        </is>
      </c>
      <c r="B387" s="5" t="inlineStr">
        <is>
          <t>Perfil rectangular de aluminio 3" x 1 1/2" x 19.20 pies</t>
        </is>
      </c>
      <c r="C387" s="4" t="inlineStr">
        <is>
          <t>unidad</t>
        </is>
      </c>
      <c r="D387" s="10" t="n">
        <v>3956.93</v>
      </c>
      <c r="E387" s="10" t="n"/>
      <c r="F387" s="10" t="n"/>
      <c r="G387" s="10">
        <f>IF(COUNT(D387:F387)=0,"",MIN(D387:F387))</f>
        <v/>
      </c>
      <c r="H387" s="10">
        <f>IF(COUNT(D387:F387)=0,"",MEDIAN(D387:F387))</f>
        <v/>
      </c>
      <c r="I387" s="10">
        <f>IF(COUNT(D387:F387)=0,"",MAX(D387:F387))</f>
        <v/>
      </c>
      <c r="J387" s="11">
        <f>IF(OR(G387="",G387=0),"",(I387-G387)/G387)</f>
        <v/>
      </c>
      <c r="K387" s="4">
        <f>IF(COUNT(D387:F387)=0,"",INDEX($D$1:$F$1,MATCH(MIN(D387:F387),D387:F387,0)))</f>
        <v/>
      </c>
      <c r="L387" s="10" t="n">
        <v>3956.93</v>
      </c>
      <c r="M387" s="12" t="n">
        <v>1</v>
      </c>
    </row>
    <row r="388">
      <c r="A388" s="4" t="inlineStr">
        <is>
          <t>MAT-23-023</t>
        </is>
      </c>
      <c r="B388" s="5" t="inlineStr">
        <is>
          <t>Planchuela de aluminio 4" x 1/8" x 19.20 pies</t>
        </is>
      </c>
      <c r="C388" s="4" t="inlineStr">
        <is>
          <t>unidad</t>
        </is>
      </c>
      <c r="D388" s="10" t="n">
        <v>3464.55</v>
      </c>
      <c r="E388" s="10" t="n"/>
      <c r="F388" s="10" t="n"/>
      <c r="G388" s="10">
        <f>IF(COUNT(D388:F388)=0,"",MIN(D388:F388))</f>
        <v/>
      </c>
      <c r="H388" s="10">
        <f>IF(COUNT(D388:F388)=0,"",MEDIAN(D388:F388))</f>
        <v/>
      </c>
      <c r="I388" s="10">
        <f>IF(COUNT(D388:F388)=0,"",MAX(D388:F388))</f>
        <v/>
      </c>
      <c r="J388" s="11">
        <f>IF(OR(G388="",G388=0),"",(I388-G388)/G388)</f>
        <v/>
      </c>
      <c r="K388" s="4">
        <f>IF(COUNT(D388:F388)=0,"",INDEX($D$1:$F$1,MATCH(MIN(D388:F388),D388:F388,0)))</f>
        <v/>
      </c>
      <c r="L388" s="10" t="n">
        <v>3464.55</v>
      </c>
      <c r="M388" s="12" t="n">
        <v>1</v>
      </c>
    </row>
    <row r="389">
      <c r="A389" s="4" t="inlineStr">
        <is>
          <t>MAT-23-024</t>
        </is>
      </c>
      <c r="B389" s="5" t="inlineStr">
        <is>
          <t>Perfil rectangular de aluminio 4" x 1 3/4" x 19.20 pies</t>
        </is>
      </c>
      <c r="C389" s="4" t="inlineStr">
        <is>
          <t>unidad</t>
        </is>
      </c>
      <c r="D389" s="10" t="n">
        <v>5142.65</v>
      </c>
      <c r="E389" s="10" t="n"/>
      <c r="F389" s="10" t="n"/>
      <c r="G389" s="10">
        <f>IF(COUNT(D389:F389)=0,"",MIN(D389:F389))</f>
        <v/>
      </c>
      <c r="H389" s="10">
        <f>IF(COUNT(D389:F389)=0,"",MEDIAN(D389:F389))</f>
        <v/>
      </c>
      <c r="I389" s="10">
        <f>IF(COUNT(D389:F389)=0,"",MAX(D389:F389))</f>
        <v/>
      </c>
      <c r="J389" s="11">
        <f>IF(OR(G389="",G389=0),"",(I389-G389)/G389)</f>
        <v/>
      </c>
      <c r="K389" s="4">
        <f>IF(COUNT(D389:F389)=0,"",INDEX($D$1:$F$1,MATCH(MIN(D389:F389),D389:F389,0)))</f>
        <v/>
      </c>
      <c r="L389" s="10" t="n">
        <v>5142.65</v>
      </c>
      <c r="M389" s="12" t="n">
        <v>1</v>
      </c>
    </row>
    <row r="390">
      <c r="A390" s="4" t="inlineStr">
        <is>
          <t>MAT-23-025</t>
        </is>
      </c>
      <c r="B390" s="5" t="inlineStr">
        <is>
          <t>Angular de aluminio, 1X1"X19'</t>
        </is>
      </c>
      <c r="C390" s="4" t="inlineStr">
        <is>
          <t>unidad</t>
        </is>
      </c>
      <c r="D390" s="10" t="n"/>
      <c r="E390" s="10" t="n">
        <v>750</v>
      </c>
      <c r="F390" s="10" t="n"/>
      <c r="G390" s="10">
        <f>IF(COUNT(D390:F390)=0,"",MIN(D390:F390))</f>
        <v/>
      </c>
      <c r="H390" s="10">
        <f>IF(COUNT(D390:F390)=0,"",MEDIAN(D390:F390))</f>
        <v/>
      </c>
      <c r="I390" s="10">
        <f>IF(COUNT(D390:F390)=0,"",MAX(D390:F390))</f>
        <v/>
      </c>
      <c r="J390" s="11">
        <f>IF(OR(G390="",G390=0),"",(I390-G390)/G390)</f>
        <v/>
      </c>
      <c r="K390" s="4">
        <f>IF(COUNT(D390:F390)=0,"",INDEX($D$1:$F$1,MATCH(MIN(D390:F390),D390:F390,0)))</f>
        <v/>
      </c>
      <c r="L390" s="10" t="n">
        <v>750</v>
      </c>
      <c r="M390" s="12" t="n">
        <v>1</v>
      </c>
    </row>
    <row r="391">
      <c r="A391" s="4" t="inlineStr">
        <is>
          <t>MAT-23-026</t>
        </is>
      </c>
      <c r="B391" s="5" t="inlineStr">
        <is>
          <t>Angular de aluminio, 3/4X1/2"X19'</t>
        </is>
      </c>
      <c r="C391" s="4" t="inlineStr">
        <is>
          <t>unidad</t>
        </is>
      </c>
      <c r="D391" s="10" t="n"/>
      <c r="E391" s="10" t="n">
        <v>398</v>
      </c>
      <c r="F391" s="10" t="n"/>
      <c r="G391" s="10">
        <f>IF(COUNT(D391:F391)=0,"",MIN(D391:F391))</f>
        <v/>
      </c>
      <c r="H391" s="10">
        <f>IF(COUNT(D391:F391)=0,"",MEDIAN(D391:F391))</f>
        <v/>
      </c>
      <c r="I391" s="10">
        <f>IF(COUNT(D391:F391)=0,"",MAX(D391:F391))</f>
        <v/>
      </c>
      <c r="J391" s="11">
        <f>IF(OR(G391="",G391=0),"",(I391-G391)/G391)</f>
        <v/>
      </c>
      <c r="K391" s="4">
        <f>IF(COUNT(D391:F391)=0,"",INDEX($D$1:$F$1,MATCH(MIN(D391:F391),D391:F391,0)))</f>
        <v/>
      </c>
      <c r="L391" s="10" t="n">
        <v>398</v>
      </c>
      <c r="M391" s="12" t="n">
        <v>1</v>
      </c>
    </row>
    <row r="392">
      <c r="A392" s="4" t="inlineStr">
        <is>
          <t>MAT-24-001</t>
        </is>
      </c>
      <c r="B392" s="5" t="inlineStr">
        <is>
          <t>Inodoro de una pieza</t>
        </is>
      </c>
      <c r="C392" s="4" t="inlineStr">
        <is>
          <t>unidad</t>
        </is>
      </c>
      <c r="D392" s="10" t="n">
        <v>5981.36</v>
      </c>
      <c r="E392" s="10" t="n"/>
      <c r="F392" s="10" t="n"/>
      <c r="G392" s="10">
        <f>IF(COUNT(D392:F392)=0,"",MIN(D392:F392))</f>
        <v/>
      </c>
      <c r="H392" s="10">
        <f>IF(COUNT(D392:F392)=0,"",MEDIAN(D392:F392))</f>
        <v/>
      </c>
      <c r="I392" s="10">
        <f>IF(COUNT(D392:F392)=0,"",MAX(D392:F392))</f>
        <v/>
      </c>
      <c r="J392" s="11">
        <f>IF(OR(G392="",G392=0),"",(I392-G392)/G392)</f>
        <v/>
      </c>
      <c r="K392" s="4">
        <f>IF(COUNT(D392:F392)=0,"",INDEX($D$1:$F$1,MATCH(MIN(D392:F392),D392:F392,0)))</f>
        <v/>
      </c>
      <c r="L392" s="10" t="n">
        <v>12350.18</v>
      </c>
      <c r="M392" s="12" t="n">
        <v>1</v>
      </c>
    </row>
    <row r="393">
      <c r="A393" s="4" t="inlineStr">
        <is>
          <t>MAT-24-002</t>
        </is>
      </c>
      <c r="B393" s="5" t="inlineStr">
        <is>
          <t>Inodoro de una pieza, elongado</t>
        </is>
      </c>
      <c r="C393" s="4" t="inlineStr">
        <is>
          <t>unidad</t>
        </is>
      </c>
      <c r="D393" s="10" t="n">
        <v>6458.6</v>
      </c>
      <c r="E393" s="10" t="n">
        <v>4225</v>
      </c>
      <c r="F393" s="10" t="n"/>
      <c r="G393" s="10">
        <f>IF(COUNT(D393:F393)=0,"",MIN(D393:F393))</f>
        <v/>
      </c>
      <c r="H393" s="10">
        <f>IF(COUNT(D393:F393)=0,"",MEDIAN(D393:F393))</f>
        <v/>
      </c>
      <c r="I393" s="10">
        <f>IF(COUNT(D393:F393)=0,"",MAX(D393:F393))</f>
        <v/>
      </c>
      <c r="J393" s="11">
        <f>IF(OR(G393="",G393=0),"",(I393-G393)/G393)</f>
        <v/>
      </c>
      <c r="K393" s="4">
        <f>IF(COUNT(D393:F393)=0,"",INDEX($D$1:$F$1,MATCH(MIN(D393:F393),D393:F393,0)))</f>
        <v/>
      </c>
      <c r="L393" s="10" t="n">
        <v>8426.5</v>
      </c>
      <c r="M393" s="12" t="n">
        <v>2</v>
      </c>
    </row>
    <row r="394">
      <c r="A394" s="4" t="inlineStr">
        <is>
          <t>MAT-24-003</t>
        </is>
      </c>
      <c r="B394" s="5" t="inlineStr">
        <is>
          <t>Inodoro de una pieza, redondo</t>
        </is>
      </c>
      <c r="C394" s="4" t="inlineStr">
        <is>
          <t>unidad</t>
        </is>
      </c>
      <c r="D394" s="10" t="n">
        <v>7263.45</v>
      </c>
      <c r="E394" s="10" t="n">
        <v>4855</v>
      </c>
      <c r="F394" s="10" t="n"/>
      <c r="G394" s="10">
        <f>IF(COUNT(D394:F394)=0,"",MIN(D394:F394))</f>
        <v/>
      </c>
      <c r="H394" s="10">
        <f>IF(COUNT(D394:F394)=0,"",MEDIAN(D394:F394))</f>
        <v/>
      </c>
      <c r="I394" s="10">
        <f>IF(COUNT(D394:F394)=0,"",MAX(D394:F394))</f>
        <v/>
      </c>
      <c r="J394" s="11">
        <f>IF(OR(G394="",G394=0),"",(I394-G394)/G394)</f>
        <v/>
      </c>
      <c r="K394" s="4">
        <f>IF(COUNT(D394:F394)=0,"",INDEX($D$1:$F$1,MATCH(MIN(D394:F394),D394:F394,0)))</f>
        <v/>
      </c>
      <c r="L394" s="10" t="n">
        <v>7263.45</v>
      </c>
      <c r="M394" s="12" t="n">
        <v>2</v>
      </c>
    </row>
    <row r="395">
      <c r="A395" s="4" t="inlineStr">
        <is>
          <t>MAT-24-004</t>
        </is>
      </c>
      <c r="B395" s="5" t="inlineStr">
        <is>
          <t>Tanque para inodoro de dos piezas</t>
        </is>
      </c>
      <c r="C395" s="4" t="inlineStr">
        <is>
          <t>unidad</t>
        </is>
      </c>
      <c r="D395" s="10" t="n">
        <v>586.47</v>
      </c>
      <c r="E395" s="10" t="n">
        <v>12715</v>
      </c>
      <c r="F395" s="10" t="n"/>
      <c r="G395" s="10">
        <f>IF(COUNT(D395:F395)=0,"",MIN(D395:F395))</f>
        <v/>
      </c>
      <c r="H395" s="10">
        <f>IF(COUNT(D395:F395)=0,"",MEDIAN(D395:F395))</f>
        <v/>
      </c>
      <c r="I395" s="10">
        <f>IF(COUNT(D395:F395)=0,"",MAX(D395:F395))</f>
        <v/>
      </c>
      <c r="J395" s="11">
        <f>IF(OR(G395="",G395=0),"",(I395-G395)/G395)</f>
        <v/>
      </c>
      <c r="K395" s="4">
        <f>IF(COUNT(D395:F395)=0,"",INDEX($D$1:$F$1,MATCH(MIN(D395:F395),D395:F395,0)))</f>
        <v/>
      </c>
      <c r="L395" s="10" t="n">
        <v>4198.79</v>
      </c>
      <c r="M395" s="12" t="n">
        <v>2</v>
      </c>
    </row>
    <row r="396">
      <c r="A396" s="4" t="inlineStr">
        <is>
          <t>MAT-24-005</t>
        </is>
      </c>
      <c r="B396" s="5" t="inlineStr">
        <is>
          <t>Basineta para inodoro de dos piezas</t>
        </is>
      </c>
      <c r="C396" s="4" t="inlineStr">
        <is>
          <t>unidad</t>
        </is>
      </c>
      <c r="D396" s="10" t="n">
        <v>2129.12</v>
      </c>
      <c r="E396" s="10" t="n"/>
      <c r="F396" s="10" t="n"/>
      <c r="G396" s="10">
        <f>IF(COUNT(D396:F396)=0,"",MIN(D396:F396))</f>
        <v/>
      </c>
      <c r="H396" s="10">
        <f>IF(COUNT(D396:F396)=0,"",MEDIAN(D396:F396))</f>
        <v/>
      </c>
      <c r="I396" s="10">
        <f>IF(COUNT(D396:F396)=0,"",MAX(D396:F396))</f>
        <v/>
      </c>
      <c r="J396" s="11">
        <f>IF(OR(G396="",G396=0),"",(I396-G396)/G396)</f>
        <v/>
      </c>
      <c r="K396" s="4">
        <f>IF(COUNT(D396:F396)=0,"",INDEX($D$1:$F$1,MATCH(MIN(D396:F396),D396:F396,0)))</f>
        <v/>
      </c>
      <c r="L396" s="10" t="n">
        <v>7537.55</v>
      </c>
      <c r="M396" s="12" t="n">
        <v>1</v>
      </c>
    </row>
    <row r="397">
      <c r="A397" s="4" t="inlineStr">
        <is>
          <t>MAT-24-006</t>
        </is>
      </c>
      <c r="B397" s="5" t="inlineStr">
        <is>
          <t>Basineta para inodoro de dos piezas, elongado</t>
        </is>
      </c>
      <c r="C397" s="4" t="inlineStr">
        <is>
          <t>unidad</t>
        </is>
      </c>
      <c r="D397" s="10" t="n">
        <v>2176.6</v>
      </c>
      <c r="E397" s="10" t="n"/>
      <c r="F397" s="10" t="n"/>
      <c r="G397" s="10">
        <f>IF(COUNT(D397:F397)=0,"",MIN(D397:F397))</f>
        <v/>
      </c>
      <c r="H397" s="10">
        <f>IF(COUNT(D397:F397)=0,"",MEDIAN(D397:F397))</f>
        <v/>
      </c>
      <c r="I397" s="10">
        <f>IF(COUNT(D397:F397)=0,"",MAX(D397:F397))</f>
        <v/>
      </c>
      <c r="J397" s="11">
        <f>IF(OR(G397="",G397=0),"",(I397-G397)/G397)</f>
        <v/>
      </c>
      <c r="K397" s="4">
        <f>IF(COUNT(D397:F397)=0,"",INDEX($D$1:$F$1,MATCH(MIN(D397:F397),D397:F397,0)))</f>
        <v/>
      </c>
      <c r="L397" s="10" t="n">
        <v>5347.93</v>
      </c>
      <c r="M397" s="12" t="n">
        <v>1</v>
      </c>
    </row>
    <row r="398">
      <c r="A398" s="4" t="inlineStr">
        <is>
          <t>MAT-24-007</t>
        </is>
      </c>
      <c r="B398" s="5" t="inlineStr">
        <is>
          <t>Basineta para inodoro de dos piezas, redondo</t>
        </is>
      </c>
      <c r="C398" s="4" t="inlineStr">
        <is>
          <t>unidad</t>
        </is>
      </c>
      <c r="D398" s="10" t="n">
        <v>2501.14</v>
      </c>
      <c r="E398" s="10" t="n"/>
      <c r="F398" s="10" t="n"/>
      <c r="G398" s="10">
        <f>IF(COUNT(D398:F398)=0,"",MIN(D398:F398))</f>
        <v/>
      </c>
      <c r="H398" s="10">
        <f>IF(COUNT(D398:F398)=0,"",MEDIAN(D398:F398))</f>
        <v/>
      </c>
      <c r="I398" s="10">
        <f>IF(COUNT(D398:F398)=0,"",MAX(D398:F398))</f>
        <v/>
      </c>
      <c r="J398" s="11">
        <f>IF(OR(G398="",G398=0),"",(I398-G398)/G398)</f>
        <v/>
      </c>
      <c r="K398" s="4">
        <f>IF(COUNT(D398:F398)=0,"",INDEX($D$1:$F$1,MATCH(MIN(D398:F398),D398:F398,0)))</f>
        <v/>
      </c>
      <c r="L398" s="10" t="n">
        <v>3298.27</v>
      </c>
      <c r="M398" s="12" t="n">
        <v>1</v>
      </c>
    </row>
    <row r="399">
      <c r="A399" s="4" t="inlineStr">
        <is>
          <t>MAT-24-008</t>
        </is>
      </c>
      <c r="B399" s="5" t="inlineStr">
        <is>
          <t>Taza para fluxómetro, elongado</t>
        </is>
      </c>
      <c r="C399" s="4" t="inlineStr">
        <is>
          <t>unidad</t>
        </is>
      </c>
      <c r="D399" s="10" t="n"/>
      <c r="E399" s="10" t="n">
        <v>3925</v>
      </c>
      <c r="F399" s="10" t="n"/>
      <c r="G399" s="10">
        <f>IF(COUNT(D399:F399)=0,"",MIN(D399:F399))</f>
        <v/>
      </c>
      <c r="H399" s="10">
        <f>IF(COUNT(D399:F399)=0,"",MEDIAN(D399:F399))</f>
        <v/>
      </c>
      <c r="I399" s="10">
        <f>IF(COUNT(D399:F399)=0,"",MAX(D399:F399))</f>
        <v/>
      </c>
      <c r="J399" s="11">
        <f>IF(OR(G399="",G399=0),"",(I399-G399)/G399)</f>
        <v/>
      </c>
      <c r="K399" s="4">
        <f>IF(COUNT(D399:F399)=0,"",INDEX($D$1:$F$1,MATCH(MIN(D399:F399),D399:F399,0)))</f>
        <v/>
      </c>
      <c r="L399" s="10" t="n">
        <v>8995</v>
      </c>
      <c r="M399" s="12" t="n">
        <v>1</v>
      </c>
    </row>
    <row r="400">
      <c r="A400" s="4" t="inlineStr">
        <is>
          <t>MAT-24-009</t>
        </is>
      </c>
      <c r="B400" s="5" t="inlineStr">
        <is>
          <t>Urinario de porcelana</t>
        </is>
      </c>
      <c r="C400" s="4" t="inlineStr">
        <is>
          <t>unidad</t>
        </is>
      </c>
      <c r="D400" s="10" t="n">
        <v>4422.13</v>
      </c>
      <c r="E400" s="10" t="n">
        <v>4362</v>
      </c>
      <c r="F400" s="10" t="n"/>
      <c r="G400" s="10">
        <f>IF(COUNT(D400:F400)=0,"",MIN(D400:F400))</f>
        <v/>
      </c>
      <c r="H400" s="10">
        <f>IF(COUNT(D400:F400)=0,"",MEDIAN(D400:F400))</f>
        <v/>
      </c>
      <c r="I400" s="10">
        <f>IF(COUNT(D400:F400)=0,"",MAX(D400:F400))</f>
        <v/>
      </c>
      <c r="J400" s="11">
        <f>IF(OR(G400="",G400=0),"",(I400-G400)/G400)</f>
        <v/>
      </c>
      <c r="K400" s="4">
        <f>IF(COUNT(D400:F400)=0,"",INDEX($D$1:$F$1,MATCH(MIN(D400:F400),D400:F400,0)))</f>
        <v/>
      </c>
      <c r="L400" s="10" t="n">
        <v>6631.07</v>
      </c>
      <c r="M400" s="12" t="n">
        <v>2</v>
      </c>
    </row>
    <row r="401">
      <c r="A401" s="4" t="inlineStr">
        <is>
          <t>MAT-24-010</t>
        </is>
      </c>
      <c r="B401" s="5" t="inlineStr">
        <is>
          <t>Bidé</t>
        </is>
      </c>
      <c r="C401" s="4" t="inlineStr">
        <is>
          <t>unidad</t>
        </is>
      </c>
      <c r="D401" s="10" t="n"/>
      <c r="E401" s="10" t="n">
        <v>5937</v>
      </c>
      <c r="F401" s="10" t="n"/>
      <c r="G401" s="10">
        <f>IF(COUNT(D401:F401)=0,"",MIN(D401:F401))</f>
        <v/>
      </c>
      <c r="H401" s="10">
        <f>IF(COUNT(D401:F401)=0,"",MEDIAN(D401:F401))</f>
        <v/>
      </c>
      <c r="I401" s="10">
        <f>IF(COUNT(D401:F401)=0,"",MAX(D401:F401))</f>
        <v/>
      </c>
      <c r="J401" s="11">
        <f>IF(OR(G401="",G401=0),"",(I401-G401)/G401)</f>
        <v/>
      </c>
      <c r="K401" s="4">
        <f>IF(COUNT(D401:F401)=0,"",INDEX($D$1:$F$1,MATCH(MIN(D401:F401),D401:F401,0)))</f>
        <v/>
      </c>
      <c r="L401" s="10" t="n">
        <v>5937</v>
      </c>
      <c r="M401" s="12" t="n">
        <v>1</v>
      </c>
    </row>
    <row r="402">
      <c r="A402" s="4" t="inlineStr">
        <is>
          <t>MAT-24-011</t>
        </is>
      </c>
      <c r="B402" s="5" t="inlineStr">
        <is>
          <t>Kit de instalación de inodoro</t>
        </is>
      </c>
      <c r="C402" s="4" t="inlineStr">
        <is>
          <t>juego</t>
        </is>
      </c>
      <c r="D402" s="10" t="n">
        <v>1773</v>
      </c>
      <c r="E402" s="10" t="n"/>
      <c r="F402" s="10" t="n"/>
      <c r="G402" s="10">
        <f>IF(COUNT(D402:F402)=0,"",MIN(D402:F402))</f>
        <v/>
      </c>
      <c r="H402" s="10">
        <f>IF(COUNT(D402:F402)=0,"",MEDIAN(D402:F402))</f>
        <v/>
      </c>
      <c r="I402" s="10">
        <f>IF(COUNT(D402:F402)=0,"",MAX(D402:F402))</f>
        <v/>
      </c>
      <c r="J402" s="11">
        <f>IF(OR(G402="",G402=0),"",(I402-G402)/G402)</f>
        <v/>
      </c>
      <c r="K402" s="4">
        <f>IF(COUNT(D402:F402)=0,"",INDEX($D$1:$F$1,MATCH(MIN(D402:F402),D402:F402,0)))</f>
        <v/>
      </c>
      <c r="L402" s="10" t="n">
        <v>1773</v>
      </c>
      <c r="M402" s="12" t="n">
        <v>1</v>
      </c>
    </row>
    <row r="403">
      <c r="A403" s="4" t="inlineStr">
        <is>
          <t>MAT-25-001</t>
        </is>
      </c>
      <c r="B403" s="5" t="inlineStr">
        <is>
          <t>Lavamanos</t>
        </is>
      </c>
      <c r="C403" s="4" t="inlineStr">
        <is>
          <t>unidad</t>
        </is>
      </c>
      <c r="D403" s="10" t="n">
        <v>5360.96</v>
      </c>
      <c r="E403" s="10" t="n"/>
      <c r="F403" s="10" t="n"/>
      <c r="G403" s="10">
        <f>IF(COUNT(D403:F403)=0,"",MIN(D403:F403))</f>
        <v/>
      </c>
      <c r="H403" s="10">
        <f>IF(COUNT(D403:F403)=0,"",MEDIAN(D403:F403))</f>
        <v/>
      </c>
      <c r="I403" s="10">
        <f>IF(COUNT(D403:F403)=0,"",MAX(D403:F403))</f>
        <v/>
      </c>
      <c r="J403" s="11">
        <f>IF(OR(G403="",G403=0),"",(I403-G403)/G403)</f>
        <v/>
      </c>
      <c r="K403" s="4">
        <f>IF(COUNT(D403:F403)=0,"",INDEX($D$1:$F$1,MATCH(MIN(D403:F403),D403:F403,0)))</f>
        <v/>
      </c>
      <c r="L403" s="10" t="n">
        <v>8402.389999999999</v>
      </c>
      <c r="M403" s="12" t="n">
        <v>1</v>
      </c>
    </row>
    <row r="404">
      <c r="A404" s="4" t="inlineStr">
        <is>
          <t>MAT-25-002</t>
        </is>
      </c>
      <c r="B404" s="5" t="inlineStr">
        <is>
          <t>Lavamanos, de empotrar</t>
        </is>
      </c>
      <c r="C404" s="4" t="inlineStr">
        <is>
          <t>unidad</t>
        </is>
      </c>
      <c r="D404" s="10" t="n">
        <v>684.67</v>
      </c>
      <c r="E404" s="10" t="n">
        <v>1585</v>
      </c>
      <c r="F404" s="10" t="n"/>
      <c r="G404" s="10">
        <f>IF(COUNT(D404:F404)=0,"",MIN(D404:F404))</f>
        <v/>
      </c>
      <c r="H404" s="10">
        <f>IF(COUNT(D404:F404)=0,"",MEDIAN(D404:F404))</f>
        <v/>
      </c>
      <c r="I404" s="10">
        <f>IF(COUNT(D404:F404)=0,"",MAX(D404:F404))</f>
        <v/>
      </c>
      <c r="J404" s="11">
        <f>IF(OR(G404="",G404=0),"",(I404-G404)/G404)</f>
        <v/>
      </c>
      <c r="K404" s="4">
        <f>IF(COUNT(D404:F404)=0,"",INDEX($D$1:$F$1,MATCH(MIN(D404:F404),D404:F404,0)))</f>
        <v/>
      </c>
      <c r="L404" s="10" t="n">
        <v>2807.64</v>
      </c>
      <c r="M404" s="12" t="n">
        <v>2</v>
      </c>
    </row>
    <row r="405">
      <c r="A405" s="4" t="inlineStr">
        <is>
          <t>MAT-25-003</t>
        </is>
      </c>
      <c r="B405" s="5" t="inlineStr">
        <is>
          <t>Lavamanos, de pared</t>
        </is>
      </c>
      <c r="C405" s="4" t="inlineStr">
        <is>
          <t>unidad</t>
        </is>
      </c>
      <c r="D405" s="10" t="n"/>
      <c r="E405" s="10" t="n">
        <v>995</v>
      </c>
      <c r="F405" s="10" t="n"/>
      <c r="G405" s="10">
        <f>IF(COUNT(D405:F405)=0,"",MIN(D405:F405))</f>
        <v/>
      </c>
      <c r="H405" s="10">
        <f>IF(COUNT(D405:F405)=0,"",MEDIAN(D405:F405))</f>
        <v/>
      </c>
      <c r="I405" s="10">
        <f>IF(COUNT(D405:F405)=0,"",MAX(D405:F405))</f>
        <v/>
      </c>
      <c r="J405" s="11">
        <f>IF(OR(G405="",G405=0),"",(I405-G405)/G405)</f>
        <v/>
      </c>
      <c r="K405" s="4">
        <f>IF(COUNT(D405:F405)=0,"",INDEX($D$1:$F$1,MATCH(MIN(D405:F405),D405:F405,0)))</f>
        <v/>
      </c>
      <c r="L405" s="10" t="n">
        <v>1995</v>
      </c>
      <c r="M405" s="12" t="n">
        <v>1</v>
      </c>
    </row>
    <row r="406">
      <c r="A406" s="4" t="inlineStr">
        <is>
          <t>MAT-25-004</t>
        </is>
      </c>
      <c r="B406" s="5" t="inlineStr">
        <is>
          <t>Lavamanos, de pedestal</t>
        </is>
      </c>
      <c r="C406" s="4" t="inlineStr">
        <is>
          <t>unidad</t>
        </is>
      </c>
      <c r="D406" s="10" t="n">
        <v>1093</v>
      </c>
      <c r="E406" s="10" t="n">
        <v>216</v>
      </c>
      <c r="F406" s="10" t="n"/>
      <c r="G406" s="10">
        <f>IF(COUNT(D406:F406)=0,"",MIN(D406:F406))</f>
        <v/>
      </c>
      <c r="H406" s="10">
        <f>IF(COUNT(D406:F406)=0,"",MEDIAN(D406:F406))</f>
        <v/>
      </c>
      <c r="I406" s="10">
        <f>IF(COUNT(D406:F406)=0,"",MAX(D406:F406))</f>
        <v/>
      </c>
      <c r="J406" s="11">
        <f>IF(OR(G406="",G406=0),"",(I406-G406)/G406)</f>
        <v/>
      </c>
      <c r="K406" s="4">
        <f>IF(COUNT(D406:F406)=0,"",INDEX($D$1:$F$1,MATCH(MIN(D406:F406),D406:F406,0)))</f>
        <v/>
      </c>
      <c r="L406" s="10" t="n">
        <v>2565.83</v>
      </c>
      <c r="M406" s="12" t="n">
        <v>2</v>
      </c>
    </row>
    <row r="407">
      <c r="A407" s="4" t="inlineStr">
        <is>
          <t>MAT-25-005</t>
        </is>
      </c>
      <c r="B407" s="5" t="inlineStr">
        <is>
          <t>Lavamanos, de sobreponer</t>
        </is>
      </c>
      <c r="C407" s="4" t="inlineStr">
        <is>
          <t>unidad</t>
        </is>
      </c>
      <c r="D407" s="10" t="n">
        <v>2085.37</v>
      </c>
      <c r="E407" s="10" t="n">
        <v>1495</v>
      </c>
      <c r="F407" s="10" t="n"/>
      <c r="G407" s="10">
        <f>IF(COUNT(D407:F407)=0,"",MIN(D407:F407))</f>
        <v/>
      </c>
      <c r="H407" s="10">
        <f>IF(COUNT(D407:F407)=0,"",MEDIAN(D407:F407))</f>
        <v/>
      </c>
      <c r="I407" s="10">
        <f>IF(COUNT(D407:F407)=0,"",MAX(D407:F407))</f>
        <v/>
      </c>
      <c r="J407" s="11">
        <f>IF(OR(G407="",G407=0),"",(I407-G407)/G407)</f>
        <v/>
      </c>
      <c r="K407" s="4">
        <f>IF(COUNT(D407:F407)=0,"",INDEX($D$1:$F$1,MATCH(MIN(D407:F407),D407:F407,0)))</f>
        <v/>
      </c>
      <c r="L407" s="10" t="n">
        <v>3529</v>
      </c>
      <c r="M407" s="12" t="n">
        <v>2</v>
      </c>
    </row>
    <row r="408">
      <c r="A408" s="4" t="inlineStr">
        <is>
          <t>MAT-25-006</t>
        </is>
      </c>
      <c r="B408" s="5" t="inlineStr">
        <is>
          <t>Pedestal para lavamanos</t>
        </is>
      </c>
      <c r="C408" s="4" t="inlineStr">
        <is>
          <t>unidad</t>
        </is>
      </c>
      <c r="D408" s="10" t="n">
        <v>891.27</v>
      </c>
      <c r="E408" s="10" t="n"/>
      <c r="F408" s="10" t="n"/>
      <c r="G408" s="10">
        <f>IF(COUNT(D408:F408)=0,"",MIN(D408:F408))</f>
        <v/>
      </c>
      <c r="H408" s="10">
        <f>IF(COUNT(D408:F408)=0,"",MEDIAN(D408:F408))</f>
        <v/>
      </c>
      <c r="I408" s="10">
        <f>IF(COUNT(D408:F408)=0,"",MAX(D408:F408))</f>
        <v/>
      </c>
      <c r="J408" s="11">
        <f>IF(OR(G408="",G408=0),"",(I408-G408)/G408)</f>
        <v/>
      </c>
      <c r="K408" s="4">
        <f>IF(COUNT(D408:F408)=0,"",INDEX($D$1:$F$1,MATCH(MIN(D408:F408),D408:F408,0)))</f>
        <v/>
      </c>
      <c r="L408" s="10" t="n">
        <v>2014.01</v>
      </c>
      <c r="M408" s="12" t="n">
        <v>1</v>
      </c>
    </row>
    <row r="409">
      <c r="A409" s="4" t="inlineStr">
        <is>
          <t>MAT-25-007</t>
        </is>
      </c>
      <c r="B409" s="5" t="inlineStr">
        <is>
          <t>Palometa para lavamanos</t>
        </is>
      </c>
      <c r="C409" s="4" t="inlineStr">
        <is>
          <t>unidad</t>
        </is>
      </c>
      <c r="D409" s="10" t="n">
        <v>57.88</v>
      </c>
      <c r="E409" s="10" t="n"/>
      <c r="F409" s="10" t="n"/>
      <c r="G409" s="10">
        <f>IF(COUNT(D409:F409)=0,"",MIN(D409:F409))</f>
        <v/>
      </c>
      <c r="H409" s="10">
        <f>IF(COUNT(D409:F409)=0,"",MEDIAN(D409:F409))</f>
        <v/>
      </c>
      <c r="I409" s="10">
        <f>IF(COUNT(D409:F409)=0,"",MAX(D409:F409))</f>
        <v/>
      </c>
      <c r="J409" s="11">
        <f>IF(OR(G409="",G409=0),"",(I409-G409)/G409)</f>
        <v/>
      </c>
      <c r="K409" s="4">
        <f>IF(COUNT(D409:F409)=0,"",INDEX($D$1:$F$1,MATCH(MIN(D409:F409),D409:F409,0)))</f>
        <v/>
      </c>
      <c r="L409" s="10" t="n">
        <v>70.02</v>
      </c>
      <c r="M409" s="12" t="n">
        <v>1</v>
      </c>
    </row>
    <row r="410">
      <c r="A410" s="4" t="inlineStr">
        <is>
          <t>MAT-25-008</t>
        </is>
      </c>
      <c r="B410" s="5" t="inlineStr">
        <is>
          <t>Conector de desagüe para lavamanos</t>
        </is>
      </c>
      <c r="C410" s="4" t="inlineStr">
        <is>
          <t>unidad</t>
        </is>
      </c>
      <c r="D410" s="10" t="n">
        <v>255.94</v>
      </c>
      <c r="E410" s="10" t="n"/>
      <c r="F410" s="10" t="n"/>
      <c r="G410" s="10">
        <f>IF(COUNT(D410:F410)=0,"",MIN(D410:F410))</f>
        <v/>
      </c>
      <c r="H410" s="10">
        <f>IF(COUNT(D410:F410)=0,"",MEDIAN(D410:F410))</f>
        <v/>
      </c>
      <c r="I410" s="10">
        <f>IF(COUNT(D410:F410)=0,"",MAX(D410:F410))</f>
        <v/>
      </c>
      <c r="J410" s="11">
        <f>IF(OR(G410="",G410=0),"",(I410-G410)/G410)</f>
        <v/>
      </c>
      <c r="K410" s="4">
        <f>IF(COUNT(D410:F410)=0,"",INDEX($D$1:$F$1,MATCH(MIN(D410:F410),D410:F410,0)))</f>
        <v/>
      </c>
      <c r="L410" s="10" t="n">
        <v>255.94</v>
      </c>
      <c r="M410" s="12" t="n">
        <v>1</v>
      </c>
    </row>
    <row r="411">
      <c r="A411" s="4" t="inlineStr">
        <is>
          <t>MAT-26-001</t>
        </is>
      </c>
      <c r="B411" s="5" t="inlineStr">
        <is>
          <t>Mueble de baño</t>
        </is>
      </c>
      <c r="C411" s="4" t="inlineStr">
        <is>
          <t>unidad</t>
        </is>
      </c>
      <c r="D411" s="10" t="n">
        <v>8614.57</v>
      </c>
      <c r="E411" s="10" t="n">
        <v>1140</v>
      </c>
      <c r="F411" s="10" t="n"/>
      <c r="G411" s="10">
        <f>IF(COUNT(D411:F411)=0,"",MIN(D411:F411))</f>
        <v/>
      </c>
      <c r="H411" s="10">
        <f>IF(COUNT(D411:F411)=0,"",MEDIAN(D411:F411))</f>
        <v/>
      </c>
      <c r="I411" s="10">
        <f>IF(COUNT(D411:F411)=0,"",MAX(D411:F411))</f>
        <v/>
      </c>
      <c r="J411" s="11">
        <f>IF(OR(G411="",G411=0),"",(I411-G411)/G411)</f>
        <v/>
      </c>
      <c r="K411" s="4">
        <f>IF(COUNT(D411:F411)=0,"",INDEX($D$1:$F$1,MATCH(MIN(D411:F411),D411:F411,0)))</f>
        <v/>
      </c>
      <c r="L411" s="10" t="n">
        <v>14350</v>
      </c>
      <c r="M411" s="12" t="n">
        <v>2</v>
      </c>
    </row>
    <row r="412">
      <c r="A412" s="4" t="inlineStr">
        <is>
          <t>MAT-26-002</t>
        </is>
      </c>
      <c r="B412" s="5" t="inlineStr">
        <is>
          <t>Mueble de baño, de pared</t>
        </is>
      </c>
      <c r="C412" s="4" t="inlineStr">
        <is>
          <t>unidad</t>
        </is>
      </c>
      <c r="D412" s="10" t="n">
        <v>5433.44</v>
      </c>
      <c r="E412" s="10" t="n">
        <v>8120</v>
      </c>
      <c r="F412" s="10" t="n"/>
      <c r="G412" s="10">
        <f>IF(COUNT(D412:F412)=0,"",MIN(D412:F412))</f>
        <v/>
      </c>
      <c r="H412" s="10">
        <f>IF(COUNT(D412:F412)=0,"",MEDIAN(D412:F412))</f>
        <v/>
      </c>
      <c r="I412" s="10">
        <f>IF(COUNT(D412:F412)=0,"",MAX(D412:F412))</f>
        <v/>
      </c>
      <c r="J412" s="11">
        <f>IF(OR(G412="",G412=0),"",(I412-G412)/G412)</f>
        <v/>
      </c>
      <c r="K412" s="4">
        <f>IF(COUNT(D412:F412)=0,"",INDEX($D$1:$F$1,MATCH(MIN(D412:F412),D412:F412,0)))</f>
        <v/>
      </c>
      <c r="L412" s="10" t="n">
        <v>17006.6</v>
      </c>
      <c r="M412" s="12" t="n">
        <v>2</v>
      </c>
    </row>
    <row r="413">
      <c r="A413" s="4" t="inlineStr">
        <is>
          <t>MAT-26-003</t>
        </is>
      </c>
      <c r="B413" s="5" t="inlineStr">
        <is>
          <t>Mueble de baño, de piso</t>
        </is>
      </c>
      <c r="C413" s="4" t="inlineStr">
        <is>
          <t>unidad</t>
        </is>
      </c>
      <c r="D413" s="10" t="n"/>
      <c r="E413" s="10" t="n">
        <v>7012.5</v>
      </c>
      <c r="F413" s="10" t="n"/>
      <c r="G413" s="10">
        <f>IF(COUNT(D413:F413)=0,"",MIN(D413:F413))</f>
        <v/>
      </c>
      <c r="H413" s="10">
        <f>IF(COUNT(D413:F413)=0,"",MEDIAN(D413:F413))</f>
        <v/>
      </c>
      <c r="I413" s="10">
        <f>IF(COUNT(D413:F413)=0,"",MAX(D413:F413))</f>
        <v/>
      </c>
      <c r="J413" s="11">
        <f>IF(OR(G413="",G413=0),"",(I413-G413)/G413)</f>
        <v/>
      </c>
      <c r="K413" s="4">
        <f>IF(COUNT(D413:F413)=0,"",INDEX($D$1:$F$1,MATCH(MIN(D413:F413),D413:F413,0)))</f>
        <v/>
      </c>
      <c r="L413" s="10" t="n">
        <v>8820</v>
      </c>
      <c r="M413" s="12" t="n">
        <v>1</v>
      </c>
    </row>
    <row r="414">
      <c r="A414" s="4" t="inlineStr">
        <is>
          <t>MAT-26-004</t>
        </is>
      </c>
      <c r="B414" s="5" t="inlineStr">
        <is>
          <t>Botiquín de baño</t>
        </is>
      </c>
      <c r="C414" s="4" t="inlineStr">
        <is>
          <t>unidad</t>
        </is>
      </c>
      <c r="D414" s="10" t="n">
        <v>725.87</v>
      </c>
      <c r="E414" s="10" t="n">
        <v>995</v>
      </c>
      <c r="F414" s="10" t="n"/>
      <c r="G414" s="10">
        <f>IF(COUNT(D414:F414)=0,"",MIN(D414:F414))</f>
        <v/>
      </c>
      <c r="H414" s="10">
        <f>IF(COUNT(D414:F414)=0,"",MEDIAN(D414:F414))</f>
        <v/>
      </c>
      <c r="I414" s="10">
        <f>IF(COUNT(D414:F414)=0,"",MAX(D414:F414))</f>
        <v/>
      </c>
      <c r="J414" s="11">
        <f>IF(OR(G414="",G414=0),"",(I414-G414)/G414)</f>
        <v/>
      </c>
      <c r="K414" s="4">
        <f>IF(COUNT(D414:F414)=0,"",INDEX($D$1:$F$1,MATCH(MIN(D414:F414),D414:F414,0)))</f>
        <v/>
      </c>
      <c r="L414" s="10" t="n">
        <v>1415</v>
      </c>
      <c r="M414" s="12" t="n">
        <v>2</v>
      </c>
    </row>
    <row r="415">
      <c r="A415" s="4" t="inlineStr">
        <is>
          <t>MAT-26-005</t>
        </is>
      </c>
      <c r="B415" s="5" t="inlineStr">
        <is>
          <t>Botiquín de baño, con luz LED</t>
        </is>
      </c>
      <c r="C415" s="4" t="inlineStr">
        <is>
          <t>unidad</t>
        </is>
      </c>
      <c r="D415" s="10" t="n">
        <v>10320.96</v>
      </c>
      <c r="E415" s="10" t="n"/>
      <c r="F415" s="10" t="n"/>
      <c r="G415" s="10">
        <f>IF(COUNT(D415:F415)=0,"",MIN(D415:F415))</f>
        <v/>
      </c>
      <c r="H415" s="10">
        <f>IF(COUNT(D415:F415)=0,"",MEDIAN(D415:F415))</f>
        <v/>
      </c>
      <c r="I415" s="10">
        <f>IF(COUNT(D415:F415)=0,"",MAX(D415:F415))</f>
        <v/>
      </c>
      <c r="J415" s="11">
        <f>IF(OR(G415="",G415=0),"",(I415-G415)/G415)</f>
        <v/>
      </c>
      <c r="K415" s="4">
        <f>IF(COUNT(D415:F415)=0,"",INDEX($D$1:$F$1,MATCH(MIN(D415:F415),D415:F415,0)))</f>
        <v/>
      </c>
      <c r="L415" s="10" t="n">
        <v>15456.85</v>
      </c>
      <c r="M415" s="12" t="n">
        <v>1</v>
      </c>
    </row>
    <row r="416">
      <c r="A416" s="4" t="inlineStr">
        <is>
          <t>MAT-26-006</t>
        </is>
      </c>
      <c r="B416" s="5" t="inlineStr">
        <is>
          <t>Espejo de baño</t>
        </is>
      </c>
      <c r="C416" s="4" t="inlineStr">
        <is>
          <t>unidad</t>
        </is>
      </c>
      <c r="D416" s="10" t="n">
        <v>1210.04</v>
      </c>
      <c r="E416" s="10" t="n">
        <v>665</v>
      </c>
      <c r="F416" s="10" t="n"/>
      <c r="G416" s="10">
        <f>IF(COUNT(D416:F416)=0,"",MIN(D416:F416))</f>
        <v/>
      </c>
      <c r="H416" s="10">
        <f>IF(COUNT(D416:F416)=0,"",MEDIAN(D416:F416))</f>
        <v/>
      </c>
      <c r="I416" s="10">
        <f>IF(COUNT(D416:F416)=0,"",MAX(D416:F416))</f>
        <v/>
      </c>
      <c r="J416" s="11">
        <f>IF(OR(G416="",G416=0),"",(I416-G416)/G416)</f>
        <v/>
      </c>
      <c r="K416" s="4">
        <f>IF(COUNT(D416:F416)=0,"",INDEX($D$1:$F$1,MATCH(MIN(D416:F416),D416:F416,0)))</f>
        <v/>
      </c>
      <c r="L416" s="10" t="n">
        <v>1210.04</v>
      </c>
      <c r="M416" s="12" t="n">
        <v>2</v>
      </c>
    </row>
    <row r="417">
      <c r="A417" s="4" t="inlineStr">
        <is>
          <t>MAT-26-007</t>
        </is>
      </c>
      <c r="B417" s="5" t="inlineStr">
        <is>
          <t>Espejo de baño, con luz LED</t>
        </is>
      </c>
      <c r="C417" s="4" t="inlineStr">
        <is>
          <t>unidad</t>
        </is>
      </c>
      <c r="D417" s="10" t="n">
        <v>4270.75</v>
      </c>
      <c r="E417" s="10" t="n">
        <v>1795</v>
      </c>
      <c r="F417" s="10" t="n"/>
      <c r="G417" s="10">
        <f>IF(COUNT(D417:F417)=0,"",MIN(D417:F417))</f>
        <v/>
      </c>
      <c r="H417" s="10">
        <f>IF(COUNT(D417:F417)=0,"",MEDIAN(D417:F417))</f>
        <v/>
      </c>
      <c r="I417" s="10">
        <f>IF(COUNT(D417:F417)=0,"",MAX(D417:F417))</f>
        <v/>
      </c>
      <c r="J417" s="11">
        <f>IF(OR(G417="",G417=0),"",(I417-G417)/G417)</f>
        <v/>
      </c>
      <c r="K417" s="4">
        <f>IF(COUNT(D417:F417)=0,"",INDEX($D$1:$F$1,MATCH(MIN(D417:F417),D417:F417,0)))</f>
        <v/>
      </c>
      <c r="L417" s="10" t="n">
        <v>5126.14</v>
      </c>
      <c r="M417" s="12" t="n">
        <v>2</v>
      </c>
    </row>
    <row r="418">
      <c r="A418" s="4" t="inlineStr">
        <is>
          <t>MAT-26-008</t>
        </is>
      </c>
      <c r="B418" s="5" t="inlineStr">
        <is>
          <t>Cabina o panel de ducha</t>
        </is>
      </c>
      <c r="C418" s="4" t="inlineStr">
        <is>
          <t>unidad</t>
        </is>
      </c>
      <c r="D418" s="10" t="n"/>
      <c r="E418" s="10" t="n">
        <v>3118.5</v>
      </c>
      <c r="F418" s="10" t="n"/>
      <c r="G418" s="10">
        <f>IF(COUNT(D418:F418)=0,"",MIN(D418:F418))</f>
        <v/>
      </c>
      <c r="H418" s="10">
        <f>IF(COUNT(D418:F418)=0,"",MEDIAN(D418:F418))</f>
        <v/>
      </c>
      <c r="I418" s="10">
        <f>IF(COUNT(D418:F418)=0,"",MAX(D418:F418))</f>
        <v/>
      </c>
      <c r="J418" s="11">
        <f>IF(OR(G418="",G418=0),"",(I418-G418)/G418)</f>
        <v/>
      </c>
      <c r="K418" s="4">
        <f>IF(COUNT(D418:F418)=0,"",INDEX($D$1:$F$1,MATCH(MIN(D418:F418),D418:F418,0)))</f>
        <v/>
      </c>
      <c r="L418" s="10" t="n">
        <v>4415</v>
      </c>
      <c r="M418" s="12" t="n">
        <v>1</v>
      </c>
    </row>
    <row r="419">
      <c r="A419" s="4" t="inlineStr">
        <is>
          <t>MAT-27-001</t>
        </is>
      </c>
      <c r="B419" s="5" t="inlineStr">
        <is>
          <t>Barra de seguridad, abatible, 20 cm</t>
        </is>
      </c>
      <c r="C419" s="4" t="inlineStr">
        <is>
          <t>unidad</t>
        </is>
      </c>
      <c r="D419" s="10" t="n"/>
      <c r="E419" s="10" t="n">
        <v>2439</v>
      </c>
      <c r="F419" s="10" t="n"/>
      <c r="G419" s="10">
        <f>IF(COUNT(D419:F419)=0,"",MIN(D419:F419))</f>
        <v/>
      </c>
      <c r="H419" s="10">
        <f>IF(COUNT(D419:F419)=0,"",MEDIAN(D419:F419))</f>
        <v/>
      </c>
      <c r="I419" s="10">
        <f>IF(COUNT(D419:F419)=0,"",MAX(D419:F419))</f>
        <v/>
      </c>
      <c r="J419" s="11">
        <f>IF(OR(G419="",G419=0),"",(I419-G419)/G419)</f>
        <v/>
      </c>
      <c r="K419" s="4">
        <f>IF(COUNT(D419:F419)=0,"",INDEX($D$1:$F$1,MATCH(MIN(D419:F419),D419:F419,0)))</f>
        <v/>
      </c>
      <c r="L419" s="10" t="n">
        <v>2439</v>
      </c>
      <c r="M419" s="12" t="n">
        <v>1</v>
      </c>
    </row>
    <row r="420">
      <c r="A420" s="4" t="inlineStr">
        <is>
          <t>MAT-27-002</t>
        </is>
      </c>
      <c r="B420" s="5" t="inlineStr">
        <is>
          <t>Barra de seguridad, curva</t>
        </is>
      </c>
      <c r="C420" s="4" t="inlineStr">
        <is>
          <t>unidad</t>
        </is>
      </c>
      <c r="D420" s="10" t="n">
        <v>1416.67</v>
      </c>
      <c r="E420" s="10" t="n"/>
      <c r="F420" s="10" t="n"/>
      <c r="G420" s="10">
        <f>IF(COUNT(D420:F420)=0,"",MIN(D420:F420))</f>
        <v/>
      </c>
      <c r="H420" s="10">
        <f>IF(COUNT(D420:F420)=0,"",MEDIAN(D420:F420))</f>
        <v/>
      </c>
      <c r="I420" s="10">
        <f>IF(COUNT(D420:F420)=0,"",MAX(D420:F420))</f>
        <v/>
      </c>
      <c r="J420" s="11">
        <f>IF(OR(G420="",G420=0),"",(I420-G420)/G420)</f>
        <v/>
      </c>
      <c r="K420" s="4">
        <f>IF(COUNT(D420:F420)=0,"",INDEX($D$1:$F$1,MATCH(MIN(D420:F420),D420:F420,0)))</f>
        <v/>
      </c>
      <c r="L420" s="10" t="n">
        <v>1416.67</v>
      </c>
      <c r="M420" s="12" t="n">
        <v>1</v>
      </c>
    </row>
    <row r="421">
      <c r="A421" s="4" t="inlineStr">
        <is>
          <t>MAT-27-003</t>
        </is>
      </c>
      <c r="B421" s="5" t="inlineStr">
        <is>
          <t>Barra de seguridad, en L, 30 cm</t>
        </is>
      </c>
      <c r="C421" s="4" t="inlineStr">
        <is>
          <t>unidad</t>
        </is>
      </c>
      <c r="D421" s="10" t="n"/>
      <c r="E421" s="10" t="n">
        <v>1200</v>
      </c>
      <c r="F421" s="10" t="n"/>
      <c r="G421" s="10">
        <f>IF(COUNT(D421:F421)=0,"",MIN(D421:F421))</f>
        <v/>
      </c>
      <c r="H421" s="10">
        <f>IF(COUNT(D421:F421)=0,"",MEDIAN(D421:F421))</f>
        <v/>
      </c>
      <c r="I421" s="10">
        <f>IF(COUNT(D421:F421)=0,"",MAX(D421:F421))</f>
        <v/>
      </c>
      <c r="J421" s="11">
        <f>IF(OR(G421="",G421=0),"",(I421-G421)/G421)</f>
        <v/>
      </c>
      <c r="K421" s="4">
        <f>IF(COUNT(D421:F421)=0,"",INDEX($D$1:$F$1,MATCH(MIN(D421:F421),D421:F421,0)))</f>
        <v/>
      </c>
      <c r="L421" s="10" t="n">
        <v>1200</v>
      </c>
      <c r="M421" s="12" t="n">
        <v>1</v>
      </c>
    </row>
    <row r="422">
      <c r="A422" s="4" t="inlineStr">
        <is>
          <t>MAT-27-004</t>
        </is>
      </c>
      <c r="B422" s="5" t="inlineStr">
        <is>
          <t>Barra de seguridad, en L, 45 cm</t>
        </is>
      </c>
      <c r="C422" s="4" t="inlineStr">
        <is>
          <t>unidad</t>
        </is>
      </c>
      <c r="D422" s="10" t="n"/>
      <c r="E422" s="10" t="n">
        <v>925</v>
      </c>
      <c r="F422" s="10" t="n"/>
      <c r="G422" s="10">
        <f>IF(COUNT(D422:F422)=0,"",MIN(D422:F422))</f>
        <v/>
      </c>
      <c r="H422" s="10">
        <f>IF(COUNT(D422:F422)=0,"",MEDIAN(D422:F422))</f>
        <v/>
      </c>
      <c r="I422" s="10">
        <f>IF(COUNT(D422:F422)=0,"",MAX(D422:F422))</f>
        <v/>
      </c>
      <c r="J422" s="11">
        <f>IF(OR(G422="",G422=0),"",(I422-G422)/G422)</f>
        <v/>
      </c>
      <c r="K422" s="4">
        <f>IF(COUNT(D422:F422)=0,"",INDEX($D$1:$F$1,MATCH(MIN(D422:F422),D422:F422,0)))</f>
        <v/>
      </c>
      <c r="L422" s="10" t="n">
        <v>925</v>
      </c>
      <c r="M422" s="12" t="n">
        <v>1</v>
      </c>
    </row>
    <row r="423">
      <c r="A423" s="4" t="inlineStr">
        <is>
          <t>MAT-27-005</t>
        </is>
      </c>
      <c r="B423" s="5" t="inlineStr">
        <is>
          <t>Barra de seguridad, en L, 55 cm</t>
        </is>
      </c>
      <c r="C423" s="4" t="inlineStr">
        <is>
          <t>unidad</t>
        </is>
      </c>
      <c r="D423" s="10" t="n"/>
      <c r="E423" s="10" t="n">
        <v>2619</v>
      </c>
      <c r="F423" s="10" t="n"/>
      <c r="G423" s="10">
        <f>IF(COUNT(D423:F423)=0,"",MIN(D423:F423))</f>
        <v/>
      </c>
      <c r="H423" s="10">
        <f>IF(COUNT(D423:F423)=0,"",MEDIAN(D423:F423))</f>
        <v/>
      </c>
      <c r="I423" s="10">
        <f>IF(COUNT(D423:F423)=0,"",MAX(D423:F423))</f>
        <v/>
      </c>
      <c r="J423" s="11">
        <f>IF(OR(G423="",G423=0),"",(I423-G423)/G423)</f>
        <v/>
      </c>
      <c r="K423" s="4">
        <f>IF(COUNT(D423:F423)=0,"",INDEX($D$1:$F$1,MATCH(MIN(D423:F423),D423:F423,0)))</f>
        <v/>
      </c>
      <c r="L423" s="10" t="n">
        <v>2619</v>
      </c>
      <c r="M423" s="12" t="n">
        <v>1</v>
      </c>
    </row>
    <row r="424">
      <c r="A424" s="4" t="inlineStr">
        <is>
          <t>MAT-27-006</t>
        </is>
      </c>
      <c r="B424" s="5" t="inlineStr">
        <is>
          <t>Barra de seguridad, en L, 75 cm</t>
        </is>
      </c>
      <c r="C424" s="4" t="inlineStr">
        <is>
          <t>unidad</t>
        </is>
      </c>
      <c r="D424" s="10" t="n"/>
      <c r="E424" s="10" t="n">
        <v>6294</v>
      </c>
      <c r="F424" s="10" t="n"/>
      <c r="G424" s="10">
        <f>IF(COUNT(D424:F424)=0,"",MIN(D424:F424))</f>
        <v/>
      </c>
      <c r="H424" s="10">
        <f>IF(COUNT(D424:F424)=0,"",MEDIAN(D424:F424))</f>
        <v/>
      </c>
      <c r="I424" s="10">
        <f>IF(COUNT(D424:F424)=0,"",MAX(D424:F424))</f>
        <v/>
      </c>
      <c r="J424" s="11">
        <f>IF(OR(G424="",G424=0),"",(I424-G424)/G424)</f>
        <v/>
      </c>
      <c r="K424" s="4">
        <f>IF(COUNT(D424:F424)=0,"",INDEX($D$1:$F$1,MATCH(MIN(D424:F424),D424:F424,0)))</f>
        <v/>
      </c>
      <c r="L424" s="10" t="n">
        <v>6294</v>
      </c>
      <c r="M424" s="12" t="n">
        <v>1</v>
      </c>
    </row>
    <row r="425">
      <c r="A425" s="4" t="inlineStr">
        <is>
          <t>MAT-27-007</t>
        </is>
      </c>
      <c r="B425" s="5" t="inlineStr">
        <is>
          <t>Barra de seguridad, recta</t>
        </is>
      </c>
      <c r="C425" s="4" t="inlineStr">
        <is>
          <t>unidad</t>
        </is>
      </c>
      <c r="D425" s="10" t="n">
        <v>3022.13</v>
      </c>
      <c r="E425" s="10" t="n"/>
      <c r="F425" s="10" t="n"/>
      <c r="G425" s="10">
        <f>IF(COUNT(D425:F425)=0,"",MIN(D425:F425))</f>
        <v/>
      </c>
      <c r="H425" s="10">
        <f>IF(COUNT(D425:F425)=0,"",MEDIAN(D425:F425))</f>
        <v/>
      </c>
      <c r="I425" s="10">
        <f>IF(COUNT(D425:F425)=0,"",MAX(D425:F425))</f>
        <v/>
      </c>
      <c r="J425" s="11">
        <f>IF(OR(G425="",G425=0),"",(I425-G425)/G425)</f>
        <v/>
      </c>
      <c r="K425" s="4">
        <f>IF(COUNT(D425:F425)=0,"",INDEX($D$1:$F$1,MATCH(MIN(D425:F425),D425:F425,0)))</f>
        <v/>
      </c>
      <c r="L425" s="10" t="n">
        <v>5259.02</v>
      </c>
      <c r="M425" s="12" t="n">
        <v>1</v>
      </c>
    </row>
    <row r="426">
      <c r="A426" s="4" t="inlineStr">
        <is>
          <t>MAT-27-008</t>
        </is>
      </c>
      <c r="B426" s="5" t="inlineStr">
        <is>
          <t>Barra de seguridad, recta, 105 cm</t>
        </is>
      </c>
      <c r="C426" s="4" t="inlineStr">
        <is>
          <t>unidad</t>
        </is>
      </c>
      <c r="D426" s="10" t="n"/>
      <c r="E426" s="10" t="n">
        <v>2750</v>
      </c>
      <c r="F426" s="10" t="n"/>
      <c r="G426" s="10">
        <f>IF(COUNT(D426:F426)=0,"",MIN(D426:F426))</f>
        <v/>
      </c>
      <c r="H426" s="10">
        <f>IF(COUNT(D426:F426)=0,"",MEDIAN(D426:F426))</f>
        <v/>
      </c>
      <c r="I426" s="10">
        <f>IF(COUNT(D426:F426)=0,"",MAX(D426:F426))</f>
        <v/>
      </c>
      <c r="J426" s="11">
        <f>IF(OR(G426="",G426=0),"",(I426-G426)/G426)</f>
        <v/>
      </c>
      <c r="K426" s="4">
        <f>IF(COUNT(D426:F426)=0,"",INDEX($D$1:$F$1,MATCH(MIN(D426:F426),D426:F426,0)))</f>
        <v/>
      </c>
      <c r="L426" s="10" t="n">
        <v>2750</v>
      </c>
      <c r="M426" s="12" t="n">
        <v>1</v>
      </c>
    </row>
    <row r="427">
      <c r="A427" s="4" t="inlineStr">
        <is>
          <t>MAT-27-009</t>
        </is>
      </c>
      <c r="B427" s="5" t="inlineStr">
        <is>
          <t>Barra de seguridad, recta, 120 cm</t>
        </is>
      </c>
      <c r="C427" s="4" t="inlineStr">
        <is>
          <t>unidad</t>
        </is>
      </c>
      <c r="D427" s="10" t="n"/>
      <c r="E427" s="10" t="n">
        <v>3092</v>
      </c>
      <c r="F427" s="10" t="n"/>
      <c r="G427" s="10">
        <f>IF(COUNT(D427:F427)=0,"",MIN(D427:F427))</f>
        <v/>
      </c>
      <c r="H427" s="10">
        <f>IF(COUNT(D427:F427)=0,"",MEDIAN(D427:F427))</f>
        <v/>
      </c>
      <c r="I427" s="10">
        <f>IF(COUNT(D427:F427)=0,"",MAX(D427:F427))</f>
        <v/>
      </c>
      <c r="J427" s="11">
        <f>IF(OR(G427="",G427=0),"",(I427-G427)/G427)</f>
        <v/>
      </c>
      <c r="K427" s="4">
        <f>IF(COUNT(D427:F427)=0,"",INDEX($D$1:$F$1,MATCH(MIN(D427:F427),D427:F427,0)))</f>
        <v/>
      </c>
      <c r="L427" s="10" t="n">
        <v>3092</v>
      </c>
      <c r="M427" s="12" t="n">
        <v>1</v>
      </c>
    </row>
    <row r="428">
      <c r="A428" s="4" t="inlineStr">
        <is>
          <t>MAT-27-010</t>
        </is>
      </c>
      <c r="B428" s="5" t="inlineStr">
        <is>
          <t>Barra de seguridad, recta, 30 cm</t>
        </is>
      </c>
      <c r="C428" s="4" t="inlineStr">
        <is>
          <t>unidad</t>
        </is>
      </c>
      <c r="D428" s="10" t="n">
        <v>3007.09</v>
      </c>
      <c r="E428" s="10" t="n">
        <v>1200</v>
      </c>
      <c r="F428" s="10" t="n"/>
      <c r="G428" s="10">
        <f>IF(COUNT(D428:F428)=0,"",MIN(D428:F428))</f>
        <v/>
      </c>
      <c r="H428" s="10">
        <f>IF(COUNT(D428:F428)=0,"",MEDIAN(D428:F428))</f>
        <v/>
      </c>
      <c r="I428" s="10">
        <f>IF(COUNT(D428:F428)=0,"",MAX(D428:F428))</f>
        <v/>
      </c>
      <c r="J428" s="11">
        <f>IF(OR(G428="",G428=0),"",(I428-G428)/G428)</f>
        <v/>
      </c>
      <c r="K428" s="4">
        <f>IF(COUNT(D428:F428)=0,"",INDEX($D$1:$F$1,MATCH(MIN(D428:F428),D428:F428,0)))</f>
        <v/>
      </c>
      <c r="L428" s="10" t="n">
        <v>1515</v>
      </c>
      <c r="M428" s="12" t="n">
        <v>2</v>
      </c>
    </row>
    <row r="429">
      <c r="A429" s="4" t="inlineStr">
        <is>
          <t>MAT-27-011</t>
        </is>
      </c>
      <c r="B429" s="5" t="inlineStr">
        <is>
          <t>Barra de seguridad, recta, 40 cm</t>
        </is>
      </c>
      <c r="C429" s="4" t="inlineStr">
        <is>
          <t>unidad</t>
        </is>
      </c>
      <c r="D429" s="10" t="n">
        <v>1176.96</v>
      </c>
      <c r="E429" s="10" t="n">
        <v>675</v>
      </c>
      <c r="F429" s="10" t="n"/>
      <c r="G429" s="10">
        <f>IF(COUNT(D429:F429)=0,"",MIN(D429:F429))</f>
        <v/>
      </c>
      <c r="H429" s="10">
        <f>IF(COUNT(D429:F429)=0,"",MEDIAN(D429:F429))</f>
        <v/>
      </c>
      <c r="I429" s="10">
        <f>IF(COUNT(D429:F429)=0,"",MAX(D429:F429))</f>
        <v/>
      </c>
      <c r="J429" s="11">
        <f>IF(OR(G429="",G429=0),"",(I429-G429)/G429)</f>
        <v/>
      </c>
      <c r="K429" s="4">
        <f>IF(COUNT(D429:F429)=0,"",INDEX($D$1:$F$1,MATCH(MIN(D429:F429),D429:F429,0)))</f>
        <v/>
      </c>
      <c r="L429" s="10" t="n">
        <v>925.98</v>
      </c>
      <c r="M429" s="12" t="n">
        <v>2</v>
      </c>
    </row>
    <row r="430">
      <c r="A430" s="4" t="inlineStr">
        <is>
          <t>MAT-27-012</t>
        </is>
      </c>
      <c r="B430" s="5" t="inlineStr">
        <is>
          <t>Barra de seguridad, recta, 45 cm</t>
        </is>
      </c>
      <c r="C430" s="4" t="inlineStr">
        <is>
          <t>unidad</t>
        </is>
      </c>
      <c r="D430" s="10" t="n"/>
      <c r="E430" s="10" t="n">
        <v>1595</v>
      </c>
      <c r="F430" s="10" t="n"/>
      <c r="G430" s="10">
        <f>IF(COUNT(D430:F430)=0,"",MIN(D430:F430))</f>
        <v/>
      </c>
      <c r="H430" s="10">
        <f>IF(COUNT(D430:F430)=0,"",MEDIAN(D430:F430))</f>
        <v/>
      </c>
      <c r="I430" s="10">
        <f>IF(COUNT(D430:F430)=0,"",MAX(D430:F430))</f>
        <v/>
      </c>
      <c r="J430" s="11">
        <f>IF(OR(G430="",G430=0),"",(I430-G430)/G430)</f>
        <v/>
      </c>
      <c r="K430" s="4">
        <f>IF(COUNT(D430:F430)=0,"",INDEX($D$1:$F$1,MATCH(MIN(D430:F430),D430:F430,0)))</f>
        <v/>
      </c>
      <c r="L430" s="10" t="n">
        <v>1665</v>
      </c>
      <c r="M430" s="12" t="n">
        <v>1</v>
      </c>
    </row>
    <row r="431">
      <c r="A431" s="4" t="inlineStr">
        <is>
          <t>MAT-27-013</t>
        </is>
      </c>
      <c r="B431" s="5" t="inlineStr">
        <is>
          <t>Barra de seguridad, recta, 50 cm</t>
        </is>
      </c>
      <c r="C431" s="4" t="inlineStr">
        <is>
          <t>unidad</t>
        </is>
      </c>
      <c r="D431" s="10" t="n">
        <v>1522.47</v>
      </c>
      <c r="E431" s="10" t="n">
        <v>745</v>
      </c>
      <c r="F431" s="10" t="n"/>
      <c r="G431" s="10">
        <f>IF(COUNT(D431:F431)=0,"",MIN(D431:F431))</f>
        <v/>
      </c>
      <c r="H431" s="10">
        <f>IF(COUNT(D431:F431)=0,"",MEDIAN(D431:F431))</f>
        <v/>
      </c>
      <c r="I431" s="10">
        <f>IF(COUNT(D431:F431)=0,"",MAX(D431:F431))</f>
        <v/>
      </c>
      <c r="J431" s="11">
        <f>IF(OR(G431="",G431=0),"",(I431-G431)/G431)</f>
        <v/>
      </c>
      <c r="K431" s="4">
        <f>IF(COUNT(D431:F431)=0,"",INDEX($D$1:$F$1,MATCH(MIN(D431:F431),D431:F431,0)))</f>
        <v/>
      </c>
      <c r="L431" s="10" t="n">
        <v>1195</v>
      </c>
      <c r="M431" s="12" t="n">
        <v>2</v>
      </c>
    </row>
    <row r="432">
      <c r="A432" s="4" t="inlineStr">
        <is>
          <t>MAT-27-014</t>
        </is>
      </c>
      <c r="B432" s="5" t="inlineStr">
        <is>
          <t>Barra de seguridad, recta, 60 cm</t>
        </is>
      </c>
      <c r="C432" s="4" t="inlineStr">
        <is>
          <t>unidad</t>
        </is>
      </c>
      <c r="D432" s="10" t="n">
        <v>3297.37</v>
      </c>
      <c r="E432" s="10" t="n">
        <v>1869</v>
      </c>
      <c r="F432" s="10" t="n"/>
      <c r="G432" s="10">
        <f>IF(COUNT(D432:F432)=0,"",MIN(D432:F432))</f>
        <v/>
      </c>
      <c r="H432" s="10">
        <f>IF(COUNT(D432:F432)=0,"",MEDIAN(D432:F432))</f>
        <v/>
      </c>
      <c r="I432" s="10">
        <f>IF(COUNT(D432:F432)=0,"",MAX(D432:F432))</f>
        <v/>
      </c>
      <c r="J432" s="11">
        <f>IF(OR(G432="",G432=0),"",(I432-G432)/G432)</f>
        <v/>
      </c>
      <c r="K432" s="4">
        <f>IF(COUNT(D432:F432)=0,"",INDEX($D$1:$F$1,MATCH(MIN(D432:F432),D432:F432,0)))</f>
        <v/>
      </c>
      <c r="L432" s="10" t="n">
        <v>1995</v>
      </c>
      <c r="M432" s="12" t="n">
        <v>2</v>
      </c>
    </row>
    <row r="433">
      <c r="A433" s="4" t="inlineStr">
        <is>
          <t>MAT-27-015</t>
        </is>
      </c>
      <c r="B433" s="5" t="inlineStr">
        <is>
          <t>Barra de seguridad, recta, 70 cm</t>
        </is>
      </c>
      <c r="C433" s="4" t="inlineStr">
        <is>
          <t>unidad</t>
        </is>
      </c>
      <c r="D433" s="10" t="n">
        <v>3271.81</v>
      </c>
      <c r="E433" s="10" t="n">
        <v>4695</v>
      </c>
      <c r="F433" s="10" t="n"/>
      <c r="G433" s="10">
        <f>IF(COUNT(D433:F433)=0,"",MIN(D433:F433))</f>
        <v/>
      </c>
      <c r="H433" s="10">
        <f>IF(COUNT(D433:F433)=0,"",MEDIAN(D433:F433))</f>
        <v/>
      </c>
      <c r="I433" s="10">
        <f>IF(COUNT(D433:F433)=0,"",MAX(D433:F433))</f>
        <v/>
      </c>
      <c r="J433" s="11">
        <f>IF(OR(G433="",G433=0),"",(I433-G433)/G433)</f>
        <v/>
      </c>
      <c r="K433" s="4">
        <f>IF(COUNT(D433:F433)=0,"",INDEX($D$1:$F$1,MATCH(MIN(D433:F433),D433:F433,0)))</f>
        <v/>
      </c>
      <c r="L433" s="10" t="n">
        <v>3983.41</v>
      </c>
      <c r="M433" s="12" t="n">
        <v>2</v>
      </c>
    </row>
    <row r="434">
      <c r="A434" s="4" t="inlineStr">
        <is>
          <t>MAT-27-016</t>
        </is>
      </c>
      <c r="B434" s="5" t="inlineStr">
        <is>
          <t>Barra de seguridad, recta, 75 cm</t>
        </is>
      </c>
      <c r="C434" s="4" t="inlineStr">
        <is>
          <t>unidad</t>
        </is>
      </c>
      <c r="D434" s="10" t="n"/>
      <c r="E434" s="10" t="n">
        <v>2185</v>
      </c>
      <c r="F434" s="10" t="n"/>
      <c r="G434" s="10">
        <f>IF(COUNT(D434:F434)=0,"",MIN(D434:F434))</f>
        <v/>
      </c>
      <c r="H434" s="10">
        <f>IF(COUNT(D434:F434)=0,"",MEDIAN(D434:F434))</f>
        <v/>
      </c>
      <c r="I434" s="10">
        <f>IF(COUNT(D434:F434)=0,"",MAX(D434:F434))</f>
        <v/>
      </c>
      <c r="J434" s="11">
        <f>IF(OR(G434="",G434=0),"",(I434-G434)/G434)</f>
        <v/>
      </c>
      <c r="K434" s="4">
        <f>IF(COUNT(D434:F434)=0,"",INDEX($D$1:$F$1,MATCH(MIN(D434:F434),D434:F434,0)))</f>
        <v/>
      </c>
      <c r="L434" s="10" t="n">
        <v>2185</v>
      </c>
      <c r="M434" s="12" t="n">
        <v>1</v>
      </c>
    </row>
    <row r="435">
      <c r="A435" s="4" t="inlineStr">
        <is>
          <t>MAT-27-017</t>
        </is>
      </c>
      <c r="B435" s="5" t="inlineStr">
        <is>
          <t>Barra de seguridad, recta, 90 cm</t>
        </is>
      </c>
      <c r="C435" s="4" t="inlineStr">
        <is>
          <t>unidad</t>
        </is>
      </c>
      <c r="D435" s="10" t="n">
        <v>6226.47</v>
      </c>
      <c r="E435" s="10" t="n">
        <v>2395</v>
      </c>
      <c r="F435" s="10" t="n"/>
      <c r="G435" s="10">
        <f>IF(COUNT(D435:F435)=0,"",MIN(D435:F435))</f>
        <v/>
      </c>
      <c r="H435" s="10">
        <f>IF(COUNT(D435:F435)=0,"",MEDIAN(D435:F435))</f>
        <v/>
      </c>
      <c r="I435" s="10">
        <f>IF(COUNT(D435:F435)=0,"",MAX(D435:F435))</f>
        <v/>
      </c>
      <c r="J435" s="11">
        <f>IF(OR(G435="",G435=0),"",(I435-G435)/G435)</f>
        <v/>
      </c>
      <c r="K435" s="4">
        <f>IF(COUNT(D435:F435)=0,"",INDEX($D$1:$F$1,MATCH(MIN(D435:F435),D435:F435,0)))</f>
        <v/>
      </c>
      <c r="L435" s="10" t="n">
        <v>2439</v>
      </c>
      <c r="M435" s="12" t="n">
        <v>2</v>
      </c>
    </row>
    <row r="436">
      <c r="A436" s="4" t="inlineStr">
        <is>
          <t>MAT-27-018</t>
        </is>
      </c>
      <c r="B436" s="5" t="inlineStr">
        <is>
          <t>Juego de accesorios de baño</t>
        </is>
      </c>
      <c r="C436" s="4" t="inlineStr">
        <is>
          <t>juego</t>
        </is>
      </c>
      <c r="D436" s="10" t="n">
        <v>345.39</v>
      </c>
      <c r="E436" s="10" t="n"/>
      <c r="F436" s="10" t="n"/>
      <c r="G436" s="10">
        <f>IF(COUNT(D436:F436)=0,"",MIN(D436:F436))</f>
        <v/>
      </c>
      <c r="H436" s="10">
        <f>IF(COUNT(D436:F436)=0,"",MEDIAN(D436:F436))</f>
        <v/>
      </c>
      <c r="I436" s="10">
        <f>IF(COUNT(D436:F436)=0,"",MAX(D436:F436))</f>
        <v/>
      </c>
      <c r="J436" s="11">
        <f>IF(OR(G436="",G436=0),"",(I436-G436)/G436)</f>
        <v/>
      </c>
      <c r="K436" s="4">
        <f>IF(COUNT(D436:F436)=0,"",INDEX($D$1:$F$1,MATCH(MIN(D436:F436),D436:F436,0)))</f>
        <v/>
      </c>
      <c r="L436" s="10" t="n">
        <v>2522.8</v>
      </c>
      <c r="M436" s="12" t="n">
        <v>1</v>
      </c>
    </row>
    <row r="437">
      <c r="A437" s="4" t="inlineStr">
        <is>
          <t>MAT-27-019</t>
        </is>
      </c>
      <c r="B437" s="5" t="inlineStr">
        <is>
          <t>Juego de accesorios de baño, 3 piezas</t>
        </is>
      </c>
      <c r="C437" s="4" t="inlineStr">
        <is>
          <t>juego</t>
        </is>
      </c>
      <c r="D437" s="10" t="n">
        <v>1081.92</v>
      </c>
      <c r="E437" s="10" t="n"/>
      <c r="F437" s="10" t="n"/>
      <c r="G437" s="10">
        <f>IF(COUNT(D437:F437)=0,"",MIN(D437:F437))</f>
        <v/>
      </c>
      <c r="H437" s="10">
        <f>IF(COUNT(D437:F437)=0,"",MEDIAN(D437:F437))</f>
        <v/>
      </c>
      <c r="I437" s="10">
        <f>IF(COUNT(D437:F437)=0,"",MAX(D437:F437))</f>
        <v/>
      </c>
      <c r="J437" s="11">
        <f>IF(OR(G437="",G437=0),"",(I437-G437)/G437)</f>
        <v/>
      </c>
      <c r="K437" s="4">
        <f>IF(COUNT(D437:F437)=0,"",INDEX($D$1:$F$1,MATCH(MIN(D437:F437),D437:F437,0)))</f>
        <v/>
      </c>
      <c r="L437" s="10" t="n">
        <v>1673.59</v>
      </c>
      <c r="M437" s="12" t="n">
        <v>1</v>
      </c>
    </row>
    <row r="438">
      <c r="A438" s="4" t="inlineStr">
        <is>
          <t>MAT-27-020</t>
        </is>
      </c>
      <c r="B438" s="5" t="inlineStr">
        <is>
          <t>Juego de accesorios de baño, 4 piezas</t>
        </is>
      </c>
      <c r="C438" s="4" t="inlineStr">
        <is>
          <t>juego</t>
        </is>
      </c>
      <c r="D438" s="10" t="n">
        <v>1605.2</v>
      </c>
      <c r="E438" s="10" t="n">
        <v>2790</v>
      </c>
      <c r="F438" s="10" t="n"/>
      <c r="G438" s="10">
        <f>IF(COUNT(D438:F438)=0,"",MIN(D438:F438))</f>
        <v/>
      </c>
      <c r="H438" s="10">
        <f>IF(COUNT(D438:F438)=0,"",MEDIAN(D438:F438))</f>
        <v/>
      </c>
      <c r="I438" s="10">
        <f>IF(COUNT(D438:F438)=0,"",MAX(D438:F438))</f>
        <v/>
      </c>
      <c r="J438" s="11">
        <f>IF(OR(G438="",G438=0),"",(I438-G438)/G438)</f>
        <v/>
      </c>
      <c r="K438" s="4">
        <f>IF(COUNT(D438:F438)=0,"",INDEX($D$1:$F$1,MATCH(MIN(D438:F438),D438:F438,0)))</f>
        <v/>
      </c>
      <c r="L438" s="10" t="n">
        <v>2927.39</v>
      </c>
      <c r="M438" s="12" t="n">
        <v>2</v>
      </c>
    </row>
    <row r="439">
      <c r="A439" s="4" t="inlineStr">
        <is>
          <t>MAT-27-021</t>
        </is>
      </c>
      <c r="B439" s="5" t="inlineStr">
        <is>
          <t>Juego de accesorios de baño, 5 piezas</t>
        </is>
      </c>
      <c r="C439" s="4" t="inlineStr">
        <is>
          <t>juego</t>
        </is>
      </c>
      <c r="D439" s="10" t="n">
        <v>940.91</v>
      </c>
      <c r="E439" s="10" t="n">
        <v>394</v>
      </c>
      <c r="F439" s="10" t="n"/>
      <c r="G439" s="10">
        <f>IF(COUNT(D439:F439)=0,"",MIN(D439:F439))</f>
        <v/>
      </c>
      <c r="H439" s="10">
        <f>IF(COUNT(D439:F439)=0,"",MEDIAN(D439:F439))</f>
        <v/>
      </c>
      <c r="I439" s="10">
        <f>IF(COUNT(D439:F439)=0,"",MAX(D439:F439))</f>
        <v/>
      </c>
      <c r="J439" s="11">
        <f>IF(OR(G439="",G439=0),"",(I439-G439)/G439)</f>
        <v/>
      </c>
      <c r="K439" s="4">
        <f>IF(COUNT(D439:F439)=0,"",INDEX($D$1:$F$1,MATCH(MIN(D439:F439),D439:F439,0)))</f>
        <v/>
      </c>
      <c r="L439" s="10" t="n">
        <v>940.91</v>
      </c>
      <c r="M439" s="12" t="n">
        <v>2</v>
      </c>
    </row>
    <row r="440">
      <c r="A440" s="4" t="inlineStr">
        <is>
          <t>MAT-27-022</t>
        </is>
      </c>
      <c r="B440" s="5" t="inlineStr">
        <is>
          <t>Juego de accesorios de baño, 6 piezas</t>
        </is>
      </c>
      <c r="C440" s="4" t="inlineStr">
        <is>
          <t>juego</t>
        </is>
      </c>
      <c r="D440" s="10" t="n">
        <v>1342.61</v>
      </c>
      <c r="E440" s="10" t="n">
        <v>1545</v>
      </c>
      <c r="F440" s="10" t="n"/>
      <c r="G440" s="10">
        <f>IF(COUNT(D440:F440)=0,"",MIN(D440:F440))</f>
        <v/>
      </c>
      <c r="H440" s="10">
        <f>IF(COUNT(D440:F440)=0,"",MEDIAN(D440:F440))</f>
        <v/>
      </c>
      <c r="I440" s="10">
        <f>IF(COUNT(D440:F440)=0,"",MAX(D440:F440))</f>
        <v/>
      </c>
      <c r="J440" s="11">
        <f>IF(OR(G440="",G440=0),"",(I440-G440)/G440)</f>
        <v/>
      </c>
      <c r="K440" s="4">
        <f>IF(COUNT(D440:F440)=0,"",INDEX($D$1:$F$1,MATCH(MIN(D440:F440),D440:F440,0)))</f>
        <v/>
      </c>
      <c r="L440" s="10" t="n">
        <v>3070.44</v>
      </c>
      <c r="M440" s="12" t="n">
        <v>2</v>
      </c>
    </row>
    <row r="441">
      <c r="A441" s="4" t="inlineStr">
        <is>
          <t>MAT-27-023</t>
        </is>
      </c>
      <c r="B441" s="5" t="inlineStr">
        <is>
          <t>Secador de manos</t>
        </is>
      </c>
      <c r="C441" s="4" t="inlineStr">
        <is>
          <t>unidad</t>
        </is>
      </c>
      <c r="D441" s="10" t="n">
        <v>27487.14</v>
      </c>
      <c r="E441" s="10" t="n">
        <v>3335</v>
      </c>
      <c r="F441" s="10" t="n"/>
      <c r="G441" s="10">
        <f>IF(COUNT(D441:F441)=0,"",MIN(D441:F441))</f>
        <v/>
      </c>
      <c r="H441" s="10">
        <f>IF(COUNT(D441:F441)=0,"",MEDIAN(D441:F441))</f>
        <v/>
      </c>
      <c r="I441" s="10">
        <f>IF(COUNT(D441:F441)=0,"",MAX(D441:F441))</f>
        <v/>
      </c>
      <c r="J441" s="11">
        <f>IF(OR(G441="",G441=0),"",(I441-G441)/G441)</f>
        <v/>
      </c>
      <c r="K441" s="4">
        <f>IF(COUNT(D441:F441)=0,"",INDEX($D$1:$F$1,MATCH(MIN(D441:F441),D441:F441,0)))</f>
        <v/>
      </c>
      <c r="L441" s="10" t="n">
        <v>3600</v>
      </c>
      <c r="M441" s="12" t="n">
        <v>2</v>
      </c>
    </row>
    <row r="442">
      <c r="A442" s="4" t="inlineStr">
        <is>
          <t>MAT-27-024</t>
        </is>
      </c>
      <c r="B442" s="5" t="inlineStr">
        <is>
          <t>Secador de manos, de botón</t>
        </is>
      </c>
      <c r="C442" s="4" t="inlineStr">
        <is>
          <t>unidad</t>
        </is>
      </c>
      <c r="D442" s="10" t="n">
        <v>16368.74</v>
      </c>
      <c r="E442" s="10" t="n"/>
      <c r="F442" s="10" t="n"/>
      <c r="G442" s="10">
        <f>IF(COUNT(D442:F442)=0,"",MIN(D442:F442))</f>
        <v/>
      </c>
      <c r="H442" s="10">
        <f>IF(COUNT(D442:F442)=0,"",MEDIAN(D442:F442))</f>
        <v/>
      </c>
      <c r="I442" s="10">
        <f>IF(COUNT(D442:F442)=0,"",MAX(D442:F442))</f>
        <v/>
      </c>
      <c r="J442" s="11">
        <f>IF(OR(G442="",G442=0),"",(I442-G442)/G442)</f>
        <v/>
      </c>
      <c r="K442" s="4">
        <f>IF(COUNT(D442:F442)=0,"",INDEX($D$1:$F$1,MATCH(MIN(D442:F442),D442:F442,0)))</f>
        <v/>
      </c>
      <c r="L442" s="10" t="n">
        <v>16368.74</v>
      </c>
      <c r="M442" s="12" t="n">
        <v>1</v>
      </c>
    </row>
    <row r="443">
      <c r="A443" s="4" t="inlineStr">
        <is>
          <t>MAT-27-025</t>
        </is>
      </c>
      <c r="B443" s="5" t="inlineStr">
        <is>
          <t>Secador de manos, con sensor</t>
        </is>
      </c>
      <c r="C443" s="4" t="inlineStr">
        <is>
          <t>unidad</t>
        </is>
      </c>
      <c r="D443" s="10" t="n">
        <v>18390.47</v>
      </c>
      <c r="E443" s="10" t="n">
        <v>12495</v>
      </c>
      <c r="F443" s="10" t="n"/>
      <c r="G443" s="10">
        <f>IF(COUNT(D443:F443)=0,"",MIN(D443:F443))</f>
        <v/>
      </c>
      <c r="H443" s="10">
        <f>IF(COUNT(D443:F443)=0,"",MEDIAN(D443:F443))</f>
        <v/>
      </c>
      <c r="I443" s="10">
        <f>IF(COUNT(D443:F443)=0,"",MAX(D443:F443))</f>
        <v/>
      </c>
      <c r="J443" s="11">
        <f>IF(OR(G443="",G443=0),"",(I443-G443)/G443)</f>
        <v/>
      </c>
      <c r="K443" s="4">
        <f>IF(COUNT(D443:F443)=0,"",INDEX($D$1:$F$1,MATCH(MIN(D443:F443),D443:F443,0)))</f>
        <v/>
      </c>
      <c r="L443" s="10" t="n">
        <v>18390.47</v>
      </c>
      <c r="M443" s="12" t="n">
        <v>2</v>
      </c>
    </row>
    <row r="444">
      <c r="A444" s="4" t="inlineStr">
        <is>
          <t>MAT-27-026</t>
        </is>
      </c>
      <c r="B444" s="5" t="inlineStr">
        <is>
          <t>Dispensador de jabón</t>
        </is>
      </c>
      <c r="C444" s="4" t="inlineStr">
        <is>
          <t>unidad</t>
        </is>
      </c>
      <c r="D444" s="10" t="n">
        <v>14903.09</v>
      </c>
      <c r="E444" s="10" t="n">
        <v>156</v>
      </c>
      <c r="F444" s="10" t="n"/>
      <c r="G444" s="10">
        <f>IF(COUNT(D444:F444)=0,"",MIN(D444:F444))</f>
        <v/>
      </c>
      <c r="H444" s="10">
        <f>IF(COUNT(D444:F444)=0,"",MEDIAN(D444:F444))</f>
        <v/>
      </c>
      <c r="I444" s="10">
        <f>IF(COUNT(D444:F444)=0,"",MAX(D444:F444))</f>
        <v/>
      </c>
      <c r="J444" s="11">
        <f>IF(OR(G444="",G444=0),"",(I444-G444)/G444)</f>
        <v/>
      </c>
      <c r="K444" s="4">
        <f>IF(COUNT(D444:F444)=0,"",INDEX($D$1:$F$1,MATCH(MIN(D444:F444),D444:F444,0)))</f>
        <v/>
      </c>
      <c r="L444" s="10" t="n">
        <v>715</v>
      </c>
      <c r="M444" s="12" t="n">
        <v>2</v>
      </c>
    </row>
    <row r="445">
      <c r="A445" s="4" t="inlineStr">
        <is>
          <t>MAT-27-027</t>
        </is>
      </c>
      <c r="B445" s="5" t="inlineStr">
        <is>
          <t>Dispensador de papel, de papel higiénico</t>
        </is>
      </c>
      <c r="C445" s="4" t="inlineStr">
        <is>
          <t>unidad</t>
        </is>
      </c>
      <c r="D445" s="10" t="n"/>
      <c r="E445" s="10" t="n">
        <v>485</v>
      </c>
      <c r="F445" s="10" t="n"/>
      <c r="G445" s="10">
        <f>IF(COUNT(D445:F445)=0,"",MIN(D445:F445))</f>
        <v/>
      </c>
      <c r="H445" s="10">
        <f>IF(COUNT(D445:F445)=0,"",MEDIAN(D445:F445))</f>
        <v/>
      </c>
      <c r="I445" s="10">
        <f>IF(COUNT(D445:F445)=0,"",MAX(D445:F445))</f>
        <v/>
      </c>
      <c r="J445" s="11">
        <f>IF(OR(G445="",G445=0),"",(I445-G445)/G445)</f>
        <v/>
      </c>
      <c r="K445" s="4">
        <f>IF(COUNT(D445:F445)=0,"",INDEX($D$1:$F$1,MATCH(MIN(D445:F445),D445:F445,0)))</f>
        <v/>
      </c>
      <c r="L445" s="10" t="n">
        <v>897.5</v>
      </c>
      <c r="M445" s="12" t="n">
        <v>1</v>
      </c>
    </row>
    <row r="446">
      <c r="A446" s="4" t="inlineStr">
        <is>
          <t>MAT-27-028</t>
        </is>
      </c>
      <c r="B446" s="5" t="inlineStr">
        <is>
          <t>Dispensador de papel, de toalla</t>
        </is>
      </c>
      <c r="C446" s="4" t="inlineStr">
        <is>
          <t>unidad</t>
        </is>
      </c>
      <c r="D446" s="10" t="n">
        <v>4472.06</v>
      </c>
      <c r="E446" s="10" t="n">
        <v>274</v>
      </c>
      <c r="F446" s="10" t="n"/>
      <c r="G446" s="10">
        <f>IF(COUNT(D446:F446)=0,"",MIN(D446:F446))</f>
        <v/>
      </c>
      <c r="H446" s="10">
        <f>IF(COUNT(D446:F446)=0,"",MEDIAN(D446:F446))</f>
        <v/>
      </c>
      <c r="I446" s="10">
        <f>IF(COUNT(D446:F446)=0,"",MAX(D446:F446))</f>
        <v/>
      </c>
      <c r="J446" s="11">
        <f>IF(OR(G446="",G446=0),"",(I446-G446)/G446)</f>
        <v/>
      </c>
      <c r="K446" s="4">
        <f>IF(COUNT(D446:F446)=0,"",INDEX($D$1:$F$1,MATCH(MIN(D446:F446),D446:F446,0)))</f>
        <v/>
      </c>
      <c r="L446" s="10" t="n">
        <v>2645</v>
      </c>
      <c r="M446" s="12" t="n">
        <v>2</v>
      </c>
    </row>
    <row r="447">
      <c r="A447" s="4" t="inlineStr">
        <is>
          <t>MAT-27-029</t>
        </is>
      </c>
      <c r="B447" s="5" t="inlineStr">
        <is>
          <t>Cambiador de bebés de pared</t>
        </is>
      </c>
      <c r="C447" s="4" t="inlineStr">
        <is>
          <t>unidad</t>
        </is>
      </c>
      <c r="D447" s="10" t="n"/>
      <c r="E447" s="10" t="n">
        <v>8705</v>
      </c>
      <c r="F447" s="10" t="n"/>
      <c r="G447" s="10">
        <f>IF(COUNT(D447:F447)=0,"",MIN(D447:F447))</f>
        <v/>
      </c>
      <c r="H447" s="10">
        <f>IF(COUNT(D447:F447)=0,"",MEDIAN(D447:F447))</f>
        <v/>
      </c>
      <c r="I447" s="10">
        <f>IF(COUNT(D447:F447)=0,"",MAX(D447:F447))</f>
        <v/>
      </c>
      <c r="J447" s="11">
        <f>IF(OR(G447="",G447=0),"",(I447-G447)/G447)</f>
        <v/>
      </c>
      <c r="K447" s="4">
        <f>IF(COUNT(D447:F447)=0,"",INDEX($D$1:$F$1,MATCH(MIN(D447:F447),D447:F447,0)))</f>
        <v/>
      </c>
      <c r="L447" s="10" t="n">
        <v>8705</v>
      </c>
      <c r="M447" s="12" t="n">
        <v>1</v>
      </c>
    </row>
    <row r="448">
      <c r="A448" s="4" t="inlineStr">
        <is>
          <t>MAT-28-001</t>
        </is>
      </c>
      <c r="B448" s="5" t="inlineStr">
        <is>
          <t>Kit de alarma</t>
        </is>
      </c>
      <c r="C448" s="4" t="inlineStr">
        <is>
          <t>juego</t>
        </is>
      </c>
      <c r="D448" s="10" t="n">
        <v>7107.67</v>
      </c>
      <c r="E448" s="10" t="n"/>
      <c r="F448" s="10" t="n"/>
      <c r="G448" s="10">
        <f>IF(COUNT(D448:F448)=0,"",MIN(D448:F448))</f>
        <v/>
      </c>
      <c r="H448" s="10">
        <f>IF(COUNT(D448:F448)=0,"",MEDIAN(D448:F448))</f>
        <v/>
      </c>
      <c r="I448" s="10">
        <f>IF(COUNT(D448:F448)=0,"",MAX(D448:F448))</f>
        <v/>
      </c>
      <c r="J448" s="11">
        <f>IF(OR(G448="",G448=0),"",(I448-G448)/G448)</f>
        <v/>
      </c>
      <c r="K448" s="4">
        <f>IF(COUNT(D448:F448)=0,"",INDEX($D$1:$F$1,MATCH(MIN(D448:F448),D448:F448,0)))</f>
        <v/>
      </c>
      <c r="L448" s="10" t="n">
        <v>7107.67</v>
      </c>
      <c r="M448" s="12" t="n">
        <v>1</v>
      </c>
    </row>
    <row r="449">
      <c r="A449" s="4" t="inlineStr">
        <is>
          <t>MAT-28-002</t>
        </is>
      </c>
      <c r="B449" s="5" t="inlineStr">
        <is>
          <t>Panel de alarma</t>
        </is>
      </c>
      <c r="C449" s="4" t="inlineStr">
        <is>
          <t>unidad</t>
        </is>
      </c>
      <c r="D449" s="10" t="n">
        <v>3536.16</v>
      </c>
      <c r="E449" s="10" t="n"/>
      <c r="F449" s="10" t="n"/>
      <c r="G449" s="10">
        <f>IF(COUNT(D449:F449)=0,"",MIN(D449:F449))</f>
        <v/>
      </c>
      <c r="H449" s="10">
        <f>IF(COUNT(D449:F449)=0,"",MEDIAN(D449:F449))</f>
        <v/>
      </c>
      <c r="I449" s="10">
        <f>IF(COUNT(D449:F449)=0,"",MAX(D449:F449))</f>
        <v/>
      </c>
      <c r="J449" s="11">
        <f>IF(OR(G449="",G449=0),"",(I449-G449)/G449)</f>
        <v/>
      </c>
      <c r="K449" s="4">
        <f>IF(COUNT(D449:F449)=0,"",INDEX($D$1:$F$1,MATCH(MIN(D449:F449),D449:F449,0)))</f>
        <v/>
      </c>
      <c r="L449" s="10" t="n">
        <v>15771.4</v>
      </c>
      <c r="M449" s="12" t="n">
        <v>1</v>
      </c>
    </row>
    <row r="450">
      <c r="A450" s="4" t="inlineStr">
        <is>
          <t>MAT-28-003</t>
        </is>
      </c>
      <c r="B450" s="5" t="inlineStr">
        <is>
          <t>Panel de alarma 28 zonas</t>
        </is>
      </c>
      <c r="C450" s="4" t="inlineStr">
        <is>
          <t>unidad</t>
        </is>
      </c>
      <c r="D450" s="10" t="n">
        <v>7194.58</v>
      </c>
      <c r="E450" s="10" t="n"/>
      <c r="F450" s="10" t="n"/>
      <c r="G450" s="10">
        <f>IF(COUNT(D450:F450)=0,"",MIN(D450:F450))</f>
        <v/>
      </c>
      <c r="H450" s="10">
        <f>IF(COUNT(D450:F450)=0,"",MEDIAN(D450:F450))</f>
        <v/>
      </c>
      <c r="I450" s="10">
        <f>IF(COUNT(D450:F450)=0,"",MAX(D450:F450))</f>
        <v/>
      </c>
      <c r="J450" s="11">
        <f>IF(OR(G450="",G450=0),"",(I450-G450)/G450)</f>
        <v/>
      </c>
      <c r="K450" s="4">
        <f>IF(COUNT(D450:F450)=0,"",INDEX($D$1:$F$1,MATCH(MIN(D450:F450),D450:F450,0)))</f>
        <v/>
      </c>
      <c r="L450" s="10" t="n">
        <v>7194.58</v>
      </c>
      <c r="M450" s="12" t="n">
        <v>1</v>
      </c>
    </row>
    <row r="451">
      <c r="A451" s="4" t="inlineStr">
        <is>
          <t>MAT-28-004</t>
        </is>
      </c>
      <c r="B451" s="5" t="inlineStr">
        <is>
          <t>Panel de alarma 320 zonas</t>
        </is>
      </c>
      <c r="C451" s="4" t="inlineStr">
        <is>
          <t>unidad</t>
        </is>
      </c>
      <c r="D451" s="10" t="n">
        <v>13889.31</v>
      </c>
      <c r="E451" s="10" t="n"/>
      <c r="F451" s="10" t="n"/>
      <c r="G451" s="10">
        <f>IF(COUNT(D451:F451)=0,"",MIN(D451:F451))</f>
        <v/>
      </c>
      <c r="H451" s="10">
        <f>IF(COUNT(D451:F451)=0,"",MEDIAN(D451:F451))</f>
        <v/>
      </c>
      <c r="I451" s="10">
        <f>IF(COUNT(D451:F451)=0,"",MAX(D451:F451))</f>
        <v/>
      </c>
      <c r="J451" s="11">
        <f>IF(OR(G451="",G451=0),"",(I451-G451)/G451)</f>
        <v/>
      </c>
      <c r="K451" s="4">
        <f>IF(COUNT(D451:F451)=0,"",INDEX($D$1:$F$1,MATCH(MIN(D451:F451),D451:F451,0)))</f>
        <v/>
      </c>
      <c r="L451" s="10" t="n">
        <v>16552.7</v>
      </c>
      <c r="M451" s="12" t="n">
        <v>1</v>
      </c>
    </row>
    <row r="452">
      <c r="A452" s="4" t="inlineStr">
        <is>
          <t>MAT-28-005</t>
        </is>
      </c>
      <c r="B452" s="5" t="inlineStr">
        <is>
          <t>Panel de alarma 4 zonas</t>
        </is>
      </c>
      <c r="C452" s="4" t="inlineStr">
        <is>
          <t>unidad</t>
        </is>
      </c>
      <c r="D452" s="10" t="n">
        <v>18682.71</v>
      </c>
      <c r="E452" s="10" t="n"/>
      <c r="F452" s="10" t="n"/>
      <c r="G452" s="10">
        <f>IF(COUNT(D452:F452)=0,"",MIN(D452:F452))</f>
        <v/>
      </c>
      <c r="H452" s="10">
        <f>IF(COUNT(D452:F452)=0,"",MEDIAN(D452:F452))</f>
        <v/>
      </c>
      <c r="I452" s="10">
        <f>IF(COUNT(D452:F452)=0,"",MAX(D452:F452))</f>
        <v/>
      </c>
      <c r="J452" s="11">
        <f>IF(OR(G452="",G452=0),"",(I452-G452)/G452)</f>
        <v/>
      </c>
      <c r="K452" s="4">
        <f>IF(COUNT(D452:F452)=0,"",INDEX($D$1:$F$1,MATCH(MIN(D452:F452),D452:F452,0)))</f>
        <v/>
      </c>
      <c r="L452" s="10" t="n">
        <v>18682.71</v>
      </c>
      <c r="M452" s="12" t="n">
        <v>1</v>
      </c>
    </row>
    <row r="453">
      <c r="A453" s="4" t="inlineStr">
        <is>
          <t>MAT-28-006</t>
        </is>
      </c>
      <c r="B453" s="5" t="inlineStr">
        <is>
          <t>Panel de alarma 48 zonas</t>
        </is>
      </c>
      <c r="C453" s="4" t="inlineStr">
        <is>
          <t>unidad</t>
        </is>
      </c>
      <c r="D453" s="10" t="n">
        <v>8277.66</v>
      </c>
      <c r="E453" s="10" t="n"/>
      <c r="F453" s="10" t="n"/>
      <c r="G453" s="10">
        <f>IF(COUNT(D453:F453)=0,"",MIN(D453:F453))</f>
        <v/>
      </c>
      <c r="H453" s="10">
        <f>IF(COUNT(D453:F453)=0,"",MEDIAN(D453:F453))</f>
        <v/>
      </c>
      <c r="I453" s="10">
        <f>IF(COUNT(D453:F453)=0,"",MAX(D453:F453))</f>
        <v/>
      </c>
      <c r="J453" s="11">
        <f>IF(OR(G453="",G453=0),"",(I453-G453)/G453)</f>
        <v/>
      </c>
      <c r="K453" s="4">
        <f>IF(COUNT(D453:F453)=0,"",INDEX($D$1:$F$1,MATCH(MIN(D453:F453),D453:F453,0)))</f>
        <v/>
      </c>
      <c r="L453" s="10" t="n">
        <v>8277.66</v>
      </c>
      <c r="M453" s="12" t="n">
        <v>1</v>
      </c>
    </row>
    <row r="454">
      <c r="A454" s="4" t="inlineStr">
        <is>
          <t>MAT-28-007</t>
        </is>
      </c>
      <c r="B454" s="5" t="inlineStr">
        <is>
          <t>Panel de alarma 8 zonas</t>
        </is>
      </c>
      <c r="C454" s="4" t="inlineStr">
        <is>
          <t>unidad</t>
        </is>
      </c>
      <c r="D454" s="10" t="n">
        <v>11668.57</v>
      </c>
      <c r="E454" s="10" t="n"/>
      <c r="F454" s="10" t="n"/>
      <c r="G454" s="10">
        <f>IF(COUNT(D454:F454)=0,"",MIN(D454:F454))</f>
        <v/>
      </c>
      <c r="H454" s="10">
        <f>IF(COUNT(D454:F454)=0,"",MEDIAN(D454:F454))</f>
        <v/>
      </c>
      <c r="I454" s="10">
        <f>IF(COUNT(D454:F454)=0,"",MAX(D454:F454))</f>
        <v/>
      </c>
      <c r="J454" s="11">
        <f>IF(OR(G454="",G454=0),"",(I454-G454)/G454)</f>
        <v/>
      </c>
      <c r="K454" s="4">
        <f>IF(COUNT(D454:F454)=0,"",INDEX($D$1:$F$1,MATCH(MIN(D454:F454),D454:F454,0)))</f>
        <v/>
      </c>
      <c r="L454" s="10" t="n">
        <v>11668.57</v>
      </c>
      <c r="M454" s="12" t="n">
        <v>1</v>
      </c>
    </row>
    <row r="455">
      <c r="A455" s="4" t="inlineStr">
        <is>
          <t>MAT-28-008</t>
        </is>
      </c>
      <c r="B455" s="5" t="inlineStr">
        <is>
          <t>Teclado para alarma</t>
        </is>
      </c>
      <c r="C455" s="4" t="inlineStr">
        <is>
          <t>unidad</t>
        </is>
      </c>
      <c r="D455" s="10" t="n">
        <v>3449.44</v>
      </c>
      <c r="E455" s="10" t="n"/>
      <c r="F455" s="10" t="n"/>
      <c r="G455" s="10">
        <f>IF(COUNT(D455:F455)=0,"",MIN(D455:F455))</f>
        <v/>
      </c>
      <c r="H455" s="10">
        <f>IF(COUNT(D455:F455)=0,"",MEDIAN(D455:F455))</f>
        <v/>
      </c>
      <c r="I455" s="10">
        <f>IF(COUNT(D455:F455)=0,"",MAX(D455:F455))</f>
        <v/>
      </c>
      <c r="J455" s="11">
        <f>IF(OR(G455="",G455=0),"",(I455-G455)/G455)</f>
        <v/>
      </c>
      <c r="K455" s="4">
        <f>IF(COUNT(D455:F455)=0,"",INDEX($D$1:$F$1,MATCH(MIN(D455:F455),D455:F455,0)))</f>
        <v/>
      </c>
      <c r="L455" s="10" t="n">
        <v>6879.53</v>
      </c>
      <c r="M455" s="12" t="n">
        <v>1</v>
      </c>
    </row>
    <row r="456">
      <c r="A456" s="4" t="inlineStr">
        <is>
          <t>MAT-28-009</t>
        </is>
      </c>
      <c r="B456" s="5" t="inlineStr">
        <is>
          <t>Detector de movimiento</t>
        </is>
      </c>
      <c r="C456" s="4" t="inlineStr">
        <is>
          <t>unidad</t>
        </is>
      </c>
      <c r="D456" s="10" t="n">
        <v>266.05</v>
      </c>
      <c r="E456" s="10" t="n"/>
      <c r="F456" s="10" t="n"/>
      <c r="G456" s="10">
        <f>IF(COUNT(D456:F456)=0,"",MIN(D456:F456))</f>
        <v/>
      </c>
      <c r="H456" s="10">
        <f>IF(COUNT(D456:F456)=0,"",MEDIAN(D456:F456))</f>
        <v/>
      </c>
      <c r="I456" s="10">
        <f>IF(COUNT(D456:F456)=0,"",MAX(D456:F456))</f>
        <v/>
      </c>
      <c r="J456" s="11">
        <f>IF(OR(G456="",G456=0),"",(I456-G456)/G456)</f>
        <v/>
      </c>
      <c r="K456" s="4">
        <f>IF(COUNT(D456:F456)=0,"",INDEX($D$1:$F$1,MATCH(MIN(D456:F456),D456:F456,0)))</f>
        <v/>
      </c>
      <c r="L456" s="10" t="n">
        <v>1486.93</v>
      </c>
      <c r="M456" s="12" t="n">
        <v>1</v>
      </c>
    </row>
    <row r="457">
      <c r="A457" s="4" t="inlineStr">
        <is>
          <t>MAT-28-010</t>
        </is>
      </c>
      <c r="B457" s="5" t="inlineStr">
        <is>
          <t>Detector de movimiento alcance 10 m</t>
        </is>
      </c>
      <c r="C457" s="4" t="inlineStr">
        <is>
          <t>unidad</t>
        </is>
      </c>
      <c r="D457" s="10" t="n">
        <v>7135.36</v>
      </c>
      <c r="E457" s="10" t="n"/>
      <c r="F457" s="10" t="n"/>
      <c r="G457" s="10">
        <f>IF(COUNT(D457:F457)=0,"",MIN(D457:F457))</f>
        <v/>
      </c>
      <c r="H457" s="10">
        <f>IF(COUNT(D457:F457)=0,"",MEDIAN(D457:F457))</f>
        <v/>
      </c>
      <c r="I457" s="10">
        <f>IF(COUNT(D457:F457)=0,"",MAX(D457:F457))</f>
        <v/>
      </c>
      <c r="J457" s="11">
        <f>IF(OR(G457="",G457=0),"",(I457-G457)/G457)</f>
        <v/>
      </c>
      <c r="K457" s="4">
        <f>IF(COUNT(D457:F457)=0,"",INDEX($D$1:$F$1,MATCH(MIN(D457:F457),D457:F457,0)))</f>
        <v/>
      </c>
      <c r="L457" s="10" t="n">
        <v>7135.36</v>
      </c>
      <c r="M457" s="12" t="n">
        <v>1</v>
      </c>
    </row>
    <row r="458">
      <c r="A458" s="4" t="inlineStr">
        <is>
          <t>MAT-28-011</t>
        </is>
      </c>
      <c r="B458" s="5" t="inlineStr">
        <is>
          <t>Detector de movimiento alcance 11 m</t>
        </is>
      </c>
      <c r="C458" s="4" t="inlineStr">
        <is>
          <t>unidad</t>
        </is>
      </c>
      <c r="D458" s="10" t="n">
        <v>5567.22</v>
      </c>
      <c r="E458" s="10" t="n"/>
      <c r="F458" s="10" t="n"/>
      <c r="G458" s="10">
        <f>IF(COUNT(D458:F458)=0,"",MIN(D458:F458))</f>
        <v/>
      </c>
      <c r="H458" s="10">
        <f>IF(COUNT(D458:F458)=0,"",MEDIAN(D458:F458))</f>
        <v/>
      </c>
      <c r="I458" s="10">
        <f>IF(COUNT(D458:F458)=0,"",MAX(D458:F458))</f>
        <v/>
      </c>
      <c r="J458" s="11">
        <f>IF(OR(G458="",G458=0),"",(I458-G458)/G458)</f>
        <v/>
      </c>
      <c r="K458" s="4">
        <f>IF(COUNT(D458:F458)=0,"",INDEX($D$1:$F$1,MATCH(MIN(D458:F458),D458:F458,0)))</f>
        <v/>
      </c>
      <c r="L458" s="10" t="n">
        <v>5567.22</v>
      </c>
      <c r="M458" s="12" t="n">
        <v>1</v>
      </c>
    </row>
    <row r="459">
      <c r="A459" s="4" t="inlineStr">
        <is>
          <t>MAT-28-012</t>
        </is>
      </c>
      <c r="B459" s="5" t="inlineStr">
        <is>
          <t>Detector de movimiento alcance 12 m</t>
        </is>
      </c>
      <c r="C459" s="4" t="inlineStr">
        <is>
          <t>unidad</t>
        </is>
      </c>
      <c r="D459" s="10" t="n">
        <v>820.3</v>
      </c>
      <c r="E459" s="10" t="n"/>
      <c r="F459" s="10" t="n"/>
      <c r="G459" s="10">
        <f>IF(COUNT(D459:F459)=0,"",MIN(D459:F459))</f>
        <v/>
      </c>
      <c r="H459" s="10">
        <f>IF(COUNT(D459:F459)=0,"",MEDIAN(D459:F459))</f>
        <v/>
      </c>
      <c r="I459" s="10">
        <f>IF(COUNT(D459:F459)=0,"",MAX(D459:F459))</f>
        <v/>
      </c>
      <c r="J459" s="11">
        <f>IF(OR(G459="",G459=0),"",(I459-G459)/G459)</f>
        <v/>
      </c>
      <c r="K459" s="4">
        <f>IF(COUNT(D459:F459)=0,"",INDEX($D$1:$F$1,MATCH(MIN(D459:F459),D459:F459,0)))</f>
        <v/>
      </c>
      <c r="L459" s="10" t="n">
        <v>2831.47</v>
      </c>
      <c r="M459" s="12" t="n">
        <v>1</v>
      </c>
    </row>
    <row r="460">
      <c r="A460" s="4" t="inlineStr">
        <is>
          <t>MAT-28-013</t>
        </is>
      </c>
      <c r="B460" s="5" t="inlineStr">
        <is>
          <t>Detector de movimiento alcance 15 m</t>
        </is>
      </c>
      <c r="C460" s="4" t="inlineStr">
        <is>
          <t>unidad</t>
        </is>
      </c>
      <c r="D460" s="10" t="n">
        <v>2675.69</v>
      </c>
      <c r="E460" s="10" t="n"/>
      <c r="F460" s="10" t="n"/>
      <c r="G460" s="10">
        <f>IF(COUNT(D460:F460)=0,"",MIN(D460:F460))</f>
        <v/>
      </c>
      <c r="H460" s="10">
        <f>IF(COUNT(D460:F460)=0,"",MEDIAN(D460:F460))</f>
        <v/>
      </c>
      <c r="I460" s="10">
        <f>IF(COUNT(D460:F460)=0,"",MAX(D460:F460))</f>
        <v/>
      </c>
      <c r="J460" s="11">
        <f>IF(OR(G460="",G460=0),"",(I460-G460)/G460)</f>
        <v/>
      </c>
      <c r="K460" s="4">
        <f>IF(COUNT(D460:F460)=0,"",INDEX($D$1:$F$1,MATCH(MIN(D460:F460),D460:F460,0)))</f>
        <v/>
      </c>
      <c r="L460" s="10" t="n">
        <v>2675.69</v>
      </c>
      <c r="M460" s="12" t="n">
        <v>1</v>
      </c>
    </row>
    <row r="461">
      <c r="A461" s="4" t="inlineStr">
        <is>
          <t>MAT-28-014</t>
        </is>
      </c>
      <c r="B461" s="5" t="inlineStr">
        <is>
          <t>Detector de movimiento alcance 16 m</t>
        </is>
      </c>
      <c r="C461" s="4" t="inlineStr">
        <is>
          <t>unidad</t>
        </is>
      </c>
      <c r="D461" s="10" t="n">
        <v>2944.96</v>
      </c>
      <c r="E461" s="10" t="n"/>
      <c r="F461" s="10" t="n"/>
      <c r="G461" s="10">
        <f>IF(COUNT(D461:F461)=0,"",MIN(D461:F461))</f>
        <v/>
      </c>
      <c r="H461" s="10">
        <f>IF(COUNT(D461:F461)=0,"",MEDIAN(D461:F461))</f>
        <v/>
      </c>
      <c r="I461" s="10">
        <f>IF(COUNT(D461:F461)=0,"",MAX(D461:F461))</f>
        <v/>
      </c>
      <c r="J461" s="11">
        <f>IF(OR(G461="",G461=0),"",(I461-G461)/G461)</f>
        <v/>
      </c>
      <c r="K461" s="4">
        <f>IF(COUNT(D461:F461)=0,"",INDEX($D$1:$F$1,MATCH(MIN(D461:F461),D461:F461,0)))</f>
        <v/>
      </c>
      <c r="L461" s="10" t="n">
        <v>2944.96</v>
      </c>
      <c r="M461" s="12" t="n">
        <v>1</v>
      </c>
    </row>
    <row r="462">
      <c r="A462" s="4" t="inlineStr">
        <is>
          <t>MAT-28-015</t>
        </is>
      </c>
      <c r="B462" s="5" t="inlineStr">
        <is>
          <t>Contacto magnético para puerta o ventana</t>
        </is>
      </c>
      <c r="C462" s="4" t="inlineStr">
        <is>
          <t>unidad</t>
        </is>
      </c>
      <c r="D462" s="10" t="n">
        <v>506.24</v>
      </c>
      <c r="E462" s="10" t="n"/>
      <c r="F462" s="10" t="n"/>
      <c r="G462" s="10">
        <f>IF(COUNT(D462:F462)=0,"",MIN(D462:F462))</f>
        <v/>
      </c>
      <c r="H462" s="10">
        <f>IF(COUNT(D462:F462)=0,"",MEDIAN(D462:F462))</f>
        <v/>
      </c>
      <c r="I462" s="10">
        <f>IF(COUNT(D462:F462)=0,"",MAX(D462:F462))</f>
        <v/>
      </c>
      <c r="J462" s="11">
        <f>IF(OR(G462="",G462=0),"",(I462-G462)/G462)</f>
        <v/>
      </c>
      <c r="K462" s="4">
        <f>IF(COUNT(D462:F462)=0,"",INDEX($D$1:$F$1,MATCH(MIN(D462:F462),D462:F462,0)))</f>
        <v/>
      </c>
      <c r="L462" s="10" t="n">
        <v>1673.26</v>
      </c>
      <c r="M462" s="12" t="n">
        <v>1</v>
      </c>
    </row>
    <row r="463">
      <c r="A463" s="4" t="inlineStr">
        <is>
          <t>MAT-28-016</t>
        </is>
      </c>
      <c r="B463" s="5" t="inlineStr">
        <is>
          <t>Sirena de alarma</t>
        </is>
      </c>
      <c r="C463" s="4" t="inlineStr">
        <is>
          <t>unidad</t>
        </is>
      </c>
      <c r="D463" s="10" t="n">
        <v>713.99</v>
      </c>
      <c r="E463" s="10" t="n"/>
      <c r="F463" s="10" t="n"/>
      <c r="G463" s="10">
        <f>IF(COUNT(D463:F463)=0,"",MIN(D463:F463))</f>
        <v/>
      </c>
      <c r="H463" s="10">
        <f>IF(COUNT(D463:F463)=0,"",MEDIAN(D463:F463))</f>
        <v/>
      </c>
      <c r="I463" s="10">
        <f>IF(COUNT(D463:F463)=0,"",MAX(D463:F463))</f>
        <v/>
      </c>
      <c r="J463" s="11">
        <f>IF(OR(G463="",G463=0),"",(I463-G463)/G463)</f>
        <v/>
      </c>
      <c r="K463" s="4">
        <f>IF(COUNT(D463:F463)=0,"",INDEX($D$1:$F$1,MATCH(MIN(D463:F463),D463:F463,0)))</f>
        <v/>
      </c>
      <c r="L463" s="10" t="n">
        <v>12406.5</v>
      </c>
      <c r="M463" s="12" t="n">
        <v>1</v>
      </c>
    </row>
    <row r="464">
      <c r="A464" s="4" t="inlineStr">
        <is>
          <t>MAT-28-017</t>
        </is>
      </c>
      <c r="B464" s="5" t="inlineStr">
        <is>
          <t>Sirena de alarma de exterior</t>
        </is>
      </c>
      <c r="C464" s="4" t="inlineStr">
        <is>
          <t>unidad</t>
        </is>
      </c>
      <c r="D464" s="10" t="n">
        <v>5053.69</v>
      </c>
      <c r="E464" s="10" t="n"/>
      <c r="F464" s="10" t="n"/>
      <c r="G464" s="10">
        <f>IF(COUNT(D464:F464)=0,"",MIN(D464:F464))</f>
        <v/>
      </c>
      <c r="H464" s="10">
        <f>IF(COUNT(D464:F464)=0,"",MEDIAN(D464:F464))</f>
        <v/>
      </c>
      <c r="I464" s="10">
        <f>IF(COUNT(D464:F464)=0,"",MAX(D464:F464))</f>
        <v/>
      </c>
      <c r="J464" s="11">
        <f>IF(OR(G464="",G464=0),"",(I464-G464)/G464)</f>
        <v/>
      </c>
      <c r="K464" s="4">
        <f>IF(COUNT(D464:F464)=0,"",INDEX($D$1:$F$1,MATCH(MIN(D464:F464),D464:F464,0)))</f>
        <v/>
      </c>
      <c r="L464" s="10" t="n">
        <v>5053.69</v>
      </c>
      <c r="M464" s="12" t="n">
        <v>1</v>
      </c>
    </row>
    <row r="465">
      <c r="A465" s="4" t="inlineStr">
        <is>
          <t>MAT-28-018</t>
        </is>
      </c>
      <c r="B465" s="5" t="inlineStr">
        <is>
          <t>Sirena de alarma de interior</t>
        </is>
      </c>
      <c r="C465" s="4" t="inlineStr">
        <is>
          <t>unidad</t>
        </is>
      </c>
      <c r="D465" s="10" t="n">
        <v>3381.4</v>
      </c>
      <c r="E465" s="10" t="n"/>
      <c r="F465" s="10" t="n"/>
      <c r="G465" s="10">
        <f>IF(COUNT(D465:F465)=0,"",MIN(D465:F465))</f>
        <v/>
      </c>
      <c r="H465" s="10">
        <f>IF(COUNT(D465:F465)=0,"",MEDIAN(D465:F465))</f>
        <v/>
      </c>
      <c r="I465" s="10">
        <f>IF(COUNT(D465:F465)=0,"",MAX(D465:F465))</f>
        <v/>
      </c>
      <c r="J465" s="11">
        <f>IF(OR(G465="",G465=0),"",(I465-G465)/G465)</f>
        <v/>
      </c>
      <c r="K465" s="4">
        <f>IF(COUNT(D465:F465)=0,"",INDEX($D$1:$F$1,MATCH(MIN(D465:F465),D465:F465,0)))</f>
        <v/>
      </c>
      <c r="L465" s="10" t="n">
        <v>3381.4</v>
      </c>
      <c r="M465" s="12" t="n">
        <v>1</v>
      </c>
    </row>
    <row r="466">
      <c r="A466" s="4" t="inlineStr">
        <is>
          <t>MAT-28-019</t>
        </is>
      </c>
      <c r="B466" s="5" t="inlineStr">
        <is>
          <t>Control de acceso</t>
        </is>
      </c>
      <c r="C466" s="4" t="inlineStr">
        <is>
          <t>unidad</t>
        </is>
      </c>
      <c r="D466" s="10" t="n">
        <v>5063.11</v>
      </c>
      <c r="E466" s="10" t="n"/>
      <c r="F466" s="10" t="n"/>
      <c r="G466" s="10">
        <f>IF(COUNT(D466:F466)=0,"",MIN(D466:F466))</f>
        <v/>
      </c>
      <c r="H466" s="10">
        <f>IF(COUNT(D466:F466)=0,"",MEDIAN(D466:F466))</f>
        <v/>
      </c>
      <c r="I466" s="10">
        <f>IF(COUNT(D466:F466)=0,"",MAX(D466:F466))</f>
        <v/>
      </c>
      <c r="J466" s="11">
        <f>IF(OR(G466="",G466=0),"",(I466-G466)/G466)</f>
        <v/>
      </c>
      <c r="K466" s="4">
        <f>IF(COUNT(D466:F466)=0,"",INDEX($D$1:$F$1,MATCH(MIN(D466:F466),D466:F466,0)))</f>
        <v/>
      </c>
      <c r="L466" s="10" t="n">
        <v>14529.44</v>
      </c>
      <c r="M466" s="12" t="n">
        <v>1</v>
      </c>
    </row>
    <row r="467">
      <c r="A467" s="4" t="inlineStr">
        <is>
          <t>MAT-28-020</t>
        </is>
      </c>
      <c r="B467" s="5" t="inlineStr">
        <is>
          <t>Control de acceso huella</t>
        </is>
      </c>
      <c r="C467" s="4" t="inlineStr">
        <is>
          <t>unidad</t>
        </is>
      </c>
      <c r="D467" s="10" t="n">
        <v>10930.42</v>
      </c>
      <c r="E467" s="10" t="n"/>
      <c r="F467" s="10" t="n"/>
      <c r="G467" s="10">
        <f>IF(COUNT(D467:F467)=0,"",MIN(D467:F467))</f>
        <v/>
      </c>
      <c r="H467" s="10">
        <f>IF(COUNT(D467:F467)=0,"",MEDIAN(D467:F467))</f>
        <v/>
      </c>
      <c r="I467" s="10">
        <f>IF(COUNT(D467:F467)=0,"",MAX(D467:F467))</f>
        <v/>
      </c>
      <c r="J467" s="11">
        <f>IF(OR(G467="",G467=0),"",(I467-G467)/G467)</f>
        <v/>
      </c>
      <c r="K467" s="4">
        <f>IF(COUNT(D467:F467)=0,"",INDEX($D$1:$F$1,MATCH(MIN(D467:F467),D467:F467,0)))</f>
        <v/>
      </c>
      <c r="L467" s="10" t="n">
        <v>16289.94</v>
      </c>
      <c r="M467" s="12" t="n">
        <v>1</v>
      </c>
    </row>
    <row r="468">
      <c r="A468" s="4" t="inlineStr">
        <is>
          <t>MAT-28-021</t>
        </is>
      </c>
      <c r="B468" s="5" t="inlineStr">
        <is>
          <t>Control de acceso proximidad</t>
        </is>
      </c>
      <c r="C468" s="4" t="inlineStr">
        <is>
          <t>unidad</t>
        </is>
      </c>
      <c r="D468" s="10" t="n">
        <v>8365.110000000001</v>
      </c>
      <c r="E468" s="10" t="n"/>
      <c r="F468" s="10" t="n"/>
      <c r="G468" s="10">
        <f>IF(COUNT(D468:F468)=0,"",MIN(D468:F468))</f>
        <v/>
      </c>
      <c r="H468" s="10">
        <f>IF(COUNT(D468:F468)=0,"",MEDIAN(D468:F468))</f>
        <v/>
      </c>
      <c r="I468" s="10">
        <f>IF(COUNT(D468:F468)=0,"",MAX(D468:F468))</f>
        <v/>
      </c>
      <c r="J468" s="11">
        <f>IF(OR(G468="",G468=0),"",(I468-G468)/G468)</f>
        <v/>
      </c>
      <c r="K468" s="4">
        <f>IF(COUNT(D468:F468)=0,"",INDEX($D$1:$F$1,MATCH(MIN(D468:F468),D468:F468,0)))</f>
        <v/>
      </c>
      <c r="L468" s="10" t="n">
        <v>9465.780000000001</v>
      </c>
      <c r="M468" s="12" t="n">
        <v>1</v>
      </c>
    </row>
    <row r="469">
      <c r="A469" s="4" t="inlineStr">
        <is>
          <t>MAT-28-022</t>
        </is>
      </c>
      <c r="B469" s="5" t="inlineStr">
        <is>
          <t>Control de acceso teclado</t>
        </is>
      </c>
      <c r="C469" s="4" t="inlineStr">
        <is>
          <t>unidad</t>
        </is>
      </c>
      <c r="D469" s="10" t="n">
        <v>12767.79</v>
      </c>
      <c r="E469" s="10" t="n"/>
      <c r="F469" s="10" t="n"/>
      <c r="G469" s="10">
        <f>IF(COUNT(D469:F469)=0,"",MIN(D469:F469))</f>
        <v/>
      </c>
      <c r="H469" s="10">
        <f>IF(COUNT(D469:F469)=0,"",MEDIAN(D469:F469))</f>
        <v/>
      </c>
      <c r="I469" s="10">
        <f>IF(COUNT(D469:F469)=0,"",MAX(D469:F469))</f>
        <v/>
      </c>
      <c r="J469" s="11">
        <f>IF(OR(G469="",G469=0),"",(I469-G469)/G469)</f>
        <v/>
      </c>
      <c r="K469" s="4">
        <f>IF(COUNT(D469:F469)=0,"",INDEX($D$1:$F$1,MATCH(MIN(D469:F469),D469:F469,0)))</f>
        <v/>
      </c>
      <c r="L469" s="10" t="n">
        <v>12767.79</v>
      </c>
      <c r="M469" s="12" t="n">
        <v>1</v>
      </c>
    </row>
    <row r="470">
      <c r="A470" s="4" t="inlineStr">
        <is>
          <t>MAT-28-023</t>
        </is>
      </c>
      <c r="B470" s="5" t="inlineStr">
        <is>
          <t>Equipo de cerco eléctrico</t>
        </is>
      </c>
      <c r="C470" s="4" t="inlineStr">
        <is>
          <t>unidad</t>
        </is>
      </c>
      <c r="D470" s="10" t="n">
        <v>10.19</v>
      </c>
      <c r="E470" s="10" t="n"/>
      <c r="F470" s="10" t="n"/>
      <c r="G470" s="10">
        <f>IF(COUNT(D470:F470)=0,"",MIN(D470:F470))</f>
        <v/>
      </c>
      <c r="H470" s="10">
        <f>IF(COUNT(D470:F470)=0,"",MEDIAN(D470:F470))</f>
        <v/>
      </c>
      <c r="I470" s="10">
        <f>IF(COUNT(D470:F470)=0,"",MAX(D470:F470))</f>
        <v/>
      </c>
      <c r="J470" s="11">
        <f>IF(OR(G470="",G470=0),"",(I470-G470)/G470)</f>
        <v/>
      </c>
      <c r="K470" s="4">
        <f>IF(COUNT(D470:F470)=0,"",INDEX($D$1:$F$1,MATCH(MIN(D470:F470),D470:F470,0)))</f>
        <v/>
      </c>
      <c r="L470" s="10" t="n">
        <v>1207.19</v>
      </c>
      <c r="M470" s="12" t="n">
        <v>1</v>
      </c>
    </row>
    <row r="471">
      <c r="A471" s="4" t="inlineStr">
        <is>
          <t>MAT-28-024</t>
        </is>
      </c>
      <c r="B471" s="5" t="inlineStr">
        <is>
          <t>Accesorio de sistema de alarma</t>
        </is>
      </c>
      <c r="C471" s="4" t="inlineStr">
        <is>
          <t>unidad</t>
        </is>
      </c>
      <c r="D471" s="10" t="n">
        <v>146.83</v>
      </c>
      <c r="E471" s="10" t="n"/>
      <c r="F471" s="10" t="n"/>
      <c r="G471" s="10">
        <f>IF(COUNT(D471:F471)=0,"",MIN(D471:F471))</f>
        <v/>
      </c>
      <c r="H471" s="10">
        <f>IF(COUNT(D471:F471)=0,"",MEDIAN(D471:F471))</f>
        <v/>
      </c>
      <c r="I471" s="10">
        <f>IF(COUNT(D471:F471)=0,"",MAX(D471:F471))</f>
        <v/>
      </c>
      <c r="J471" s="11">
        <f>IF(OR(G471="",G471=0),"",(I471-G471)/G471)</f>
        <v/>
      </c>
      <c r="K471" s="4">
        <f>IF(COUNT(D471:F471)=0,"",INDEX($D$1:$F$1,MATCH(MIN(D471:F471),D471:F471,0)))</f>
        <v/>
      </c>
      <c r="L471" s="10" t="n">
        <v>1838.69</v>
      </c>
      <c r="M471" s="12" t="n">
        <v>1</v>
      </c>
    </row>
    <row r="472">
      <c r="A472" s="4" t="inlineStr">
        <is>
          <t>MAT-29-003</t>
        </is>
      </c>
      <c r="B472" s="5" t="inlineStr">
        <is>
          <t>Detector para sistema de incendio de calor</t>
        </is>
      </c>
      <c r="C472" s="4" t="inlineStr">
        <is>
          <t>unidad</t>
        </is>
      </c>
      <c r="D472" s="10" t="n">
        <v>1508.54</v>
      </c>
      <c r="E472" s="10" t="n"/>
      <c r="F472" s="10" t="n"/>
      <c r="G472" s="10">
        <f>IF(COUNT(D472:F472)=0,"",MIN(D472:F472))</f>
        <v/>
      </c>
      <c r="H472" s="10">
        <f>IF(COUNT(D472:F472)=0,"",MEDIAN(D472:F472))</f>
        <v/>
      </c>
      <c r="I472" s="10">
        <f>IF(COUNT(D472:F472)=0,"",MAX(D472:F472))</f>
        <v/>
      </c>
      <c r="J472" s="11">
        <f>IF(OR(G472="",G472=0),"",(I472-G472)/G472)</f>
        <v/>
      </c>
      <c r="K472" s="4">
        <f>IF(COUNT(D472:F472)=0,"",INDEX($D$1:$F$1,MATCH(MIN(D472:F472),D472:F472,0)))</f>
        <v/>
      </c>
      <c r="L472" s="10" t="n">
        <v>1780.89</v>
      </c>
      <c r="M472" s="12" t="n">
        <v>1</v>
      </c>
    </row>
    <row r="473">
      <c r="A473" s="4" t="inlineStr">
        <is>
          <t>MAT-29-004</t>
        </is>
      </c>
      <c r="B473" s="5" t="inlineStr">
        <is>
          <t>Detector para sistema de incendio de humo</t>
        </is>
      </c>
      <c r="C473" s="4" t="inlineStr">
        <is>
          <t>unidad</t>
        </is>
      </c>
      <c r="D473" s="10" t="n">
        <v>1934.03</v>
      </c>
      <c r="E473" s="10" t="n"/>
      <c r="F473" s="10" t="n"/>
      <c r="G473" s="10">
        <f>IF(COUNT(D473:F473)=0,"",MIN(D473:F473))</f>
        <v/>
      </c>
      <c r="H473" s="10">
        <f>IF(COUNT(D473:F473)=0,"",MEDIAN(D473:F473))</f>
        <v/>
      </c>
      <c r="I473" s="10">
        <f>IF(COUNT(D473:F473)=0,"",MAX(D473:F473))</f>
        <v/>
      </c>
      <c r="J473" s="11">
        <f>IF(OR(G473="",G473=0),"",(I473-G473)/G473)</f>
        <v/>
      </c>
      <c r="K473" s="4">
        <f>IF(COUNT(D473:F473)=0,"",INDEX($D$1:$F$1,MATCH(MIN(D473:F473),D473:F473,0)))</f>
        <v/>
      </c>
      <c r="L473" s="10" t="n">
        <v>2135.37</v>
      </c>
      <c r="M473" s="12" t="n">
        <v>1</v>
      </c>
    </row>
    <row r="474">
      <c r="A474" s="4" t="inlineStr">
        <is>
          <t>MAT-29-005</t>
        </is>
      </c>
      <c r="B474" s="5" t="inlineStr">
        <is>
          <t>Detector para sistema de incendio de humo y calor</t>
        </is>
      </c>
      <c r="C474" s="4" t="inlineStr">
        <is>
          <t>unidad</t>
        </is>
      </c>
      <c r="D474" s="10" t="n">
        <v>1657.72</v>
      </c>
      <c r="E474" s="10" t="n"/>
      <c r="F474" s="10" t="n"/>
      <c r="G474" s="10">
        <f>IF(COUNT(D474:F474)=0,"",MIN(D474:F474))</f>
        <v/>
      </c>
      <c r="H474" s="10">
        <f>IF(COUNT(D474:F474)=0,"",MEDIAN(D474:F474))</f>
        <v/>
      </c>
      <c r="I474" s="10">
        <f>IF(COUNT(D474:F474)=0,"",MAX(D474:F474))</f>
        <v/>
      </c>
      <c r="J474" s="11">
        <f>IF(OR(G474="",G474=0),"",(I474-G474)/G474)</f>
        <v/>
      </c>
      <c r="K474" s="4">
        <f>IF(COUNT(D474:F474)=0,"",INDEX($D$1:$F$1,MATCH(MIN(D474:F474),D474:F474,0)))</f>
        <v/>
      </c>
      <c r="L474" s="10" t="n">
        <v>1657.72</v>
      </c>
      <c r="M474" s="12" t="n">
        <v>1</v>
      </c>
    </row>
    <row r="475">
      <c r="A475" s="4" t="inlineStr">
        <is>
          <t>MAT-29-006</t>
        </is>
      </c>
      <c r="B475" s="5" t="inlineStr">
        <is>
          <t>Estación manual de incendio</t>
        </is>
      </c>
      <c r="C475" s="4" t="inlineStr">
        <is>
          <t>unidad</t>
        </is>
      </c>
      <c r="D475" s="10" t="n">
        <v>870.3</v>
      </c>
      <c r="E475" s="10" t="n"/>
      <c r="F475" s="10" t="n"/>
      <c r="G475" s="10">
        <f>IF(COUNT(D475:F475)=0,"",MIN(D475:F475))</f>
        <v/>
      </c>
      <c r="H475" s="10">
        <f>IF(COUNT(D475:F475)=0,"",MEDIAN(D475:F475))</f>
        <v/>
      </c>
      <c r="I475" s="10">
        <f>IF(COUNT(D475:F475)=0,"",MAX(D475:F475))</f>
        <v/>
      </c>
      <c r="J475" s="11">
        <f>IF(OR(G475="",G475=0),"",(I475-G475)/G475)</f>
        <v/>
      </c>
      <c r="K475" s="4">
        <f>IF(COUNT(D475:F475)=0,"",INDEX($D$1:$F$1,MATCH(MIN(D475:F475),D475:F475,0)))</f>
        <v/>
      </c>
      <c r="L475" s="10" t="n">
        <v>2358.36</v>
      </c>
      <c r="M475" s="12" t="n">
        <v>1</v>
      </c>
    </row>
    <row r="476">
      <c r="A476" s="4" t="inlineStr">
        <is>
          <t>MAT-29-007</t>
        </is>
      </c>
      <c r="B476" s="5" t="inlineStr">
        <is>
          <t>Sirena o estrobo de incendio</t>
        </is>
      </c>
      <c r="C476" s="4" t="inlineStr">
        <is>
          <t>unidad</t>
        </is>
      </c>
      <c r="D476" s="10" t="n">
        <v>3502.55</v>
      </c>
      <c r="E476" s="10" t="n"/>
      <c r="F476" s="10" t="n"/>
      <c r="G476" s="10">
        <f>IF(COUNT(D476:F476)=0,"",MIN(D476:F476))</f>
        <v/>
      </c>
      <c r="H476" s="10">
        <f>IF(COUNT(D476:F476)=0,"",MEDIAN(D476:F476))</f>
        <v/>
      </c>
      <c r="I476" s="10">
        <f>IF(COUNT(D476:F476)=0,"",MAX(D476:F476))</f>
        <v/>
      </c>
      <c r="J476" s="11">
        <f>IF(OR(G476="",G476=0),"",(I476-G476)/G476)</f>
        <v/>
      </c>
      <c r="K476" s="4">
        <f>IF(COUNT(D476:F476)=0,"",INDEX($D$1:$F$1,MATCH(MIN(D476:F476),D476:F476,0)))</f>
        <v/>
      </c>
      <c r="L476" s="10" t="n">
        <v>3502.55</v>
      </c>
      <c r="M476" s="12" t="n">
        <v>1</v>
      </c>
    </row>
    <row r="477">
      <c r="A477" s="4" t="inlineStr">
        <is>
          <t>MAT-29-008</t>
        </is>
      </c>
      <c r="B477" s="5" t="inlineStr">
        <is>
          <t>Accesorio de sistema de incendio</t>
        </is>
      </c>
      <c r="C477" s="4" t="inlineStr">
        <is>
          <t>unidad</t>
        </is>
      </c>
      <c r="D477" s="10" t="n">
        <v>232.07</v>
      </c>
      <c r="E477" s="10" t="n"/>
      <c r="F477" s="10" t="n"/>
      <c r="G477" s="10">
        <f>IF(COUNT(D477:F477)=0,"",MIN(D477:F477))</f>
        <v/>
      </c>
      <c r="H477" s="10">
        <f>IF(COUNT(D477:F477)=0,"",MEDIAN(D477:F477))</f>
        <v/>
      </c>
      <c r="I477" s="10">
        <f>IF(COUNT(D477:F477)=0,"",MAX(D477:F477))</f>
        <v/>
      </c>
      <c r="J477" s="11">
        <f>IF(OR(G477="",G477=0),"",(I477-G477)/G477)</f>
        <v/>
      </c>
      <c r="K477" s="4">
        <f>IF(COUNT(D477:F477)=0,"",INDEX($D$1:$F$1,MATCH(MIN(D477:F477),D477:F477,0)))</f>
        <v/>
      </c>
      <c r="L477" s="10" t="n">
        <v>270.76</v>
      </c>
      <c r="M477" s="12" t="n">
        <v>1</v>
      </c>
    </row>
    <row r="478">
      <c r="A478" s="4" t="inlineStr">
        <is>
          <t>MAT-30-002</t>
        </is>
      </c>
      <c r="B478" s="5" t="inlineStr">
        <is>
          <t>Cable de red</t>
        </is>
      </c>
      <c r="C478" s="4" t="inlineStr">
        <is>
          <t>rollo</t>
        </is>
      </c>
      <c r="D478" s="10" t="n">
        <v>5.11</v>
      </c>
      <c r="E478" s="10" t="n"/>
      <c r="F478" s="10" t="n"/>
      <c r="G478" s="10">
        <f>IF(COUNT(D478:F478)=0,"",MIN(D478:F478))</f>
        <v/>
      </c>
      <c r="H478" s="10">
        <f>IF(COUNT(D478:F478)=0,"",MEDIAN(D478:F478))</f>
        <v/>
      </c>
      <c r="I478" s="10">
        <f>IF(COUNT(D478:F478)=0,"",MAX(D478:F478))</f>
        <v/>
      </c>
      <c r="J478" s="11">
        <f>IF(OR(G478="",G478=0),"",(I478-G478)/G478)</f>
        <v/>
      </c>
      <c r="K478" s="4">
        <f>IF(COUNT(D478:F478)=0,"",INDEX($D$1:$F$1,MATCH(MIN(D478:F478),D478:F478,0)))</f>
        <v/>
      </c>
      <c r="L478" s="10" t="n">
        <v>437</v>
      </c>
      <c r="M478" s="12" t="n">
        <v>1</v>
      </c>
    </row>
    <row r="479">
      <c r="A479" s="4" t="inlineStr">
        <is>
          <t>MAT-30-003</t>
        </is>
      </c>
      <c r="B479" s="5" t="inlineStr">
        <is>
          <t>Cable de red blindado</t>
        </is>
      </c>
      <c r="C479" s="4" t="inlineStr">
        <is>
          <t>rollo</t>
        </is>
      </c>
      <c r="D479" s="10" t="n">
        <v>1675.6</v>
      </c>
      <c r="E479" s="10" t="n"/>
      <c r="F479" s="10" t="n"/>
      <c r="G479" s="10">
        <f>IF(COUNT(D479:F479)=0,"",MIN(D479:F479))</f>
        <v/>
      </c>
      <c r="H479" s="10">
        <f>IF(COUNT(D479:F479)=0,"",MEDIAN(D479:F479))</f>
        <v/>
      </c>
      <c r="I479" s="10">
        <f>IF(COUNT(D479:F479)=0,"",MAX(D479:F479))</f>
        <v/>
      </c>
      <c r="J479" s="11">
        <f>IF(OR(G479="",G479=0),"",(I479-G479)/G479)</f>
        <v/>
      </c>
      <c r="K479" s="4">
        <f>IF(COUNT(D479:F479)=0,"",INDEX($D$1:$F$1,MATCH(MIN(D479:F479),D479:F479,0)))</f>
        <v/>
      </c>
      <c r="L479" s="10" t="n">
        <v>1675.6</v>
      </c>
      <c r="M479" s="12" t="n">
        <v>1</v>
      </c>
    </row>
    <row r="480">
      <c r="A480" s="4" t="inlineStr">
        <is>
          <t>MAT-30-004</t>
        </is>
      </c>
      <c r="B480" s="5" t="inlineStr">
        <is>
          <t>Cable de red Cat 5</t>
        </is>
      </c>
      <c r="C480" s="4" t="inlineStr">
        <is>
          <t>rollo</t>
        </is>
      </c>
      <c r="D480" s="10" t="n">
        <v>72.59999999999999</v>
      </c>
      <c r="E480" s="10" t="n"/>
      <c r="F480" s="10" t="n"/>
      <c r="G480" s="10">
        <f>IF(COUNT(D480:F480)=0,"",MIN(D480:F480))</f>
        <v/>
      </c>
      <c r="H480" s="10">
        <f>IF(COUNT(D480:F480)=0,"",MEDIAN(D480:F480))</f>
        <v/>
      </c>
      <c r="I480" s="10">
        <f>IF(COUNT(D480:F480)=0,"",MAX(D480:F480))</f>
        <v/>
      </c>
      <c r="J480" s="11">
        <f>IF(OR(G480="",G480=0),"",(I480-G480)/G480)</f>
        <v/>
      </c>
      <c r="K480" s="4">
        <f>IF(COUNT(D480:F480)=0,"",INDEX($D$1:$F$1,MATCH(MIN(D480:F480),D480:F480,0)))</f>
        <v/>
      </c>
      <c r="L480" s="10" t="n">
        <v>106.6</v>
      </c>
      <c r="M480" s="12" t="n">
        <v>1</v>
      </c>
    </row>
    <row r="481">
      <c r="A481" s="4" t="inlineStr">
        <is>
          <t>MAT-30-005</t>
        </is>
      </c>
      <c r="B481" s="5" t="inlineStr">
        <is>
          <t>Cable de red Cat 5 blindado</t>
        </is>
      </c>
      <c r="C481" s="4" t="inlineStr">
        <is>
          <t>rollo</t>
        </is>
      </c>
      <c r="D481" s="10" t="n">
        <v>813.6</v>
      </c>
      <c r="E481" s="10" t="n"/>
      <c r="F481" s="10" t="n"/>
      <c r="G481" s="10">
        <f>IF(COUNT(D481:F481)=0,"",MIN(D481:F481))</f>
        <v/>
      </c>
      <c r="H481" s="10">
        <f>IF(COUNT(D481:F481)=0,"",MEDIAN(D481:F481))</f>
        <v/>
      </c>
      <c r="I481" s="10">
        <f>IF(COUNT(D481:F481)=0,"",MAX(D481:F481))</f>
        <v/>
      </c>
      <c r="J481" s="11">
        <f>IF(OR(G481="",G481=0),"",(I481-G481)/G481)</f>
        <v/>
      </c>
      <c r="K481" s="4">
        <f>IF(COUNT(D481:F481)=0,"",INDEX($D$1:$F$1,MATCH(MIN(D481:F481),D481:F481,0)))</f>
        <v/>
      </c>
      <c r="L481" s="10" t="n">
        <v>813.6</v>
      </c>
      <c r="M481" s="12" t="n">
        <v>1</v>
      </c>
    </row>
    <row r="482">
      <c r="A482" s="4" t="inlineStr">
        <is>
          <t>MAT-30-006</t>
        </is>
      </c>
      <c r="B482" s="5" t="inlineStr">
        <is>
          <t>Cable de red Cat 6</t>
        </is>
      </c>
      <c r="C482" s="4" t="inlineStr">
        <is>
          <t>rollo</t>
        </is>
      </c>
      <c r="D482" s="10" t="n">
        <v>97.2</v>
      </c>
      <c r="E482" s="10" t="n"/>
      <c r="F482" s="10" t="n"/>
      <c r="G482" s="10">
        <f>IF(COUNT(D482:F482)=0,"",MIN(D482:F482))</f>
        <v/>
      </c>
      <c r="H482" s="10">
        <f>IF(COUNT(D482:F482)=0,"",MEDIAN(D482:F482))</f>
        <v/>
      </c>
      <c r="I482" s="10">
        <f>IF(COUNT(D482:F482)=0,"",MAX(D482:F482))</f>
        <v/>
      </c>
      <c r="J482" s="11">
        <f>IF(OR(G482="",G482=0),"",(I482-G482)/G482)</f>
        <v/>
      </c>
      <c r="K482" s="4">
        <f>IF(COUNT(D482:F482)=0,"",INDEX($D$1:$F$1,MATCH(MIN(D482:F482),D482:F482,0)))</f>
        <v/>
      </c>
      <c r="L482" s="10" t="n">
        <v>242.2</v>
      </c>
      <c r="M482" s="12" t="n">
        <v>1</v>
      </c>
    </row>
    <row r="483">
      <c r="A483" s="4" t="inlineStr">
        <is>
          <t>MAT-30-007</t>
        </is>
      </c>
      <c r="B483" s="5" t="inlineStr">
        <is>
          <t>Cable de red Cat 6A</t>
        </is>
      </c>
      <c r="C483" s="4" t="inlineStr">
        <is>
          <t>rollo</t>
        </is>
      </c>
      <c r="D483" s="10" t="n">
        <v>215.59</v>
      </c>
      <c r="E483" s="10" t="n"/>
      <c r="F483" s="10" t="n"/>
      <c r="G483" s="10">
        <f>IF(COUNT(D483:F483)=0,"",MIN(D483:F483))</f>
        <v/>
      </c>
      <c r="H483" s="10">
        <f>IF(COUNT(D483:F483)=0,"",MEDIAN(D483:F483))</f>
        <v/>
      </c>
      <c r="I483" s="10">
        <f>IF(COUNT(D483:F483)=0,"",MAX(D483:F483))</f>
        <v/>
      </c>
      <c r="J483" s="11">
        <f>IF(OR(G483="",G483=0),"",(I483-G483)/G483)</f>
        <v/>
      </c>
      <c r="K483" s="4">
        <f>IF(COUNT(D483:F483)=0,"",INDEX($D$1:$F$1,MATCH(MIN(D483:F483),D483:F483,0)))</f>
        <v/>
      </c>
      <c r="L483" s="10" t="n">
        <v>466.67</v>
      </c>
      <c r="M483" s="12" t="n">
        <v>1</v>
      </c>
    </row>
    <row r="484">
      <c r="A484" s="4" t="inlineStr">
        <is>
          <t>MAT-30-008</t>
        </is>
      </c>
      <c r="B484" s="5" t="inlineStr">
        <is>
          <t>Jack RJ45</t>
        </is>
      </c>
      <c r="C484" s="4" t="inlineStr">
        <is>
          <t>unidad</t>
        </is>
      </c>
      <c r="D484" s="10" t="n">
        <v>1.31</v>
      </c>
      <c r="E484" s="10" t="n"/>
      <c r="F484" s="10" t="n"/>
      <c r="G484" s="10">
        <f>IF(COUNT(D484:F484)=0,"",MIN(D484:F484))</f>
        <v/>
      </c>
      <c r="H484" s="10">
        <f>IF(COUNT(D484:F484)=0,"",MEDIAN(D484:F484))</f>
        <v/>
      </c>
      <c r="I484" s="10">
        <f>IF(COUNT(D484:F484)=0,"",MAX(D484:F484))</f>
        <v/>
      </c>
      <c r="J484" s="11">
        <f>IF(OR(G484="",G484=0),"",(I484-G484)/G484)</f>
        <v/>
      </c>
      <c r="K484" s="4">
        <f>IF(COUNT(D484:F484)=0,"",INDEX($D$1:$F$1,MATCH(MIN(D484:F484),D484:F484,0)))</f>
        <v/>
      </c>
      <c r="L484" s="10" t="n">
        <v>83.73</v>
      </c>
      <c r="M484" s="12" t="n">
        <v>1</v>
      </c>
    </row>
    <row r="485">
      <c r="A485" s="4" t="inlineStr">
        <is>
          <t>MAT-30-009</t>
        </is>
      </c>
      <c r="B485" s="5" t="inlineStr">
        <is>
          <t>Jack RJ45 Cat 5</t>
        </is>
      </c>
      <c r="C485" s="4" t="inlineStr">
        <is>
          <t>unidad</t>
        </is>
      </c>
      <c r="D485" s="10" t="n">
        <v>106.97</v>
      </c>
      <c r="E485" s="10" t="n"/>
      <c r="F485" s="10" t="n"/>
      <c r="G485" s="10">
        <f>IF(COUNT(D485:F485)=0,"",MIN(D485:F485))</f>
        <v/>
      </c>
      <c r="H485" s="10">
        <f>IF(COUNT(D485:F485)=0,"",MEDIAN(D485:F485))</f>
        <v/>
      </c>
      <c r="I485" s="10">
        <f>IF(COUNT(D485:F485)=0,"",MAX(D485:F485))</f>
        <v/>
      </c>
      <c r="J485" s="11">
        <f>IF(OR(G485="",G485=0),"",(I485-G485)/G485)</f>
        <v/>
      </c>
      <c r="K485" s="4">
        <f>IF(COUNT(D485:F485)=0,"",INDEX($D$1:$F$1,MATCH(MIN(D485:F485),D485:F485,0)))</f>
        <v/>
      </c>
      <c r="L485" s="10" t="n">
        <v>106.97</v>
      </c>
      <c r="M485" s="12" t="n">
        <v>1</v>
      </c>
    </row>
    <row r="486">
      <c r="A486" s="4" t="inlineStr">
        <is>
          <t>MAT-30-010</t>
        </is>
      </c>
      <c r="B486" s="5" t="inlineStr">
        <is>
          <t>Jack RJ45 Cat 6</t>
        </is>
      </c>
      <c r="C486" s="4" t="inlineStr">
        <is>
          <t>unidad</t>
        </is>
      </c>
      <c r="D486" s="10" t="n">
        <v>189.16</v>
      </c>
      <c r="E486" s="10" t="n"/>
      <c r="F486" s="10" t="n"/>
      <c r="G486" s="10">
        <f>IF(COUNT(D486:F486)=0,"",MIN(D486:F486))</f>
        <v/>
      </c>
      <c r="H486" s="10">
        <f>IF(COUNT(D486:F486)=0,"",MEDIAN(D486:F486))</f>
        <v/>
      </c>
      <c r="I486" s="10">
        <f>IF(COUNT(D486:F486)=0,"",MAX(D486:F486))</f>
        <v/>
      </c>
      <c r="J486" s="11">
        <f>IF(OR(G486="",G486=0),"",(I486-G486)/G486)</f>
        <v/>
      </c>
      <c r="K486" s="4">
        <f>IF(COUNT(D486:F486)=0,"",INDEX($D$1:$F$1,MATCH(MIN(D486:F486),D486:F486,0)))</f>
        <v/>
      </c>
      <c r="L486" s="10" t="n">
        <v>254.97</v>
      </c>
      <c r="M486" s="12" t="n">
        <v>1</v>
      </c>
    </row>
    <row r="487">
      <c r="A487" s="4" t="inlineStr">
        <is>
          <t>MAT-30-011</t>
        </is>
      </c>
      <c r="B487" s="5" t="inlineStr">
        <is>
          <t>Jack RJ45 Cat 6A</t>
        </is>
      </c>
      <c r="C487" s="4" t="inlineStr">
        <is>
          <t>unidad</t>
        </is>
      </c>
      <c r="D487" s="10" t="n">
        <v>256.97</v>
      </c>
      <c r="E487" s="10" t="n"/>
      <c r="F487" s="10" t="n"/>
      <c r="G487" s="10">
        <f>IF(COUNT(D487:F487)=0,"",MIN(D487:F487))</f>
        <v/>
      </c>
      <c r="H487" s="10">
        <f>IF(COUNT(D487:F487)=0,"",MEDIAN(D487:F487))</f>
        <v/>
      </c>
      <c r="I487" s="10">
        <f>IF(COUNT(D487:F487)=0,"",MAX(D487:F487))</f>
        <v/>
      </c>
      <c r="J487" s="11">
        <f>IF(OR(G487="",G487=0),"",(I487-G487)/G487)</f>
        <v/>
      </c>
      <c r="K487" s="4">
        <f>IF(COUNT(D487:F487)=0,"",INDEX($D$1:$F$1,MATCH(MIN(D487:F487),D487:F487,0)))</f>
        <v/>
      </c>
      <c r="L487" s="10" t="n">
        <v>256.97</v>
      </c>
      <c r="M487" s="12" t="n">
        <v>1</v>
      </c>
    </row>
    <row r="488">
      <c r="A488" s="4" t="inlineStr">
        <is>
          <t>MAT-30-012</t>
        </is>
      </c>
      <c r="B488" s="5" t="inlineStr">
        <is>
          <t>Jack RJ45 Cat 6A blindado</t>
        </is>
      </c>
      <c r="C488" s="4" t="inlineStr">
        <is>
          <t>unidad</t>
        </is>
      </c>
      <c r="D488" s="10" t="n">
        <v>275.76</v>
      </c>
      <c r="E488" s="10" t="n"/>
      <c r="F488" s="10" t="n"/>
      <c r="G488" s="10">
        <f>IF(COUNT(D488:F488)=0,"",MIN(D488:F488))</f>
        <v/>
      </c>
      <c r="H488" s="10">
        <f>IF(COUNT(D488:F488)=0,"",MEDIAN(D488:F488))</f>
        <v/>
      </c>
      <c r="I488" s="10">
        <f>IF(COUNT(D488:F488)=0,"",MAX(D488:F488))</f>
        <v/>
      </c>
      <c r="J488" s="11">
        <f>IF(OR(G488="",G488=0),"",(I488-G488)/G488)</f>
        <v/>
      </c>
      <c r="K488" s="4">
        <f>IF(COUNT(D488:F488)=0,"",INDEX($D$1:$F$1,MATCH(MIN(D488:F488),D488:F488,0)))</f>
        <v/>
      </c>
      <c r="L488" s="10" t="n">
        <v>334.53</v>
      </c>
      <c r="M488" s="12" t="n">
        <v>1</v>
      </c>
    </row>
    <row r="489">
      <c r="A489" s="4" t="inlineStr">
        <is>
          <t>MAT-30-013</t>
        </is>
      </c>
      <c r="B489" s="5" t="inlineStr">
        <is>
          <t>Patch panel</t>
        </is>
      </c>
      <c r="C489" s="4" t="inlineStr">
        <is>
          <t>unidad</t>
        </is>
      </c>
      <c r="D489" s="10" t="n">
        <v>192.87</v>
      </c>
      <c r="E489" s="10" t="n"/>
      <c r="F489" s="10" t="n"/>
      <c r="G489" s="10">
        <f>IF(COUNT(D489:F489)=0,"",MIN(D489:F489))</f>
        <v/>
      </c>
      <c r="H489" s="10">
        <f>IF(COUNT(D489:F489)=0,"",MEDIAN(D489:F489))</f>
        <v/>
      </c>
      <c r="I489" s="10">
        <f>IF(COUNT(D489:F489)=0,"",MAX(D489:F489))</f>
        <v/>
      </c>
      <c r="J489" s="11">
        <f>IF(OR(G489="",G489=0),"",(I489-G489)/G489)</f>
        <v/>
      </c>
      <c r="K489" s="4">
        <f>IF(COUNT(D489:F489)=0,"",INDEX($D$1:$F$1,MATCH(MIN(D489:F489),D489:F489,0)))</f>
        <v/>
      </c>
      <c r="L489" s="10" t="n">
        <v>1305.12</v>
      </c>
      <c r="M489" s="12" t="n">
        <v>1</v>
      </c>
    </row>
    <row r="490">
      <c r="A490" s="4" t="inlineStr">
        <is>
          <t>MAT-30-014</t>
        </is>
      </c>
      <c r="B490" s="5" t="inlineStr">
        <is>
          <t>Patch panel 24 puertos</t>
        </is>
      </c>
      <c r="C490" s="4" t="inlineStr">
        <is>
          <t>unidad</t>
        </is>
      </c>
      <c r="D490" s="10" t="n">
        <v>5568.67</v>
      </c>
      <c r="E490" s="10" t="n"/>
      <c r="F490" s="10" t="n"/>
      <c r="G490" s="10">
        <f>IF(COUNT(D490:F490)=0,"",MIN(D490:F490))</f>
        <v/>
      </c>
      <c r="H490" s="10">
        <f>IF(COUNT(D490:F490)=0,"",MEDIAN(D490:F490))</f>
        <v/>
      </c>
      <c r="I490" s="10">
        <f>IF(COUNT(D490:F490)=0,"",MAX(D490:F490))</f>
        <v/>
      </c>
      <c r="J490" s="11">
        <f>IF(OR(G490="",G490=0),"",(I490-G490)/G490)</f>
        <v/>
      </c>
      <c r="K490" s="4">
        <f>IF(COUNT(D490:F490)=0,"",INDEX($D$1:$F$1,MATCH(MIN(D490:F490),D490:F490,0)))</f>
        <v/>
      </c>
      <c r="L490" s="10" t="n">
        <v>5568.67</v>
      </c>
      <c r="M490" s="12" t="n">
        <v>1</v>
      </c>
    </row>
    <row r="491">
      <c r="A491" s="4" t="inlineStr">
        <is>
          <t>MAT-30-015</t>
        </is>
      </c>
      <c r="B491" s="5" t="inlineStr">
        <is>
          <t>Patch panel 48 puertos</t>
        </is>
      </c>
      <c r="C491" s="4" t="inlineStr">
        <is>
          <t>unidad</t>
        </is>
      </c>
      <c r="D491" s="10" t="n">
        <v>1782.28</v>
      </c>
      <c r="E491" s="10" t="n"/>
      <c r="F491" s="10" t="n"/>
      <c r="G491" s="10">
        <f>IF(COUNT(D491:F491)=0,"",MIN(D491:F491))</f>
        <v/>
      </c>
      <c r="H491" s="10">
        <f>IF(COUNT(D491:F491)=0,"",MEDIAN(D491:F491))</f>
        <v/>
      </c>
      <c r="I491" s="10">
        <f>IF(COUNT(D491:F491)=0,"",MAX(D491:F491))</f>
        <v/>
      </c>
      <c r="J491" s="11">
        <f>IF(OR(G491="",G491=0),"",(I491-G491)/G491)</f>
        <v/>
      </c>
      <c r="K491" s="4">
        <f>IF(COUNT(D491:F491)=0,"",INDEX($D$1:$F$1,MATCH(MIN(D491:F491),D491:F491,0)))</f>
        <v/>
      </c>
      <c r="L491" s="10" t="n">
        <v>1782.28</v>
      </c>
      <c r="M491" s="12" t="n">
        <v>1</v>
      </c>
    </row>
    <row r="492">
      <c r="A492" s="4" t="inlineStr">
        <is>
          <t>MAT-30-016</t>
        </is>
      </c>
      <c r="B492" s="5" t="inlineStr">
        <is>
          <t>Placa de pared para datos</t>
        </is>
      </c>
      <c r="C492" s="4" t="inlineStr">
        <is>
          <t>unidad</t>
        </is>
      </c>
      <c r="D492" s="10" t="n">
        <v>77.06</v>
      </c>
      <c r="E492" s="10" t="n"/>
      <c r="F492" s="10" t="n"/>
      <c r="G492" s="10">
        <f>IF(COUNT(D492:F492)=0,"",MIN(D492:F492))</f>
        <v/>
      </c>
      <c r="H492" s="10">
        <f>IF(COUNT(D492:F492)=0,"",MEDIAN(D492:F492))</f>
        <v/>
      </c>
      <c r="I492" s="10">
        <f>IF(COUNT(D492:F492)=0,"",MAX(D492:F492))</f>
        <v/>
      </c>
      <c r="J492" s="11">
        <f>IF(OR(G492="",G492=0),"",(I492-G492)/G492)</f>
        <v/>
      </c>
      <c r="K492" s="4">
        <f>IF(COUNT(D492:F492)=0,"",INDEX($D$1:$F$1,MATCH(MIN(D492:F492),D492:F492,0)))</f>
        <v/>
      </c>
      <c r="L492" s="10" t="n">
        <v>102.17</v>
      </c>
      <c r="M492" s="12" t="n">
        <v>1</v>
      </c>
    </row>
    <row r="493">
      <c r="A493" s="4" t="inlineStr">
        <is>
          <t>MAT-30-017</t>
        </is>
      </c>
      <c r="B493" s="5" t="inlineStr">
        <is>
          <t>Placa de pared para datos 1 puertos</t>
        </is>
      </c>
      <c r="C493" s="4" t="inlineStr">
        <is>
          <t>unidad</t>
        </is>
      </c>
      <c r="D493" s="10" t="n">
        <v>101.21</v>
      </c>
      <c r="E493" s="10" t="n"/>
      <c r="F493" s="10" t="n"/>
      <c r="G493" s="10">
        <f>IF(COUNT(D493:F493)=0,"",MIN(D493:F493))</f>
        <v/>
      </c>
      <c r="H493" s="10">
        <f>IF(COUNT(D493:F493)=0,"",MEDIAN(D493:F493))</f>
        <v/>
      </c>
      <c r="I493" s="10">
        <f>IF(COUNT(D493:F493)=0,"",MAX(D493:F493))</f>
        <v/>
      </c>
      <c r="J493" s="11">
        <f>IF(OR(G493="",G493=0),"",(I493-G493)/G493)</f>
        <v/>
      </c>
      <c r="K493" s="4">
        <f>IF(COUNT(D493:F493)=0,"",INDEX($D$1:$F$1,MATCH(MIN(D493:F493),D493:F493,0)))</f>
        <v/>
      </c>
      <c r="L493" s="10" t="n">
        <v>492.5</v>
      </c>
      <c r="M493" s="12" t="n">
        <v>1</v>
      </c>
    </row>
    <row r="494">
      <c r="A494" s="4" t="inlineStr">
        <is>
          <t>MAT-30-018</t>
        </is>
      </c>
      <c r="B494" s="5" t="inlineStr">
        <is>
          <t>Placa de pared para datos 2 puertos</t>
        </is>
      </c>
      <c r="C494" s="4" t="inlineStr">
        <is>
          <t>unidad</t>
        </is>
      </c>
      <c r="D494" s="10" t="n">
        <v>101.21</v>
      </c>
      <c r="E494" s="10" t="n"/>
      <c r="F494" s="10" t="n"/>
      <c r="G494" s="10">
        <f>IF(COUNT(D494:F494)=0,"",MIN(D494:F494))</f>
        <v/>
      </c>
      <c r="H494" s="10">
        <f>IF(COUNT(D494:F494)=0,"",MEDIAN(D494:F494))</f>
        <v/>
      </c>
      <c r="I494" s="10">
        <f>IF(COUNT(D494:F494)=0,"",MAX(D494:F494))</f>
        <v/>
      </c>
      <c r="J494" s="11">
        <f>IF(OR(G494="",G494=0),"",(I494-G494)/G494)</f>
        <v/>
      </c>
      <c r="K494" s="4">
        <f>IF(COUNT(D494:F494)=0,"",INDEX($D$1:$F$1,MATCH(MIN(D494:F494),D494:F494,0)))</f>
        <v/>
      </c>
      <c r="L494" s="10" t="n">
        <v>492.5</v>
      </c>
      <c r="M494" s="12" t="n">
        <v>1</v>
      </c>
    </row>
    <row r="495">
      <c r="A495" s="4" t="inlineStr">
        <is>
          <t>MAT-30-019</t>
        </is>
      </c>
      <c r="B495" s="5" t="inlineStr">
        <is>
          <t>Placa de pared para datos 3 puertos</t>
        </is>
      </c>
      <c r="C495" s="4" t="inlineStr">
        <is>
          <t>unidad</t>
        </is>
      </c>
      <c r="D495" s="10" t="n">
        <v>1196.92</v>
      </c>
      <c r="E495" s="10" t="n"/>
      <c r="F495" s="10" t="n"/>
      <c r="G495" s="10">
        <f>IF(COUNT(D495:F495)=0,"",MIN(D495:F495))</f>
        <v/>
      </c>
      <c r="H495" s="10">
        <f>IF(COUNT(D495:F495)=0,"",MEDIAN(D495:F495))</f>
        <v/>
      </c>
      <c r="I495" s="10">
        <f>IF(COUNT(D495:F495)=0,"",MAX(D495:F495))</f>
        <v/>
      </c>
      <c r="J495" s="11">
        <f>IF(OR(G495="",G495=0),"",(I495-G495)/G495)</f>
        <v/>
      </c>
      <c r="K495" s="4">
        <f>IF(COUNT(D495:F495)=0,"",INDEX($D$1:$F$1,MATCH(MIN(D495:F495),D495:F495,0)))</f>
        <v/>
      </c>
      <c r="L495" s="10" t="n">
        <v>1196.92</v>
      </c>
      <c r="M495" s="12" t="n">
        <v>1</v>
      </c>
    </row>
    <row r="496">
      <c r="A496" s="4" t="inlineStr">
        <is>
          <t>MAT-30-020</t>
        </is>
      </c>
      <c r="B496" s="5" t="inlineStr">
        <is>
          <t>Rack y accesorios de gabinete</t>
        </is>
      </c>
      <c r="C496" s="4" t="inlineStr">
        <is>
          <t>unidad</t>
        </is>
      </c>
      <c r="D496" s="10" t="n">
        <v>26.88</v>
      </c>
      <c r="E496" s="10" t="n"/>
      <c r="F496" s="10" t="n"/>
      <c r="G496" s="10">
        <f>IF(COUNT(D496:F496)=0,"",MIN(D496:F496))</f>
        <v/>
      </c>
      <c r="H496" s="10">
        <f>IF(COUNT(D496:F496)=0,"",MEDIAN(D496:F496))</f>
        <v/>
      </c>
      <c r="I496" s="10">
        <f>IF(COUNT(D496:F496)=0,"",MAX(D496:F496))</f>
        <v/>
      </c>
      <c r="J496" s="11">
        <f>IF(OR(G496="",G496=0),"",(I496-G496)/G496)</f>
        <v/>
      </c>
      <c r="K496" s="4">
        <f>IF(COUNT(D496:F496)=0,"",INDEX($D$1:$F$1,MATCH(MIN(D496:F496),D496:F496,0)))</f>
        <v/>
      </c>
      <c r="L496" s="10" t="n">
        <v>1834.9</v>
      </c>
      <c r="M496" s="12" t="n">
        <v>1</v>
      </c>
    </row>
    <row r="497">
      <c r="A497" s="4" t="inlineStr">
        <is>
          <t>MAT-30-021</t>
        </is>
      </c>
      <c r="B497" s="5" t="inlineStr">
        <is>
          <t>Equipo de red</t>
        </is>
      </c>
      <c r="C497" s="4" t="inlineStr">
        <is>
          <t>unidad</t>
        </is>
      </c>
      <c r="D497" s="10" t="n">
        <v>587.39</v>
      </c>
      <c r="E497" s="10" t="n"/>
      <c r="F497" s="10" t="n"/>
      <c r="G497" s="10">
        <f>IF(COUNT(D497:F497)=0,"",MIN(D497:F497))</f>
        <v/>
      </c>
      <c r="H497" s="10">
        <f>IF(COUNT(D497:F497)=0,"",MEDIAN(D497:F497))</f>
        <v/>
      </c>
      <c r="I497" s="10">
        <f>IF(COUNT(D497:F497)=0,"",MAX(D497:F497))</f>
        <v/>
      </c>
      <c r="J497" s="11">
        <f>IF(OR(G497="",G497=0),"",(I497-G497)/G497)</f>
        <v/>
      </c>
      <c r="K497" s="4">
        <f>IF(COUNT(D497:F497)=0,"",INDEX($D$1:$F$1,MATCH(MIN(D497:F497),D497:F497,0)))</f>
        <v/>
      </c>
      <c r="L497" s="10" t="n">
        <v>4902.12</v>
      </c>
      <c r="M497" s="12" t="n">
        <v>1</v>
      </c>
    </row>
    <row r="498">
      <c r="A498" s="4" t="inlineStr">
        <is>
          <t>MAT-30-022</t>
        </is>
      </c>
      <c r="B498" s="5" t="inlineStr">
        <is>
          <t>Equipo de red 24 puertos</t>
        </is>
      </c>
      <c r="C498" s="4" t="inlineStr">
        <is>
          <t>unidad</t>
        </is>
      </c>
      <c r="D498" s="10" t="n">
        <v>16692.67</v>
      </c>
      <c r="E498" s="10" t="n"/>
      <c r="F498" s="10" t="n"/>
      <c r="G498" s="10">
        <f>IF(COUNT(D498:F498)=0,"",MIN(D498:F498))</f>
        <v/>
      </c>
      <c r="H498" s="10">
        <f>IF(COUNT(D498:F498)=0,"",MEDIAN(D498:F498))</f>
        <v/>
      </c>
      <c r="I498" s="10">
        <f>IF(COUNT(D498:F498)=0,"",MAX(D498:F498))</f>
        <v/>
      </c>
      <c r="J498" s="11">
        <f>IF(OR(G498="",G498=0),"",(I498-G498)/G498)</f>
        <v/>
      </c>
      <c r="K498" s="4">
        <f>IF(COUNT(D498:F498)=0,"",INDEX($D$1:$F$1,MATCH(MIN(D498:F498),D498:F498,0)))</f>
        <v/>
      </c>
      <c r="L498" s="10" t="n">
        <v>16692.67</v>
      </c>
      <c r="M498" s="12" t="n">
        <v>1</v>
      </c>
    </row>
    <row r="499">
      <c r="A499" s="4" t="inlineStr">
        <is>
          <t>MAT-30-023</t>
        </is>
      </c>
      <c r="B499" s="5" t="inlineStr">
        <is>
          <t>Equipo de red 8 puertos</t>
        </is>
      </c>
      <c r="C499" s="4" t="inlineStr">
        <is>
          <t>unidad</t>
        </is>
      </c>
      <c r="D499" s="10" t="n">
        <v>500.98</v>
      </c>
      <c r="E499" s="10" t="n"/>
      <c r="F499" s="10" t="n"/>
      <c r="G499" s="10">
        <f>IF(COUNT(D499:F499)=0,"",MIN(D499:F499))</f>
        <v/>
      </c>
      <c r="H499" s="10">
        <f>IF(COUNT(D499:F499)=0,"",MEDIAN(D499:F499))</f>
        <v/>
      </c>
      <c r="I499" s="10">
        <f>IF(COUNT(D499:F499)=0,"",MAX(D499:F499))</f>
        <v/>
      </c>
      <c r="J499" s="11">
        <f>IF(OR(G499="",G499=0),"",(I499-G499)/G499)</f>
        <v/>
      </c>
      <c r="K499" s="4">
        <f>IF(COUNT(D499:F499)=0,"",INDEX($D$1:$F$1,MATCH(MIN(D499:F499),D499:F499,0)))</f>
        <v/>
      </c>
      <c r="L499" s="10" t="n">
        <v>7097.73</v>
      </c>
      <c r="M499" s="12" t="n">
        <v>1</v>
      </c>
    </row>
    <row r="500">
      <c r="A500" s="4" t="inlineStr">
        <is>
          <t>MAT-30-024</t>
        </is>
      </c>
      <c r="B500" s="5" t="inlineStr">
        <is>
          <t>Conector y accesorio de cableado</t>
        </is>
      </c>
      <c r="C500" s="4" t="inlineStr">
        <is>
          <t>unidad</t>
        </is>
      </c>
      <c r="D500" s="10" t="n">
        <v>0.41</v>
      </c>
      <c r="E500" s="10" t="n"/>
      <c r="F500" s="10" t="n"/>
      <c r="G500" s="10">
        <f>IF(COUNT(D500:F500)=0,"",MIN(D500:F500))</f>
        <v/>
      </c>
      <c r="H500" s="10">
        <f>IF(COUNT(D500:F500)=0,"",MEDIAN(D500:F500))</f>
        <v/>
      </c>
      <c r="I500" s="10">
        <f>IF(COUNT(D500:F500)=0,"",MAX(D500:F500))</f>
        <v/>
      </c>
      <c r="J500" s="11">
        <f>IF(OR(G500="",G500=0),"",(I500-G500)/G500)</f>
        <v/>
      </c>
      <c r="K500" s="4">
        <f>IF(COUNT(D500:F500)=0,"",INDEX($D$1:$F$1,MATCH(MIN(D500:F500),D500:F500,0)))</f>
        <v/>
      </c>
      <c r="L500" s="10" t="n">
        <v>67.08</v>
      </c>
      <c r="M500" s="12" t="n">
        <v>1</v>
      </c>
    </row>
    <row r="501">
      <c r="A501" s="4" t="inlineStr">
        <is>
          <t>MAT-30-025</t>
        </is>
      </c>
      <c r="B501" s="5" t="inlineStr">
        <is>
          <t>Parlante o amplificador de voceo</t>
        </is>
      </c>
      <c r="C501" s="4" t="inlineStr">
        <is>
          <t>unidad</t>
        </is>
      </c>
      <c r="D501" s="10" t="n">
        <v>104.5</v>
      </c>
      <c r="E501" s="10" t="n"/>
      <c r="F501" s="10" t="n"/>
      <c r="G501" s="10">
        <f>IF(COUNT(D501:F501)=0,"",MIN(D501:F501))</f>
        <v/>
      </c>
      <c r="H501" s="10">
        <f>IF(COUNT(D501:F501)=0,"",MEDIAN(D501:F501))</f>
        <v/>
      </c>
      <c r="I501" s="10">
        <f>IF(COUNT(D501:F501)=0,"",MAX(D501:F501))</f>
        <v/>
      </c>
      <c r="J501" s="11">
        <f>IF(OR(G501="",G501=0),"",(I501-G501)/G501)</f>
        <v/>
      </c>
      <c r="K501" s="4">
        <f>IF(COUNT(D501:F501)=0,"",INDEX($D$1:$F$1,MATCH(MIN(D501:F501),D501:F501,0)))</f>
        <v/>
      </c>
      <c r="L501" s="10" t="n">
        <v>23802.25</v>
      </c>
      <c r="M501" s="12" t="n">
        <v>1</v>
      </c>
    </row>
    <row r="502">
      <c r="A502" s="4" t="inlineStr">
        <is>
          <t>MAT-30-026</t>
        </is>
      </c>
      <c r="B502" s="5" t="inlineStr">
        <is>
          <t>Fuente de alimentación para sistemas</t>
        </is>
      </c>
      <c r="C502" s="4" t="inlineStr">
        <is>
          <t>unidad</t>
        </is>
      </c>
      <c r="D502" s="10" t="n">
        <v>1.21</v>
      </c>
      <c r="E502" s="10" t="n"/>
      <c r="F502" s="10" t="n"/>
      <c r="G502" s="10">
        <f>IF(COUNT(D502:F502)=0,"",MIN(D502:F502))</f>
        <v/>
      </c>
      <c r="H502" s="10">
        <f>IF(COUNT(D502:F502)=0,"",MEDIAN(D502:F502))</f>
        <v/>
      </c>
      <c r="I502" s="10">
        <f>IF(COUNT(D502:F502)=0,"",MAX(D502:F502))</f>
        <v/>
      </c>
      <c r="J502" s="11">
        <f>IF(OR(G502="",G502=0),"",(I502-G502)/G502)</f>
        <v/>
      </c>
      <c r="K502" s="4">
        <f>IF(COUNT(D502:F502)=0,"",INDEX($D$1:$F$1,MATCH(MIN(D502:F502),D502:F502,0)))</f>
        <v/>
      </c>
      <c r="L502" s="10" t="n">
        <v>4801.16</v>
      </c>
      <c r="M502" s="12" t="n">
        <v>1</v>
      </c>
    </row>
    <row r="503">
      <c r="A503" s="4" t="inlineStr">
        <is>
          <t>MAT-30-027</t>
        </is>
      </c>
      <c r="B503" s="5" t="inlineStr">
        <is>
          <t>Fuente de alimentación para sistemas 12 V</t>
        </is>
      </c>
      <c r="C503" s="4" t="inlineStr">
        <is>
          <t>unidad</t>
        </is>
      </c>
      <c r="D503" s="10" t="n">
        <v>1111.78</v>
      </c>
      <c r="E503" s="10" t="n"/>
      <c r="F503" s="10" t="n"/>
      <c r="G503" s="10">
        <f>IF(COUNT(D503:F503)=0,"",MIN(D503:F503))</f>
        <v/>
      </c>
      <c r="H503" s="10">
        <f>IF(COUNT(D503:F503)=0,"",MEDIAN(D503:F503))</f>
        <v/>
      </c>
      <c r="I503" s="10">
        <f>IF(COUNT(D503:F503)=0,"",MAX(D503:F503))</f>
        <v/>
      </c>
      <c r="J503" s="11">
        <f>IF(OR(G503="",G503=0),"",(I503-G503)/G503)</f>
        <v/>
      </c>
      <c r="K503" s="4">
        <f>IF(COUNT(D503:F503)=0,"",INDEX($D$1:$F$1,MATCH(MIN(D503:F503),D503:F503,0)))</f>
        <v/>
      </c>
      <c r="L503" s="10" t="n">
        <v>2813.06</v>
      </c>
      <c r="M503" s="12" t="n">
        <v>1</v>
      </c>
    </row>
    <row r="504">
      <c r="A504" s="4" t="inlineStr">
        <is>
          <t>MAT-30-028</t>
        </is>
      </c>
      <c r="B504" s="5" t="inlineStr">
        <is>
          <t>Fuente de alimentación para sistemas 120 V</t>
        </is>
      </c>
      <c r="C504" s="4" t="inlineStr">
        <is>
          <t>unidad</t>
        </is>
      </c>
      <c r="D504" s="10" t="n">
        <v>906.34</v>
      </c>
      <c r="E504" s="10" t="n"/>
      <c r="F504" s="10" t="n"/>
      <c r="G504" s="10">
        <f>IF(COUNT(D504:F504)=0,"",MIN(D504:F504))</f>
        <v/>
      </c>
      <c r="H504" s="10">
        <f>IF(COUNT(D504:F504)=0,"",MEDIAN(D504:F504))</f>
        <v/>
      </c>
      <c r="I504" s="10">
        <f>IF(COUNT(D504:F504)=0,"",MAX(D504:F504))</f>
        <v/>
      </c>
      <c r="J504" s="11">
        <f>IF(OR(G504="",G504=0),"",(I504-G504)/G504)</f>
        <v/>
      </c>
      <c r="K504" s="4">
        <f>IF(COUNT(D504:F504)=0,"",INDEX($D$1:$F$1,MATCH(MIN(D504:F504),D504:F504,0)))</f>
        <v/>
      </c>
      <c r="L504" s="10" t="n">
        <v>1031.86</v>
      </c>
      <c r="M504" s="12" t="n">
        <v>1</v>
      </c>
    </row>
    <row r="505">
      <c r="A505" s="4" t="inlineStr">
        <is>
          <t>MAT-30-029</t>
        </is>
      </c>
      <c r="B505" s="5" t="inlineStr">
        <is>
          <t>Fuente de alimentación para sistemas 24 V</t>
        </is>
      </c>
      <c r="C505" s="4" t="inlineStr">
        <is>
          <t>unidad</t>
        </is>
      </c>
      <c r="D505" s="10" t="n">
        <v>11089.49</v>
      </c>
      <c r="E505" s="10" t="n"/>
      <c r="F505" s="10" t="n"/>
      <c r="G505" s="10">
        <f>IF(COUNT(D505:F505)=0,"",MIN(D505:F505))</f>
        <v/>
      </c>
      <c r="H505" s="10">
        <f>IF(COUNT(D505:F505)=0,"",MEDIAN(D505:F505))</f>
        <v/>
      </c>
      <c r="I505" s="10">
        <f>IF(COUNT(D505:F505)=0,"",MAX(D505:F505))</f>
        <v/>
      </c>
      <c r="J505" s="11">
        <f>IF(OR(G505="",G505=0),"",(I505-G505)/G505)</f>
        <v/>
      </c>
      <c r="K505" s="4">
        <f>IF(COUNT(D505:F505)=0,"",INDEX($D$1:$F$1,MATCH(MIN(D505:F505),D505:F505,0)))</f>
        <v/>
      </c>
      <c r="L505" s="10" t="n">
        <v>13861.06</v>
      </c>
      <c r="M505" s="12" t="n">
        <v>1</v>
      </c>
    </row>
    <row r="506">
      <c r="A506" s="4" t="inlineStr">
        <is>
          <t>MAT-30-030</t>
        </is>
      </c>
      <c r="B506" s="5" t="inlineStr">
        <is>
          <t>Fuente de alimentación para sistemas 275 V</t>
        </is>
      </c>
      <c r="C506" s="4" t="inlineStr">
        <is>
          <t>unidad</t>
        </is>
      </c>
      <c r="D506" s="10" t="n">
        <v>28.95</v>
      </c>
      <c r="E506" s="10" t="n"/>
      <c r="F506" s="10" t="n"/>
      <c r="G506" s="10">
        <f>IF(COUNT(D506:F506)=0,"",MIN(D506:F506))</f>
        <v/>
      </c>
      <c r="H506" s="10">
        <f>IF(COUNT(D506:F506)=0,"",MEDIAN(D506:F506))</f>
        <v/>
      </c>
      <c r="I506" s="10">
        <f>IF(COUNT(D506:F506)=0,"",MAX(D506:F506))</f>
        <v/>
      </c>
      <c r="J506" s="11">
        <f>IF(OR(G506="",G506=0),"",(I506-G506)/G506)</f>
        <v/>
      </c>
      <c r="K506" s="4">
        <f>IF(COUNT(D506:F506)=0,"",INDEX($D$1:$F$1,MATCH(MIN(D506:F506),D506:F506,0)))</f>
        <v/>
      </c>
      <c r="L506" s="10" t="n">
        <v>28.95</v>
      </c>
      <c r="M506" s="12" t="n">
        <v>1</v>
      </c>
    </row>
    <row r="507">
      <c r="A507" s="4" t="inlineStr">
        <is>
          <t>MAT-30-031</t>
        </is>
      </c>
      <c r="B507" s="5" t="inlineStr">
        <is>
          <t>Fuente de alimentación para sistemas 277 V</t>
        </is>
      </c>
      <c r="C507" s="4" t="inlineStr">
        <is>
          <t>unidad</t>
        </is>
      </c>
      <c r="D507" s="10" t="n">
        <v>2150.5</v>
      </c>
      <c r="E507" s="10" t="n"/>
      <c r="F507" s="10" t="n"/>
      <c r="G507" s="10">
        <f>IF(COUNT(D507:F507)=0,"",MIN(D507:F507))</f>
        <v/>
      </c>
      <c r="H507" s="10">
        <f>IF(COUNT(D507:F507)=0,"",MEDIAN(D507:F507))</f>
        <v/>
      </c>
      <c r="I507" s="10">
        <f>IF(COUNT(D507:F507)=0,"",MAX(D507:F507))</f>
        <v/>
      </c>
      <c r="J507" s="11">
        <f>IF(OR(G507="",G507=0),"",(I507-G507)/G507)</f>
        <v/>
      </c>
      <c r="K507" s="4">
        <f>IF(COUNT(D507:F507)=0,"",INDEX($D$1:$F$1,MATCH(MIN(D507:F507),D507:F507,0)))</f>
        <v/>
      </c>
      <c r="L507" s="10" t="n">
        <v>2150.5</v>
      </c>
      <c r="M507" s="12" t="n">
        <v>1</v>
      </c>
    </row>
    <row r="508">
      <c r="A508" s="4" t="inlineStr">
        <is>
          <t>MAT-31-002</t>
        </is>
      </c>
      <c r="B508" s="5" t="inlineStr">
        <is>
          <t>Interruptor inteligente</t>
        </is>
      </c>
      <c r="C508" s="4" t="inlineStr">
        <is>
          <t>unidad</t>
        </is>
      </c>
      <c r="D508" s="10" t="n">
        <v>101.11</v>
      </c>
      <c r="E508" s="10" t="n"/>
      <c r="F508" s="10" t="n"/>
      <c r="G508" s="10">
        <f>IF(COUNT(D508:F508)=0,"",MIN(D508:F508))</f>
        <v/>
      </c>
      <c r="H508" s="10">
        <f>IF(COUNT(D508:F508)=0,"",MEDIAN(D508:F508))</f>
        <v/>
      </c>
      <c r="I508" s="10">
        <f>IF(COUNT(D508:F508)=0,"",MAX(D508:F508))</f>
        <v/>
      </c>
      <c r="J508" s="11">
        <f>IF(OR(G508="",G508=0),"",(I508-G508)/G508)</f>
        <v/>
      </c>
      <c r="K508" s="4">
        <f>IF(COUNT(D508:F508)=0,"",INDEX($D$1:$F$1,MATCH(MIN(D508:F508),D508:F508,0)))</f>
        <v/>
      </c>
      <c r="L508" s="10" t="n">
        <v>1672.99</v>
      </c>
      <c r="M508" s="12" t="n">
        <v>1</v>
      </c>
    </row>
    <row r="509">
      <c r="A509" s="4" t="inlineStr">
        <is>
          <t>MAT-31-003</t>
        </is>
      </c>
      <c r="B509" s="5" t="inlineStr">
        <is>
          <t>Interruptor inteligente 1 canales</t>
        </is>
      </c>
      <c r="C509" s="4" t="inlineStr">
        <is>
          <t>unidad</t>
        </is>
      </c>
      <c r="D509" s="10" t="n">
        <v>1089.61</v>
      </c>
      <c r="E509" s="10" t="n"/>
      <c r="F509" s="10" t="n"/>
      <c r="G509" s="10">
        <f>IF(COUNT(D509:F509)=0,"",MIN(D509:F509))</f>
        <v/>
      </c>
      <c r="H509" s="10">
        <f>IF(COUNT(D509:F509)=0,"",MEDIAN(D509:F509))</f>
        <v/>
      </c>
      <c r="I509" s="10">
        <f>IF(COUNT(D509:F509)=0,"",MAX(D509:F509))</f>
        <v/>
      </c>
      <c r="J509" s="11">
        <f>IF(OR(G509="",G509=0),"",(I509-G509)/G509)</f>
        <v/>
      </c>
      <c r="K509" s="4">
        <f>IF(COUNT(D509:F509)=0,"",INDEX($D$1:$F$1,MATCH(MIN(D509:F509),D509:F509,0)))</f>
        <v/>
      </c>
      <c r="L509" s="10" t="n">
        <v>1549.16</v>
      </c>
      <c r="M509" s="12" t="n">
        <v>1</v>
      </c>
    </row>
    <row r="510">
      <c r="A510" s="4" t="inlineStr">
        <is>
          <t>MAT-31-004</t>
        </is>
      </c>
      <c r="B510" s="5" t="inlineStr">
        <is>
          <t>Interruptor inteligente 1 canales con neutro</t>
        </is>
      </c>
      <c r="C510" s="4" t="inlineStr">
        <is>
          <t>unidad</t>
        </is>
      </c>
      <c r="D510" s="10" t="n">
        <v>2892.27</v>
      </c>
      <c r="E510" s="10" t="n"/>
      <c r="F510" s="10" t="n"/>
      <c r="G510" s="10">
        <f>IF(COUNT(D510:F510)=0,"",MIN(D510:F510))</f>
        <v/>
      </c>
      <c r="H510" s="10">
        <f>IF(COUNT(D510:F510)=0,"",MEDIAN(D510:F510))</f>
        <v/>
      </c>
      <c r="I510" s="10">
        <f>IF(COUNT(D510:F510)=0,"",MAX(D510:F510))</f>
        <v/>
      </c>
      <c r="J510" s="11">
        <f>IF(OR(G510="",G510=0),"",(I510-G510)/G510)</f>
        <v/>
      </c>
      <c r="K510" s="4">
        <f>IF(COUNT(D510:F510)=0,"",INDEX($D$1:$F$1,MATCH(MIN(D510:F510),D510:F510,0)))</f>
        <v/>
      </c>
      <c r="L510" s="10" t="n">
        <v>2892.27</v>
      </c>
      <c r="M510" s="12" t="n">
        <v>1</v>
      </c>
    </row>
    <row r="511">
      <c r="A511" s="4" t="inlineStr">
        <is>
          <t>MAT-31-005</t>
        </is>
      </c>
      <c r="B511" s="5" t="inlineStr">
        <is>
          <t>Interruptor inteligente 1 canales sin neutro</t>
        </is>
      </c>
      <c r="C511" s="4" t="inlineStr">
        <is>
          <t>unidad</t>
        </is>
      </c>
      <c r="D511" s="10" t="n">
        <v>2958.46</v>
      </c>
      <c r="E511" s="10" t="n"/>
      <c r="F511" s="10" t="n"/>
      <c r="G511" s="10">
        <f>IF(COUNT(D511:F511)=0,"",MIN(D511:F511))</f>
        <v/>
      </c>
      <c r="H511" s="10">
        <f>IF(COUNT(D511:F511)=0,"",MEDIAN(D511:F511))</f>
        <v/>
      </c>
      <c r="I511" s="10">
        <f>IF(COUNT(D511:F511)=0,"",MAX(D511:F511))</f>
        <v/>
      </c>
      <c r="J511" s="11">
        <f>IF(OR(G511="",G511=0),"",(I511-G511)/G511)</f>
        <v/>
      </c>
      <c r="K511" s="4">
        <f>IF(COUNT(D511:F511)=0,"",INDEX($D$1:$F$1,MATCH(MIN(D511:F511),D511:F511,0)))</f>
        <v/>
      </c>
      <c r="L511" s="10" t="n">
        <v>2958.46</v>
      </c>
      <c r="M511" s="12" t="n">
        <v>1</v>
      </c>
    </row>
    <row r="512">
      <c r="A512" s="4" t="inlineStr">
        <is>
          <t>MAT-31-006</t>
        </is>
      </c>
      <c r="B512" s="5" t="inlineStr">
        <is>
          <t>Interruptor inteligente 2 canales</t>
        </is>
      </c>
      <c r="C512" s="4" t="inlineStr">
        <is>
          <t>unidad</t>
        </is>
      </c>
      <c r="D512" s="10" t="n">
        <v>1210.31</v>
      </c>
      <c r="E512" s="10" t="n"/>
      <c r="F512" s="10" t="n"/>
      <c r="G512" s="10">
        <f>IF(COUNT(D512:F512)=0,"",MIN(D512:F512))</f>
        <v/>
      </c>
      <c r="H512" s="10">
        <f>IF(COUNT(D512:F512)=0,"",MEDIAN(D512:F512))</f>
        <v/>
      </c>
      <c r="I512" s="10">
        <f>IF(COUNT(D512:F512)=0,"",MAX(D512:F512))</f>
        <v/>
      </c>
      <c r="J512" s="11">
        <f>IF(OR(G512="",G512=0),"",(I512-G512)/G512)</f>
        <v/>
      </c>
      <c r="K512" s="4">
        <f>IF(COUNT(D512:F512)=0,"",INDEX($D$1:$F$1,MATCH(MIN(D512:F512),D512:F512,0)))</f>
        <v/>
      </c>
      <c r="L512" s="10" t="n">
        <v>1632.51</v>
      </c>
      <c r="M512" s="12" t="n">
        <v>1</v>
      </c>
    </row>
    <row r="513">
      <c r="A513" s="4" t="inlineStr">
        <is>
          <t>MAT-31-007</t>
        </is>
      </c>
      <c r="B513" s="5" t="inlineStr">
        <is>
          <t>Interruptor inteligente 2 canales con neutro</t>
        </is>
      </c>
      <c r="C513" s="4" t="inlineStr">
        <is>
          <t>unidad</t>
        </is>
      </c>
      <c r="D513" s="10" t="n">
        <v>2743.31</v>
      </c>
      <c r="E513" s="10" t="n"/>
      <c r="F513" s="10" t="n"/>
      <c r="G513" s="10">
        <f>IF(COUNT(D513:F513)=0,"",MIN(D513:F513))</f>
        <v/>
      </c>
      <c r="H513" s="10">
        <f>IF(COUNT(D513:F513)=0,"",MEDIAN(D513:F513))</f>
        <v/>
      </c>
      <c r="I513" s="10">
        <f>IF(COUNT(D513:F513)=0,"",MAX(D513:F513))</f>
        <v/>
      </c>
      <c r="J513" s="11">
        <f>IF(OR(G513="",G513=0),"",(I513-G513)/G513)</f>
        <v/>
      </c>
      <c r="K513" s="4">
        <f>IF(COUNT(D513:F513)=0,"",INDEX($D$1:$F$1,MATCH(MIN(D513:F513),D513:F513,0)))</f>
        <v/>
      </c>
      <c r="L513" s="10" t="n">
        <v>2743.31</v>
      </c>
      <c r="M513" s="12" t="n">
        <v>1</v>
      </c>
    </row>
    <row r="514">
      <c r="A514" s="4" t="inlineStr">
        <is>
          <t>MAT-31-008</t>
        </is>
      </c>
      <c r="B514" s="5" t="inlineStr">
        <is>
          <t>Interruptor inteligente 2 canales sin neutro</t>
        </is>
      </c>
      <c r="C514" s="4" t="inlineStr">
        <is>
          <t>unidad</t>
        </is>
      </c>
      <c r="D514" s="10" t="n">
        <v>2743.31</v>
      </c>
      <c r="E514" s="10" t="n"/>
      <c r="F514" s="10" t="n"/>
      <c r="G514" s="10">
        <f>IF(COUNT(D514:F514)=0,"",MIN(D514:F514))</f>
        <v/>
      </c>
      <c r="H514" s="10">
        <f>IF(COUNT(D514:F514)=0,"",MEDIAN(D514:F514))</f>
        <v/>
      </c>
      <c r="I514" s="10">
        <f>IF(COUNT(D514:F514)=0,"",MAX(D514:F514))</f>
        <v/>
      </c>
      <c r="J514" s="11">
        <f>IF(OR(G514="",G514=0),"",(I514-G514)/G514)</f>
        <v/>
      </c>
      <c r="K514" s="4">
        <f>IF(COUNT(D514:F514)=0,"",INDEX($D$1:$F$1,MATCH(MIN(D514:F514),D514:F514,0)))</f>
        <v/>
      </c>
      <c r="L514" s="10" t="n">
        <v>2743.31</v>
      </c>
      <c r="M514" s="12" t="n">
        <v>1</v>
      </c>
    </row>
    <row r="515">
      <c r="A515" s="4" t="inlineStr">
        <is>
          <t>MAT-31-009</t>
        </is>
      </c>
      <c r="B515" s="5" t="inlineStr">
        <is>
          <t>Interruptor inteligente 3 canales</t>
        </is>
      </c>
      <c r="C515" s="4" t="inlineStr">
        <is>
          <t>unidad</t>
        </is>
      </c>
      <c r="D515" s="10" t="n">
        <v>1497.83</v>
      </c>
      <c r="E515" s="10" t="n"/>
      <c r="F515" s="10" t="n"/>
      <c r="G515" s="10">
        <f>IF(COUNT(D515:F515)=0,"",MIN(D515:F515))</f>
        <v/>
      </c>
      <c r="H515" s="10">
        <f>IF(COUNT(D515:F515)=0,"",MEDIAN(D515:F515))</f>
        <v/>
      </c>
      <c r="I515" s="10">
        <f>IF(COUNT(D515:F515)=0,"",MAX(D515:F515))</f>
        <v/>
      </c>
      <c r="J515" s="11">
        <f>IF(OR(G515="",G515=0),"",(I515-G515)/G515)</f>
        <v/>
      </c>
      <c r="K515" s="4">
        <f>IF(COUNT(D515:F515)=0,"",INDEX($D$1:$F$1,MATCH(MIN(D515:F515),D515:F515,0)))</f>
        <v/>
      </c>
      <c r="L515" s="10" t="n">
        <v>4577.22</v>
      </c>
      <c r="M515" s="12" t="n">
        <v>1</v>
      </c>
    </row>
    <row r="516">
      <c r="A516" s="4" t="inlineStr">
        <is>
          <t>MAT-31-010</t>
        </is>
      </c>
      <c r="B516" s="5" t="inlineStr">
        <is>
          <t>Tomacorriente inteligente</t>
        </is>
      </c>
      <c r="C516" s="4" t="inlineStr">
        <is>
          <t>unidad</t>
        </is>
      </c>
      <c r="D516" s="10" t="n">
        <v>294.14</v>
      </c>
      <c r="E516" s="10" t="n"/>
      <c r="F516" s="10" t="n"/>
      <c r="G516" s="10">
        <f>IF(COUNT(D516:F516)=0,"",MIN(D516:F516))</f>
        <v/>
      </c>
      <c r="H516" s="10">
        <f>IF(COUNT(D516:F516)=0,"",MEDIAN(D516:F516))</f>
        <v/>
      </c>
      <c r="I516" s="10">
        <f>IF(COUNT(D516:F516)=0,"",MAX(D516:F516))</f>
        <v/>
      </c>
      <c r="J516" s="11">
        <f>IF(OR(G516="",G516=0),"",(I516-G516)/G516)</f>
        <v/>
      </c>
      <c r="K516" s="4">
        <f>IF(COUNT(D516:F516)=0,"",INDEX($D$1:$F$1,MATCH(MIN(D516:F516),D516:F516,0)))</f>
        <v/>
      </c>
      <c r="L516" s="10" t="n">
        <v>2368.55</v>
      </c>
      <c r="M516" s="12" t="n">
        <v>1</v>
      </c>
    </row>
    <row r="517">
      <c r="A517" s="4" t="inlineStr">
        <is>
          <t>MAT-31-011</t>
        </is>
      </c>
      <c r="B517" s="5" t="inlineStr">
        <is>
          <t>Central de domótica</t>
        </is>
      </c>
      <c r="C517" s="4" t="inlineStr">
        <is>
          <t>unidad</t>
        </is>
      </c>
      <c r="D517" s="10" t="n">
        <v>1143.26</v>
      </c>
      <c r="E517" s="10" t="n"/>
      <c r="F517" s="10" t="n"/>
      <c r="G517" s="10">
        <f>IF(COUNT(D517:F517)=0,"",MIN(D517:F517))</f>
        <v/>
      </c>
      <c r="H517" s="10">
        <f>IF(COUNT(D517:F517)=0,"",MEDIAN(D517:F517))</f>
        <v/>
      </c>
      <c r="I517" s="10">
        <f>IF(COUNT(D517:F517)=0,"",MAX(D517:F517))</f>
        <v/>
      </c>
      <c r="J517" s="11">
        <f>IF(OR(G517="",G517=0),"",(I517-G517)/G517)</f>
        <v/>
      </c>
      <c r="K517" s="4">
        <f>IF(COUNT(D517:F517)=0,"",INDEX($D$1:$F$1,MATCH(MIN(D517:F517),D517:F517,0)))</f>
        <v/>
      </c>
      <c r="L517" s="10" t="n">
        <v>5847.29</v>
      </c>
      <c r="M517" s="12" t="n">
        <v>1</v>
      </c>
    </row>
    <row r="518">
      <c r="A518" s="4" t="inlineStr">
        <is>
          <t>MAT-31-012</t>
        </is>
      </c>
      <c r="B518" s="5" t="inlineStr">
        <is>
          <t>Kit de intercomunicador 4 apartamentos con video</t>
        </is>
      </c>
      <c r="C518" s="4" t="inlineStr">
        <is>
          <t>juego</t>
        </is>
      </c>
      <c r="D518" s="10" t="n">
        <v>32009.7</v>
      </c>
      <c r="E518" s="10" t="n"/>
      <c r="F518" s="10" t="n"/>
      <c r="G518" s="10">
        <f>IF(COUNT(D518:F518)=0,"",MIN(D518:F518))</f>
        <v/>
      </c>
      <c r="H518" s="10">
        <f>IF(COUNT(D518:F518)=0,"",MEDIAN(D518:F518))</f>
        <v/>
      </c>
      <c r="I518" s="10">
        <f>IF(COUNT(D518:F518)=0,"",MAX(D518:F518))</f>
        <v/>
      </c>
      <c r="J518" s="11">
        <f>IF(OR(G518="",G518=0),"",(I518-G518)/G518)</f>
        <v/>
      </c>
      <c r="K518" s="4">
        <f>IF(COUNT(D518:F518)=0,"",INDEX($D$1:$F$1,MATCH(MIN(D518:F518),D518:F518,0)))</f>
        <v/>
      </c>
      <c r="L518" s="10" t="n">
        <v>32009.7</v>
      </c>
      <c r="M518" s="12" t="n">
        <v>1</v>
      </c>
    </row>
    <row r="519">
      <c r="A519" s="4" t="inlineStr">
        <is>
          <t>MAT-31-013</t>
        </is>
      </c>
      <c r="B519" s="5" t="inlineStr">
        <is>
          <t>Kit de intercomunicador 6 apartamentos con video</t>
        </is>
      </c>
      <c r="C519" s="4" t="inlineStr">
        <is>
          <t>juego</t>
        </is>
      </c>
      <c r="D519" s="10" t="n">
        <v>41504.58</v>
      </c>
      <c r="E519" s="10" t="n"/>
      <c r="F519" s="10" t="n"/>
      <c r="G519" s="10">
        <f>IF(COUNT(D519:F519)=0,"",MIN(D519:F519))</f>
        <v/>
      </c>
      <c r="H519" s="10">
        <f>IF(COUNT(D519:F519)=0,"",MEDIAN(D519:F519))</f>
        <v/>
      </c>
      <c r="I519" s="10">
        <f>IF(COUNT(D519:F519)=0,"",MAX(D519:F519))</f>
        <v/>
      </c>
      <c r="J519" s="11">
        <f>IF(OR(G519="",G519=0),"",(I519-G519)/G519)</f>
        <v/>
      </c>
      <c r="K519" s="4">
        <f>IF(COUNT(D519:F519)=0,"",INDEX($D$1:$F$1,MATCH(MIN(D519:F519),D519:F519,0)))</f>
        <v/>
      </c>
      <c r="L519" s="10" t="n">
        <v>41504.58</v>
      </c>
      <c r="M519" s="12" t="n">
        <v>1</v>
      </c>
    </row>
    <row r="520">
      <c r="A520" s="4" t="inlineStr">
        <is>
          <t>MAT-31-014</t>
        </is>
      </c>
      <c r="B520" s="5" t="inlineStr">
        <is>
          <t>Kit de intercomunicador 8 apartamentos solo audio</t>
        </is>
      </c>
      <c r="C520" s="4" t="inlineStr">
        <is>
          <t>juego</t>
        </is>
      </c>
      <c r="D520" s="10" t="n">
        <v>16951.2</v>
      </c>
      <c r="E520" s="10" t="n"/>
      <c r="F520" s="10" t="n"/>
      <c r="G520" s="10">
        <f>IF(COUNT(D520:F520)=0,"",MIN(D520:F520))</f>
        <v/>
      </c>
      <c r="H520" s="10">
        <f>IF(COUNT(D520:F520)=0,"",MEDIAN(D520:F520))</f>
        <v/>
      </c>
      <c r="I520" s="10">
        <f>IF(COUNT(D520:F520)=0,"",MAX(D520:F520))</f>
        <v/>
      </c>
      <c r="J520" s="11">
        <f>IF(OR(G520="",G520=0),"",(I520-G520)/G520)</f>
        <v/>
      </c>
      <c r="K520" s="4">
        <f>IF(COUNT(D520:F520)=0,"",INDEX($D$1:$F$1,MATCH(MIN(D520:F520),D520:F520,0)))</f>
        <v/>
      </c>
      <c r="L520" s="10" t="n">
        <v>16951.2</v>
      </c>
      <c r="M520" s="12" t="n">
        <v>1</v>
      </c>
    </row>
    <row r="521">
      <c r="A521" s="4" t="inlineStr">
        <is>
          <t>MAT-31-015</t>
        </is>
      </c>
      <c r="B521" s="5" t="inlineStr">
        <is>
          <t>Kit de intercomunicador 8 apartamentos con video</t>
        </is>
      </c>
      <c r="C521" s="4" t="inlineStr">
        <is>
          <t>juego</t>
        </is>
      </c>
      <c r="D521" s="10" t="n">
        <v>50715.2</v>
      </c>
      <c r="E521" s="10" t="n"/>
      <c r="F521" s="10" t="n"/>
      <c r="G521" s="10">
        <f>IF(COUNT(D521:F521)=0,"",MIN(D521:F521))</f>
        <v/>
      </c>
      <c r="H521" s="10">
        <f>IF(COUNT(D521:F521)=0,"",MEDIAN(D521:F521))</f>
        <v/>
      </c>
      <c r="I521" s="10">
        <f>IF(COUNT(D521:F521)=0,"",MAX(D521:F521))</f>
        <v/>
      </c>
      <c r="J521" s="11">
        <f>IF(OR(G521="",G521=0),"",(I521-G521)/G521)</f>
        <v/>
      </c>
      <c r="K521" s="4">
        <f>IF(COUNT(D521:F521)=0,"",INDEX($D$1:$F$1,MATCH(MIN(D521:F521),D521:F521,0)))</f>
        <v/>
      </c>
      <c r="L521" s="10" t="n">
        <v>50715.2</v>
      </c>
      <c r="M521" s="12" t="n">
        <v>1</v>
      </c>
    </row>
    <row r="522">
      <c r="A522" s="4" t="inlineStr">
        <is>
          <t>MAT-31-016</t>
        </is>
      </c>
      <c r="B522" s="5" t="inlineStr">
        <is>
          <t>Kit de intercomunicador con video</t>
        </is>
      </c>
      <c r="C522" s="4" t="inlineStr">
        <is>
          <t>juego</t>
        </is>
      </c>
      <c r="D522" s="10" t="n">
        <v>8802.870000000001</v>
      </c>
      <c r="E522" s="10" t="n"/>
      <c r="F522" s="10" t="n"/>
      <c r="G522" s="10">
        <f>IF(COUNT(D522:F522)=0,"",MIN(D522:F522))</f>
        <v/>
      </c>
      <c r="H522" s="10">
        <f>IF(COUNT(D522:F522)=0,"",MEDIAN(D522:F522))</f>
        <v/>
      </c>
      <c r="I522" s="10">
        <f>IF(COUNT(D522:F522)=0,"",MAX(D522:F522))</f>
        <v/>
      </c>
      <c r="J522" s="11">
        <f>IF(OR(G522="",G522=0),"",(I522-G522)/G522)</f>
        <v/>
      </c>
      <c r="K522" s="4">
        <f>IF(COUNT(D522:F522)=0,"",INDEX($D$1:$F$1,MATCH(MIN(D522:F522),D522:F522,0)))</f>
        <v/>
      </c>
      <c r="L522" s="10" t="n">
        <v>12858.25</v>
      </c>
      <c r="M522" s="12" t="n">
        <v>1</v>
      </c>
    </row>
    <row r="523">
      <c r="A523" s="4" t="inlineStr">
        <is>
          <t>MAT-31-017</t>
        </is>
      </c>
      <c r="B523" s="5" t="inlineStr">
        <is>
          <t>Estación de intercomunicador</t>
        </is>
      </c>
      <c r="C523" s="4" t="inlineStr">
        <is>
          <t>unidad</t>
        </is>
      </c>
      <c r="D523" s="10" t="n">
        <v>9200.34</v>
      </c>
      <c r="E523" s="10" t="n"/>
      <c r="F523" s="10" t="n"/>
      <c r="G523" s="10">
        <f>IF(COUNT(D523:F523)=0,"",MIN(D523:F523))</f>
        <v/>
      </c>
      <c r="H523" s="10">
        <f>IF(COUNT(D523:F523)=0,"",MEDIAN(D523:F523))</f>
        <v/>
      </c>
      <c r="I523" s="10">
        <f>IF(COUNT(D523:F523)=0,"",MAX(D523:F523))</f>
        <v/>
      </c>
      <c r="J523" s="11">
        <f>IF(OR(G523="",G523=0),"",(I523-G523)/G523)</f>
        <v/>
      </c>
      <c r="K523" s="4">
        <f>IF(COUNT(D523:F523)=0,"",INDEX($D$1:$F$1,MATCH(MIN(D523:F523),D523:F523,0)))</f>
        <v/>
      </c>
      <c r="L523" s="10" t="n">
        <v>9200.34</v>
      </c>
      <c r="M523" s="12" t="n">
        <v>1</v>
      </c>
    </row>
    <row r="524">
      <c r="A524" s="4" t="inlineStr">
        <is>
          <t>MAT-31-018</t>
        </is>
      </c>
      <c r="B524" s="5" t="inlineStr">
        <is>
          <t>Estación de intercomunicador 7"</t>
        </is>
      </c>
      <c r="C524" s="4" t="inlineStr">
        <is>
          <t>unidad</t>
        </is>
      </c>
      <c r="D524" s="10" t="n">
        <v>14861.01</v>
      </c>
      <c r="E524" s="10" t="n"/>
      <c r="F524" s="10" t="n"/>
      <c r="G524" s="10">
        <f>IF(COUNT(D524:F524)=0,"",MIN(D524:F524))</f>
        <v/>
      </c>
      <c r="H524" s="10">
        <f>IF(COUNT(D524:F524)=0,"",MEDIAN(D524:F524))</f>
        <v/>
      </c>
      <c r="I524" s="10">
        <f>IF(COUNT(D524:F524)=0,"",MAX(D524:F524))</f>
        <v/>
      </c>
      <c r="J524" s="11">
        <f>IF(OR(G524="",G524=0),"",(I524-G524)/G524)</f>
        <v/>
      </c>
      <c r="K524" s="4">
        <f>IF(COUNT(D524:F524)=0,"",INDEX($D$1:$F$1,MATCH(MIN(D524:F524),D524:F524,0)))</f>
        <v/>
      </c>
      <c r="L524" s="10" t="n">
        <v>14861.01</v>
      </c>
      <c r="M524" s="12" t="n">
        <v>1</v>
      </c>
    </row>
    <row r="525">
      <c r="A525" s="4" t="inlineStr">
        <is>
          <t>MAT-31-019</t>
        </is>
      </c>
      <c r="B525" s="5" t="inlineStr">
        <is>
          <t>Accesorio de intercomunicador</t>
        </is>
      </c>
      <c r="C525" s="4" t="inlineStr">
        <is>
          <t>unidad</t>
        </is>
      </c>
      <c r="D525" s="10" t="n">
        <v>305.08</v>
      </c>
      <c r="E525" s="10" t="n"/>
      <c r="F525" s="10" t="n"/>
      <c r="G525" s="10">
        <f>IF(COUNT(D525:F525)=0,"",MIN(D525:F525))</f>
        <v/>
      </c>
      <c r="H525" s="10">
        <f>IF(COUNT(D525:F525)=0,"",MEDIAN(D525:F525))</f>
        <v/>
      </c>
      <c r="I525" s="10">
        <f>IF(COUNT(D525:F525)=0,"",MAX(D525:F525))</f>
        <v/>
      </c>
      <c r="J525" s="11">
        <f>IF(OR(G525="",G525=0),"",(I525-G525)/G525)</f>
        <v/>
      </c>
      <c r="K525" s="4">
        <f>IF(COUNT(D525:F525)=0,"",INDEX($D$1:$F$1,MATCH(MIN(D525:F525),D525:F525,0)))</f>
        <v/>
      </c>
      <c r="L525" s="10" t="n">
        <v>1765.47</v>
      </c>
      <c r="M525" s="12" t="n">
        <v>1</v>
      </c>
    </row>
    <row r="527">
      <c r="A527" s="13" t="inlineStr">
        <is>
          <t>Cómo leer esta hoja. Cada celda de proveedor trae el precio tal como ese comercio lo publica; cuando tiene más de una cotización para el mismo ítem —dos marcas, dos presentaciones— se muestra la más baja, que es con la que se negocia. El mínimo, la mediana y el máximo se calculan sobre esas celdas. La referencia del sitio no: esa normaliza el ITBIS, promedia todas las cotizaciones y deja fuera las que vienen en otra presentación. Por eso las dos columnas pueden no coincidir, y cuando difieran la comparable es la del sitio.</t>
        </is>
      </c>
    </row>
    <row r="528"/>
  </sheetData>
  <autoFilter ref="A1:M525"/>
  <mergeCells count="1">
    <mergeCell ref="A527:M5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20"/>
  <sheetViews>
    <sheetView showGridLines="0" workbookViewId="0">
      <pane ySplit="7" topLeftCell="A8" activePane="bottomLeft" state="frozen"/>
      <selection pane="bottomLeft" activeCell="A1" sqref="A1"/>
    </sheetView>
  </sheetViews>
  <sheetFormatPr baseColWidth="8" defaultRowHeight="15"/>
  <cols>
    <col width="13" customWidth="1" min="1" max="1"/>
    <col width="46" customWidth="1" min="2" max="2"/>
    <col width="12" customWidth="1" min="3" max="3"/>
    <col width="20" customWidth="1" min="4" max="4"/>
    <col width="12" customWidth="1" min="5" max="5"/>
    <col width="15" customWidth="1" min="6" max="6"/>
    <col width="15" customWidth="1" min="7" max="7"/>
    <col width="11" customWidth="1" min="8" max="8"/>
    <col width="16" customWidth="1" min="9" max="9"/>
    <col width="30" customWidth="1" min="10" max="10"/>
  </cols>
  <sheetData>
    <row r="1">
      <c r="A1" s="1" t="inlineStr">
        <is>
          <t>Presupuesto</t>
        </is>
      </c>
    </row>
    <row r="2">
      <c r="A2" s="4" t="inlineStr">
        <is>
          <t>Escriba el código del ítem en la columna A y la cantidad en la columna E. Las celdas amarillas son las únicas que se llenan a mano; todo lo demás se calcula.</t>
        </is>
      </c>
    </row>
    <row r="3">
      <c r="A3" s="2" t="inlineStr">
        <is>
          <t>Los códigos salen de la hoja Catálogo. La fila 8 va llena como ejemplo: bórrela y empiece ahí.</t>
        </is>
      </c>
    </row>
    <row r="7" ht="30" customHeight="1">
      <c r="A7" s="6" t="inlineStr">
        <is>
          <t>Código</t>
        </is>
      </c>
      <c r="B7" s="6" t="inlineStr">
        <is>
          <t>Descripción</t>
        </is>
      </c>
      <c r="C7" s="6" t="inlineStr">
        <is>
          <t>Unidad</t>
        </is>
      </c>
      <c r="D7" s="6" t="inlineStr">
        <is>
          <t>Etapa de obra</t>
        </is>
      </c>
      <c r="E7" s="6" t="inlineStr">
        <is>
          <t>Cantidad</t>
        </is>
      </c>
      <c r="F7" s="6" t="inlineStr">
        <is>
          <t>Precio unitario (RD$)</t>
        </is>
      </c>
      <c r="G7" s="6" t="inlineStr">
        <is>
          <t>Importe (RD$)</t>
        </is>
      </c>
      <c r="H7" s="6" t="inlineStr">
        <is>
          <t>Incluye ITBIS</t>
        </is>
      </c>
      <c r="I7" s="6" t="inlineStr">
        <is>
          <t>Importe sin ITBIS (RD$)</t>
        </is>
      </c>
      <c r="J7" s="6" t="inlineStr">
        <is>
          <t>Nota</t>
        </is>
      </c>
    </row>
    <row r="8">
      <c r="A8" s="14" t="inlineStr">
        <is>
          <t>MAT-02-001</t>
        </is>
      </c>
      <c r="B8" s="5">
        <f>IF($A8="","",IFERROR(INDEX('Catálogo'!$D$2:$D$813,MATCH($A8,'Catálogo'!$A$2:$A$813,0)),"código no encontrado"))</f>
        <v/>
      </c>
      <c r="C8" s="4">
        <f>IF($A8="","",IFERROR(INDEX('Catálogo'!$H$2:$H$813,MATCH($A8,'Catálogo'!$A$2:$A$813,0)),"código no encontrado"))</f>
        <v/>
      </c>
      <c r="D8" s="4">
        <f>IF($A8="","",IFERROR(INDEX('Catálogo'!$I$2:$I$813,MATCH($A8,'Catálogo'!$A$2:$A$813,0)),"código no encontrado"))</f>
        <v/>
      </c>
      <c r="E8" s="15" t="n">
        <v>100</v>
      </c>
      <c r="F8" s="10">
        <f>IF($A8="","",IFERROR(INDEX('Catálogo'!$N$2:$N$813,MATCH($A8,'Catálogo'!$A$2:$A$813,0)),"código no encontrado"))</f>
        <v/>
      </c>
      <c r="G8" s="10">
        <f>IF(OR($E8="",$F8="",NOT(ISNUMBER($F8))),"",$E8*$F8)</f>
        <v/>
      </c>
      <c r="H8" s="4">
        <f>IF($A8="","",IFERROR(INDEX('Catálogo'!$Q$2:$Q$813,MATCH($A8,'Catálogo'!$A$2:$A$813,0)),"código no encontrado"))</f>
        <v/>
      </c>
      <c r="I8" s="10">
        <f>IF($G8="","",IF($H8="Sí",ROUND($G8/1.18,2),$G8))</f>
        <v/>
      </c>
      <c r="J8" s="14" t="inlineStr">
        <is>
          <t>fila de ejemplo — bórrela</t>
        </is>
      </c>
    </row>
    <row r="9">
      <c r="A9" s="14" t="n"/>
      <c r="B9" s="5">
        <f>IF($A9="","",IFERROR(INDEX('Catálogo'!$D$2:$D$813,MATCH($A9,'Catálogo'!$A$2:$A$813,0)),"código no encontrado"))</f>
        <v/>
      </c>
      <c r="C9" s="4">
        <f>IF($A9="","",IFERROR(INDEX('Catálogo'!$H$2:$H$813,MATCH($A9,'Catálogo'!$A$2:$A$813,0)),"código no encontrado"))</f>
        <v/>
      </c>
      <c r="D9" s="4">
        <f>IF($A9="","",IFERROR(INDEX('Catálogo'!$I$2:$I$813,MATCH($A9,'Catálogo'!$A$2:$A$813,0)),"código no encontrado"))</f>
        <v/>
      </c>
      <c r="E9" s="15" t="n"/>
      <c r="F9" s="10">
        <f>IF($A9="","",IFERROR(INDEX('Catálogo'!$N$2:$N$813,MATCH($A9,'Catálogo'!$A$2:$A$813,0)),"código no encontrado"))</f>
        <v/>
      </c>
      <c r="G9" s="10">
        <f>IF(OR($E9="",$F9="",NOT(ISNUMBER($F9))),"",$E9*$F9)</f>
        <v/>
      </c>
      <c r="H9" s="4">
        <f>IF($A9="","",IFERROR(INDEX('Catálogo'!$Q$2:$Q$813,MATCH($A9,'Catálogo'!$A$2:$A$813,0)),"código no encontrado"))</f>
        <v/>
      </c>
      <c r="I9" s="10">
        <f>IF($G9="","",IF($H9="Sí",ROUND($G9/1.18,2),$G9))</f>
        <v/>
      </c>
      <c r="J9" s="14" t="n"/>
    </row>
    <row r="10">
      <c r="A10" s="14" t="n"/>
      <c r="B10" s="5">
        <f>IF($A10="","",IFERROR(INDEX('Catálogo'!$D$2:$D$813,MATCH($A10,'Catálogo'!$A$2:$A$813,0)),"código no encontrado"))</f>
        <v/>
      </c>
      <c r="C10" s="4">
        <f>IF($A10="","",IFERROR(INDEX('Catálogo'!$H$2:$H$813,MATCH($A10,'Catálogo'!$A$2:$A$813,0)),"código no encontrado"))</f>
        <v/>
      </c>
      <c r="D10" s="4">
        <f>IF($A10="","",IFERROR(INDEX('Catálogo'!$I$2:$I$813,MATCH($A10,'Catálogo'!$A$2:$A$813,0)),"código no encontrado"))</f>
        <v/>
      </c>
      <c r="E10" s="15" t="n"/>
      <c r="F10" s="10">
        <f>IF($A10="","",IFERROR(INDEX('Catálogo'!$N$2:$N$813,MATCH($A10,'Catálogo'!$A$2:$A$813,0)),"código no encontrado"))</f>
        <v/>
      </c>
      <c r="G10" s="10">
        <f>IF(OR($E10="",$F10="",NOT(ISNUMBER($F10))),"",$E10*$F10)</f>
        <v/>
      </c>
      <c r="H10" s="4">
        <f>IF($A10="","",IFERROR(INDEX('Catálogo'!$Q$2:$Q$813,MATCH($A10,'Catálogo'!$A$2:$A$813,0)),"código no encontrado"))</f>
        <v/>
      </c>
      <c r="I10" s="10">
        <f>IF($G10="","",IF($H10="Sí",ROUND($G10/1.18,2),$G10))</f>
        <v/>
      </c>
      <c r="J10" s="14" t="n"/>
    </row>
    <row r="11">
      <c r="A11" s="14" t="n"/>
      <c r="B11" s="5">
        <f>IF($A11="","",IFERROR(INDEX('Catálogo'!$D$2:$D$813,MATCH($A11,'Catálogo'!$A$2:$A$813,0)),"código no encontrado"))</f>
        <v/>
      </c>
      <c r="C11" s="4">
        <f>IF($A11="","",IFERROR(INDEX('Catálogo'!$H$2:$H$813,MATCH($A11,'Catálogo'!$A$2:$A$813,0)),"código no encontrado"))</f>
        <v/>
      </c>
      <c r="D11" s="4">
        <f>IF($A11="","",IFERROR(INDEX('Catálogo'!$I$2:$I$813,MATCH($A11,'Catálogo'!$A$2:$A$813,0)),"código no encontrado"))</f>
        <v/>
      </c>
      <c r="E11" s="15" t="n"/>
      <c r="F11" s="10">
        <f>IF($A11="","",IFERROR(INDEX('Catálogo'!$N$2:$N$813,MATCH($A11,'Catálogo'!$A$2:$A$813,0)),"código no encontrado"))</f>
        <v/>
      </c>
      <c r="G11" s="10">
        <f>IF(OR($E11="",$F11="",NOT(ISNUMBER($F11))),"",$E11*$F11)</f>
        <v/>
      </c>
      <c r="H11" s="4">
        <f>IF($A11="","",IFERROR(INDEX('Catálogo'!$Q$2:$Q$813,MATCH($A11,'Catálogo'!$A$2:$A$813,0)),"código no encontrado"))</f>
        <v/>
      </c>
      <c r="I11" s="10">
        <f>IF($G11="","",IF($H11="Sí",ROUND($G11/1.18,2),$G11))</f>
        <v/>
      </c>
      <c r="J11" s="14" t="n"/>
    </row>
    <row r="12">
      <c r="A12" s="14" t="n"/>
      <c r="B12" s="5">
        <f>IF($A12="","",IFERROR(INDEX('Catálogo'!$D$2:$D$813,MATCH($A12,'Catálogo'!$A$2:$A$813,0)),"código no encontrado"))</f>
        <v/>
      </c>
      <c r="C12" s="4">
        <f>IF($A12="","",IFERROR(INDEX('Catálogo'!$H$2:$H$813,MATCH($A12,'Catálogo'!$A$2:$A$813,0)),"código no encontrado"))</f>
        <v/>
      </c>
      <c r="D12" s="4">
        <f>IF($A12="","",IFERROR(INDEX('Catálogo'!$I$2:$I$813,MATCH($A12,'Catálogo'!$A$2:$A$813,0)),"código no encontrado"))</f>
        <v/>
      </c>
      <c r="E12" s="15" t="n"/>
      <c r="F12" s="10">
        <f>IF($A12="","",IFERROR(INDEX('Catálogo'!$N$2:$N$813,MATCH($A12,'Catálogo'!$A$2:$A$813,0)),"código no encontrado"))</f>
        <v/>
      </c>
      <c r="G12" s="10">
        <f>IF(OR($E12="",$F12="",NOT(ISNUMBER($F12))),"",$E12*$F12)</f>
        <v/>
      </c>
      <c r="H12" s="4">
        <f>IF($A12="","",IFERROR(INDEX('Catálogo'!$Q$2:$Q$813,MATCH($A12,'Catálogo'!$A$2:$A$813,0)),"código no encontrado"))</f>
        <v/>
      </c>
      <c r="I12" s="10">
        <f>IF($G12="","",IF($H12="Sí",ROUND($G12/1.18,2),$G12))</f>
        <v/>
      </c>
      <c r="J12" s="14" t="n"/>
    </row>
    <row r="13">
      <c r="A13" s="14" t="n"/>
      <c r="B13" s="5">
        <f>IF($A13="","",IFERROR(INDEX('Catálogo'!$D$2:$D$813,MATCH($A13,'Catálogo'!$A$2:$A$813,0)),"código no encontrado"))</f>
        <v/>
      </c>
      <c r="C13" s="4">
        <f>IF($A13="","",IFERROR(INDEX('Catálogo'!$H$2:$H$813,MATCH($A13,'Catálogo'!$A$2:$A$813,0)),"código no encontrado"))</f>
        <v/>
      </c>
      <c r="D13" s="4">
        <f>IF($A13="","",IFERROR(INDEX('Catálogo'!$I$2:$I$813,MATCH($A13,'Catálogo'!$A$2:$A$813,0)),"código no encontrado"))</f>
        <v/>
      </c>
      <c r="E13" s="15" t="n"/>
      <c r="F13" s="10">
        <f>IF($A13="","",IFERROR(INDEX('Catálogo'!$N$2:$N$813,MATCH($A13,'Catálogo'!$A$2:$A$813,0)),"código no encontrado"))</f>
        <v/>
      </c>
      <c r="G13" s="10">
        <f>IF(OR($E13="",$F13="",NOT(ISNUMBER($F13))),"",$E13*$F13)</f>
        <v/>
      </c>
      <c r="H13" s="4">
        <f>IF($A13="","",IFERROR(INDEX('Catálogo'!$Q$2:$Q$813,MATCH($A13,'Catálogo'!$A$2:$A$813,0)),"código no encontrado"))</f>
        <v/>
      </c>
      <c r="I13" s="10">
        <f>IF($G13="","",IF($H13="Sí",ROUND($G13/1.18,2),$G13))</f>
        <v/>
      </c>
      <c r="J13" s="14" t="n"/>
    </row>
    <row r="14">
      <c r="A14" s="14" t="n"/>
      <c r="B14" s="5">
        <f>IF($A14="","",IFERROR(INDEX('Catálogo'!$D$2:$D$813,MATCH($A14,'Catálogo'!$A$2:$A$813,0)),"código no encontrado"))</f>
        <v/>
      </c>
      <c r="C14" s="4">
        <f>IF($A14="","",IFERROR(INDEX('Catálogo'!$H$2:$H$813,MATCH($A14,'Catálogo'!$A$2:$A$813,0)),"código no encontrado"))</f>
        <v/>
      </c>
      <c r="D14" s="4">
        <f>IF($A14="","",IFERROR(INDEX('Catálogo'!$I$2:$I$813,MATCH($A14,'Catálogo'!$A$2:$A$813,0)),"código no encontrado"))</f>
        <v/>
      </c>
      <c r="E14" s="15" t="n"/>
      <c r="F14" s="10">
        <f>IF($A14="","",IFERROR(INDEX('Catálogo'!$N$2:$N$813,MATCH($A14,'Catálogo'!$A$2:$A$813,0)),"código no encontrado"))</f>
        <v/>
      </c>
      <c r="G14" s="10">
        <f>IF(OR($E14="",$F14="",NOT(ISNUMBER($F14))),"",$E14*$F14)</f>
        <v/>
      </c>
      <c r="H14" s="4">
        <f>IF($A14="","",IFERROR(INDEX('Catálogo'!$Q$2:$Q$813,MATCH($A14,'Catálogo'!$A$2:$A$813,0)),"código no encontrado"))</f>
        <v/>
      </c>
      <c r="I14" s="10">
        <f>IF($G14="","",IF($H14="Sí",ROUND($G14/1.18,2),$G14))</f>
        <v/>
      </c>
      <c r="J14" s="14" t="n"/>
    </row>
    <row r="15">
      <c r="A15" s="14" t="n"/>
      <c r="B15" s="5">
        <f>IF($A15="","",IFERROR(INDEX('Catálogo'!$D$2:$D$813,MATCH($A15,'Catálogo'!$A$2:$A$813,0)),"código no encontrado"))</f>
        <v/>
      </c>
      <c r="C15" s="4">
        <f>IF($A15="","",IFERROR(INDEX('Catálogo'!$H$2:$H$813,MATCH($A15,'Catálogo'!$A$2:$A$813,0)),"código no encontrado"))</f>
        <v/>
      </c>
      <c r="D15" s="4">
        <f>IF($A15="","",IFERROR(INDEX('Catálogo'!$I$2:$I$813,MATCH($A15,'Catálogo'!$A$2:$A$813,0)),"código no encontrado"))</f>
        <v/>
      </c>
      <c r="E15" s="15" t="n"/>
      <c r="F15" s="10">
        <f>IF($A15="","",IFERROR(INDEX('Catálogo'!$N$2:$N$813,MATCH($A15,'Catálogo'!$A$2:$A$813,0)),"código no encontrado"))</f>
        <v/>
      </c>
      <c r="G15" s="10">
        <f>IF(OR($E15="",$F15="",NOT(ISNUMBER($F15))),"",$E15*$F15)</f>
        <v/>
      </c>
      <c r="H15" s="4">
        <f>IF($A15="","",IFERROR(INDEX('Catálogo'!$Q$2:$Q$813,MATCH($A15,'Catálogo'!$A$2:$A$813,0)),"código no encontrado"))</f>
        <v/>
      </c>
      <c r="I15" s="10">
        <f>IF($G15="","",IF($H15="Sí",ROUND($G15/1.18,2),$G15))</f>
        <v/>
      </c>
      <c r="J15" s="14" t="n"/>
    </row>
    <row r="16">
      <c r="A16" s="14" t="n"/>
      <c r="B16" s="5">
        <f>IF($A16="","",IFERROR(INDEX('Catálogo'!$D$2:$D$813,MATCH($A16,'Catálogo'!$A$2:$A$813,0)),"código no encontrado"))</f>
        <v/>
      </c>
      <c r="C16" s="4">
        <f>IF($A16="","",IFERROR(INDEX('Catálogo'!$H$2:$H$813,MATCH($A16,'Catálogo'!$A$2:$A$813,0)),"código no encontrado"))</f>
        <v/>
      </c>
      <c r="D16" s="4">
        <f>IF($A16="","",IFERROR(INDEX('Catálogo'!$I$2:$I$813,MATCH($A16,'Catálogo'!$A$2:$A$813,0)),"código no encontrado"))</f>
        <v/>
      </c>
      <c r="E16" s="15" t="n"/>
      <c r="F16" s="10">
        <f>IF($A16="","",IFERROR(INDEX('Catálogo'!$N$2:$N$813,MATCH($A16,'Catálogo'!$A$2:$A$813,0)),"código no encontrado"))</f>
        <v/>
      </c>
      <c r="G16" s="10">
        <f>IF(OR($E16="",$F16="",NOT(ISNUMBER($F16))),"",$E16*$F16)</f>
        <v/>
      </c>
      <c r="H16" s="4">
        <f>IF($A16="","",IFERROR(INDEX('Catálogo'!$Q$2:$Q$813,MATCH($A16,'Catálogo'!$A$2:$A$813,0)),"código no encontrado"))</f>
        <v/>
      </c>
      <c r="I16" s="10">
        <f>IF($G16="","",IF($H16="Sí",ROUND($G16/1.18,2),$G16))</f>
        <v/>
      </c>
      <c r="J16" s="14" t="n"/>
    </row>
    <row r="17">
      <c r="A17" s="14" t="n"/>
      <c r="B17" s="5">
        <f>IF($A17="","",IFERROR(INDEX('Catálogo'!$D$2:$D$813,MATCH($A17,'Catálogo'!$A$2:$A$813,0)),"código no encontrado"))</f>
        <v/>
      </c>
      <c r="C17" s="4">
        <f>IF($A17="","",IFERROR(INDEX('Catálogo'!$H$2:$H$813,MATCH($A17,'Catálogo'!$A$2:$A$813,0)),"código no encontrado"))</f>
        <v/>
      </c>
      <c r="D17" s="4">
        <f>IF($A17="","",IFERROR(INDEX('Catálogo'!$I$2:$I$813,MATCH($A17,'Catálogo'!$A$2:$A$813,0)),"código no encontrado"))</f>
        <v/>
      </c>
      <c r="E17" s="15" t="n"/>
      <c r="F17" s="10">
        <f>IF($A17="","",IFERROR(INDEX('Catálogo'!$N$2:$N$813,MATCH($A17,'Catálogo'!$A$2:$A$813,0)),"código no encontrado"))</f>
        <v/>
      </c>
      <c r="G17" s="10">
        <f>IF(OR($E17="",$F17="",NOT(ISNUMBER($F17))),"",$E17*$F17)</f>
        <v/>
      </c>
      <c r="H17" s="4">
        <f>IF($A17="","",IFERROR(INDEX('Catálogo'!$Q$2:$Q$813,MATCH($A17,'Catálogo'!$A$2:$A$813,0)),"código no encontrado"))</f>
        <v/>
      </c>
      <c r="I17" s="10">
        <f>IF($G17="","",IF($H17="Sí",ROUND($G17/1.18,2),$G17))</f>
        <v/>
      </c>
      <c r="J17" s="14" t="n"/>
    </row>
    <row r="18">
      <c r="A18" s="14" t="n"/>
      <c r="B18" s="5">
        <f>IF($A18="","",IFERROR(INDEX('Catálogo'!$D$2:$D$813,MATCH($A18,'Catálogo'!$A$2:$A$813,0)),"código no encontrado"))</f>
        <v/>
      </c>
      <c r="C18" s="4">
        <f>IF($A18="","",IFERROR(INDEX('Catálogo'!$H$2:$H$813,MATCH($A18,'Catálogo'!$A$2:$A$813,0)),"código no encontrado"))</f>
        <v/>
      </c>
      <c r="D18" s="4">
        <f>IF($A18="","",IFERROR(INDEX('Catálogo'!$I$2:$I$813,MATCH($A18,'Catálogo'!$A$2:$A$813,0)),"código no encontrado"))</f>
        <v/>
      </c>
      <c r="E18" s="15" t="n"/>
      <c r="F18" s="10">
        <f>IF($A18="","",IFERROR(INDEX('Catálogo'!$N$2:$N$813,MATCH($A18,'Catálogo'!$A$2:$A$813,0)),"código no encontrado"))</f>
        <v/>
      </c>
      <c r="G18" s="10">
        <f>IF(OR($E18="",$F18="",NOT(ISNUMBER($F18))),"",$E18*$F18)</f>
        <v/>
      </c>
      <c r="H18" s="4">
        <f>IF($A18="","",IFERROR(INDEX('Catálogo'!$Q$2:$Q$813,MATCH($A18,'Catálogo'!$A$2:$A$813,0)),"código no encontrado"))</f>
        <v/>
      </c>
      <c r="I18" s="10">
        <f>IF($G18="","",IF($H18="Sí",ROUND($G18/1.18,2),$G18))</f>
        <v/>
      </c>
      <c r="J18" s="14" t="n"/>
    </row>
    <row r="19">
      <c r="A19" s="14" t="n"/>
      <c r="B19" s="5">
        <f>IF($A19="","",IFERROR(INDEX('Catálogo'!$D$2:$D$813,MATCH($A19,'Catálogo'!$A$2:$A$813,0)),"código no encontrado"))</f>
        <v/>
      </c>
      <c r="C19" s="4">
        <f>IF($A19="","",IFERROR(INDEX('Catálogo'!$H$2:$H$813,MATCH($A19,'Catálogo'!$A$2:$A$813,0)),"código no encontrado"))</f>
        <v/>
      </c>
      <c r="D19" s="4">
        <f>IF($A19="","",IFERROR(INDEX('Catálogo'!$I$2:$I$813,MATCH($A19,'Catálogo'!$A$2:$A$813,0)),"código no encontrado"))</f>
        <v/>
      </c>
      <c r="E19" s="15" t="n"/>
      <c r="F19" s="10">
        <f>IF($A19="","",IFERROR(INDEX('Catálogo'!$N$2:$N$813,MATCH($A19,'Catálogo'!$A$2:$A$813,0)),"código no encontrado"))</f>
        <v/>
      </c>
      <c r="G19" s="10">
        <f>IF(OR($E19="",$F19="",NOT(ISNUMBER($F19))),"",$E19*$F19)</f>
        <v/>
      </c>
      <c r="H19" s="4">
        <f>IF($A19="","",IFERROR(INDEX('Catálogo'!$Q$2:$Q$813,MATCH($A19,'Catálogo'!$A$2:$A$813,0)),"código no encontrado"))</f>
        <v/>
      </c>
      <c r="I19" s="10">
        <f>IF($G19="","",IF($H19="Sí",ROUND($G19/1.18,2),$G19))</f>
        <v/>
      </c>
      <c r="J19" s="14" t="n"/>
    </row>
    <row r="20">
      <c r="A20" s="14" t="n"/>
      <c r="B20" s="5">
        <f>IF($A20="","",IFERROR(INDEX('Catálogo'!$D$2:$D$813,MATCH($A20,'Catálogo'!$A$2:$A$813,0)),"código no encontrado"))</f>
        <v/>
      </c>
      <c r="C20" s="4">
        <f>IF($A20="","",IFERROR(INDEX('Catálogo'!$H$2:$H$813,MATCH($A20,'Catálogo'!$A$2:$A$813,0)),"código no encontrado"))</f>
        <v/>
      </c>
      <c r="D20" s="4">
        <f>IF($A20="","",IFERROR(INDEX('Catálogo'!$I$2:$I$813,MATCH($A20,'Catálogo'!$A$2:$A$813,0)),"código no encontrado"))</f>
        <v/>
      </c>
      <c r="E20" s="15" t="n"/>
      <c r="F20" s="10">
        <f>IF($A20="","",IFERROR(INDEX('Catálogo'!$N$2:$N$813,MATCH($A20,'Catálogo'!$A$2:$A$813,0)),"código no encontrado"))</f>
        <v/>
      </c>
      <c r="G20" s="10">
        <f>IF(OR($E20="",$F20="",NOT(ISNUMBER($F20))),"",$E20*$F20)</f>
        <v/>
      </c>
      <c r="H20" s="4">
        <f>IF($A20="","",IFERROR(INDEX('Catálogo'!$Q$2:$Q$813,MATCH($A20,'Catálogo'!$A$2:$A$813,0)),"código no encontrado"))</f>
        <v/>
      </c>
      <c r="I20" s="10">
        <f>IF($G20="","",IF($H20="Sí",ROUND($G20/1.18,2),$G20))</f>
        <v/>
      </c>
      <c r="J20" s="14" t="n"/>
    </row>
    <row r="21">
      <c r="A21" s="14" t="n"/>
      <c r="B21" s="5">
        <f>IF($A21="","",IFERROR(INDEX('Catálogo'!$D$2:$D$813,MATCH($A21,'Catálogo'!$A$2:$A$813,0)),"código no encontrado"))</f>
        <v/>
      </c>
      <c r="C21" s="4">
        <f>IF($A21="","",IFERROR(INDEX('Catálogo'!$H$2:$H$813,MATCH($A21,'Catálogo'!$A$2:$A$813,0)),"código no encontrado"))</f>
        <v/>
      </c>
      <c r="D21" s="4">
        <f>IF($A21="","",IFERROR(INDEX('Catálogo'!$I$2:$I$813,MATCH($A21,'Catálogo'!$A$2:$A$813,0)),"código no encontrado"))</f>
        <v/>
      </c>
      <c r="E21" s="15" t="n"/>
      <c r="F21" s="10">
        <f>IF($A21="","",IFERROR(INDEX('Catálogo'!$N$2:$N$813,MATCH($A21,'Catálogo'!$A$2:$A$813,0)),"código no encontrado"))</f>
        <v/>
      </c>
      <c r="G21" s="10">
        <f>IF(OR($E21="",$F21="",NOT(ISNUMBER($F21))),"",$E21*$F21)</f>
        <v/>
      </c>
      <c r="H21" s="4">
        <f>IF($A21="","",IFERROR(INDEX('Catálogo'!$Q$2:$Q$813,MATCH($A21,'Catálogo'!$A$2:$A$813,0)),"código no encontrado"))</f>
        <v/>
      </c>
      <c r="I21" s="10">
        <f>IF($G21="","",IF($H21="Sí",ROUND($G21/1.18,2),$G21))</f>
        <v/>
      </c>
      <c r="J21" s="14" t="n"/>
    </row>
    <row r="22">
      <c r="A22" s="14" t="n"/>
      <c r="B22" s="5">
        <f>IF($A22="","",IFERROR(INDEX('Catálogo'!$D$2:$D$813,MATCH($A22,'Catálogo'!$A$2:$A$813,0)),"código no encontrado"))</f>
        <v/>
      </c>
      <c r="C22" s="4">
        <f>IF($A22="","",IFERROR(INDEX('Catálogo'!$H$2:$H$813,MATCH($A22,'Catálogo'!$A$2:$A$813,0)),"código no encontrado"))</f>
        <v/>
      </c>
      <c r="D22" s="4">
        <f>IF($A22="","",IFERROR(INDEX('Catálogo'!$I$2:$I$813,MATCH($A22,'Catálogo'!$A$2:$A$813,0)),"código no encontrado"))</f>
        <v/>
      </c>
      <c r="E22" s="15" t="n"/>
      <c r="F22" s="10">
        <f>IF($A22="","",IFERROR(INDEX('Catálogo'!$N$2:$N$813,MATCH($A22,'Catálogo'!$A$2:$A$813,0)),"código no encontrado"))</f>
        <v/>
      </c>
      <c r="G22" s="10">
        <f>IF(OR($E22="",$F22="",NOT(ISNUMBER($F22))),"",$E22*$F22)</f>
        <v/>
      </c>
      <c r="H22" s="4">
        <f>IF($A22="","",IFERROR(INDEX('Catálogo'!$Q$2:$Q$813,MATCH($A22,'Catálogo'!$A$2:$A$813,0)),"código no encontrado"))</f>
        <v/>
      </c>
      <c r="I22" s="10">
        <f>IF($G22="","",IF($H22="Sí",ROUND($G22/1.18,2),$G22))</f>
        <v/>
      </c>
      <c r="J22" s="14" t="n"/>
    </row>
    <row r="23">
      <c r="A23" s="14" t="n"/>
      <c r="B23" s="5">
        <f>IF($A23="","",IFERROR(INDEX('Catálogo'!$D$2:$D$813,MATCH($A23,'Catálogo'!$A$2:$A$813,0)),"código no encontrado"))</f>
        <v/>
      </c>
      <c r="C23" s="4">
        <f>IF($A23="","",IFERROR(INDEX('Catálogo'!$H$2:$H$813,MATCH($A23,'Catálogo'!$A$2:$A$813,0)),"código no encontrado"))</f>
        <v/>
      </c>
      <c r="D23" s="4">
        <f>IF($A23="","",IFERROR(INDEX('Catálogo'!$I$2:$I$813,MATCH($A23,'Catálogo'!$A$2:$A$813,0)),"código no encontrado"))</f>
        <v/>
      </c>
      <c r="E23" s="15" t="n"/>
      <c r="F23" s="10">
        <f>IF($A23="","",IFERROR(INDEX('Catálogo'!$N$2:$N$813,MATCH($A23,'Catálogo'!$A$2:$A$813,0)),"código no encontrado"))</f>
        <v/>
      </c>
      <c r="G23" s="10">
        <f>IF(OR($E23="",$F23="",NOT(ISNUMBER($F23))),"",$E23*$F23)</f>
        <v/>
      </c>
      <c r="H23" s="4">
        <f>IF($A23="","",IFERROR(INDEX('Catálogo'!$Q$2:$Q$813,MATCH($A23,'Catálogo'!$A$2:$A$813,0)),"código no encontrado"))</f>
        <v/>
      </c>
      <c r="I23" s="10">
        <f>IF($G23="","",IF($H23="Sí",ROUND($G23/1.18,2),$G23))</f>
        <v/>
      </c>
      <c r="J23" s="14" t="n"/>
    </row>
    <row r="24">
      <c r="A24" s="14" t="n"/>
      <c r="B24" s="5">
        <f>IF($A24="","",IFERROR(INDEX('Catálogo'!$D$2:$D$813,MATCH($A24,'Catálogo'!$A$2:$A$813,0)),"código no encontrado"))</f>
        <v/>
      </c>
      <c r="C24" s="4">
        <f>IF($A24="","",IFERROR(INDEX('Catálogo'!$H$2:$H$813,MATCH($A24,'Catálogo'!$A$2:$A$813,0)),"código no encontrado"))</f>
        <v/>
      </c>
      <c r="D24" s="4">
        <f>IF($A24="","",IFERROR(INDEX('Catálogo'!$I$2:$I$813,MATCH($A24,'Catálogo'!$A$2:$A$813,0)),"código no encontrado"))</f>
        <v/>
      </c>
      <c r="E24" s="15" t="n"/>
      <c r="F24" s="10">
        <f>IF($A24="","",IFERROR(INDEX('Catálogo'!$N$2:$N$813,MATCH($A24,'Catálogo'!$A$2:$A$813,0)),"código no encontrado"))</f>
        <v/>
      </c>
      <c r="G24" s="10">
        <f>IF(OR($E24="",$F24="",NOT(ISNUMBER($F24))),"",$E24*$F24)</f>
        <v/>
      </c>
      <c r="H24" s="4">
        <f>IF($A24="","",IFERROR(INDEX('Catálogo'!$Q$2:$Q$813,MATCH($A24,'Catálogo'!$A$2:$A$813,0)),"código no encontrado"))</f>
        <v/>
      </c>
      <c r="I24" s="10">
        <f>IF($G24="","",IF($H24="Sí",ROUND($G24/1.18,2),$G24))</f>
        <v/>
      </c>
      <c r="J24" s="14" t="n"/>
    </row>
    <row r="25">
      <c r="A25" s="14" t="n"/>
      <c r="B25" s="5">
        <f>IF($A25="","",IFERROR(INDEX('Catálogo'!$D$2:$D$813,MATCH($A25,'Catálogo'!$A$2:$A$813,0)),"código no encontrado"))</f>
        <v/>
      </c>
      <c r="C25" s="4">
        <f>IF($A25="","",IFERROR(INDEX('Catálogo'!$H$2:$H$813,MATCH($A25,'Catálogo'!$A$2:$A$813,0)),"código no encontrado"))</f>
        <v/>
      </c>
      <c r="D25" s="4">
        <f>IF($A25="","",IFERROR(INDEX('Catálogo'!$I$2:$I$813,MATCH($A25,'Catálogo'!$A$2:$A$813,0)),"código no encontrado"))</f>
        <v/>
      </c>
      <c r="E25" s="15" t="n"/>
      <c r="F25" s="10">
        <f>IF($A25="","",IFERROR(INDEX('Catálogo'!$N$2:$N$813,MATCH($A25,'Catálogo'!$A$2:$A$813,0)),"código no encontrado"))</f>
        <v/>
      </c>
      <c r="G25" s="10">
        <f>IF(OR($E25="",$F25="",NOT(ISNUMBER($F25))),"",$E25*$F25)</f>
        <v/>
      </c>
      <c r="H25" s="4">
        <f>IF($A25="","",IFERROR(INDEX('Catálogo'!$Q$2:$Q$813,MATCH($A25,'Catálogo'!$A$2:$A$813,0)),"código no encontrado"))</f>
        <v/>
      </c>
      <c r="I25" s="10">
        <f>IF($G25="","",IF($H25="Sí",ROUND($G25/1.18,2),$G25))</f>
        <v/>
      </c>
      <c r="J25" s="14" t="n"/>
    </row>
    <row r="26">
      <c r="A26" s="14" t="n"/>
      <c r="B26" s="5">
        <f>IF($A26="","",IFERROR(INDEX('Catálogo'!$D$2:$D$813,MATCH($A26,'Catálogo'!$A$2:$A$813,0)),"código no encontrado"))</f>
        <v/>
      </c>
      <c r="C26" s="4">
        <f>IF($A26="","",IFERROR(INDEX('Catálogo'!$H$2:$H$813,MATCH($A26,'Catálogo'!$A$2:$A$813,0)),"código no encontrado"))</f>
        <v/>
      </c>
      <c r="D26" s="4">
        <f>IF($A26="","",IFERROR(INDEX('Catálogo'!$I$2:$I$813,MATCH($A26,'Catálogo'!$A$2:$A$813,0)),"código no encontrado"))</f>
        <v/>
      </c>
      <c r="E26" s="15" t="n"/>
      <c r="F26" s="10">
        <f>IF($A26="","",IFERROR(INDEX('Catálogo'!$N$2:$N$813,MATCH($A26,'Catálogo'!$A$2:$A$813,0)),"código no encontrado"))</f>
        <v/>
      </c>
      <c r="G26" s="10">
        <f>IF(OR($E26="",$F26="",NOT(ISNUMBER($F26))),"",$E26*$F26)</f>
        <v/>
      </c>
      <c r="H26" s="4">
        <f>IF($A26="","",IFERROR(INDEX('Catálogo'!$Q$2:$Q$813,MATCH($A26,'Catálogo'!$A$2:$A$813,0)),"código no encontrado"))</f>
        <v/>
      </c>
      <c r="I26" s="10">
        <f>IF($G26="","",IF($H26="Sí",ROUND($G26/1.18,2),$G26))</f>
        <v/>
      </c>
      <c r="J26" s="14" t="n"/>
    </row>
    <row r="27">
      <c r="A27" s="14" t="n"/>
      <c r="B27" s="5">
        <f>IF($A27="","",IFERROR(INDEX('Catálogo'!$D$2:$D$813,MATCH($A27,'Catálogo'!$A$2:$A$813,0)),"código no encontrado"))</f>
        <v/>
      </c>
      <c r="C27" s="4">
        <f>IF($A27="","",IFERROR(INDEX('Catálogo'!$H$2:$H$813,MATCH($A27,'Catálogo'!$A$2:$A$813,0)),"código no encontrado"))</f>
        <v/>
      </c>
      <c r="D27" s="4">
        <f>IF($A27="","",IFERROR(INDEX('Catálogo'!$I$2:$I$813,MATCH($A27,'Catálogo'!$A$2:$A$813,0)),"código no encontrado"))</f>
        <v/>
      </c>
      <c r="E27" s="15" t="n"/>
      <c r="F27" s="10">
        <f>IF($A27="","",IFERROR(INDEX('Catálogo'!$N$2:$N$813,MATCH($A27,'Catálogo'!$A$2:$A$813,0)),"código no encontrado"))</f>
        <v/>
      </c>
      <c r="G27" s="10">
        <f>IF(OR($E27="",$F27="",NOT(ISNUMBER($F27))),"",$E27*$F27)</f>
        <v/>
      </c>
      <c r="H27" s="4">
        <f>IF($A27="","",IFERROR(INDEX('Catálogo'!$Q$2:$Q$813,MATCH($A27,'Catálogo'!$A$2:$A$813,0)),"código no encontrado"))</f>
        <v/>
      </c>
      <c r="I27" s="10">
        <f>IF($G27="","",IF($H27="Sí",ROUND($G27/1.18,2),$G27))</f>
        <v/>
      </c>
      <c r="J27" s="14" t="n"/>
    </row>
    <row r="28">
      <c r="A28" s="14" t="n"/>
      <c r="B28" s="5">
        <f>IF($A28="","",IFERROR(INDEX('Catálogo'!$D$2:$D$813,MATCH($A28,'Catálogo'!$A$2:$A$813,0)),"código no encontrado"))</f>
        <v/>
      </c>
      <c r="C28" s="4">
        <f>IF($A28="","",IFERROR(INDEX('Catálogo'!$H$2:$H$813,MATCH($A28,'Catálogo'!$A$2:$A$813,0)),"código no encontrado"))</f>
        <v/>
      </c>
      <c r="D28" s="4">
        <f>IF($A28="","",IFERROR(INDEX('Catálogo'!$I$2:$I$813,MATCH($A28,'Catálogo'!$A$2:$A$813,0)),"código no encontrado"))</f>
        <v/>
      </c>
      <c r="E28" s="15" t="n"/>
      <c r="F28" s="10">
        <f>IF($A28="","",IFERROR(INDEX('Catálogo'!$N$2:$N$813,MATCH($A28,'Catálogo'!$A$2:$A$813,0)),"código no encontrado"))</f>
        <v/>
      </c>
      <c r="G28" s="10">
        <f>IF(OR($E28="",$F28="",NOT(ISNUMBER($F28))),"",$E28*$F28)</f>
        <v/>
      </c>
      <c r="H28" s="4">
        <f>IF($A28="","",IFERROR(INDEX('Catálogo'!$Q$2:$Q$813,MATCH($A28,'Catálogo'!$A$2:$A$813,0)),"código no encontrado"))</f>
        <v/>
      </c>
      <c r="I28" s="10">
        <f>IF($G28="","",IF($H28="Sí",ROUND($G28/1.18,2),$G28))</f>
        <v/>
      </c>
      <c r="J28" s="14" t="n"/>
    </row>
    <row r="29">
      <c r="A29" s="14" t="n"/>
      <c r="B29" s="5">
        <f>IF($A29="","",IFERROR(INDEX('Catálogo'!$D$2:$D$813,MATCH($A29,'Catálogo'!$A$2:$A$813,0)),"código no encontrado"))</f>
        <v/>
      </c>
      <c r="C29" s="4">
        <f>IF($A29="","",IFERROR(INDEX('Catálogo'!$H$2:$H$813,MATCH($A29,'Catálogo'!$A$2:$A$813,0)),"código no encontrado"))</f>
        <v/>
      </c>
      <c r="D29" s="4">
        <f>IF($A29="","",IFERROR(INDEX('Catálogo'!$I$2:$I$813,MATCH($A29,'Catálogo'!$A$2:$A$813,0)),"código no encontrado"))</f>
        <v/>
      </c>
      <c r="E29" s="15" t="n"/>
      <c r="F29" s="10">
        <f>IF($A29="","",IFERROR(INDEX('Catálogo'!$N$2:$N$813,MATCH($A29,'Catálogo'!$A$2:$A$813,0)),"código no encontrado"))</f>
        <v/>
      </c>
      <c r="G29" s="10">
        <f>IF(OR($E29="",$F29="",NOT(ISNUMBER($F29))),"",$E29*$F29)</f>
        <v/>
      </c>
      <c r="H29" s="4">
        <f>IF($A29="","",IFERROR(INDEX('Catálogo'!$Q$2:$Q$813,MATCH($A29,'Catálogo'!$A$2:$A$813,0)),"código no encontrado"))</f>
        <v/>
      </c>
      <c r="I29" s="10">
        <f>IF($G29="","",IF($H29="Sí",ROUND($G29/1.18,2),$G29))</f>
        <v/>
      </c>
      <c r="J29" s="14" t="n"/>
    </row>
    <row r="30">
      <c r="A30" s="14" t="n"/>
      <c r="B30" s="5">
        <f>IF($A30="","",IFERROR(INDEX('Catálogo'!$D$2:$D$813,MATCH($A30,'Catálogo'!$A$2:$A$813,0)),"código no encontrado"))</f>
        <v/>
      </c>
      <c r="C30" s="4">
        <f>IF($A30="","",IFERROR(INDEX('Catálogo'!$H$2:$H$813,MATCH($A30,'Catálogo'!$A$2:$A$813,0)),"código no encontrado"))</f>
        <v/>
      </c>
      <c r="D30" s="4">
        <f>IF($A30="","",IFERROR(INDEX('Catálogo'!$I$2:$I$813,MATCH($A30,'Catálogo'!$A$2:$A$813,0)),"código no encontrado"))</f>
        <v/>
      </c>
      <c r="E30" s="15" t="n"/>
      <c r="F30" s="10">
        <f>IF($A30="","",IFERROR(INDEX('Catálogo'!$N$2:$N$813,MATCH($A30,'Catálogo'!$A$2:$A$813,0)),"código no encontrado"))</f>
        <v/>
      </c>
      <c r="G30" s="10">
        <f>IF(OR($E30="",$F30="",NOT(ISNUMBER($F30))),"",$E30*$F30)</f>
        <v/>
      </c>
      <c r="H30" s="4">
        <f>IF($A30="","",IFERROR(INDEX('Catálogo'!$Q$2:$Q$813,MATCH($A30,'Catálogo'!$A$2:$A$813,0)),"código no encontrado"))</f>
        <v/>
      </c>
      <c r="I30" s="10">
        <f>IF($G30="","",IF($H30="Sí",ROUND($G30/1.18,2),$G30))</f>
        <v/>
      </c>
      <c r="J30" s="14" t="n"/>
    </row>
    <row r="31">
      <c r="A31" s="14" t="n"/>
      <c r="B31" s="5">
        <f>IF($A31="","",IFERROR(INDEX('Catálogo'!$D$2:$D$813,MATCH($A31,'Catálogo'!$A$2:$A$813,0)),"código no encontrado"))</f>
        <v/>
      </c>
      <c r="C31" s="4">
        <f>IF($A31="","",IFERROR(INDEX('Catálogo'!$H$2:$H$813,MATCH($A31,'Catálogo'!$A$2:$A$813,0)),"código no encontrado"))</f>
        <v/>
      </c>
      <c r="D31" s="4">
        <f>IF($A31="","",IFERROR(INDEX('Catálogo'!$I$2:$I$813,MATCH($A31,'Catálogo'!$A$2:$A$813,0)),"código no encontrado"))</f>
        <v/>
      </c>
      <c r="E31" s="15" t="n"/>
      <c r="F31" s="10">
        <f>IF($A31="","",IFERROR(INDEX('Catálogo'!$N$2:$N$813,MATCH($A31,'Catálogo'!$A$2:$A$813,0)),"código no encontrado"))</f>
        <v/>
      </c>
      <c r="G31" s="10">
        <f>IF(OR($E31="",$F31="",NOT(ISNUMBER($F31))),"",$E31*$F31)</f>
        <v/>
      </c>
      <c r="H31" s="4">
        <f>IF($A31="","",IFERROR(INDEX('Catálogo'!$Q$2:$Q$813,MATCH($A31,'Catálogo'!$A$2:$A$813,0)),"código no encontrado"))</f>
        <v/>
      </c>
      <c r="I31" s="10">
        <f>IF($G31="","",IF($H31="Sí",ROUND($G31/1.18,2),$G31))</f>
        <v/>
      </c>
      <c r="J31" s="14" t="n"/>
    </row>
    <row r="32">
      <c r="A32" s="14" t="n"/>
      <c r="B32" s="5">
        <f>IF($A32="","",IFERROR(INDEX('Catálogo'!$D$2:$D$813,MATCH($A32,'Catálogo'!$A$2:$A$813,0)),"código no encontrado"))</f>
        <v/>
      </c>
      <c r="C32" s="4">
        <f>IF($A32="","",IFERROR(INDEX('Catálogo'!$H$2:$H$813,MATCH($A32,'Catálogo'!$A$2:$A$813,0)),"código no encontrado"))</f>
        <v/>
      </c>
      <c r="D32" s="4">
        <f>IF($A32="","",IFERROR(INDEX('Catálogo'!$I$2:$I$813,MATCH($A32,'Catálogo'!$A$2:$A$813,0)),"código no encontrado"))</f>
        <v/>
      </c>
      <c r="E32" s="15" t="n"/>
      <c r="F32" s="10">
        <f>IF($A32="","",IFERROR(INDEX('Catálogo'!$N$2:$N$813,MATCH($A32,'Catálogo'!$A$2:$A$813,0)),"código no encontrado"))</f>
        <v/>
      </c>
      <c r="G32" s="10">
        <f>IF(OR($E32="",$F32="",NOT(ISNUMBER($F32))),"",$E32*$F32)</f>
        <v/>
      </c>
      <c r="H32" s="4">
        <f>IF($A32="","",IFERROR(INDEX('Catálogo'!$Q$2:$Q$813,MATCH($A32,'Catálogo'!$A$2:$A$813,0)),"código no encontrado"))</f>
        <v/>
      </c>
      <c r="I32" s="10">
        <f>IF($G32="","",IF($H32="Sí",ROUND($G32/1.18,2),$G32))</f>
        <v/>
      </c>
      <c r="J32" s="14" t="n"/>
    </row>
    <row r="33">
      <c r="A33" s="14" t="n"/>
      <c r="B33" s="5">
        <f>IF($A33="","",IFERROR(INDEX('Catálogo'!$D$2:$D$813,MATCH($A33,'Catálogo'!$A$2:$A$813,0)),"código no encontrado"))</f>
        <v/>
      </c>
      <c r="C33" s="4">
        <f>IF($A33="","",IFERROR(INDEX('Catálogo'!$H$2:$H$813,MATCH($A33,'Catálogo'!$A$2:$A$813,0)),"código no encontrado"))</f>
        <v/>
      </c>
      <c r="D33" s="4">
        <f>IF($A33="","",IFERROR(INDEX('Catálogo'!$I$2:$I$813,MATCH($A33,'Catálogo'!$A$2:$A$813,0)),"código no encontrado"))</f>
        <v/>
      </c>
      <c r="E33" s="15" t="n"/>
      <c r="F33" s="10">
        <f>IF($A33="","",IFERROR(INDEX('Catálogo'!$N$2:$N$813,MATCH($A33,'Catálogo'!$A$2:$A$813,0)),"código no encontrado"))</f>
        <v/>
      </c>
      <c r="G33" s="10">
        <f>IF(OR($E33="",$F33="",NOT(ISNUMBER($F33))),"",$E33*$F33)</f>
        <v/>
      </c>
      <c r="H33" s="4">
        <f>IF($A33="","",IFERROR(INDEX('Catálogo'!$Q$2:$Q$813,MATCH($A33,'Catálogo'!$A$2:$A$813,0)),"código no encontrado"))</f>
        <v/>
      </c>
      <c r="I33" s="10">
        <f>IF($G33="","",IF($H33="Sí",ROUND($G33/1.18,2),$G33))</f>
        <v/>
      </c>
      <c r="J33" s="14" t="n"/>
    </row>
    <row r="34">
      <c r="A34" s="14" t="n"/>
      <c r="B34" s="5">
        <f>IF($A34="","",IFERROR(INDEX('Catálogo'!$D$2:$D$813,MATCH($A34,'Catálogo'!$A$2:$A$813,0)),"código no encontrado"))</f>
        <v/>
      </c>
      <c r="C34" s="4">
        <f>IF($A34="","",IFERROR(INDEX('Catálogo'!$H$2:$H$813,MATCH($A34,'Catálogo'!$A$2:$A$813,0)),"código no encontrado"))</f>
        <v/>
      </c>
      <c r="D34" s="4">
        <f>IF($A34="","",IFERROR(INDEX('Catálogo'!$I$2:$I$813,MATCH($A34,'Catálogo'!$A$2:$A$813,0)),"código no encontrado"))</f>
        <v/>
      </c>
      <c r="E34" s="15" t="n"/>
      <c r="F34" s="10">
        <f>IF($A34="","",IFERROR(INDEX('Catálogo'!$N$2:$N$813,MATCH($A34,'Catálogo'!$A$2:$A$813,0)),"código no encontrado"))</f>
        <v/>
      </c>
      <c r="G34" s="10">
        <f>IF(OR($E34="",$F34="",NOT(ISNUMBER($F34))),"",$E34*$F34)</f>
        <v/>
      </c>
      <c r="H34" s="4">
        <f>IF($A34="","",IFERROR(INDEX('Catálogo'!$Q$2:$Q$813,MATCH($A34,'Catálogo'!$A$2:$A$813,0)),"código no encontrado"))</f>
        <v/>
      </c>
      <c r="I34" s="10">
        <f>IF($G34="","",IF($H34="Sí",ROUND($G34/1.18,2),$G34))</f>
        <v/>
      </c>
      <c r="J34" s="14" t="n"/>
    </row>
    <row r="35">
      <c r="A35" s="14" t="n"/>
      <c r="B35" s="5">
        <f>IF($A35="","",IFERROR(INDEX('Catálogo'!$D$2:$D$813,MATCH($A35,'Catálogo'!$A$2:$A$813,0)),"código no encontrado"))</f>
        <v/>
      </c>
      <c r="C35" s="4">
        <f>IF($A35="","",IFERROR(INDEX('Catálogo'!$H$2:$H$813,MATCH($A35,'Catálogo'!$A$2:$A$813,0)),"código no encontrado"))</f>
        <v/>
      </c>
      <c r="D35" s="4">
        <f>IF($A35="","",IFERROR(INDEX('Catálogo'!$I$2:$I$813,MATCH($A35,'Catálogo'!$A$2:$A$813,0)),"código no encontrado"))</f>
        <v/>
      </c>
      <c r="E35" s="15" t="n"/>
      <c r="F35" s="10">
        <f>IF($A35="","",IFERROR(INDEX('Catálogo'!$N$2:$N$813,MATCH($A35,'Catálogo'!$A$2:$A$813,0)),"código no encontrado"))</f>
        <v/>
      </c>
      <c r="G35" s="10">
        <f>IF(OR($E35="",$F35="",NOT(ISNUMBER($F35))),"",$E35*$F35)</f>
        <v/>
      </c>
      <c r="H35" s="4">
        <f>IF($A35="","",IFERROR(INDEX('Catálogo'!$Q$2:$Q$813,MATCH($A35,'Catálogo'!$A$2:$A$813,0)),"código no encontrado"))</f>
        <v/>
      </c>
      <c r="I35" s="10">
        <f>IF($G35="","",IF($H35="Sí",ROUND($G35/1.18,2),$G35))</f>
        <v/>
      </c>
      <c r="J35" s="14" t="n"/>
    </row>
    <row r="36">
      <c r="A36" s="14" t="n"/>
      <c r="B36" s="5">
        <f>IF($A36="","",IFERROR(INDEX('Catálogo'!$D$2:$D$813,MATCH($A36,'Catálogo'!$A$2:$A$813,0)),"código no encontrado"))</f>
        <v/>
      </c>
      <c r="C36" s="4">
        <f>IF($A36="","",IFERROR(INDEX('Catálogo'!$H$2:$H$813,MATCH($A36,'Catálogo'!$A$2:$A$813,0)),"código no encontrado"))</f>
        <v/>
      </c>
      <c r="D36" s="4">
        <f>IF($A36="","",IFERROR(INDEX('Catálogo'!$I$2:$I$813,MATCH($A36,'Catálogo'!$A$2:$A$813,0)),"código no encontrado"))</f>
        <v/>
      </c>
      <c r="E36" s="15" t="n"/>
      <c r="F36" s="10">
        <f>IF($A36="","",IFERROR(INDEX('Catálogo'!$N$2:$N$813,MATCH($A36,'Catálogo'!$A$2:$A$813,0)),"código no encontrado"))</f>
        <v/>
      </c>
      <c r="G36" s="10">
        <f>IF(OR($E36="",$F36="",NOT(ISNUMBER($F36))),"",$E36*$F36)</f>
        <v/>
      </c>
      <c r="H36" s="4">
        <f>IF($A36="","",IFERROR(INDEX('Catálogo'!$Q$2:$Q$813,MATCH($A36,'Catálogo'!$A$2:$A$813,0)),"código no encontrado"))</f>
        <v/>
      </c>
      <c r="I36" s="10">
        <f>IF($G36="","",IF($H36="Sí",ROUND($G36/1.18,2),$G36))</f>
        <v/>
      </c>
      <c r="J36" s="14" t="n"/>
    </row>
    <row r="37">
      <c r="A37" s="14" t="n"/>
      <c r="B37" s="5">
        <f>IF($A37="","",IFERROR(INDEX('Catálogo'!$D$2:$D$813,MATCH($A37,'Catálogo'!$A$2:$A$813,0)),"código no encontrado"))</f>
        <v/>
      </c>
      <c r="C37" s="4">
        <f>IF($A37="","",IFERROR(INDEX('Catálogo'!$H$2:$H$813,MATCH($A37,'Catálogo'!$A$2:$A$813,0)),"código no encontrado"))</f>
        <v/>
      </c>
      <c r="D37" s="4">
        <f>IF($A37="","",IFERROR(INDEX('Catálogo'!$I$2:$I$813,MATCH($A37,'Catálogo'!$A$2:$A$813,0)),"código no encontrado"))</f>
        <v/>
      </c>
      <c r="E37" s="15" t="n"/>
      <c r="F37" s="10">
        <f>IF($A37="","",IFERROR(INDEX('Catálogo'!$N$2:$N$813,MATCH($A37,'Catálogo'!$A$2:$A$813,0)),"código no encontrado"))</f>
        <v/>
      </c>
      <c r="G37" s="10">
        <f>IF(OR($E37="",$F37="",NOT(ISNUMBER($F37))),"",$E37*$F37)</f>
        <v/>
      </c>
      <c r="H37" s="4">
        <f>IF($A37="","",IFERROR(INDEX('Catálogo'!$Q$2:$Q$813,MATCH($A37,'Catálogo'!$A$2:$A$813,0)),"código no encontrado"))</f>
        <v/>
      </c>
      <c r="I37" s="10">
        <f>IF($G37="","",IF($H37="Sí",ROUND($G37/1.18,2),$G37))</f>
        <v/>
      </c>
      <c r="J37" s="14" t="n"/>
    </row>
    <row r="38">
      <c r="A38" s="14" t="n"/>
      <c r="B38" s="5">
        <f>IF($A38="","",IFERROR(INDEX('Catálogo'!$D$2:$D$813,MATCH($A38,'Catálogo'!$A$2:$A$813,0)),"código no encontrado"))</f>
        <v/>
      </c>
      <c r="C38" s="4">
        <f>IF($A38="","",IFERROR(INDEX('Catálogo'!$H$2:$H$813,MATCH($A38,'Catálogo'!$A$2:$A$813,0)),"código no encontrado"))</f>
        <v/>
      </c>
      <c r="D38" s="4">
        <f>IF($A38="","",IFERROR(INDEX('Catálogo'!$I$2:$I$813,MATCH($A38,'Catálogo'!$A$2:$A$813,0)),"código no encontrado"))</f>
        <v/>
      </c>
      <c r="E38" s="15" t="n"/>
      <c r="F38" s="10">
        <f>IF($A38="","",IFERROR(INDEX('Catálogo'!$N$2:$N$813,MATCH($A38,'Catálogo'!$A$2:$A$813,0)),"código no encontrado"))</f>
        <v/>
      </c>
      <c r="G38" s="10">
        <f>IF(OR($E38="",$F38="",NOT(ISNUMBER($F38))),"",$E38*$F38)</f>
        <v/>
      </c>
      <c r="H38" s="4">
        <f>IF($A38="","",IFERROR(INDEX('Catálogo'!$Q$2:$Q$813,MATCH($A38,'Catálogo'!$A$2:$A$813,0)),"código no encontrado"))</f>
        <v/>
      </c>
      <c r="I38" s="10">
        <f>IF($G38="","",IF($H38="Sí",ROUND($G38/1.18,2),$G38))</f>
        <v/>
      </c>
      <c r="J38" s="14" t="n"/>
    </row>
    <row r="39">
      <c r="A39" s="14" t="n"/>
      <c r="B39" s="5">
        <f>IF($A39="","",IFERROR(INDEX('Catálogo'!$D$2:$D$813,MATCH($A39,'Catálogo'!$A$2:$A$813,0)),"código no encontrado"))</f>
        <v/>
      </c>
      <c r="C39" s="4">
        <f>IF($A39="","",IFERROR(INDEX('Catálogo'!$H$2:$H$813,MATCH($A39,'Catálogo'!$A$2:$A$813,0)),"código no encontrado"))</f>
        <v/>
      </c>
      <c r="D39" s="4">
        <f>IF($A39="","",IFERROR(INDEX('Catálogo'!$I$2:$I$813,MATCH($A39,'Catálogo'!$A$2:$A$813,0)),"código no encontrado"))</f>
        <v/>
      </c>
      <c r="E39" s="15" t="n"/>
      <c r="F39" s="10">
        <f>IF($A39="","",IFERROR(INDEX('Catálogo'!$N$2:$N$813,MATCH($A39,'Catálogo'!$A$2:$A$813,0)),"código no encontrado"))</f>
        <v/>
      </c>
      <c r="G39" s="10">
        <f>IF(OR($E39="",$F39="",NOT(ISNUMBER($F39))),"",$E39*$F39)</f>
        <v/>
      </c>
      <c r="H39" s="4">
        <f>IF($A39="","",IFERROR(INDEX('Catálogo'!$Q$2:$Q$813,MATCH($A39,'Catálogo'!$A$2:$A$813,0)),"código no encontrado"))</f>
        <v/>
      </c>
      <c r="I39" s="10">
        <f>IF($G39="","",IF($H39="Sí",ROUND($G39/1.18,2),$G39))</f>
        <v/>
      </c>
      <c r="J39" s="14" t="n"/>
    </row>
    <row r="40">
      <c r="A40" s="14" t="n"/>
      <c r="B40" s="5">
        <f>IF($A40="","",IFERROR(INDEX('Catálogo'!$D$2:$D$813,MATCH($A40,'Catálogo'!$A$2:$A$813,0)),"código no encontrado"))</f>
        <v/>
      </c>
      <c r="C40" s="4">
        <f>IF($A40="","",IFERROR(INDEX('Catálogo'!$H$2:$H$813,MATCH($A40,'Catálogo'!$A$2:$A$813,0)),"código no encontrado"))</f>
        <v/>
      </c>
      <c r="D40" s="4">
        <f>IF($A40="","",IFERROR(INDEX('Catálogo'!$I$2:$I$813,MATCH($A40,'Catálogo'!$A$2:$A$813,0)),"código no encontrado"))</f>
        <v/>
      </c>
      <c r="E40" s="15" t="n"/>
      <c r="F40" s="10">
        <f>IF($A40="","",IFERROR(INDEX('Catálogo'!$N$2:$N$813,MATCH($A40,'Catálogo'!$A$2:$A$813,0)),"código no encontrado"))</f>
        <v/>
      </c>
      <c r="G40" s="10">
        <f>IF(OR($E40="",$F40="",NOT(ISNUMBER($F40))),"",$E40*$F40)</f>
        <v/>
      </c>
      <c r="H40" s="4">
        <f>IF($A40="","",IFERROR(INDEX('Catálogo'!$Q$2:$Q$813,MATCH($A40,'Catálogo'!$A$2:$A$813,0)),"código no encontrado"))</f>
        <v/>
      </c>
      <c r="I40" s="10">
        <f>IF($G40="","",IF($H40="Sí",ROUND($G40/1.18,2),$G40))</f>
        <v/>
      </c>
      <c r="J40" s="14" t="n"/>
    </row>
    <row r="41">
      <c r="A41" s="14" t="n"/>
      <c r="B41" s="5">
        <f>IF($A41="","",IFERROR(INDEX('Catálogo'!$D$2:$D$813,MATCH($A41,'Catálogo'!$A$2:$A$813,0)),"código no encontrado"))</f>
        <v/>
      </c>
      <c r="C41" s="4">
        <f>IF($A41="","",IFERROR(INDEX('Catálogo'!$H$2:$H$813,MATCH($A41,'Catálogo'!$A$2:$A$813,0)),"código no encontrado"))</f>
        <v/>
      </c>
      <c r="D41" s="4">
        <f>IF($A41="","",IFERROR(INDEX('Catálogo'!$I$2:$I$813,MATCH($A41,'Catálogo'!$A$2:$A$813,0)),"código no encontrado"))</f>
        <v/>
      </c>
      <c r="E41" s="15" t="n"/>
      <c r="F41" s="10">
        <f>IF($A41="","",IFERROR(INDEX('Catálogo'!$N$2:$N$813,MATCH($A41,'Catálogo'!$A$2:$A$813,0)),"código no encontrado"))</f>
        <v/>
      </c>
      <c r="G41" s="10">
        <f>IF(OR($E41="",$F41="",NOT(ISNUMBER($F41))),"",$E41*$F41)</f>
        <v/>
      </c>
      <c r="H41" s="4">
        <f>IF($A41="","",IFERROR(INDEX('Catálogo'!$Q$2:$Q$813,MATCH($A41,'Catálogo'!$A$2:$A$813,0)),"código no encontrado"))</f>
        <v/>
      </c>
      <c r="I41" s="10">
        <f>IF($G41="","",IF($H41="Sí",ROUND($G41/1.18,2),$G41))</f>
        <v/>
      </c>
      <c r="J41" s="14" t="n"/>
    </row>
    <row r="42">
      <c r="A42" s="14" t="n"/>
      <c r="B42" s="5">
        <f>IF($A42="","",IFERROR(INDEX('Catálogo'!$D$2:$D$813,MATCH($A42,'Catálogo'!$A$2:$A$813,0)),"código no encontrado"))</f>
        <v/>
      </c>
      <c r="C42" s="4">
        <f>IF($A42="","",IFERROR(INDEX('Catálogo'!$H$2:$H$813,MATCH($A42,'Catálogo'!$A$2:$A$813,0)),"código no encontrado"))</f>
        <v/>
      </c>
      <c r="D42" s="4">
        <f>IF($A42="","",IFERROR(INDEX('Catálogo'!$I$2:$I$813,MATCH($A42,'Catálogo'!$A$2:$A$813,0)),"código no encontrado"))</f>
        <v/>
      </c>
      <c r="E42" s="15" t="n"/>
      <c r="F42" s="10">
        <f>IF($A42="","",IFERROR(INDEX('Catálogo'!$N$2:$N$813,MATCH($A42,'Catálogo'!$A$2:$A$813,0)),"código no encontrado"))</f>
        <v/>
      </c>
      <c r="G42" s="10">
        <f>IF(OR($E42="",$F42="",NOT(ISNUMBER($F42))),"",$E42*$F42)</f>
        <v/>
      </c>
      <c r="H42" s="4">
        <f>IF($A42="","",IFERROR(INDEX('Catálogo'!$Q$2:$Q$813,MATCH($A42,'Catálogo'!$A$2:$A$813,0)),"código no encontrado"))</f>
        <v/>
      </c>
      <c r="I42" s="10">
        <f>IF($G42="","",IF($H42="Sí",ROUND($G42/1.18,2),$G42))</f>
        <v/>
      </c>
      <c r="J42" s="14" t="n"/>
    </row>
    <row r="43">
      <c r="A43" s="14" t="n"/>
      <c r="B43" s="5">
        <f>IF($A43="","",IFERROR(INDEX('Catálogo'!$D$2:$D$813,MATCH($A43,'Catálogo'!$A$2:$A$813,0)),"código no encontrado"))</f>
        <v/>
      </c>
      <c r="C43" s="4">
        <f>IF($A43="","",IFERROR(INDEX('Catálogo'!$H$2:$H$813,MATCH($A43,'Catálogo'!$A$2:$A$813,0)),"código no encontrado"))</f>
        <v/>
      </c>
      <c r="D43" s="4">
        <f>IF($A43="","",IFERROR(INDEX('Catálogo'!$I$2:$I$813,MATCH($A43,'Catálogo'!$A$2:$A$813,0)),"código no encontrado"))</f>
        <v/>
      </c>
      <c r="E43" s="15" t="n"/>
      <c r="F43" s="10">
        <f>IF($A43="","",IFERROR(INDEX('Catálogo'!$N$2:$N$813,MATCH($A43,'Catálogo'!$A$2:$A$813,0)),"código no encontrado"))</f>
        <v/>
      </c>
      <c r="G43" s="10">
        <f>IF(OR($E43="",$F43="",NOT(ISNUMBER($F43))),"",$E43*$F43)</f>
        <v/>
      </c>
      <c r="H43" s="4">
        <f>IF($A43="","",IFERROR(INDEX('Catálogo'!$Q$2:$Q$813,MATCH($A43,'Catálogo'!$A$2:$A$813,0)),"código no encontrado"))</f>
        <v/>
      </c>
      <c r="I43" s="10">
        <f>IF($G43="","",IF($H43="Sí",ROUND($G43/1.18,2),$G43))</f>
        <v/>
      </c>
      <c r="J43" s="14" t="n"/>
    </row>
    <row r="44">
      <c r="A44" s="14" t="n"/>
      <c r="B44" s="5">
        <f>IF($A44="","",IFERROR(INDEX('Catálogo'!$D$2:$D$813,MATCH($A44,'Catálogo'!$A$2:$A$813,0)),"código no encontrado"))</f>
        <v/>
      </c>
      <c r="C44" s="4">
        <f>IF($A44="","",IFERROR(INDEX('Catálogo'!$H$2:$H$813,MATCH($A44,'Catálogo'!$A$2:$A$813,0)),"código no encontrado"))</f>
        <v/>
      </c>
      <c r="D44" s="4">
        <f>IF($A44="","",IFERROR(INDEX('Catálogo'!$I$2:$I$813,MATCH($A44,'Catálogo'!$A$2:$A$813,0)),"código no encontrado"))</f>
        <v/>
      </c>
      <c r="E44" s="15" t="n"/>
      <c r="F44" s="10">
        <f>IF($A44="","",IFERROR(INDEX('Catálogo'!$N$2:$N$813,MATCH($A44,'Catálogo'!$A$2:$A$813,0)),"código no encontrado"))</f>
        <v/>
      </c>
      <c r="G44" s="10">
        <f>IF(OR($E44="",$F44="",NOT(ISNUMBER($F44))),"",$E44*$F44)</f>
        <v/>
      </c>
      <c r="H44" s="4">
        <f>IF($A44="","",IFERROR(INDEX('Catálogo'!$Q$2:$Q$813,MATCH($A44,'Catálogo'!$A$2:$A$813,0)),"código no encontrado"))</f>
        <v/>
      </c>
      <c r="I44" s="10">
        <f>IF($G44="","",IF($H44="Sí",ROUND($G44/1.18,2),$G44))</f>
        <v/>
      </c>
      <c r="J44" s="14" t="n"/>
    </row>
    <row r="45">
      <c r="A45" s="14" t="n"/>
      <c r="B45" s="5">
        <f>IF($A45="","",IFERROR(INDEX('Catálogo'!$D$2:$D$813,MATCH($A45,'Catálogo'!$A$2:$A$813,0)),"código no encontrado"))</f>
        <v/>
      </c>
      <c r="C45" s="4">
        <f>IF($A45="","",IFERROR(INDEX('Catálogo'!$H$2:$H$813,MATCH($A45,'Catálogo'!$A$2:$A$813,0)),"código no encontrado"))</f>
        <v/>
      </c>
      <c r="D45" s="4">
        <f>IF($A45="","",IFERROR(INDEX('Catálogo'!$I$2:$I$813,MATCH($A45,'Catálogo'!$A$2:$A$813,0)),"código no encontrado"))</f>
        <v/>
      </c>
      <c r="E45" s="15" t="n"/>
      <c r="F45" s="10">
        <f>IF($A45="","",IFERROR(INDEX('Catálogo'!$N$2:$N$813,MATCH($A45,'Catálogo'!$A$2:$A$813,0)),"código no encontrado"))</f>
        <v/>
      </c>
      <c r="G45" s="10">
        <f>IF(OR($E45="",$F45="",NOT(ISNUMBER($F45))),"",$E45*$F45)</f>
        <v/>
      </c>
      <c r="H45" s="4">
        <f>IF($A45="","",IFERROR(INDEX('Catálogo'!$Q$2:$Q$813,MATCH($A45,'Catálogo'!$A$2:$A$813,0)),"código no encontrado"))</f>
        <v/>
      </c>
      <c r="I45" s="10">
        <f>IF($G45="","",IF($H45="Sí",ROUND($G45/1.18,2),$G45))</f>
        <v/>
      </c>
      <c r="J45" s="14" t="n"/>
    </row>
    <row r="46">
      <c r="A46" s="14" t="n"/>
      <c r="B46" s="5">
        <f>IF($A46="","",IFERROR(INDEX('Catálogo'!$D$2:$D$813,MATCH($A46,'Catálogo'!$A$2:$A$813,0)),"código no encontrado"))</f>
        <v/>
      </c>
      <c r="C46" s="4">
        <f>IF($A46="","",IFERROR(INDEX('Catálogo'!$H$2:$H$813,MATCH($A46,'Catálogo'!$A$2:$A$813,0)),"código no encontrado"))</f>
        <v/>
      </c>
      <c r="D46" s="4">
        <f>IF($A46="","",IFERROR(INDEX('Catálogo'!$I$2:$I$813,MATCH($A46,'Catálogo'!$A$2:$A$813,0)),"código no encontrado"))</f>
        <v/>
      </c>
      <c r="E46" s="15" t="n"/>
      <c r="F46" s="10">
        <f>IF($A46="","",IFERROR(INDEX('Catálogo'!$N$2:$N$813,MATCH($A46,'Catálogo'!$A$2:$A$813,0)),"código no encontrado"))</f>
        <v/>
      </c>
      <c r="G46" s="10">
        <f>IF(OR($E46="",$F46="",NOT(ISNUMBER($F46))),"",$E46*$F46)</f>
        <v/>
      </c>
      <c r="H46" s="4">
        <f>IF($A46="","",IFERROR(INDEX('Catálogo'!$Q$2:$Q$813,MATCH($A46,'Catálogo'!$A$2:$A$813,0)),"código no encontrado"))</f>
        <v/>
      </c>
      <c r="I46" s="10">
        <f>IF($G46="","",IF($H46="Sí",ROUND($G46/1.18,2),$G46))</f>
        <v/>
      </c>
      <c r="J46" s="14" t="n"/>
    </row>
    <row r="47">
      <c r="A47" s="14" t="n"/>
      <c r="B47" s="5">
        <f>IF($A47="","",IFERROR(INDEX('Catálogo'!$D$2:$D$813,MATCH($A47,'Catálogo'!$A$2:$A$813,0)),"código no encontrado"))</f>
        <v/>
      </c>
      <c r="C47" s="4">
        <f>IF($A47="","",IFERROR(INDEX('Catálogo'!$H$2:$H$813,MATCH($A47,'Catálogo'!$A$2:$A$813,0)),"código no encontrado"))</f>
        <v/>
      </c>
      <c r="D47" s="4">
        <f>IF($A47="","",IFERROR(INDEX('Catálogo'!$I$2:$I$813,MATCH($A47,'Catálogo'!$A$2:$A$813,0)),"código no encontrado"))</f>
        <v/>
      </c>
      <c r="E47" s="15" t="n"/>
      <c r="F47" s="10">
        <f>IF($A47="","",IFERROR(INDEX('Catálogo'!$N$2:$N$813,MATCH($A47,'Catálogo'!$A$2:$A$813,0)),"código no encontrado"))</f>
        <v/>
      </c>
      <c r="G47" s="10">
        <f>IF(OR($E47="",$F47="",NOT(ISNUMBER($F47))),"",$E47*$F47)</f>
        <v/>
      </c>
      <c r="H47" s="4">
        <f>IF($A47="","",IFERROR(INDEX('Catálogo'!$Q$2:$Q$813,MATCH($A47,'Catálogo'!$A$2:$A$813,0)),"código no encontrado"))</f>
        <v/>
      </c>
      <c r="I47" s="10">
        <f>IF($G47="","",IF($H47="Sí",ROUND($G47/1.18,2),$G47))</f>
        <v/>
      </c>
      <c r="J47" s="14" t="n"/>
    </row>
    <row r="48">
      <c r="A48" s="14" t="n"/>
      <c r="B48" s="5">
        <f>IF($A48="","",IFERROR(INDEX('Catálogo'!$D$2:$D$813,MATCH($A48,'Catálogo'!$A$2:$A$813,0)),"código no encontrado"))</f>
        <v/>
      </c>
      <c r="C48" s="4">
        <f>IF($A48="","",IFERROR(INDEX('Catálogo'!$H$2:$H$813,MATCH($A48,'Catálogo'!$A$2:$A$813,0)),"código no encontrado"))</f>
        <v/>
      </c>
      <c r="D48" s="4">
        <f>IF($A48="","",IFERROR(INDEX('Catálogo'!$I$2:$I$813,MATCH($A48,'Catálogo'!$A$2:$A$813,0)),"código no encontrado"))</f>
        <v/>
      </c>
      <c r="E48" s="15" t="n"/>
      <c r="F48" s="10">
        <f>IF($A48="","",IFERROR(INDEX('Catálogo'!$N$2:$N$813,MATCH($A48,'Catálogo'!$A$2:$A$813,0)),"código no encontrado"))</f>
        <v/>
      </c>
      <c r="G48" s="10">
        <f>IF(OR($E48="",$F48="",NOT(ISNUMBER($F48))),"",$E48*$F48)</f>
        <v/>
      </c>
      <c r="H48" s="4">
        <f>IF($A48="","",IFERROR(INDEX('Catálogo'!$Q$2:$Q$813,MATCH($A48,'Catálogo'!$A$2:$A$813,0)),"código no encontrado"))</f>
        <v/>
      </c>
      <c r="I48" s="10">
        <f>IF($G48="","",IF($H48="Sí",ROUND($G48/1.18,2),$G48))</f>
        <v/>
      </c>
      <c r="J48" s="14" t="n"/>
    </row>
    <row r="49">
      <c r="A49" s="14" t="n"/>
      <c r="B49" s="5">
        <f>IF($A49="","",IFERROR(INDEX('Catálogo'!$D$2:$D$813,MATCH($A49,'Catálogo'!$A$2:$A$813,0)),"código no encontrado"))</f>
        <v/>
      </c>
      <c r="C49" s="4">
        <f>IF($A49="","",IFERROR(INDEX('Catálogo'!$H$2:$H$813,MATCH($A49,'Catálogo'!$A$2:$A$813,0)),"código no encontrado"))</f>
        <v/>
      </c>
      <c r="D49" s="4">
        <f>IF($A49="","",IFERROR(INDEX('Catálogo'!$I$2:$I$813,MATCH($A49,'Catálogo'!$A$2:$A$813,0)),"código no encontrado"))</f>
        <v/>
      </c>
      <c r="E49" s="15" t="n"/>
      <c r="F49" s="10">
        <f>IF($A49="","",IFERROR(INDEX('Catálogo'!$N$2:$N$813,MATCH($A49,'Catálogo'!$A$2:$A$813,0)),"código no encontrado"))</f>
        <v/>
      </c>
      <c r="G49" s="10">
        <f>IF(OR($E49="",$F49="",NOT(ISNUMBER($F49))),"",$E49*$F49)</f>
        <v/>
      </c>
      <c r="H49" s="4">
        <f>IF($A49="","",IFERROR(INDEX('Catálogo'!$Q$2:$Q$813,MATCH($A49,'Catálogo'!$A$2:$A$813,0)),"código no encontrado"))</f>
        <v/>
      </c>
      <c r="I49" s="10">
        <f>IF($G49="","",IF($H49="Sí",ROUND($G49/1.18,2),$G49))</f>
        <v/>
      </c>
      <c r="J49" s="14" t="n"/>
    </row>
    <row r="50">
      <c r="A50" s="14" t="n"/>
      <c r="B50" s="5">
        <f>IF($A50="","",IFERROR(INDEX('Catálogo'!$D$2:$D$813,MATCH($A50,'Catálogo'!$A$2:$A$813,0)),"código no encontrado"))</f>
        <v/>
      </c>
      <c r="C50" s="4">
        <f>IF($A50="","",IFERROR(INDEX('Catálogo'!$H$2:$H$813,MATCH($A50,'Catálogo'!$A$2:$A$813,0)),"código no encontrado"))</f>
        <v/>
      </c>
      <c r="D50" s="4">
        <f>IF($A50="","",IFERROR(INDEX('Catálogo'!$I$2:$I$813,MATCH($A50,'Catálogo'!$A$2:$A$813,0)),"código no encontrado"))</f>
        <v/>
      </c>
      <c r="E50" s="15" t="n"/>
      <c r="F50" s="10">
        <f>IF($A50="","",IFERROR(INDEX('Catálogo'!$N$2:$N$813,MATCH($A50,'Catálogo'!$A$2:$A$813,0)),"código no encontrado"))</f>
        <v/>
      </c>
      <c r="G50" s="10">
        <f>IF(OR($E50="",$F50="",NOT(ISNUMBER($F50))),"",$E50*$F50)</f>
        <v/>
      </c>
      <c r="H50" s="4">
        <f>IF($A50="","",IFERROR(INDEX('Catálogo'!$Q$2:$Q$813,MATCH($A50,'Catálogo'!$A$2:$A$813,0)),"código no encontrado"))</f>
        <v/>
      </c>
      <c r="I50" s="10">
        <f>IF($G50="","",IF($H50="Sí",ROUND($G50/1.18,2),$G50))</f>
        <v/>
      </c>
      <c r="J50" s="14" t="n"/>
    </row>
    <row r="51">
      <c r="A51" s="14" t="n"/>
      <c r="B51" s="5">
        <f>IF($A51="","",IFERROR(INDEX('Catálogo'!$D$2:$D$813,MATCH($A51,'Catálogo'!$A$2:$A$813,0)),"código no encontrado"))</f>
        <v/>
      </c>
      <c r="C51" s="4">
        <f>IF($A51="","",IFERROR(INDEX('Catálogo'!$H$2:$H$813,MATCH($A51,'Catálogo'!$A$2:$A$813,0)),"código no encontrado"))</f>
        <v/>
      </c>
      <c r="D51" s="4">
        <f>IF($A51="","",IFERROR(INDEX('Catálogo'!$I$2:$I$813,MATCH($A51,'Catálogo'!$A$2:$A$813,0)),"código no encontrado"))</f>
        <v/>
      </c>
      <c r="E51" s="15" t="n"/>
      <c r="F51" s="10">
        <f>IF($A51="","",IFERROR(INDEX('Catálogo'!$N$2:$N$813,MATCH($A51,'Catálogo'!$A$2:$A$813,0)),"código no encontrado"))</f>
        <v/>
      </c>
      <c r="G51" s="10">
        <f>IF(OR($E51="",$F51="",NOT(ISNUMBER($F51))),"",$E51*$F51)</f>
        <v/>
      </c>
      <c r="H51" s="4">
        <f>IF($A51="","",IFERROR(INDEX('Catálogo'!$Q$2:$Q$813,MATCH($A51,'Catálogo'!$A$2:$A$813,0)),"código no encontrado"))</f>
        <v/>
      </c>
      <c r="I51" s="10">
        <f>IF($G51="","",IF($H51="Sí",ROUND($G51/1.18,2),$G51))</f>
        <v/>
      </c>
      <c r="J51" s="14" t="n"/>
    </row>
    <row r="52">
      <c r="A52" s="14" t="n"/>
      <c r="B52" s="5">
        <f>IF($A52="","",IFERROR(INDEX('Catálogo'!$D$2:$D$813,MATCH($A52,'Catálogo'!$A$2:$A$813,0)),"código no encontrado"))</f>
        <v/>
      </c>
      <c r="C52" s="4">
        <f>IF($A52="","",IFERROR(INDEX('Catálogo'!$H$2:$H$813,MATCH($A52,'Catálogo'!$A$2:$A$813,0)),"código no encontrado"))</f>
        <v/>
      </c>
      <c r="D52" s="4">
        <f>IF($A52="","",IFERROR(INDEX('Catálogo'!$I$2:$I$813,MATCH($A52,'Catálogo'!$A$2:$A$813,0)),"código no encontrado"))</f>
        <v/>
      </c>
      <c r="E52" s="15" t="n"/>
      <c r="F52" s="10">
        <f>IF($A52="","",IFERROR(INDEX('Catálogo'!$N$2:$N$813,MATCH($A52,'Catálogo'!$A$2:$A$813,0)),"código no encontrado"))</f>
        <v/>
      </c>
      <c r="G52" s="10">
        <f>IF(OR($E52="",$F52="",NOT(ISNUMBER($F52))),"",$E52*$F52)</f>
        <v/>
      </c>
      <c r="H52" s="4">
        <f>IF($A52="","",IFERROR(INDEX('Catálogo'!$Q$2:$Q$813,MATCH($A52,'Catálogo'!$A$2:$A$813,0)),"código no encontrado"))</f>
        <v/>
      </c>
      <c r="I52" s="10">
        <f>IF($G52="","",IF($H52="Sí",ROUND($G52/1.18,2),$G52))</f>
        <v/>
      </c>
      <c r="J52" s="14" t="n"/>
    </row>
    <row r="53">
      <c r="A53" s="14" t="n"/>
      <c r="B53" s="5">
        <f>IF($A53="","",IFERROR(INDEX('Catálogo'!$D$2:$D$813,MATCH($A53,'Catálogo'!$A$2:$A$813,0)),"código no encontrado"))</f>
        <v/>
      </c>
      <c r="C53" s="4">
        <f>IF($A53="","",IFERROR(INDEX('Catálogo'!$H$2:$H$813,MATCH($A53,'Catálogo'!$A$2:$A$813,0)),"código no encontrado"))</f>
        <v/>
      </c>
      <c r="D53" s="4">
        <f>IF($A53="","",IFERROR(INDEX('Catálogo'!$I$2:$I$813,MATCH($A53,'Catálogo'!$A$2:$A$813,0)),"código no encontrado"))</f>
        <v/>
      </c>
      <c r="E53" s="15" t="n"/>
      <c r="F53" s="10">
        <f>IF($A53="","",IFERROR(INDEX('Catálogo'!$N$2:$N$813,MATCH($A53,'Catálogo'!$A$2:$A$813,0)),"código no encontrado"))</f>
        <v/>
      </c>
      <c r="G53" s="10">
        <f>IF(OR($E53="",$F53="",NOT(ISNUMBER($F53))),"",$E53*$F53)</f>
        <v/>
      </c>
      <c r="H53" s="4">
        <f>IF($A53="","",IFERROR(INDEX('Catálogo'!$Q$2:$Q$813,MATCH($A53,'Catálogo'!$A$2:$A$813,0)),"código no encontrado"))</f>
        <v/>
      </c>
      <c r="I53" s="10">
        <f>IF($G53="","",IF($H53="Sí",ROUND($G53/1.18,2),$G53))</f>
        <v/>
      </c>
      <c r="J53" s="14" t="n"/>
    </row>
    <row r="54">
      <c r="A54" s="14" t="n"/>
      <c r="B54" s="5">
        <f>IF($A54="","",IFERROR(INDEX('Catálogo'!$D$2:$D$813,MATCH($A54,'Catálogo'!$A$2:$A$813,0)),"código no encontrado"))</f>
        <v/>
      </c>
      <c r="C54" s="4">
        <f>IF($A54="","",IFERROR(INDEX('Catálogo'!$H$2:$H$813,MATCH($A54,'Catálogo'!$A$2:$A$813,0)),"código no encontrado"))</f>
        <v/>
      </c>
      <c r="D54" s="4">
        <f>IF($A54="","",IFERROR(INDEX('Catálogo'!$I$2:$I$813,MATCH($A54,'Catálogo'!$A$2:$A$813,0)),"código no encontrado"))</f>
        <v/>
      </c>
      <c r="E54" s="15" t="n"/>
      <c r="F54" s="10">
        <f>IF($A54="","",IFERROR(INDEX('Catálogo'!$N$2:$N$813,MATCH($A54,'Catálogo'!$A$2:$A$813,0)),"código no encontrado"))</f>
        <v/>
      </c>
      <c r="G54" s="10">
        <f>IF(OR($E54="",$F54="",NOT(ISNUMBER($F54))),"",$E54*$F54)</f>
        <v/>
      </c>
      <c r="H54" s="4">
        <f>IF($A54="","",IFERROR(INDEX('Catálogo'!$Q$2:$Q$813,MATCH($A54,'Catálogo'!$A$2:$A$813,0)),"código no encontrado"))</f>
        <v/>
      </c>
      <c r="I54" s="10">
        <f>IF($G54="","",IF($H54="Sí",ROUND($G54/1.18,2),$G54))</f>
        <v/>
      </c>
      <c r="J54" s="14" t="n"/>
    </row>
    <row r="55">
      <c r="A55" s="14" t="n"/>
      <c r="B55" s="5">
        <f>IF($A55="","",IFERROR(INDEX('Catálogo'!$D$2:$D$813,MATCH($A55,'Catálogo'!$A$2:$A$813,0)),"código no encontrado"))</f>
        <v/>
      </c>
      <c r="C55" s="4">
        <f>IF($A55="","",IFERROR(INDEX('Catálogo'!$H$2:$H$813,MATCH($A55,'Catálogo'!$A$2:$A$813,0)),"código no encontrado"))</f>
        <v/>
      </c>
      <c r="D55" s="4">
        <f>IF($A55="","",IFERROR(INDEX('Catálogo'!$I$2:$I$813,MATCH($A55,'Catálogo'!$A$2:$A$813,0)),"código no encontrado"))</f>
        <v/>
      </c>
      <c r="E55" s="15" t="n"/>
      <c r="F55" s="10">
        <f>IF($A55="","",IFERROR(INDEX('Catálogo'!$N$2:$N$813,MATCH($A55,'Catálogo'!$A$2:$A$813,0)),"código no encontrado"))</f>
        <v/>
      </c>
      <c r="G55" s="10">
        <f>IF(OR($E55="",$F55="",NOT(ISNUMBER($F55))),"",$E55*$F55)</f>
        <v/>
      </c>
      <c r="H55" s="4">
        <f>IF($A55="","",IFERROR(INDEX('Catálogo'!$Q$2:$Q$813,MATCH($A55,'Catálogo'!$A$2:$A$813,0)),"código no encontrado"))</f>
        <v/>
      </c>
      <c r="I55" s="10">
        <f>IF($G55="","",IF($H55="Sí",ROUND($G55/1.18,2),$G55))</f>
        <v/>
      </c>
      <c r="J55" s="14" t="n"/>
    </row>
    <row r="56">
      <c r="A56" s="14" t="n"/>
      <c r="B56" s="5">
        <f>IF($A56="","",IFERROR(INDEX('Catálogo'!$D$2:$D$813,MATCH($A56,'Catálogo'!$A$2:$A$813,0)),"código no encontrado"))</f>
        <v/>
      </c>
      <c r="C56" s="4">
        <f>IF($A56="","",IFERROR(INDEX('Catálogo'!$H$2:$H$813,MATCH($A56,'Catálogo'!$A$2:$A$813,0)),"código no encontrado"))</f>
        <v/>
      </c>
      <c r="D56" s="4">
        <f>IF($A56="","",IFERROR(INDEX('Catálogo'!$I$2:$I$813,MATCH($A56,'Catálogo'!$A$2:$A$813,0)),"código no encontrado"))</f>
        <v/>
      </c>
      <c r="E56" s="15" t="n"/>
      <c r="F56" s="10">
        <f>IF($A56="","",IFERROR(INDEX('Catálogo'!$N$2:$N$813,MATCH($A56,'Catálogo'!$A$2:$A$813,0)),"código no encontrado"))</f>
        <v/>
      </c>
      <c r="G56" s="10">
        <f>IF(OR($E56="",$F56="",NOT(ISNUMBER($F56))),"",$E56*$F56)</f>
        <v/>
      </c>
      <c r="H56" s="4">
        <f>IF($A56="","",IFERROR(INDEX('Catálogo'!$Q$2:$Q$813,MATCH($A56,'Catálogo'!$A$2:$A$813,0)),"código no encontrado"))</f>
        <v/>
      </c>
      <c r="I56" s="10">
        <f>IF($G56="","",IF($H56="Sí",ROUND($G56/1.18,2),$G56))</f>
        <v/>
      </c>
      <c r="J56" s="14" t="n"/>
    </row>
    <row r="57">
      <c r="A57" s="14" t="n"/>
      <c r="B57" s="5">
        <f>IF($A57="","",IFERROR(INDEX('Catálogo'!$D$2:$D$813,MATCH($A57,'Catálogo'!$A$2:$A$813,0)),"código no encontrado"))</f>
        <v/>
      </c>
      <c r="C57" s="4">
        <f>IF($A57="","",IFERROR(INDEX('Catálogo'!$H$2:$H$813,MATCH($A57,'Catálogo'!$A$2:$A$813,0)),"código no encontrado"))</f>
        <v/>
      </c>
      <c r="D57" s="4">
        <f>IF($A57="","",IFERROR(INDEX('Catálogo'!$I$2:$I$813,MATCH($A57,'Catálogo'!$A$2:$A$813,0)),"código no encontrado"))</f>
        <v/>
      </c>
      <c r="E57" s="15" t="n"/>
      <c r="F57" s="10">
        <f>IF($A57="","",IFERROR(INDEX('Catálogo'!$N$2:$N$813,MATCH($A57,'Catálogo'!$A$2:$A$813,0)),"código no encontrado"))</f>
        <v/>
      </c>
      <c r="G57" s="10">
        <f>IF(OR($E57="",$F57="",NOT(ISNUMBER($F57))),"",$E57*$F57)</f>
        <v/>
      </c>
      <c r="H57" s="4">
        <f>IF($A57="","",IFERROR(INDEX('Catálogo'!$Q$2:$Q$813,MATCH($A57,'Catálogo'!$A$2:$A$813,0)),"código no encontrado"))</f>
        <v/>
      </c>
      <c r="I57" s="10">
        <f>IF($G57="","",IF($H57="Sí",ROUND($G57/1.18,2),$G57))</f>
        <v/>
      </c>
      <c r="J57" s="14" t="n"/>
    </row>
    <row r="58">
      <c r="A58" s="14" t="n"/>
      <c r="B58" s="5">
        <f>IF($A58="","",IFERROR(INDEX('Catálogo'!$D$2:$D$813,MATCH($A58,'Catálogo'!$A$2:$A$813,0)),"código no encontrado"))</f>
        <v/>
      </c>
      <c r="C58" s="4">
        <f>IF($A58="","",IFERROR(INDEX('Catálogo'!$H$2:$H$813,MATCH($A58,'Catálogo'!$A$2:$A$813,0)),"código no encontrado"))</f>
        <v/>
      </c>
      <c r="D58" s="4">
        <f>IF($A58="","",IFERROR(INDEX('Catálogo'!$I$2:$I$813,MATCH($A58,'Catálogo'!$A$2:$A$813,0)),"código no encontrado"))</f>
        <v/>
      </c>
      <c r="E58" s="15" t="n"/>
      <c r="F58" s="10">
        <f>IF($A58="","",IFERROR(INDEX('Catálogo'!$N$2:$N$813,MATCH($A58,'Catálogo'!$A$2:$A$813,0)),"código no encontrado"))</f>
        <v/>
      </c>
      <c r="G58" s="10">
        <f>IF(OR($E58="",$F58="",NOT(ISNUMBER($F58))),"",$E58*$F58)</f>
        <v/>
      </c>
      <c r="H58" s="4">
        <f>IF($A58="","",IFERROR(INDEX('Catálogo'!$Q$2:$Q$813,MATCH($A58,'Catálogo'!$A$2:$A$813,0)),"código no encontrado"))</f>
        <v/>
      </c>
      <c r="I58" s="10">
        <f>IF($G58="","",IF($H58="Sí",ROUND($G58/1.18,2),$G58))</f>
        <v/>
      </c>
      <c r="J58" s="14" t="n"/>
    </row>
    <row r="59">
      <c r="A59" s="14" t="n"/>
      <c r="B59" s="5">
        <f>IF($A59="","",IFERROR(INDEX('Catálogo'!$D$2:$D$813,MATCH($A59,'Catálogo'!$A$2:$A$813,0)),"código no encontrado"))</f>
        <v/>
      </c>
      <c r="C59" s="4">
        <f>IF($A59="","",IFERROR(INDEX('Catálogo'!$H$2:$H$813,MATCH($A59,'Catálogo'!$A$2:$A$813,0)),"código no encontrado"))</f>
        <v/>
      </c>
      <c r="D59" s="4">
        <f>IF($A59="","",IFERROR(INDEX('Catálogo'!$I$2:$I$813,MATCH($A59,'Catálogo'!$A$2:$A$813,0)),"código no encontrado"))</f>
        <v/>
      </c>
      <c r="E59" s="15" t="n"/>
      <c r="F59" s="10">
        <f>IF($A59="","",IFERROR(INDEX('Catálogo'!$N$2:$N$813,MATCH($A59,'Catálogo'!$A$2:$A$813,0)),"código no encontrado"))</f>
        <v/>
      </c>
      <c r="G59" s="10">
        <f>IF(OR($E59="",$F59="",NOT(ISNUMBER($F59))),"",$E59*$F59)</f>
        <v/>
      </c>
      <c r="H59" s="4">
        <f>IF($A59="","",IFERROR(INDEX('Catálogo'!$Q$2:$Q$813,MATCH($A59,'Catálogo'!$A$2:$A$813,0)),"código no encontrado"))</f>
        <v/>
      </c>
      <c r="I59" s="10">
        <f>IF($G59="","",IF($H59="Sí",ROUND($G59/1.18,2),$G59))</f>
        <v/>
      </c>
      <c r="J59" s="14" t="n"/>
    </row>
    <row r="60">
      <c r="A60" s="14" t="n"/>
      <c r="B60" s="5">
        <f>IF($A60="","",IFERROR(INDEX('Catálogo'!$D$2:$D$813,MATCH($A60,'Catálogo'!$A$2:$A$813,0)),"código no encontrado"))</f>
        <v/>
      </c>
      <c r="C60" s="4">
        <f>IF($A60="","",IFERROR(INDEX('Catálogo'!$H$2:$H$813,MATCH($A60,'Catálogo'!$A$2:$A$813,0)),"código no encontrado"))</f>
        <v/>
      </c>
      <c r="D60" s="4">
        <f>IF($A60="","",IFERROR(INDEX('Catálogo'!$I$2:$I$813,MATCH($A60,'Catálogo'!$A$2:$A$813,0)),"código no encontrado"))</f>
        <v/>
      </c>
      <c r="E60" s="15" t="n"/>
      <c r="F60" s="10">
        <f>IF($A60="","",IFERROR(INDEX('Catálogo'!$N$2:$N$813,MATCH($A60,'Catálogo'!$A$2:$A$813,0)),"código no encontrado"))</f>
        <v/>
      </c>
      <c r="G60" s="10">
        <f>IF(OR($E60="",$F60="",NOT(ISNUMBER($F60))),"",$E60*$F60)</f>
        <v/>
      </c>
      <c r="H60" s="4">
        <f>IF($A60="","",IFERROR(INDEX('Catálogo'!$Q$2:$Q$813,MATCH($A60,'Catálogo'!$A$2:$A$813,0)),"código no encontrado"))</f>
        <v/>
      </c>
      <c r="I60" s="10">
        <f>IF($G60="","",IF($H60="Sí",ROUND($G60/1.18,2),$G60))</f>
        <v/>
      </c>
      <c r="J60" s="14" t="n"/>
    </row>
    <row r="61">
      <c r="A61" s="14" t="n"/>
      <c r="B61" s="5">
        <f>IF($A61="","",IFERROR(INDEX('Catálogo'!$D$2:$D$813,MATCH($A61,'Catálogo'!$A$2:$A$813,0)),"código no encontrado"))</f>
        <v/>
      </c>
      <c r="C61" s="4">
        <f>IF($A61="","",IFERROR(INDEX('Catálogo'!$H$2:$H$813,MATCH($A61,'Catálogo'!$A$2:$A$813,0)),"código no encontrado"))</f>
        <v/>
      </c>
      <c r="D61" s="4">
        <f>IF($A61="","",IFERROR(INDEX('Catálogo'!$I$2:$I$813,MATCH($A61,'Catálogo'!$A$2:$A$813,0)),"código no encontrado"))</f>
        <v/>
      </c>
      <c r="E61" s="15" t="n"/>
      <c r="F61" s="10">
        <f>IF($A61="","",IFERROR(INDEX('Catálogo'!$N$2:$N$813,MATCH($A61,'Catálogo'!$A$2:$A$813,0)),"código no encontrado"))</f>
        <v/>
      </c>
      <c r="G61" s="10">
        <f>IF(OR($E61="",$F61="",NOT(ISNUMBER($F61))),"",$E61*$F61)</f>
        <v/>
      </c>
      <c r="H61" s="4">
        <f>IF($A61="","",IFERROR(INDEX('Catálogo'!$Q$2:$Q$813,MATCH($A61,'Catálogo'!$A$2:$A$813,0)),"código no encontrado"))</f>
        <v/>
      </c>
      <c r="I61" s="10">
        <f>IF($G61="","",IF($H61="Sí",ROUND($G61/1.18,2),$G61))</f>
        <v/>
      </c>
      <c r="J61" s="14" t="n"/>
    </row>
    <row r="62">
      <c r="A62" s="14" t="n"/>
      <c r="B62" s="5">
        <f>IF($A62="","",IFERROR(INDEX('Catálogo'!$D$2:$D$813,MATCH($A62,'Catálogo'!$A$2:$A$813,0)),"código no encontrado"))</f>
        <v/>
      </c>
      <c r="C62" s="4">
        <f>IF($A62="","",IFERROR(INDEX('Catálogo'!$H$2:$H$813,MATCH($A62,'Catálogo'!$A$2:$A$813,0)),"código no encontrado"))</f>
        <v/>
      </c>
      <c r="D62" s="4">
        <f>IF($A62="","",IFERROR(INDEX('Catálogo'!$I$2:$I$813,MATCH($A62,'Catálogo'!$A$2:$A$813,0)),"código no encontrado"))</f>
        <v/>
      </c>
      <c r="E62" s="15" t="n"/>
      <c r="F62" s="10">
        <f>IF($A62="","",IFERROR(INDEX('Catálogo'!$N$2:$N$813,MATCH($A62,'Catálogo'!$A$2:$A$813,0)),"código no encontrado"))</f>
        <v/>
      </c>
      <c r="G62" s="10">
        <f>IF(OR($E62="",$F62="",NOT(ISNUMBER($F62))),"",$E62*$F62)</f>
        <v/>
      </c>
      <c r="H62" s="4">
        <f>IF($A62="","",IFERROR(INDEX('Catálogo'!$Q$2:$Q$813,MATCH($A62,'Catálogo'!$A$2:$A$813,0)),"código no encontrado"))</f>
        <v/>
      </c>
      <c r="I62" s="10">
        <f>IF($G62="","",IF($H62="Sí",ROUND($G62/1.18,2),$G62))</f>
        <v/>
      </c>
      <c r="J62" s="14" t="n"/>
    </row>
    <row r="63">
      <c r="A63" s="14" t="n"/>
      <c r="B63" s="5">
        <f>IF($A63="","",IFERROR(INDEX('Catálogo'!$D$2:$D$813,MATCH($A63,'Catálogo'!$A$2:$A$813,0)),"código no encontrado"))</f>
        <v/>
      </c>
      <c r="C63" s="4">
        <f>IF($A63="","",IFERROR(INDEX('Catálogo'!$H$2:$H$813,MATCH($A63,'Catálogo'!$A$2:$A$813,0)),"código no encontrado"))</f>
        <v/>
      </c>
      <c r="D63" s="4">
        <f>IF($A63="","",IFERROR(INDEX('Catálogo'!$I$2:$I$813,MATCH($A63,'Catálogo'!$A$2:$A$813,0)),"código no encontrado"))</f>
        <v/>
      </c>
      <c r="E63" s="15" t="n"/>
      <c r="F63" s="10">
        <f>IF($A63="","",IFERROR(INDEX('Catálogo'!$N$2:$N$813,MATCH($A63,'Catálogo'!$A$2:$A$813,0)),"código no encontrado"))</f>
        <v/>
      </c>
      <c r="G63" s="10">
        <f>IF(OR($E63="",$F63="",NOT(ISNUMBER($F63))),"",$E63*$F63)</f>
        <v/>
      </c>
      <c r="H63" s="4">
        <f>IF($A63="","",IFERROR(INDEX('Catálogo'!$Q$2:$Q$813,MATCH($A63,'Catálogo'!$A$2:$A$813,0)),"código no encontrado"))</f>
        <v/>
      </c>
      <c r="I63" s="10">
        <f>IF($G63="","",IF($H63="Sí",ROUND($G63/1.18,2),$G63))</f>
        <v/>
      </c>
      <c r="J63" s="14" t="n"/>
    </row>
    <row r="64">
      <c r="A64" s="14" t="n"/>
      <c r="B64" s="5">
        <f>IF($A64="","",IFERROR(INDEX('Catálogo'!$D$2:$D$813,MATCH($A64,'Catálogo'!$A$2:$A$813,0)),"código no encontrado"))</f>
        <v/>
      </c>
      <c r="C64" s="4">
        <f>IF($A64="","",IFERROR(INDEX('Catálogo'!$H$2:$H$813,MATCH($A64,'Catálogo'!$A$2:$A$813,0)),"código no encontrado"))</f>
        <v/>
      </c>
      <c r="D64" s="4">
        <f>IF($A64="","",IFERROR(INDEX('Catálogo'!$I$2:$I$813,MATCH($A64,'Catálogo'!$A$2:$A$813,0)),"código no encontrado"))</f>
        <v/>
      </c>
      <c r="E64" s="15" t="n"/>
      <c r="F64" s="10">
        <f>IF($A64="","",IFERROR(INDEX('Catálogo'!$N$2:$N$813,MATCH($A64,'Catálogo'!$A$2:$A$813,0)),"código no encontrado"))</f>
        <v/>
      </c>
      <c r="G64" s="10">
        <f>IF(OR($E64="",$F64="",NOT(ISNUMBER($F64))),"",$E64*$F64)</f>
        <v/>
      </c>
      <c r="H64" s="4">
        <f>IF($A64="","",IFERROR(INDEX('Catálogo'!$Q$2:$Q$813,MATCH($A64,'Catálogo'!$A$2:$A$813,0)),"código no encontrado"))</f>
        <v/>
      </c>
      <c r="I64" s="10">
        <f>IF($G64="","",IF($H64="Sí",ROUND($G64/1.18,2),$G64))</f>
        <v/>
      </c>
      <c r="J64" s="14" t="n"/>
    </row>
    <row r="65">
      <c r="A65" s="14" t="n"/>
      <c r="B65" s="5">
        <f>IF($A65="","",IFERROR(INDEX('Catálogo'!$D$2:$D$813,MATCH($A65,'Catálogo'!$A$2:$A$813,0)),"código no encontrado"))</f>
        <v/>
      </c>
      <c r="C65" s="4">
        <f>IF($A65="","",IFERROR(INDEX('Catálogo'!$H$2:$H$813,MATCH($A65,'Catálogo'!$A$2:$A$813,0)),"código no encontrado"))</f>
        <v/>
      </c>
      <c r="D65" s="4">
        <f>IF($A65="","",IFERROR(INDEX('Catálogo'!$I$2:$I$813,MATCH($A65,'Catálogo'!$A$2:$A$813,0)),"código no encontrado"))</f>
        <v/>
      </c>
      <c r="E65" s="15" t="n"/>
      <c r="F65" s="10">
        <f>IF($A65="","",IFERROR(INDEX('Catálogo'!$N$2:$N$813,MATCH($A65,'Catálogo'!$A$2:$A$813,0)),"código no encontrado"))</f>
        <v/>
      </c>
      <c r="G65" s="10">
        <f>IF(OR($E65="",$F65="",NOT(ISNUMBER($F65))),"",$E65*$F65)</f>
        <v/>
      </c>
      <c r="H65" s="4">
        <f>IF($A65="","",IFERROR(INDEX('Catálogo'!$Q$2:$Q$813,MATCH($A65,'Catálogo'!$A$2:$A$813,0)),"código no encontrado"))</f>
        <v/>
      </c>
      <c r="I65" s="10">
        <f>IF($G65="","",IF($H65="Sí",ROUND($G65/1.18,2),$G65))</f>
        <v/>
      </c>
      <c r="J65" s="14" t="n"/>
    </row>
    <row r="66">
      <c r="A66" s="14" t="n"/>
      <c r="B66" s="5">
        <f>IF($A66="","",IFERROR(INDEX('Catálogo'!$D$2:$D$813,MATCH($A66,'Catálogo'!$A$2:$A$813,0)),"código no encontrado"))</f>
        <v/>
      </c>
      <c r="C66" s="4">
        <f>IF($A66="","",IFERROR(INDEX('Catálogo'!$H$2:$H$813,MATCH($A66,'Catálogo'!$A$2:$A$813,0)),"código no encontrado"))</f>
        <v/>
      </c>
      <c r="D66" s="4">
        <f>IF($A66="","",IFERROR(INDEX('Catálogo'!$I$2:$I$813,MATCH($A66,'Catálogo'!$A$2:$A$813,0)),"código no encontrado"))</f>
        <v/>
      </c>
      <c r="E66" s="15" t="n"/>
      <c r="F66" s="10">
        <f>IF($A66="","",IFERROR(INDEX('Catálogo'!$N$2:$N$813,MATCH($A66,'Catálogo'!$A$2:$A$813,0)),"código no encontrado"))</f>
        <v/>
      </c>
      <c r="G66" s="10">
        <f>IF(OR($E66="",$F66="",NOT(ISNUMBER($F66))),"",$E66*$F66)</f>
        <v/>
      </c>
      <c r="H66" s="4">
        <f>IF($A66="","",IFERROR(INDEX('Catálogo'!$Q$2:$Q$813,MATCH($A66,'Catálogo'!$A$2:$A$813,0)),"código no encontrado"))</f>
        <v/>
      </c>
      <c r="I66" s="10">
        <f>IF($G66="","",IF($H66="Sí",ROUND($G66/1.18,2),$G66))</f>
        <v/>
      </c>
      <c r="J66" s="14" t="n"/>
    </row>
    <row r="67">
      <c r="A67" s="14" t="n"/>
      <c r="B67" s="5">
        <f>IF($A67="","",IFERROR(INDEX('Catálogo'!$D$2:$D$813,MATCH($A67,'Catálogo'!$A$2:$A$813,0)),"código no encontrado"))</f>
        <v/>
      </c>
      <c r="C67" s="4">
        <f>IF($A67="","",IFERROR(INDEX('Catálogo'!$H$2:$H$813,MATCH($A67,'Catálogo'!$A$2:$A$813,0)),"código no encontrado"))</f>
        <v/>
      </c>
      <c r="D67" s="4">
        <f>IF($A67="","",IFERROR(INDEX('Catálogo'!$I$2:$I$813,MATCH($A67,'Catálogo'!$A$2:$A$813,0)),"código no encontrado"))</f>
        <v/>
      </c>
      <c r="E67" s="15" t="n"/>
      <c r="F67" s="10">
        <f>IF($A67="","",IFERROR(INDEX('Catálogo'!$N$2:$N$813,MATCH($A67,'Catálogo'!$A$2:$A$813,0)),"código no encontrado"))</f>
        <v/>
      </c>
      <c r="G67" s="10">
        <f>IF(OR($E67="",$F67="",NOT(ISNUMBER($F67))),"",$E67*$F67)</f>
        <v/>
      </c>
      <c r="H67" s="4">
        <f>IF($A67="","",IFERROR(INDEX('Catálogo'!$Q$2:$Q$813,MATCH($A67,'Catálogo'!$A$2:$A$813,0)),"código no encontrado"))</f>
        <v/>
      </c>
      <c r="I67" s="10">
        <f>IF($G67="","",IF($H67="Sí",ROUND($G67/1.18,2),$G67))</f>
        <v/>
      </c>
      <c r="J67" s="14" t="n"/>
    </row>
    <row r="68">
      <c r="A68" s="14" t="n"/>
      <c r="B68" s="5">
        <f>IF($A68="","",IFERROR(INDEX('Catálogo'!$D$2:$D$813,MATCH($A68,'Catálogo'!$A$2:$A$813,0)),"código no encontrado"))</f>
        <v/>
      </c>
      <c r="C68" s="4">
        <f>IF($A68="","",IFERROR(INDEX('Catálogo'!$H$2:$H$813,MATCH($A68,'Catálogo'!$A$2:$A$813,0)),"código no encontrado"))</f>
        <v/>
      </c>
      <c r="D68" s="4">
        <f>IF($A68="","",IFERROR(INDEX('Catálogo'!$I$2:$I$813,MATCH($A68,'Catálogo'!$A$2:$A$813,0)),"código no encontrado"))</f>
        <v/>
      </c>
      <c r="E68" s="15" t="n"/>
      <c r="F68" s="10">
        <f>IF($A68="","",IFERROR(INDEX('Catálogo'!$N$2:$N$813,MATCH($A68,'Catálogo'!$A$2:$A$813,0)),"código no encontrado"))</f>
        <v/>
      </c>
      <c r="G68" s="10">
        <f>IF(OR($E68="",$F68="",NOT(ISNUMBER($F68))),"",$E68*$F68)</f>
        <v/>
      </c>
      <c r="H68" s="4">
        <f>IF($A68="","",IFERROR(INDEX('Catálogo'!$Q$2:$Q$813,MATCH($A68,'Catálogo'!$A$2:$A$813,0)),"código no encontrado"))</f>
        <v/>
      </c>
      <c r="I68" s="10">
        <f>IF($G68="","",IF($H68="Sí",ROUND($G68/1.18,2),$G68))</f>
        <v/>
      </c>
      <c r="J68" s="14" t="n"/>
    </row>
    <row r="69">
      <c r="A69" s="14" t="n"/>
      <c r="B69" s="5">
        <f>IF($A69="","",IFERROR(INDEX('Catálogo'!$D$2:$D$813,MATCH($A69,'Catálogo'!$A$2:$A$813,0)),"código no encontrado"))</f>
        <v/>
      </c>
      <c r="C69" s="4">
        <f>IF($A69="","",IFERROR(INDEX('Catálogo'!$H$2:$H$813,MATCH($A69,'Catálogo'!$A$2:$A$813,0)),"código no encontrado"))</f>
        <v/>
      </c>
      <c r="D69" s="4">
        <f>IF($A69="","",IFERROR(INDEX('Catálogo'!$I$2:$I$813,MATCH($A69,'Catálogo'!$A$2:$A$813,0)),"código no encontrado"))</f>
        <v/>
      </c>
      <c r="E69" s="15" t="n"/>
      <c r="F69" s="10">
        <f>IF($A69="","",IFERROR(INDEX('Catálogo'!$N$2:$N$813,MATCH($A69,'Catálogo'!$A$2:$A$813,0)),"código no encontrado"))</f>
        <v/>
      </c>
      <c r="G69" s="10">
        <f>IF(OR($E69="",$F69="",NOT(ISNUMBER($F69))),"",$E69*$F69)</f>
        <v/>
      </c>
      <c r="H69" s="4">
        <f>IF($A69="","",IFERROR(INDEX('Catálogo'!$Q$2:$Q$813,MATCH($A69,'Catálogo'!$A$2:$A$813,0)),"código no encontrado"))</f>
        <v/>
      </c>
      <c r="I69" s="10">
        <f>IF($G69="","",IF($H69="Sí",ROUND($G69/1.18,2),$G69))</f>
        <v/>
      </c>
      <c r="J69" s="14" t="n"/>
    </row>
    <row r="70">
      <c r="A70" s="14" t="n"/>
      <c r="B70" s="5">
        <f>IF($A70="","",IFERROR(INDEX('Catálogo'!$D$2:$D$813,MATCH($A70,'Catálogo'!$A$2:$A$813,0)),"código no encontrado"))</f>
        <v/>
      </c>
      <c r="C70" s="4">
        <f>IF($A70="","",IFERROR(INDEX('Catálogo'!$H$2:$H$813,MATCH($A70,'Catálogo'!$A$2:$A$813,0)),"código no encontrado"))</f>
        <v/>
      </c>
      <c r="D70" s="4">
        <f>IF($A70="","",IFERROR(INDEX('Catálogo'!$I$2:$I$813,MATCH($A70,'Catálogo'!$A$2:$A$813,0)),"código no encontrado"))</f>
        <v/>
      </c>
      <c r="E70" s="15" t="n"/>
      <c r="F70" s="10">
        <f>IF($A70="","",IFERROR(INDEX('Catálogo'!$N$2:$N$813,MATCH($A70,'Catálogo'!$A$2:$A$813,0)),"código no encontrado"))</f>
        <v/>
      </c>
      <c r="G70" s="10">
        <f>IF(OR($E70="",$F70="",NOT(ISNUMBER($F70))),"",$E70*$F70)</f>
        <v/>
      </c>
      <c r="H70" s="4">
        <f>IF($A70="","",IFERROR(INDEX('Catálogo'!$Q$2:$Q$813,MATCH($A70,'Catálogo'!$A$2:$A$813,0)),"código no encontrado"))</f>
        <v/>
      </c>
      <c r="I70" s="10">
        <f>IF($G70="","",IF($H70="Sí",ROUND($G70/1.18,2),$G70))</f>
        <v/>
      </c>
      <c r="J70" s="14" t="n"/>
    </row>
    <row r="71">
      <c r="A71" s="14" t="n"/>
      <c r="B71" s="5">
        <f>IF($A71="","",IFERROR(INDEX('Catálogo'!$D$2:$D$813,MATCH($A71,'Catálogo'!$A$2:$A$813,0)),"código no encontrado"))</f>
        <v/>
      </c>
      <c r="C71" s="4">
        <f>IF($A71="","",IFERROR(INDEX('Catálogo'!$H$2:$H$813,MATCH($A71,'Catálogo'!$A$2:$A$813,0)),"código no encontrado"))</f>
        <v/>
      </c>
      <c r="D71" s="4">
        <f>IF($A71="","",IFERROR(INDEX('Catálogo'!$I$2:$I$813,MATCH($A71,'Catálogo'!$A$2:$A$813,0)),"código no encontrado"))</f>
        <v/>
      </c>
      <c r="E71" s="15" t="n"/>
      <c r="F71" s="10">
        <f>IF($A71="","",IFERROR(INDEX('Catálogo'!$N$2:$N$813,MATCH($A71,'Catálogo'!$A$2:$A$813,0)),"código no encontrado"))</f>
        <v/>
      </c>
      <c r="G71" s="10">
        <f>IF(OR($E71="",$F71="",NOT(ISNUMBER($F71))),"",$E71*$F71)</f>
        <v/>
      </c>
      <c r="H71" s="4">
        <f>IF($A71="","",IFERROR(INDEX('Catálogo'!$Q$2:$Q$813,MATCH($A71,'Catálogo'!$A$2:$A$813,0)),"código no encontrado"))</f>
        <v/>
      </c>
      <c r="I71" s="10">
        <f>IF($G71="","",IF($H71="Sí",ROUND($G71/1.18,2),$G71))</f>
        <v/>
      </c>
      <c r="J71" s="14" t="n"/>
    </row>
    <row r="72">
      <c r="A72" s="14" t="n"/>
      <c r="B72" s="5">
        <f>IF($A72="","",IFERROR(INDEX('Catálogo'!$D$2:$D$813,MATCH($A72,'Catálogo'!$A$2:$A$813,0)),"código no encontrado"))</f>
        <v/>
      </c>
      <c r="C72" s="4">
        <f>IF($A72="","",IFERROR(INDEX('Catálogo'!$H$2:$H$813,MATCH($A72,'Catálogo'!$A$2:$A$813,0)),"código no encontrado"))</f>
        <v/>
      </c>
      <c r="D72" s="4">
        <f>IF($A72="","",IFERROR(INDEX('Catálogo'!$I$2:$I$813,MATCH($A72,'Catálogo'!$A$2:$A$813,0)),"código no encontrado"))</f>
        <v/>
      </c>
      <c r="E72" s="15" t="n"/>
      <c r="F72" s="10">
        <f>IF($A72="","",IFERROR(INDEX('Catálogo'!$N$2:$N$813,MATCH($A72,'Catálogo'!$A$2:$A$813,0)),"código no encontrado"))</f>
        <v/>
      </c>
      <c r="G72" s="10">
        <f>IF(OR($E72="",$F72="",NOT(ISNUMBER($F72))),"",$E72*$F72)</f>
        <v/>
      </c>
      <c r="H72" s="4">
        <f>IF($A72="","",IFERROR(INDEX('Catálogo'!$Q$2:$Q$813,MATCH($A72,'Catálogo'!$A$2:$A$813,0)),"código no encontrado"))</f>
        <v/>
      </c>
      <c r="I72" s="10">
        <f>IF($G72="","",IF($H72="Sí",ROUND($G72/1.18,2),$G72))</f>
        <v/>
      </c>
      <c r="J72" s="14" t="n"/>
    </row>
    <row r="73">
      <c r="A73" s="14" t="n"/>
      <c r="B73" s="5">
        <f>IF($A73="","",IFERROR(INDEX('Catálogo'!$D$2:$D$813,MATCH($A73,'Catálogo'!$A$2:$A$813,0)),"código no encontrado"))</f>
        <v/>
      </c>
      <c r="C73" s="4">
        <f>IF($A73="","",IFERROR(INDEX('Catálogo'!$H$2:$H$813,MATCH($A73,'Catálogo'!$A$2:$A$813,0)),"código no encontrado"))</f>
        <v/>
      </c>
      <c r="D73" s="4">
        <f>IF($A73="","",IFERROR(INDEX('Catálogo'!$I$2:$I$813,MATCH($A73,'Catálogo'!$A$2:$A$813,0)),"código no encontrado"))</f>
        <v/>
      </c>
      <c r="E73" s="15" t="n"/>
      <c r="F73" s="10">
        <f>IF($A73="","",IFERROR(INDEX('Catálogo'!$N$2:$N$813,MATCH($A73,'Catálogo'!$A$2:$A$813,0)),"código no encontrado"))</f>
        <v/>
      </c>
      <c r="G73" s="10">
        <f>IF(OR($E73="",$F73="",NOT(ISNUMBER($F73))),"",$E73*$F73)</f>
        <v/>
      </c>
      <c r="H73" s="4">
        <f>IF($A73="","",IFERROR(INDEX('Catálogo'!$Q$2:$Q$813,MATCH($A73,'Catálogo'!$A$2:$A$813,0)),"código no encontrado"))</f>
        <v/>
      </c>
      <c r="I73" s="10">
        <f>IF($G73="","",IF($H73="Sí",ROUND($G73/1.18,2),$G73))</f>
        <v/>
      </c>
      <c r="J73" s="14" t="n"/>
    </row>
    <row r="74">
      <c r="A74" s="14" t="n"/>
      <c r="B74" s="5">
        <f>IF($A74="","",IFERROR(INDEX('Catálogo'!$D$2:$D$813,MATCH($A74,'Catálogo'!$A$2:$A$813,0)),"código no encontrado"))</f>
        <v/>
      </c>
      <c r="C74" s="4">
        <f>IF($A74="","",IFERROR(INDEX('Catálogo'!$H$2:$H$813,MATCH($A74,'Catálogo'!$A$2:$A$813,0)),"código no encontrado"))</f>
        <v/>
      </c>
      <c r="D74" s="4">
        <f>IF($A74="","",IFERROR(INDEX('Catálogo'!$I$2:$I$813,MATCH($A74,'Catálogo'!$A$2:$A$813,0)),"código no encontrado"))</f>
        <v/>
      </c>
      <c r="E74" s="15" t="n"/>
      <c r="F74" s="10">
        <f>IF($A74="","",IFERROR(INDEX('Catálogo'!$N$2:$N$813,MATCH($A74,'Catálogo'!$A$2:$A$813,0)),"código no encontrado"))</f>
        <v/>
      </c>
      <c r="G74" s="10">
        <f>IF(OR($E74="",$F74="",NOT(ISNUMBER($F74))),"",$E74*$F74)</f>
        <v/>
      </c>
      <c r="H74" s="4">
        <f>IF($A74="","",IFERROR(INDEX('Catálogo'!$Q$2:$Q$813,MATCH($A74,'Catálogo'!$A$2:$A$813,0)),"código no encontrado"))</f>
        <v/>
      </c>
      <c r="I74" s="10">
        <f>IF($G74="","",IF($H74="Sí",ROUND($G74/1.18,2),$G74))</f>
        <v/>
      </c>
      <c r="J74" s="14" t="n"/>
    </row>
    <row r="75">
      <c r="A75" s="14" t="n"/>
      <c r="B75" s="5">
        <f>IF($A75="","",IFERROR(INDEX('Catálogo'!$D$2:$D$813,MATCH($A75,'Catálogo'!$A$2:$A$813,0)),"código no encontrado"))</f>
        <v/>
      </c>
      <c r="C75" s="4">
        <f>IF($A75="","",IFERROR(INDEX('Catálogo'!$H$2:$H$813,MATCH($A75,'Catálogo'!$A$2:$A$813,0)),"código no encontrado"))</f>
        <v/>
      </c>
      <c r="D75" s="4">
        <f>IF($A75="","",IFERROR(INDEX('Catálogo'!$I$2:$I$813,MATCH($A75,'Catálogo'!$A$2:$A$813,0)),"código no encontrado"))</f>
        <v/>
      </c>
      <c r="E75" s="15" t="n"/>
      <c r="F75" s="10">
        <f>IF($A75="","",IFERROR(INDEX('Catálogo'!$N$2:$N$813,MATCH($A75,'Catálogo'!$A$2:$A$813,0)),"código no encontrado"))</f>
        <v/>
      </c>
      <c r="G75" s="10">
        <f>IF(OR($E75="",$F75="",NOT(ISNUMBER($F75))),"",$E75*$F75)</f>
        <v/>
      </c>
      <c r="H75" s="4">
        <f>IF($A75="","",IFERROR(INDEX('Catálogo'!$Q$2:$Q$813,MATCH($A75,'Catálogo'!$A$2:$A$813,0)),"código no encontrado"))</f>
        <v/>
      </c>
      <c r="I75" s="10">
        <f>IF($G75="","",IF($H75="Sí",ROUND($G75/1.18,2),$G75))</f>
        <v/>
      </c>
      <c r="J75" s="14" t="n"/>
    </row>
    <row r="76">
      <c r="A76" s="14" t="n"/>
      <c r="B76" s="5">
        <f>IF($A76="","",IFERROR(INDEX('Catálogo'!$D$2:$D$813,MATCH($A76,'Catálogo'!$A$2:$A$813,0)),"código no encontrado"))</f>
        <v/>
      </c>
      <c r="C76" s="4">
        <f>IF($A76="","",IFERROR(INDEX('Catálogo'!$H$2:$H$813,MATCH($A76,'Catálogo'!$A$2:$A$813,0)),"código no encontrado"))</f>
        <v/>
      </c>
      <c r="D76" s="4">
        <f>IF($A76="","",IFERROR(INDEX('Catálogo'!$I$2:$I$813,MATCH($A76,'Catálogo'!$A$2:$A$813,0)),"código no encontrado"))</f>
        <v/>
      </c>
      <c r="E76" s="15" t="n"/>
      <c r="F76" s="10">
        <f>IF($A76="","",IFERROR(INDEX('Catálogo'!$N$2:$N$813,MATCH($A76,'Catálogo'!$A$2:$A$813,0)),"código no encontrado"))</f>
        <v/>
      </c>
      <c r="G76" s="10">
        <f>IF(OR($E76="",$F76="",NOT(ISNUMBER($F76))),"",$E76*$F76)</f>
        <v/>
      </c>
      <c r="H76" s="4">
        <f>IF($A76="","",IFERROR(INDEX('Catálogo'!$Q$2:$Q$813,MATCH($A76,'Catálogo'!$A$2:$A$813,0)),"código no encontrado"))</f>
        <v/>
      </c>
      <c r="I76" s="10">
        <f>IF($G76="","",IF($H76="Sí",ROUND($G76/1.18,2),$G76))</f>
        <v/>
      </c>
      <c r="J76" s="14" t="n"/>
    </row>
    <row r="77">
      <c r="A77" s="14" t="n"/>
      <c r="B77" s="5">
        <f>IF($A77="","",IFERROR(INDEX('Catálogo'!$D$2:$D$813,MATCH($A77,'Catálogo'!$A$2:$A$813,0)),"código no encontrado"))</f>
        <v/>
      </c>
      <c r="C77" s="4">
        <f>IF($A77="","",IFERROR(INDEX('Catálogo'!$H$2:$H$813,MATCH($A77,'Catálogo'!$A$2:$A$813,0)),"código no encontrado"))</f>
        <v/>
      </c>
      <c r="D77" s="4">
        <f>IF($A77="","",IFERROR(INDEX('Catálogo'!$I$2:$I$813,MATCH($A77,'Catálogo'!$A$2:$A$813,0)),"código no encontrado"))</f>
        <v/>
      </c>
      <c r="E77" s="15" t="n"/>
      <c r="F77" s="10">
        <f>IF($A77="","",IFERROR(INDEX('Catálogo'!$N$2:$N$813,MATCH($A77,'Catálogo'!$A$2:$A$813,0)),"código no encontrado"))</f>
        <v/>
      </c>
      <c r="G77" s="10">
        <f>IF(OR($E77="",$F77="",NOT(ISNUMBER($F77))),"",$E77*$F77)</f>
        <v/>
      </c>
      <c r="H77" s="4">
        <f>IF($A77="","",IFERROR(INDEX('Catálogo'!$Q$2:$Q$813,MATCH($A77,'Catálogo'!$A$2:$A$813,0)),"código no encontrado"))</f>
        <v/>
      </c>
      <c r="I77" s="10">
        <f>IF($G77="","",IF($H77="Sí",ROUND($G77/1.18,2),$G77))</f>
        <v/>
      </c>
      <c r="J77" s="14" t="n"/>
    </row>
    <row r="78">
      <c r="A78" s="14" t="n"/>
      <c r="B78" s="5">
        <f>IF($A78="","",IFERROR(INDEX('Catálogo'!$D$2:$D$813,MATCH($A78,'Catálogo'!$A$2:$A$813,0)),"código no encontrado"))</f>
        <v/>
      </c>
      <c r="C78" s="4">
        <f>IF($A78="","",IFERROR(INDEX('Catálogo'!$H$2:$H$813,MATCH($A78,'Catálogo'!$A$2:$A$813,0)),"código no encontrado"))</f>
        <v/>
      </c>
      <c r="D78" s="4">
        <f>IF($A78="","",IFERROR(INDEX('Catálogo'!$I$2:$I$813,MATCH($A78,'Catálogo'!$A$2:$A$813,0)),"código no encontrado"))</f>
        <v/>
      </c>
      <c r="E78" s="15" t="n"/>
      <c r="F78" s="10">
        <f>IF($A78="","",IFERROR(INDEX('Catálogo'!$N$2:$N$813,MATCH($A78,'Catálogo'!$A$2:$A$813,0)),"código no encontrado"))</f>
        <v/>
      </c>
      <c r="G78" s="10">
        <f>IF(OR($E78="",$F78="",NOT(ISNUMBER($F78))),"",$E78*$F78)</f>
        <v/>
      </c>
      <c r="H78" s="4">
        <f>IF($A78="","",IFERROR(INDEX('Catálogo'!$Q$2:$Q$813,MATCH($A78,'Catálogo'!$A$2:$A$813,0)),"código no encontrado"))</f>
        <v/>
      </c>
      <c r="I78" s="10">
        <f>IF($G78="","",IF($H78="Sí",ROUND($G78/1.18,2),$G78))</f>
        <v/>
      </c>
      <c r="J78" s="14" t="n"/>
    </row>
    <row r="79">
      <c r="A79" s="14" t="n"/>
      <c r="B79" s="5">
        <f>IF($A79="","",IFERROR(INDEX('Catálogo'!$D$2:$D$813,MATCH($A79,'Catálogo'!$A$2:$A$813,0)),"código no encontrado"))</f>
        <v/>
      </c>
      <c r="C79" s="4">
        <f>IF($A79="","",IFERROR(INDEX('Catálogo'!$H$2:$H$813,MATCH($A79,'Catálogo'!$A$2:$A$813,0)),"código no encontrado"))</f>
        <v/>
      </c>
      <c r="D79" s="4">
        <f>IF($A79="","",IFERROR(INDEX('Catálogo'!$I$2:$I$813,MATCH($A79,'Catálogo'!$A$2:$A$813,0)),"código no encontrado"))</f>
        <v/>
      </c>
      <c r="E79" s="15" t="n"/>
      <c r="F79" s="10">
        <f>IF($A79="","",IFERROR(INDEX('Catálogo'!$N$2:$N$813,MATCH($A79,'Catálogo'!$A$2:$A$813,0)),"código no encontrado"))</f>
        <v/>
      </c>
      <c r="G79" s="10">
        <f>IF(OR($E79="",$F79="",NOT(ISNUMBER($F79))),"",$E79*$F79)</f>
        <v/>
      </c>
      <c r="H79" s="4">
        <f>IF($A79="","",IFERROR(INDEX('Catálogo'!$Q$2:$Q$813,MATCH($A79,'Catálogo'!$A$2:$A$813,0)),"código no encontrado"))</f>
        <v/>
      </c>
      <c r="I79" s="10">
        <f>IF($G79="","",IF($H79="Sí",ROUND($G79/1.18,2),$G79))</f>
        <v/>
      </c>
      <c r="J79" s="14" t="n"/>
    </row>
    <row r="80">
      <c r="A80" s="14" t="n"/>
      <c r="B80" s="5">
        <f>IF($A80="","",IFERROR(INDEX('Catálogo'!$D$2:$D$813,MATCH($A80,'Catálogo'!$A$2:$A$813,0)),"código no encontrado"))</f>
        <v/>
      </c>
      <c r="C80" s="4">
        <f>IF($A80="","",IFERROR(INDEX('Catálogo'!$H$2:$H$813,MATCH($A80,'Catálogo'!$A$2:$A$813,0)),"código no encontrado"))</f>
        <v/>
      </c>
      <c r="D80" s="4">
        <f>IF($A80="","",IFERROR(INDEX('Catálogo'!$I$2:$I$813,MATCH($A80,'Catálogo'!$A$2:$A$813,0)),"código no encontrado"))</f>
        <v/>
      </c>
      <c r="E80" s="15" t="n"/>
      <c r="F80" s="10">
        <f>IF($A80="","",IFERROR(INDEX('Catálogo'!$N$2:$N$813,MATCH($A80,'Catálogo'!$A$2:$A$813,0)),"código no encontrado"))</f>
        <v/>
      </c>
      <c r="G80" s="10">
        <f>IF(OR($E80="",$F80="",NOT(ISNUMBER($F80))),"",$E80*$F80)</f>
        <v/>
      </c>
      <c r="H80" s="4">
        <f>IF($A80="","",IFERROR(INDEX('Catálogo'!$Q$2:$Q$813,MATCH($A80,'Catálogo'!$A$2:$A$813,0)),"código no encontrado"))</f>
        <v/>
      </c>
      <c r="I80" s="10">
        <f>IF($G80="","",IF($H80="Sí",ROUND($G80/1.18,2),$G80))</f>
        <v/>
      </c>
      <c r="J80" s="14" t="n"/>
    </row>
    <row r="81">
      <c r="A81" s="14" t="n"/>
      <c r="B81" s="5">
        <f>IF($A81="","",IFERROR(INDEX('Catálogo'!$D$2:$D$813,MATCH($A81,'Catálogo'!$A$2:$A$813,0)),"código no encontrado"))</f>
        <v/>
      </c>
      <c r="C81" s="4">
        <f>IF($A81="","",IFERROR(INDEX('Catálogo'!$H$2:$H$813,MATCH($A81,'Catálogo'!$A$2:$A$813,0)),"código no encontrado"))</f>
        <v/>
      </c>
      <c r="D81" s="4">
        <f>IF($A81="","",IFERROR(INDEX('Catálogo'!$I$2:$I$813,MATCH($A81,'Catálogo'!$A$2:$A$813,0)),"código no encontrado"))</f>
        <v/>
      </c>
      <c r="E81" s="15" t="n"/>
      <c r="F81" s="10">
        <f>IF($A81="","",IFERROR(INDEX('Catálogo'!$N$2:$N$813,MATCH($A81,'Catálogo'!$A$2:$A$813,0)),"código no encontrado"))</f>
        <v/>
      </c>
      <c r="G81" s="10">
        <f>IF(OR($E81="",$F81="",NOT(ISNUMBER($F81))),"",$E81*$F81)</f>
        <v/>
      </c>
      <c r="H81" s="4">
        <f>IF($A81="","",IFERROR(INDEX('Catálogo'!$Q$2:$Q$813,MATCH($A81,'Catálogo'!$A$2:$A$813,0)),"código no encontrado"))</f>
        <v/>
      </c>
      <c r="I81" s="10">
        <f>IF($G81="","",IF($H81="Sí",ROUND($G81/1.18,2),$G81))</f>
        <v/>
      </c>
      <c r="J81" s="14" t="n"/>
    </row>
    <row r="82">
      <c r="A82" s="14" t="n"/>
      <c r="B82" s="5">
        <f>IF($A82="","",IFERROR(INDEX('Catálogo'!$D$2:$D$813,MATCH($A82,'Catálogo'!$A$2:$A$813,0)),"código no encontrado"))</f>
        <v/>
      </c>
      <c r="C82" s="4">
        <f>IF($A82="","",IFERROR(INDEX('Catálogo'!$H$2:$H$813,MATCH($A82,'Catálogo'!$A$2:$A$813,0)),"código no encontrado"))</f>
        <v/>
      </c>
      <c r="D82" s="4">
        <f>IF($A82="","",IFERROR(INDEX('Catálogo'!$I$2:$I$813,MATCH($A82,'Catálogo'!$A$2:$A$813,0)),"código no encontrado"))</f>
        <v/>
      </c>
      <c r="E82" s="15" t="n"/>
      <c r="F82" s="10">
        <f>IF($A82="","",IFERROR(INDEX('Catálogo'!$N$2:$N$813,MATCH($A82,'Catálogo'!$A$2:$A$813,0)),"código no encontrado"))</f>
        <v/>
      </c>
      <c r="G82" s="10">
        <f>IF(OR($E82="",$F82="",NOT(ISNUMBER($F82))),"",$E82*$F82)</f>
        <v/>
      </c>
      <c r="H82" s="4">
        <f>IF($A82="","",IFERROR(INDEX('Catálogo'!$Q$2:$Q$813,MATCH($A82,'Catálogo'!$A$2:$A$813,0)),"código no encontrado"))</f>
        <v/>
      </c>
      <c r="I82" s="10">
        <f>IF($G82="","",IF($H82="Sí",ROUND($G82/1.18,2),$G82))</f>
        <v/>
      </c>
      <c r="J82" s="14" t="n"/>
    </row>
    <row r="83">
      <c r="A83" s="14" t="n"/>
      <c r="B83" s="5">
        <f>IF($A83="","",IFERROR(INDEX('Catálogo'!$D$2:$D$813,MATCH($A83,'Catálogo'!$A$2:$A$813,0)),"código no encontrado"))</f>
        <v/>
      </c>
      <c r="C83" s="4">
        <f>IF($A83="","",IFERROR(INDEX('Catálogo'!$H$2:$H$813,MATCH($A83,'Catálogo'!$A$2:$A$813,0)),"código no encontrado"))</f>
        <v/>
      </c>
      <c r="D83" s="4">
        <f>IF($A83="","",IFERROR(INDEX('Catálogo'!$I$2:$I$813,MATCH($A83,'Catálogo'!$A$2:$A$813,0)),"código no encontrado"))</f>
        <v/>
      </c>
      <c r="E83" s="15" t="n"/>
      <c r="F83" s="10">
        <f>IF($A83="","",IFERROR(INDEX('Catálogo'!$N$2:$N$813,MATCH($A83,'Catálogo'!$A$2:$A$813,0)),"código no encontrado"))</f>
        <v/>
      </c>
      <c r="G83" s="10">
        <f>IF(OR($E83="",$F83="",NOT(ISNUMBER($F83))),"",$E83*$F83)</f>
        <v/>
      </c>
      <c r="H83" s="4">
        <f>IF($A83="","",IFERROR(INDEX('Catálogo'!$Q$2:$Q$813,MATCH($A83,'Catálogo'!$A$2:$A$813,0)),"código no encontrado"))</f>
        <v/>
      </c>
      <c r="I83" s="10">
        <f>IF($G83="","",IF($H83="Sí",ROUND($G83/1.18,2),$G83))</f>
        <v/>
      </c>
      <c r="J83" s="14" t="n"/>
    </row>
    <row r="84">
      <c r="A84" s="14" t="n"/>
      <c r="B84" s="5">
        <f>IF($A84="","",IFERROR(INDEX('Catálogo'!$D$2:$D$813,MATCH($A84,'Catálogo'!$A$2:$A$813,0)),"código no encontrado"))</f>
        <v/>
      </c>
      <c r="C84" s="4">
        <f>IF($A84="","",IFERROR(INDEX('Catálogo'!$H$2:$H$813,MATCH($A84,'Catálogo'!$A$2:$A$813,0)),"código no encontrado"))</f>
        <v/>
      </c>
      <c r="D84" s="4">
        <f>IF($A84="","",IFERROR(INDEX('Catálogo'!$I$2:$I$813,MATCH($A84,'Catálogo'!$A$2:$A$813,0)),"código no encontrado"))</f>
        <v/>
      </c>
      <c r="E84" s="15" t="n"/>
      <c r="F84" s="10">
        <f>IF($A84="","",IFERROR(INDEX('Catálogo'!$N$2:$N$813,MATCH($A84,'Catálogo'!$A$2:$A$813,0)),"código no encontrado"))</f>
        <v/>
      </c>
      <c r="G84" s="10">
        <f>IF(OR($E84="",$F84="",NOT(ISNUMBER($F84))),"",$E84*$F84)</f>
        <v/>
      </c>
      <c r="H84" s="4">
        <f>IF($A84="","",IFERROR(INDEX('Catálogo'!$Q$2:$Q$813,MATCH($A84,'Catálogo'!$A$2:$A$813,0)),"código no encontrado"))</f>
        <v/>
      </c>
      <c r="I84" s="10">
        <f>IF($G84="","",IF($H84="Sí",ROUND($G84/1.18,2),$G84))</f>
        <v/>
      </c>
      <c r="J84" s="14" t="n"/>
    </row>
    <row r="85">
      <c r="A85" s="14" t="n"/>
      <c r="B85" s="5">
        <f>IF($A85="","",IFERROR(INDEX('Catálogo'!$D$2:$D$813,MATCH($A85,'Catálogo'!$A$2:$A$813,0)),"código no encontrado"))</f>
        <v/>
      </c>
      <c r="C85" s="4">
        <f>IF($A85="","",IFERROR(INDEX('Catálogo'!$H$2:$H$813,MATCH($A85,'Catálogo'!$A$2:$A$813,0)),"código no encontrado"))</f>
        <v/>
      </c>
      <c r="D85" s="4">
        <f>IF($A85="","",IFERROR(INDEX('Catálogo'!$I$2:$I$813,MATCH($A85,'Catálogo'!$A$2:$A$813,0)),"código no encontrado"))</f>
        <v/>
      </c>
      <c r="E85" s="15" t="n"/>
      <c r="F85" s="10">
        <f>IF($A85="","",IFERROR(INDEX('Catálogo'!$N$2:$N$813,MATCH($A85,'Catálogo'!$A$2:$A$813,0)),"código no encontrado"))</f>
        <v/>
      </c>
      <c r="G85" s="10">
        <f>IF(OR($E85="",$F85="",NOT(ISNUMBER($F85))),"",$E85*$F85)</f>
        <v/>
      </c>
      <c r="H85" s="4">
        <f>IF($A85="","",IFERROR(INDEX('Catálogo'!$Q$2:$Q$813,MATCH($A85,'Catálogo'!$A$2:$A$813,0)),"código no encontrado"))</f>
        <v/>
      </c>
      <c r="I85" s="10">
        <f>IF($G85="","",IF($H85="Sí",ROUND($G85/1.18,2),$G85))</f>
        <v/>
      </c>
      <c r="J85" s="14" t="n"/>
    </row>
    <row r="86">
      <c r="A86" s="14" t="n"/>
      <c r="B86" s="5">
        <f>IF($A86="","",IFERROR(INDEX('Catálogo'!$D$2:$D$813,MATCH($A86,'Catálogo'!$A$2:$A$813,0)),"código no encontrado"))</f>
        <v/>
      </c>
      <c r="C86" s="4">
        <f>IF($A86="","",IFERROR(INDEX('Catálogo'!$H$2:$H$813,MATCH($A86,'Catálogo'!$A$2:$A$813,0)),"código no encontrado"))</f>
        <v/>
      </c>
      <c r="D86" s="4">
        <f>IF($A86="","",IFERROR(INDEX('Catálogo'!$I$2:$I$813,MATCH($A86,'Catálogo'!$A$2:$A$813,0)),"código no encontrado"))</f>
        <v/>
      </c>
      <c r="E86" s="15" t="n"/>
      <c r="F86" s="10">
        <f>IF($A86="","",IFERROR(INDEX('Catálogo'!$N$2:$N$813,MATCH($A86,'Catálogo'!$A$2:$A$813,0)),"código no encontrado"))</f>
        <v/>
      </c>
      <c r="G86" s="10">
        <f>IF(OR($E86="",$F86="",NOT(ISNUMBER($F86))),"",$E86*$F86)</f>
        <v/>
      </c>
      <c r="H86" s="4">
        <f>IF($A86="","",IFERROR(INDEX('Catálogo'!$Q$2:$Q$813,MATCH($A86,'Catálogo'!$A$2:$A$813,0)),"código no encontrado"))</f>
        <v/>
      </c>
      <c r="I86" s="10">
        <f>IF($G86="","",IF($H86="Sí",ROUND($G86/1.18,2),$G86))</f>
        <v/>
      </c>
      <c r="J86" s="14" t="n"/>
    </row>
    <row r="87">
      <c r="A87" s="14" t="n"/>
      <c r="B87" s="5">
        <f>IF($A87="","",IFERROR(INDEX('Catálogo'!$D$2:$D$813,MATCH($A87,'Catálogo'!$A$2:$A$813,0)),"código no encontrado"))</f>
        <v/>
      </c>
      <c r="C87" s="4">
        <f>IF($A87="","",IFERROR(INDEX('Catálogo'!$H$2:$H$813,MATCH($A87,'Catálogo'!$A$2:$A$813,0)),"código no encontrado"))</f>
        <v/>
      </c>
      <c r="D87" s="4">
        <f>IF($A87="","",IFERROR(INDEX('Catálogo'!$I$2:$I$813,MATCH($A87,'Catálogo'!$A$2:$A$813,0)),"código no encontrado"))</f>
        <v/>
      </c>
      <c r="E87" s="15" t="n"/>
      <c r="F87" s="10">
        <f>IF($A87="","",IFERROR(INDEX('Catálogo'!$N$2:$N$813,MATCH($A87,'Catálogo'!$A$2:$A$813,0)),"código no encontrado"))</f>
        <v/>
      </c>
      <c r="G87" s="10">
        <f>IF(OR($E87="",$F87="",NOT(ISNUMBER($F87))),"",$E87*$F87)</f>
        <v/>
      </c>
      <c r="H87" s="4">
        <f>IF($A87="","",IFERROR(INDEX('Catálogo'!$Q$2:$Q$813,MATCH($A87,'Catálogo'!$A$2:$A$813,0)),"código no encontrado"))</f>
        <v/>
      </c>
      <c r="I87" s="10">
        <f>IF($G87="","",IF($H87="Sí",ROUND($G87/1.18,2),$G87))</f>
        <v/>
      </c>
      <c r="J87" s="14" t="n"/>
    </row>
    <row r="88">
      <c r="A88" s="14" t="n"/>
      <c r="B88" s="5">
        <f>IF($A88="","",IFERROR(INDEX('Catálogo'!$D$2:$D$813,MATCH($A88,'Catálogo'!$A$2:$A$813,0)),"código no encontrado"))</f>
        <v/>
      </c>
      <c r="C88" s="4">
        <f>IF($A88="","",IFERROR(INDEX('Catálogo'!$H$2:$H$813,MATCH($A88,'Catálogo'!$A$2:$A$813,0)),"código no encontrado"))</f>
        <v/>
      </c>
      <c r="D88" s="4">
        <f>IF($A88="","",IFERROR(INDEX('Catálogo'!$I$2:$I$813,MATCH($A88,'Catálogo'!$A$2:$A$813,0)),"código no encontrado"))</f>
        <v/>
      </c>
      <c r="E88" s="15" t="n"/>
      <c r="F88" s="10">
        <f>IF($A88="","",IFERROR(INDEX('Catálogo'!$N$2:$N$813,MATCH($A88,'Catálogo'!$A$2:$A$813,0)),"código no encontrado"))</f>
        <v/>
      </c>
      <c r="G88" s="10">
        <f>IF(OR($E88="",$F88="",NOT(ISNUMBER($F88))),"",$E88*$F88)</f>
        <v/>
      </c>
      <c r="H88" s="4">
        <f>IF($A88="","",IFERROR(INDEX('Catálogo'!$Q$2:$Q$813,MATCH($A88,'Catálogo'!$A$2:$A$813,0)),"código no encontrado"))</f>
        <v/>
      </c>
      <c r="I88" s="10">
        <f>IF($G88="","",IF($H88="Sí",ROUND($G88/1.18,2),$G88))</f>
        <v/>
      </c>
      <c r="J88" s="14" t="n"/>
    </row>
    <row r="89">
      <c r="A89" s="14" t="n"/>
      <c r="B89" s="5">
        <f>IF($A89="","",IFERROR(INDEX('Catálogo'!$D$2:$D$813,MATCH($A89,'Catálogo'!$A$2:$A$813,0)),"código no encontrado"))</f>
        <v/>
      </c>
      <c r="C89" s="4">
        <f>IF($A89="","",IFERROR(INDEX('Catálogo'!$H$2:$H$813,MATCH($A89,'Catálogo'!$A$2:$A$813,0)),"código no encontrado"))</f>
        <v/>
      </c>
      <c r="D89" s="4">
        <f>IF($A89="","",IFERROR(INDEX('Catálogo'!$I$2:$I$813,MATCH($A89,'Catálogo'!$A$2:$A$813,0)),"código no encontrado"))</f>
        <v/>
      </c>
      <c r="E89" s="15" t="n"/>
      <c r="F89" s="10">
        <f>IF($A89="","",IFERROR(INDEX('Catálogo'!$N$2:$N$813,MATCH($A89,'Catálogo'!$A$2:$A$813,0)),"código no encontrado"))</f>
        <v/>
      </c>
      <c r="G89" s="10">
        <f>IF(OR($E89="",$F89="",NOT(ISNUMBER($F89))),"",$E89*$F89)</f>
        <v/>
      </c>
      <c r="H89" s="4">
        <f>IF($A89="","",IFERROR(INDEX('Catálogo'!$Q$2:$Q$813,MATCH($A89,'Catálogo'!$A$2:$A$813,0)),"código no encontrado"))</f>
        <v/>
      </c>
      <c r="I89" s="10">
        <f>IF($G89="","",IF($H89="Sí",ROUND($G89/1.18,2),$G89))</f>
        <v/>
      </c>
      <c r="J89" s="14" t="n"/>
    </row>
    <row r="90">
      <c r="A90" s="14" t="n"/>
      <c r="B90" s="5">
        <f>IF($A90="","",IFERROR(INDEX('Catálogo'!$D$2:$D$813,MATCH($A90,'Catálogo'!$A$2:$A$813,0)),"código no encontrado"))</f>
        <v/>
      </c>
      <c r="C90" s="4">
        <f>IF($A90="","",IFERROR(INDEX('Catálogo'!$H$2:$H$813,MATCH($A90,'Catálogo'!$A$2:$A$813,0)),"código no encontrado"))</f>
        <v/>
      </c>
      <c r="D90" s="4">
        <f>IF($A90="","",IFERROR(INDEX('Catálogo'!$I$2:$I$813,MATCH($A90,'Catálogo'!$A$2:$A$813,0)),"código no encontrado"))</f>
        <v/>
      </c>
      <c r="E90" s="15" t="n"/>
      <c r="F90" s="10">
        <f>IF($A90="","",IFERROR(INDEX('Catálogo'!$N$2:$N$813,MATCH($A90,'Catálogo'!$A$2:$A$813,0)),"código no encontrado"))</f>
        <v/>
      </c>
      <c r="G90" s="10">
        <f>IF(OR($E90="",$F90="",NOT(ISNUMBER($F90))),"",$E90*$F90)</f>
        <v/>
      </c>
      <c r="H90" s="4">
        <f>IF($A90="","",IFERROR(INDEX('Catálogo'!$Q$2:$Q$813,MATCH($A90,'Catálogo'!$A$2:$A$813,0)),"código no encontrado"))</f>
        <v/>
      </c>
      <c r="I90" s="10">
        <f>IF($G90="","",IF($H90="Sí",ROUND($G90/1.18,2),$G90))</f>
        <v/>
      </c>
      <c r="J90" s="14" t="n"/>
    </row>
    <row r="91">
      <c r="A91" s="14" t="n"/>
      <c r="B91" s="5">
        <f>IF($A91="","",IFERROR(INDEX('Catálogo'!$D$2:$D$813,MATCH($A91,'Catálogo'!$A$2:$A$813,0)),"código no encontrado"))</f>
        <v/>
      </c>
      <c r="C91" s="4">
        <f>IF($A91="","",IFERROR(INDEX('Catálogo'!$H$2:$H$813,MATCH($A91,'Catálogo'!$A$2:$A$813,0)),"código no encontrado"))</f>
        <v/>
      </c>
      <c r="D91" s="4">
        <f>IF($A91="","",IFERROR(INDEX('Catálogo'!$I$2:$I$813,MATCH($A91,'Catálogo'!$A$2:$A$813,0)),"código no encontrado"))</f>
        <v/>
      </c>
      <c r="E91" s="15" t="n"/>
      <c r="F91" s="10">
        <f>IF($A91="","",IFERROR(INDEX('Catálogo'!$N$2:$N$813,MATCH($A91,'Catálogo'!$A$2:$A$813,0)),"código no encontrado"))</f>
        <v/>
      </c>
      <c r="G91" s="10">
        <f>IF(OR($E91="",$F91="",NOT(ISNUMBER($F91))),"",$E91*$F91)</f>
        <v/>
      </c>
      <c r="H91" s="4">
        <f>IF($A91="","",IFERROR(INDEX('Catálogo'!$Q$2:$Q$813,MATCH($A91,'Catálogo'!$A$2:$A$813,0)),"código no encontrado"))</f>
        <v/>
      </c>
      <c r="I91" s="10">
        <f>IF($G91="","",IF($H91="Sí",ROUND($G91/1.18,2),$G91))</f>
        <v/>
      </c>
      <c r="J91" s="14" t="n"/>
    </row>
    <row r="92">
      <c r="A92" s="14" t="n"/>
      <c r="B92" s="5">
        <f>IF($A92="","",IFERROR(INDEX('Catálogo'!$D$2:$D$813,MATCH($A92,'Catálogo'!$A$2:$A$813,0)),"código no encontrado"))</f>
        <v/>
      </c>
      <c r="C92" s="4">
        <f>IF($A92="","",IFERROR(INDEX('Catálogo'!$H$2:$H$813,MATCH($A92,'Catálogo'!$A$2:$A$813,0)),"código no encontrado"))</f>
        <v/>
      </c>
      <c r="D92" s="4">
        <f>IF($A92="","",IFERROR(INDEX('Catálogo'!$I$2:$I$813,MATCH($A92,'Catálogo'!$A$2:$A$813,0)),"código no encontrado"))</f>
        <v/>
      </c>
      <c r="E92" s="15" t="n"/>
      <c r="F92" s="10">
        <f>IF($A92="","",IFERROR(INDEX('Catálogo'!$N$2:$N$813,MATCH($A92,'Catálogo'!$A$2:$A$813,0)),"código no encontrado"))</f>
        <v/>
      </c>
      <c r="G92" s="10">
        <f>IF(OR($E92="",$F92="",NOT(ISNUMBER($F92))),"",$E92*$F92)</f>
        <v/>
      </c>
      <c r="H92" s="4">
        <f>IF($A92="","",IFERROR(INDEX('Catálogo'!$Q$2:$Q$813,MATCH($A92,'Catálogo'!$A$2:$A$813,0)),"código no encontrado"))</f>
        <v/>
      </c>
      <c r="I92" s="10">
        <f>IF($G92="","",IF($H92="Sí",ROUND($G92/1.18,2),$G92))</f>
        <v/>
      </c>
      <c r="J92" s="14" t="n"/>
    </row>
    <row r="93">
      <c r="A93" s="14" t="n"/>
      <c r="B93" s="5">
        <f>IF($A93="","",IFERROR(INDEX('Catálogo'!$D$2:$D$813,MATCH($A93,'Catálogo'!$A$2:$A$813,0)),"código no encontrado"))</f>
        <v/>
      </c>
      <c r="C93" s="4">
        <f>IF($A93="","",IFERROR(INDEX('Catálogo'!$H$2:$H$813,MATCH($A93,'Catálogo'!$A$2:$A$813,0)),"código no encontrado"))</f>
        <v/>
      </c>
      <c r="D93" s="4">
        <f>IF($A93="","",IFERROR(INDEX('Catálogo'!$I$2:$I$813,MATCH($A93,'Catálogo'!$A$2:$A$813,0)),"código no encontrado"))</f>
        <v/>
      </c>
      <c r="E93" s="15" t="n"/>
      <c r="F93" s="10">
        <f>IF($A93="","",IFERROR(INDEX('Catálogo'!$N$2:$N$813,MATCH($A93,'Catálogo'!$A$2:$A$813,0)),"código no encontrado"))</f>
        <v/>
      </c>
      <c r="G93" s="10">
        <f>IF(OR($E93="",$F93="",NOT(ISNUMBER($F93))),"",$E93*$F93)</f>
        <v/>
      </c>
      <c r="H93" s="4">
        <f>IF($A93="","",IFERROR(INDEX('Catálogo'!$Q$2:$Q$813,MATCH($A93,'Catálogo'!$A$2:$A$813,0)),"código no encontrado"))</f>
        <v/>
      </c>
      <c r="I93" s="10">
        <f>IF($G93="","",IF($H93="Sí",ROUND($G93/1.18,2),$G93))</f>
        <v/>
      </c>
      <c r="J93" s="14" t="n"/>
    </row>
    <row r="94">
      <c r="A94" s="14" t="n"/>
      <c r="B94" s="5">
        <f>IF($A94="","",IFERROR(INDEX('Catálogo'!$D$2:$D$813,MATCH($A94,'Catálogo'!$A$2:$A$813,0)),"código no encontrado"))</f>
        <v/>
      </c>
      <c r="C94" s="4">
        <f>IF($A94="","",IFERROR(INDEX('Catálogo'!$H$2:$H$813,MATCH($A94,'Catálogo'!$A$2:$A$813,0)),"código no encontrado"))</f>
        <v/>
      </c>
      <c r="D94" s="4">
        <f>IF($A94="","",IFERROR(INDEX('Catálogo'!$I$2:$I$813,MATCH($A94,'Catálogo'!$A$2:$A$813,0)),"código no encontrado"))</f>
        <v/>
      </c>
      <c r="E94" s="15" t="n"/>
      <c r="F94" s="10">
        <f>IF($A94="","",IFERROR(INDEX('Catálogo'!$N$2:$N$813,MATCH($A94,'Catálogo'!$A$2:$A$813,0)),"código no encontrado"))</f>
        <v/>
      </c>
      <c r="G94" s="10">
        <f>IF(OR($E94="",$F94="",NOT(ISNUMBER($F94))),"",$E94*$F94)</f>
        <v/>
      </c>
      <c r="H94" s="4">
        <f>IF($A94="","",IFERROR(INDEX('Catálogo'!$Q$2:$Q$813,MATCH($A94,'Catálogo'!$A$2:$A$813,0)),"código no encontrado"))</f>
        <v/>
      </c>
      <c r="I94" s="10">
        <f>IF($G94="","",IF($H94="Sí",ROUND($G94/1.18,2),$G94))</f>
        <v/>
      </c>
      <c r="J94" s="14" t="n"/>
    </row>
    <row r="95">
      <c r="A95" s="14" t="n"/>
      <c r="B95" s="5">
        <f>IF($A95="","",IFERROR(INDEX('Catálogo'!$D$2:$D$813,MATCH($A95,'Catálogo'!$A$2:$A$813,0)),"código no encontrado"))</f>
        <v/>
      </c>
      <c r="C95" s="4">
        <f>IF($A95="","",IFERROR(INDEX('Catálogo'!$H$2:$H$813,MATCH($A95,'Catálogo'!$A$2:$A$813,0)),"código no encontrado"))</f>
        <v/>
      </c>
      <c r="D95" s="4">
        <f>IF($A95="","",IFERROR(INDEX('Catálogo'!$I$2:$I$813,MATCH($A95,'Catálogo'!$A$2:$A$813,0)),"código no encontrado"))</f>
        <v/>
      </c>
      <c r="E95" s="15" t="n"/>
      <c r="F95" s="10">
        <f>IF($A95="","",IFERROR(INDEX('Catálogo'!$N$2:$N$813,MATCH($A95,'Catálogo'!$A$2:$A$813,0)),"código no encontrado"))</f>
        <v/>
      </c>
      <c r="G95" s="10">
        <f>IF(OR($E95="",$F95="",NOT(ISNUMBER($F95))),"",$E95*$F95)</f>
        <v/>
      </c>
      <c r="H95" s="4">
        <f>IF($A95="","",IFERROR(INDEX('Catálogo'!$Q$2:$Q$813,MATCH($A95,'Catálogo'!$A$2:$A$813,0)),"código no encontrado"))</f>
        <v/>
      </c>
      <c r="I95" s="10">
        <f>IF($G95="","",IF($H95="Sí",ROUND($G95/1.18,2),$G95))</f>
        <v/>
      </c>
      <c r="J95" s="14" t="n"/>
    </row>
    <row r="96">
      <c r="A96" s="14" t="n"/>
      <c r="B96" s="5">
        <f>IF($A96="","",IFERROR(INDEX('Catálogo'!$D$2:$D$813,MATCH($A96,'Catálogo'!$A$2:$A$813,0)),"código no encontrado"))</f>
        <v/>
      </c>
      <c r="C96" s="4">
        <f>IF($A96="","",IFERROR(INDEX('Catálogo'!$H$2:$H$813,MATCH($A96,'Catálogo'!$A$2:$A$813,0)),"código no encontrado"))</f>
        <v/>
      </c>
      <c r="D96" s="4">
        <f>IF($A96="","",IFERROR(INDEX('Catálogo'!$I$2:$I$813,MATCH($A96,'Catálogo'!$A$2:$A$813,0)),"código no encontrado"))</f>
        <v/>
      </c>
      <c r="E96" s="15" t="n"/>
      <c r="F96" s="10">
        <f>IF($A96="","",IFERROR(INDEX('Catálogo'!$N$2:$N$813,MATCH($A96,'Catálogo'!$A$2:$A$813,0)),"código no encontrado"))</f>
        <v/>
      </c>
      <c r="G96" s="10">
        <f>IF(OR($E96="",$F96="",NOT(ISNUMBER($F96))),"",$E96*$F96)</f>
        <v/>
      </c>
      <c r="H96" s="4">
        <f>IF($A96="","",IFERROR(INDEX('Catálogo'!$Q$2:$Q$813,MATCH($A96,'Catálogo'!$A$2:$A$813,0)),"código no encontrado"))</f>
        <v/>
      </c>
      <c r="I96" s="10">
        <f>IF($G96="","",IF($H96="Sí",ROUND($G96/1.18,2),$G96))</f>
        <v/>
      </c>
      <c r="J96" s="14" t="n"/>
    </row>
    <row r="97">
      <c r="A97" s="14" t="n"/>
      <c r="B97" s="5">
        <f>IF($A97="","",IFERROR(INDEX('Catálogo'!$D$2:$D$813,MATCH($A97,'Catálogo'!$A$2:$A$813,0)),"código no encontrado"))</f>
        <v/>
      </c>
      <c r="C97" s="4">
        <f>IF($A97="","",IFERROR(INDEX('Catálogo'!$H$2:$H$813,MATCH($A97,'Catálogo'!$A$2:$A$813,0)),"código no encontrado"))</f>
        <v/>
      </c>
      <c r="D97" s="4">
        <f>IF($A97="","",IFERROR(INDEX('Catálogo'!$I$2:$I$813,MATCH($A97,'Catálogo'!$A$2:$A$813,0)),"código no encontrado"))</f>
        <v/>
      </c>
      <c r="E97" s="15" t="n"/>
      <c r="F97" s="10">
        <f>IF($A97="","",IFERROR(INDEX('Catálogo'!$N$2:$N$813,MATCH($A97,'Catálogo'!$A$2:$A$813,0)),"código no encontrado"))</f>
        <v/>
      </c>
      <c r="G97" s="10">
        <f>IF(OR($E97="",$F97="",NOT(ISNUMBER($F97))),"",$E97*$F97)</f>
        <v/>
      </c>
      <c r="H97" s="4">
        <f>IF($A97="","",IFERROR(INDEX('Catálogo'!$Q$2:$Q$813,MATCH($A97,'Catálogo'!$A$2:$A$813,0)),"código no encontrado"))</f>
        <v/>
      </c>
      <c r="I97" s="10">
        <f>IF($G97="","",IF($H97="Sí",ROUND($G97/1.18,2),$G97))</f>
        <v/>
      </c>
      <c r="J97" s="14" t="n"/>
    </row>
    <row r="98">
      <c r="A98" s="14" t="n"/>
      <c r="B98" s="5">
        <f>IF($A98="","",IFERROR(INDEX('Catálogo'!$D$2:$D$813,MATCH($A98,'Catálogo'!$A$2:$A$813,0)),"código no encontrado"))</f>
        <v/>
      </c>
      <c r="C98" s="4">
        <f>IF($A98="","",IFERROR(INDEX('Catálogo'!$H$2:$H$813,MATCH($A98,'Catálogo'!$A$2:$A$813,0)),"código no encontrado"))</f>
        <v/>
      </c>
      <c r="D98" s="4">
        <f>IF($A98="","",IFERROR(INDEX('Catálogo'!$I$2:$I$813,MATCH($A98,'Catálogo'!$A$2:$A$813,0)),"código no encontrado"))</f>
        <v/>
      </c>
      <c r="E98" s="15" t="n"/>
      <c r="F98" s="10">
        <f>IF($A98="","",IFERROR(INDEX('Catálogo'!$N$2:$N$813,MATCH($A98,'Catálogo'!$A$2:$A$813,0)),"código no encontrado"))</f>
        <v/>
      </c>
      <c r="G98" s="10">
        <f>IF(OR($E98="",$F98="",NOT(ISNUMBER($F98))),"",$E98*$F98)</f>
        <v/>
      </c>
      <c r="H98" s="4">
        <f>IF($A98="","",IFERROR(INDEX('Catálogo'!$Q$2:$Q$813,MATCH($A98,'Catálogo'!$A$2:$A$813,0)),"código no encontrado"))</f>
        <v/>
      </c>
      <c r="I98" s="10">
        <f>IF($G98="","",IF($H98="Sí",ROUND($G98/1.18,2),$G98))</f>
        <v/>
      </c>
      <c r="J98" s="14" t="n"/>
    </row>
    <row r="99">
      <c r="A99" s="14" t="n"/>
      <c r="B99" s="5">
        <f>IF($A99="","",IFERROR(INDEX('Catálogo'!$D$2:$D$813,MATCH($A99,'Catálogo'!$A$2:$A$813,0)),"código no encontrado"))</f>
        <v/>
      </c>
      <c r="C99" s="4">
        <f>IF($A99="","",IFERROR(INDEX('Catálogo'!$H$2:$H$813,MATCH($A99,'Catálogo'!$A$2:$A$813,0)),"código no encontrado"))</f>
        <v/>
      </c>
      <c r="D99" s="4">
        <f>IF($A99="","",IFERROR(INDEX('Catálogo'!$I$2:$I$813,MATCH($A99,'Catálogo'!$A$2:$A$813,0)),"código no encontrado"))</f>
        <v/>
      </c>
      <c r="E99" s="15" t="n"/>
      <c r="F99" s="10">
        <f>IF($A99="","",IFERROR(INDEX('Catálogo'!$N$2:$N$813,MATCH($A99,'Catálogo'!$A$2:$A$813,0)),"código no encontrado"))</f>
        <v/>
      </c>
      <c r="G99" s="10">
        <f>IF(OR($E99="",$F99="",NOT(ISNUMBER($F99))),"",$E99*$F99)</f>
        <v/>
      </c>
      <c r="H99" s="4">
        <f>IF($A99="","",IFERROR(INDEX('Catálogo'!$Q$2:$Q$813,MATCH($A99,'Catálogo'!$A$2:$A$813,0)),"código no encontrado"))</f>
        <v/>
      </c>
      <c r="I99" s="10">
        <f>IF($G99="","",IF($H99="Sí",ROUND($G99/1.18,2),$G99))</f>
        <v/>
      </c>
      <c r="J99" s="14" t="n"/>
    </row>
    <row r="100">
      <c r="A100" s="14" t="n"/>
      <c r="B100" s="5">
        <f>IF($A100="","",IFERROR(INDEX('Catálogo'!$D$2:$D$813,MATCH($A100,'Catálogo'!$A$2:$A$813,0)),"código no encontrado"))</f>
        <v/>
      </c>
      <c r="C100" s="4">
        <f>IF($A100="","",IFERROR(INDEX('Catálogo'!$H$2:$H$813,MATCH($A100,'Catálogo'!$A$2:$A$813,0)),"código no encontrado"))</f>
        <v/>
      </c>
      <c r="D100" s="4">
        <f>IF($A100="","",IFERROR(INDEX('Catálogo'!$I$2:$I$813,MATCH($A100,'Catálogo'!$A$2:$A$813,0)),"código no encontrado"))</f>
        <v/>
      </c>
      <c r="E100" s="15" t="n"/>
      <c r="F100" s="10">
        <f>IF($A100="","",IFERROR(INDEX('Catálogo'!$N$2:$N$813,MATCH($A100,'Catálogo'!$A$2:$A$813,0)),"código no encontrado"))</f>
        <v/>
      </c>
      <c r="G100" s="10">
        <f>IF(OR($E100="",$F100="",NOT(ISNUMBER($F100))),"",$E100*$F100)</f>
        <v/>
      </c>
      <c r="H100" s="4">
        <f>IF($A100="","",IFERROR(INDEX('Catálogo'!$Q$2:$Q$813,MATCH($A100,'Catálogo'!$A$2:$A$813,0)),"código no encontrado"))</f>
        <v/>
      </c>
      <c r="I100" s="10">
        <f>IF($G100="","",IF($H100="Sí",ROUND($G100/1.18,2),$G100))</f>
        <v/>
      </c>
      <c r="J100" s="14" t="n"/>
    </row>
    <row r="101">
      <c r="A101" s="14" t="n"/>
      <c r="B101" s="5">
        <f>IF($A101="","",IFERROR(INDEX('Catálogo'!$D$2:$D$813,MATCH($A101,'Catálogo'!$A$2:$A$813,0)),"código no encontrado"))</f>
        <v/>
      </c>
      <c r="C101" s="4">
        <f>IF($A101="","",IFERROR(INDEX('Catálogo'!$H$2:$H$813,MATCH($A101,'Catálogo'!$A$2:$A$813,0)),"código no encontrado"))</f>
        <v/>
      </c>
      <c r="D101" s="4">
        <f>IF($A101="","",IFERROR(INDEX('Catálogo'!$I$2:$I$813,MATCH($A101,'Catálogo'!$A$2:$A$813,0)),"código no encontrado"))</f>
        <v/>
      </c>
      <c r="E101" s="15" t="n"/>
      <c r="F101" s="10">
        <f>IF($A101="","",IFERROR(INDEX('Catálogo'!$N$2:$N$813,MATCH($A101,'Catálogo'!$A$2:$A$813,0)),"código no encontrado"))</f>
        <v/>
      </c>
      <c r="G101" s="10">
        <f>IF(OR($E101="",$F101="",NOT(ISNUMBER($F101))),"",$E101*$F101)</f>
        <v/>
      </c>
      <c r="H101" s="4">
        <f>IF($A101="","",IFERROR(INDEX('Catálogo'!$Q$2:$Q$813,MATCH($A101,'Catálogo'!$A$2:$A$813,0)),"código no encontrado"))</f>
        <v/>
      </c>
      <c r="I101" s="10">
        <f>IF($G101="","",IF($H101="Sí",ROUND($G101/1.18,2),$G101))</f>
        <v/>
      </c>
      <c r="J101" s="14" t="n"/>
    </row>
    <row r="102">
      <c r="A102" s="14" t="n"/>
      <c r="B102" s="5">
        <f>IF($A102="","",IFERROR(INDEX('Catálogo'!$D$2:$D$813,MATCH($A102,'Catálogo'!$A$2:$A$813,0)),"código no encontrado"))</f>
        <v/>
      </c>
      <c r="C102" s="4">
        <f>IF($A102="","",IFERROR(INDEX('Catálogo'!$H$2:$H$813,MATCH($A102,'Catálogo'!$A$2:$A$813,0)),"código no encontrado"))</f>
        <v/>
      </c>
      <c r="D102" s="4">
        <f>IF($A102="","",IFERROR(INDEX('Catálogo'!$I$2:$I$813,MATCH($A102,'Catálogo'!$A$2:$A$813,0)),"código no encontrado"))</f>
        <v/>
      </c>
      <c r="E102" s="15" t="n"/>
      <c r="F102" s="10">
        <f>IF($A102="","",IFERROR(INDEX('Catálogo'!$N$2:$N$813,MATCH($A102,'Catálogo'!$A$2:$A$813,0)),"código no encontrado"))</f>
        <v/>
      </c>
      <c r="G102" s="10">
        <f>IF(OR($E102="",$F102="",NOT(ISNUMBER($F102))),"",$E102*$F102)</f>
        <v/>
      </c>
      <c r="H102" s="4">
        <f>IF($A102="","",IFERROR(INDEX('Catálogo'!$Q$2:$Q$813,MATCH($A102,'Catálogo'!$A$2:$A$813,0)),"código no encontrado"))</f>
        <v/>
      </c>
      <c r="I102" s="10">
        <f>IF($G102="","",IF($H102="Sí",ROUND($G102/1.18,2),$G102))</f>
        <v/>
      </c>
      <c r="J102" s="14" t="n"/>
    </row>
    <row r="103">
      <c r="A103" s="14" t="n"/>
      <c r="B103" s="5">
        <f>IF($A103="","",IFERROR(INDEX('Catálogo'!$D$2:$D$813,MATCH($A103,'Catálogo'!$A$2:$A$813,0)),"código no encontrado"))</f>
        <v/>
      </c>
      <c r="C103" s="4">
        <f>IF($A103="","",IFERROR(INDEX('Catálogo'!$H$2:$H$813,MATCH($A103,'Catálogo'!$A$2:$A$813,0)),"código no encontrado"))</f>
        <v/>
      </c>
      <c r="D103" s="4">
        <f>IF($A103="","",IFERROR(INDEX('Catálogo'!$I$2:$I$813,MATCH($A103,'Catálogo'!$A$2:$A$813,0)),"código no encontrado"))</f>
        <v/>
      </c>
      <c r="E103" s="15" t="n"/>
      <c r="F103" s="10">
        <f>IF($A103="","",IFERROR(INDEX('Catálogo'!$N$2:$N$813,MATCH($A103,'Catálogo'!$A$2:$A$813,0)),"código no encontrado"))</f>
        <v/>
      </c>
      <c r="G103" s="10">
        <f>IF(OR($E103="",$F103="",NOT(ISNUMBER($F103))),"",$E103*$F103)</f>
        <v/>
      </c>
      <c r="H103" s="4">
        <f>IF($A103="","",IFERROR(INDEX('Catálogo'!$Q$2:$Q$813,MATCH($A103,'Catálogo'!$A$2:$A$813,0)),"código no encontrado"))</f>
        <v/>
      </c>
      <c r="I103" s="10">
        <f>IF($G103="","",IF($H103="Sí",ROUND($G103/1.18,2),$G103))</f>
        <v/>
      </c>
      <c r="J103" s="14" t="n"/>
    </row>
    <row r="104">
      <c r="A104" s="14" t="n"/>
      <c r="B104" s="5">
        <f>IF($A104="","",IFERROR(INDEX('Catálogo'!$D$2:$D$813,MATCH($A104,'Catálogo'!$A$2:$A$813,0)),"código no encontrado"))</f>
        <v/>
      </c>
      <c r="C104" s="4">
        <f>IF($A104="","",IFERROR(INDEX('Catálogo'!$H$2:$H$813,MATCH($A104,'Catálogo'!$A$2:$A$813,0)),"código no encontrado"))</f>
        <v/>
      </c>
      <c r="D104" s="4">
        <f>IF($A104="","",IFERROR(INDEX('Catálogo'!$I$2:$I$813,MATCH($A104,'Catálogo'!$A$2:$A$813,0)),"código no encontrado"))</f>
        <v/>
      </c>
      <c r="E104" s="15" t="n"/>
      <c r="F104" s="10">
        <f>IF($A104="","",IFERROR(INDEX('Catálogo'!$N$2:$N$813,MATCH($A104,'Catálogo'!$A$2:$A$813,0)),"código no encontrado"))</f>
        <v/>
      </c>
      <c r="G104" s="10">
        <f>IF(OR($E104="",$F104="",NOT(ISNUMBER($F104))),"",$E104*$F104)</f>
        <v/>
      </c>
      <c r="H104" s="4">
        <f>IF($A104="","",IFERROR(INDEX('Catálogo'!$Q$2:$Q$813,MATCH($A104,'Catálogo'!$A$2:$A$813,0)),"código no encontrado"))</f>
        <v/>
      </c>
      <c r="I104" s="10">
        <f>IF($G104="","",IF($H104="Sí",ROUND($G104/1.18,2),$G104))</f>
        <v/>
      </c>
      <c r="J104" s="14" t="n"/>
    </row>
    <row r="105">
      <c r="A105" s="14" t="n"/>
      <c r="B105" s="5">
        <f>IF($A105="","",IFERROR(INDEX('Catálogo'!$D$2:$D$813,MATCH($A105,'Catálogo'!$A$2:$A$813,0)),"código no encontrado"))</f>
        <v/>
      </c>
      <c r="C105" s="4">
        <f>IF($A105="","",IFERROR(INDEX('Catálogo'!$H$2:$H$813,MATCH($A105,'Catálogo'!$A$2:$A$813,0)),"código no encontrado"))</f>
        <v/>
      </c>
      <c r="D105" s="4">
        <f>IF($A105="","",IFERROR(INDEX('Catálogo'!$I$2:$I$813,MATCH($A105,'Catálogo'!$A$2:$A$813,0)),"código no encontrado"))</f>
        <v/>
      </c>
      <c r="E105" s="15" t="n"/>
      <c r="F105" s="10">
        <f>IF($A105="","",IFERROR(INDEX('Catálogo'!$N$2:$N$813,MATCH($A105,'Catálogo'!$A$2:$A$813,0)),"código no encontrado"))</f>
        <v/>
      </c>
      <c r="G105" s="10">
        <f>IF(OR($E105="",$F105="",NOT(ISNUMBER($F105))),"",$E105*$F105)</f>
        <v/>
      </c>
      <c r="H105" s="4">
        <f>IF($A105="","",IFERROR(INDEX('Catálogo'!$Q$2:$Q$813,MATCH($A105,'Catálogo'!$A$2:$A$813,0)),"código no encontrado"))</f>
        <v/>
      </c>
      <c r="I105" s="10">
        <f>IF($G105="","",IF($H105="Sí",ROUND($G105/1.18,2),$G105))</f>
        <v/>
      </c>
      <c r="J105" s="14" t="n"/>
    </row>
    <row r="106">
      <c r="A106" s="14" t="n"/>
      <c r="B106" s="5">
        <f>IF($A106="","",IFERROR(INDEX('Catálogo'!$D$2:$D$813,MATCH($A106,'Catálogo'!$A$2:$A$813,0)),"código no encontrado"))</f>
        <v/>
      </c>
      <c r="C106" s="4">
        <f>IF($A106="","",IFERROR(INDEX('Catálogo'!$H$2:$H$813,MATCH($A106,'Catálogo'!$A$2:$A$813,0)),"código no encontrado"))</f>
        <v/>
      </c>
      <c r="D106" s="4">
        <f>IF($A106="","",IFERROR(INDEX('Catálogo'!$I$2:$I$813,MATCH($A106,'Catálogo'!$A$2:$A$813,0)),"código no encontrado"))</f>
        <v/>
      </c>
      <c r="E106" s="15" t="n"/>
      <c r="F106" s="10">
        <f>IF($A106="","",IFERROR(INDEX('Catálogo'!$N$2:$N$813,MATCH($A106,'Catálogo'!$A$2:$A$813,0)),"código no encontrado"))</f>
        <v/>
      </c>
      <c r="G106" s="10">
        <f>IF(OR($E106="",$F106="",NOT(ISNUMBER($F106))),"",$E106*$F106)</f>
        <v/>
      </c>
      <c r="H106" s="4">
        <f>IF($A106="","",IFERROR(INDEX('Catálogo'!$Q$2:$Q$813,MATCH($A106,'Catálogo'!$A$2:$A$813,0)),"código no encontrado"))</f>
        <v/>
      </c>
      <c r="I106" s="10">
        <f>IF($G106="","",IF($H106="Sí",ROUND($G106/1.18,2),$G106))</f>
        <v/>
      </c>
      <c r="J106" s="14" t="n"/>
    </row>
    <row r="107">
      <c r="A107" s="14" t="n"/>
      <c r="B107" s="5">
        <f>IF($A107="","",IFERROR(INDEX('Catálogo'!$D$2:$D$813,MATCH($A107,'Catálogo'!$A$2:$A$813,0)),"código no encontrado"))</f>
        <v/>
      </c>
      <c r="C107" s="4">
        <f>IF($A107="","",IFERROR(INDEX('Catálogo'!$H$2:$H$813,MATCH($A107,'Catálogo'!$A$2:$A$813,0)),"código no encontrado"))</f>
        <v/>
      </c>
      <c r="D107" s="4">
        <f>IF($A107="","",IFERROR(INDEX('Catálogo'!$I$2:$I$813,MATCH($A107,'Catálogo'!$A$2:$A$813,0)),"código no encontrado"))</f>
        <v/>
      </c>
      <c r="E107" s="15" t="n"/>
      <c r="F107" s="10">
        <f>IF($A107="","",IFERROR(INDEX('Catálogo'!$N$2:$N$813,MATCH($A107,'Catálogo'!$A$2:$A$813,0)),"código no encontrado"))</f>
        <v/>
      </c>
      <c r="G107" s="10">
        <f>IF(OR($E107="",$F107="",NOT(ISNUMBER($F107))),"",$E107*$F107)</f>
        <v/>
      </c>
      <c r="H107" s="4">
        <f>IF($A107="","",IFERROR(INDEX('Catálogo'!$Q$2:$Q$813,MATCH($A107,'Catálogo'!$A$2:$A$813,0)),"código no encontrado"))</f>
        <v/>
      </c>
      <c r="I107" s="10">
        <f>IF($G107="","",IF($H107="Sí",ROUND($G107/1.18,2),$G107))</f>
        <v/>
      </c>
      <c r="J107" s="14" t="n"/>
    </row>
    <row r="108">
      <c r="A108" s="14" t="n"/>
      <c r="B108" s="5">
        <f>IF($A108="","",IFERROR(INDEX('Catálogo'!$D$2:$D$813,MATCH($A108,'Catálogo'!$A$2:$A$813,0)),"código no encontrado"))</f>
        <v/>
      </c>
      <c r="C108" s="4">
        <f>IF($A108="","",IFERROR(INDEX('Catálogo'!$H$2:$H$813,MATCH($A108,'Catálogo'!$A$2:$A$813,0)),"código no encontrado"))</f>
        <v/>
      </c>
      <c r="D108" s="4">
        <f>IF($A108="","",IFERROR(INDEX('Catálogo'!$I$2:$I$813,MATCH($A108,'Catálogo'!$A$2:$A$813,0)),"código no encontrado"))</f>
        <v/>
      </c>
      <c r="E108" s="15" t="n"/>
      <c r="F108" s="10">
        <f>IF($A108="","",IFERROR(INDEX('Catálogo'!$N$2:$N$813,MATCH($A108,'Catálogo'!$A$2:$A$813,0)),"código no encontrado"))</f>
        <v/>
      </c>
      <c r="G108" s="10">
        <f>IF(OR($E108="",$F108="",NOT(ISNUMBER($F108))),"",$E108*$F108)</f>
        <v/>
      </c>
      <c r="H108" s="4">
        <f>IF($A108="","",IFERROR(INDEX('Catálogo'!$Q$2:$Q$813,MATCH($A108,'Catálogo'!$A$2:$A$813,0)),"código no encontrado"))</f>
        <v/>
      </c>
      <c r="I108" s="10">
        <f>IF($G108="","",IF($H108="Sí",ROUND($G108/1.18,2),$G108))</f>
        <v/>
      </c>
      <c r="J108" s="14" t="n"/>
    </row>
    <row r="109">
      <c r="A109" s="14" t="n"/>
      <c r="B109" s="5">
        <f>IF($A109="","",IFERROR(INDEX('Catálogo'!$D$2:$D$813,MATCH($A109,'Catálogo'!$A$2:$A$813,0)),"código no encontrado"))</f>
        <v/>
      </c>
      <c r="C109" s="4">
        <f>IF($A109="","",IFERROR(INDEX('Catálogo'!$H$2:$H$813,MATCH($A109,'Catálogo'!$A$2:$A$813,0)),"código no encontrado"))</f>
        <v/>
      </c>
      <c r="D109" s="4">
        <f>IF($A109="","",IFERROR(INDEX('Catálogo'!$I$2:$I$813,MATCH($A109,'Catálogo'!$A$2:$A$813,0)),"código no encontrado"))</f>
        <v/>
      </c>
      <c r="E109" s="15" t="n"/>
      <c r="F109" s="10">
        <f>IF($A109="","",IFERROR(INDEX('Catálogo'!$N$2:$N$813,MATCH($A109,'Catálogo'!$A$2:$A$813,0)),"código no encontrado"))</f>
        <v/>
      </c>
      <c r="G109" s="10">
        <f>IF(OR($E109="",$F109="",NOT(ISNUMBER($F109))),"",$E109*$F109)</f>
        <v/>
      </c>
      <c r="H109" s="4">
        <f>IF($A109="","",IFERROR(INDEX('Catálogo'!$Q$2:$Q$813,MATCH($A109,'Catálogo'!$A$2:$A$813,0)),"código no encontrado"))</f>
        <v/>
      </c>
      <c r="I109" s="10">
        <f>IF($G109="","",IF($H109="Sí",ROUND($G109/1.18,2),$G109))</f>
        <v/>
      </c>
      <c r="J109" s="14" t="n"/>
    </row>
    <row r="110">
      <c r="A110" s="14" t="n"/>
      <c r="B110" s="5">
        <f>IF($A110="","",IFERROR(INDEX('Catálogo'!$D$2:$D$813,MATCH($A110,'Catálogo'!$A$2:$A$813,0)),"código no encontrado"))</f>
        <v/>
      </c>
      <c r="C110" s="4">
        <f>IF($A110="","",IFERROR(INDEX('Catálogo'!$H$2:$H$813,MATCH($A110,'Catálogo'!$A$2:$A$813,0)),"código no encontrado"))</f>
        <v/>
      </c>
      <c r="D110" s="4">
        <f>IF($A110="","",IFERROR(INDEX('Catálogo'!$I$2:$I$813,MATCH($A110,'Catálogo'!$A$2:$A$813,0)),"código no encontrado"))</f>
        <v/>
      </c>
      <c r="E110" s="15" t="n"/>
      <c r="F110" s="10">
        <f>IF($A110="","",IFERROR(INDEX('Catálogo'!$N$2:$N$813,MATCH($A110,'Catálogo'!$A$2:$A$813,0)),"código no encontrado"))</f>
        <v/>
      </c>
      <c r="G110" s="10">
        <f>IF(OR($E110="",$F110="",NOT(ISNUMBER($F110))),"",$E110*$F110)</f>
        <v/>
      </c>
      <c r="H110" s="4">
        <f>IF($A110="","",IFERROR(INDEX('Catálogo'!$Q$2:$Q$813,MATCH($A110,'Catálogo'!$A$2:$A$813,0)),"código no encontrado"))</f>
        <v/>
      </c>
      <c r="I110" s="10">
        <f>IF($G110="","",IF($H110="Sí",ROUND($G110/1.18,2),$G110))</f>
        <v/>
      </c>
      <c r="J110" s="14" t="n"/>
    </row>
    <row r="111">
      <c r="A111" s="14" t="n"/>
      <c r="B111" s="5">
        <f>IF($A111="","",IFERROR(INDEX('Catálogo'!$D$2:$D$813,MATCH($A111,'Catálogo'!$A$2:$A$813,0)),"código no encontrado"))</f>
        <v/>
      </c>
      <c r="C111" s="4">
        <f>IF($A111="","",IFERROR(INDEX('Catálogo'!$H$2:$H$813,MATCH($A111,'Catálogo'!$A$2:$A$813,0)),"código no encontrado"))</f>
        <v/>
      </c>
      <c r="D111" s="4">
        <f>IF($A111="","",IFERROR(INDEX('Catálogo'!$I$2:$I$813,MATCH($A111,'Catálogo'!$A$2:$A$813,0)),"código no encontrado"))</f>
        <v/>
      </c>
      <c r="E111" s="15" t="n"/>
      <c r="F111" s="10">
        <f>IF($A111="","",IFERROR(INDEX('Catálogo'!$N$2:$N$813,MATCH($A111,'Catálogo'!$A$2:$A$813,0)),"código no encontrado"))</f>
        <v/>
      </c>
      <c r="G111" s="10">
        <f>IF(OR($E111="",$F111="",NOT(ISNUMBER($F111))),"",$E111*$F111)</f>
        <v/>
      </c>
      <c r="H111" s="4">
        <f>IF($A111="","",IFERROR(INDEX('Catálogo'!$Q$2:$Q$813,MATCH($A111,'Catálogo'!$A$2:$A$813,0)),"código no encontrado"))</f>
        <v/>
      </c>
      <c r="I111" s="10">
        <f>IF($G111="","",IF($H111="Sí",ROUND($G111/1.18,2),$G111))</f>
        <v/>
      </c>
      <c r="J111" s="14" t="n"/>
    </row>
    <row r="112">
      <c r="A112" s="14" t="n"/>
      <c r="B112" s="5">
        <f>IF($A112="","",IFERROR(INDEX('Catálogo'!$D$2:$D$813,MATCH($A112,'Catálogo'!$A$2:$A$813,0)),"código no encontrado"))</f>
        <v/>
      </c>
      <c r="C112" s="4">
        <f>IF($A112="","",IFERROR(INDEX('Catálogo'!$H$2:$H$813,MATCH($A112,'Catálogo'!$A$2:$A$813,0)),"código no encontrado"))</f>
        <v/>
      </c>
      <c r="D112" s="4">
        <f>IF($A112="","",IFERROR(INDEX('Catálogo'!$I$2:$I$813,MATCH($A112,'Catálogo'!$A$2:$A$813,0)),"código no encontrado"))</f>
        <v/>
      </c>
      <c r="E112" s="15" t="n"/>
      <c r="F112" s="10">
        <f>IF($A112="","",IFERROR(INDEX('Catálogo'!$N$2:$N$813,MATCH($A112,'Catálogo'!$A$2:$A$813,0)),"código no encontrado"))</f>
        <v/>
      </c>
      <c r="G112" s="10">
        <f>IF(OR($E112="",$F112="",NOT(ISNUMBER($F112))),"",$E112*$F112)</f>
        <v/>
      </c>
      <c r="H112" s="4">
        <f>IF($A112="","",IFERROR(INDEX('Catálogo'!$Q$2:$Q$813,MATCH($A112,'Catálogo'!$A$2:$A$813,0)),"código no encontrado"))</f>
        <v/>
      </c>
      <c r="I112" s="10">
        <f>IF($G112="","",IF($H112="Sí",ROUND($G112/1.18,2),$G112))</f>
        <v/>
      </c>
      <c r="J112" s="14" t="n"/>
    </row>
    <row r="113">
      <c r="A113" s="14" t="n"/>
      <c r="B113" s="5">
        <f>IF($A113="","",IFERROR(INDEX('Catálogo'!$D$2:$D$813,MATCH($A113,'Catálogo'!$A$2:$A$813,0)),"código no encontrado"))</f>
        <v/>
      </c>
      <c r="C113" s="4">
        <f>IF($A113="","",IFERROR(INDEX('Catálogo'!$H$2:$H$813,MATCH($A113,'Catálogo'!$A$2:$A$813,0)),"código no encontrado"))</f>
        <v/>
      </c>
      <c r="D113" s="4">
        <f>IF($A113="","",IFERROR(INDEX('Catálogo'!$I$2:$I$813,MATCH($A113,'Catálogo'!$A$2:$A$813,0)),"código no encontrado"))</f>
        <v/>
      </c>
      <c r="E113" s="15" t="n"/>
      <c r="F113" s="10">
        <f>IF($A113="","",IFERROR(INDEX('Catálogo'!$N$2:$N$813,MATCH($A113,'Catálogo'!$A$2:$A$813,0)),"código no encontrado"))</f>
        <v/>
      </c>
      <c r="G113" s="10">
        <f>IF(OR($E113="",$F113="",NOT(ISNUMBER($F113))),"",$E113*$F113)</f>
        <v/>
      </c>
      <c r="H113" s="4">
        <f>IF($A113="","",IFERROR(INDEX('Catálogo'!$Q$2:$Q$813,MATCH($A113,'Catálogo'!$A$2:$A$813,0)),"código no encontrado"))</f>
        <v/>
      </c>
      <c r="I113" s="10">
        <f>IF($G113="","",IF($H113="Sí",ROUND($G113/1.18,2),$G113))</f>
        <v/>
      </c>
      <c r="J113" s="14" t="n"/>
    </row>
    <row r="114">
      <c r="A114" s="14" t="n"/>
      <c r="B114" s="5">
        <f>IF($A114="","",IFERROR(INDEX('Catálogo'!$D$2:$D$813,MATCH($A114,'Catálogo'!$A$2:$A$813,0)),"código no encontrado"))</f>
        <v/>
      </c>
      <c r="C114" s="4">
        <f>IF($A114="","",IFERROR(INDEX('Catálogo'!$H$2:$H$813,MATCH($A114,'Catálogo'!$A$2:$A$813,0)),"código no encontrado"))</f>
        <v/>
      </c>
      <c r="D114" s="4">
        <f>IF($A114="","",IFERROR(INDEX('Catálogo'!$I$2:$I$813,MATCH($A114,'Catálogo'!$A$2:$A$813,0)),"código no encontrado"))</f>
        <v/>
      </c>
      <c r="E114" s="15" t="n"/>
      <c r="F114" s="10">
        <f>IF($A114="","",IFERROR(INDEX('Catálogo'!$N$2:$N$813,MATCH($A114,'Catálogo'!$A$2:$A$813,0)),"código no encontrado"))</f>
        <v/>
      </c>
      <c r="G114" s="10">
        <f>IF(OR($E114="",$F114="",NOT(ISNUMBER($F114))),"",$E114*$F114)</f>
        <v/>
      </c>
      <c r="H114" s="4">
        <f>IF($A114="","",IFERROR(INDEX('Catálogo'!$Q$2:$Q$813,MATCH($A114,'Catálogo'!$A$2:$A$813,0)),"código no encontrado"))</f>
        <v/>
      </c>
      <c r="I114" s="10">
        <f>IF($G114="","",IF($H114="Sí",ROUND($G114/1.18,2),$G114))</f>
        <v/>
      </c>
      <c r="J114" s="14" t="n"/>
    </row>
    <row r="115">
      <c r="A115" s="14" t="n"/>
      <c r="B115" s="5">
        <f>IF($A115="","",IFERROR(INDEX('Catálogo'!$D$2:$D$813,MATCH($A115,'Catálogo'!$A$2:$A$813,0)),"código no encontrado"))</f>
        <v/>
      </c>
      <c r="C115" s="4">
        <f>IF($A115="","",IFERROR(INDEX('Catálogo'!$H$2:$H$813,MATCH($A115,'Catálogo'!$A$2:$A$813,0)),"código no encontrado"))</f>
        <v/>
      </c>
      <c r="D115" s="4">
        <f>IF($A115="","",IFERROR(INDEX('Catálogo'!$I$2:$I$813,MATCH($A115,'Catálogo'!$A$2:$A$813,0)),"código no encontrado"))</f>
        <v/>
      </c>
      <c r="E115" s="15" t="n"/>
      <c r="F115" s="10">
        <f>IF($A115="","",IFERROR(INDEX('Catálogo'!$N$2:$N$813,MATCH($A115,'Catálogo'!$A$2:$A$813,0)),"código no encontrado"))</f>
        <v/>
      </c>
      <c r="G115" s="10">
        <f>IF(OR($E115="",$F115="",NOT(ISNUMBER($F115))),"",$E115*$F115)</f>
        <v/>
      </c>
      <c r="H115" s="4">
        <f>IF($A115="","",IFERROR(INDEX('Catálogo'!$Q$2:$Q$813,MATCH($A115,'Catálogo'!$A$2:$A$813,0)),"código no encontrado"))</f>
        <v/>
      </c>
      <c r="I115" s="10">
        <f>IF($G115="","",IF($H115="Sí",ROUND($G115/1.18,2),$G115))</f>
        <v/>
      </c>
      <c r="J115" s="14" t="n"/>
    </row>
    <row r="116">
      <c r="A116" s="14" t="n"/>
      <c r="B116" s="5">
        <f>IF($A116="","",IFERROR(INDEX('Catálogo'!$D$2:$D$813,MATCH($A116,'Catálogo'!$A$2:$A$813,0)),"código no encontrado"))</f>
        <v/>
      </c>
      <c r="C116" s="4">
        <f>IF($A116="","",IFERROR(INDEX('Catálogo'!$H$2:$H$813,MATCH($A116,'Catálogo'!$A$2:$A$813,0)),"código no encontrado"))</f>
        <v/>
      </c>
      <c r="D116" s="4">
        <f>IF($A116="","",IFERROR(INDEX('Catálogo'!$I$2:$I$813,MATCH($A116,'Catálogo'!$A$2:$A$813,0)),"código no encontrado"))</f>
        <v/>
      </c>
      <c r="E116" s="15" t="n"/>
      <c r="F116" s="10">
        <f>IF($A116="","",IFERROR(INDEX('Catálogo'!$N$2:$N$813,MATCH($A116,'Catálogo'!$A$2:$A$813,0)),"código no encontrado"))</f>
        <v/>
      </c>
      <c r="G116" s="10">
        <f>IF(OR($E116="",$F116="",NOT(ISNUMBER($F116))),"",$E116*$F116)</f>
        <v/>
      </c>
      <c r="H116" s="4">
        <f>IF($A116="","",IFERROR(INDEX('Catálogo'!$Q$2:$Q$813,MATCH($A116,'Catálogo'!$A$2:$A$813,0)),"código no encontrado"))</f>
        <v/>
      </c>
      <c r="I116" s="10">
        <f>IF($G116="","",IF($H116="Sí",ROUND($G116/1.18,2),$G116))</f>
        <v/>
      </c>
      <c r="J116" s="14" t="n"/>
    </row>
    <row r="117">
      <c r="A117" s="14" t="n"/>
      <c r="B117" s="5">
        <f>IF($A117="","",IFERROR(INDEX('Catálogo'!$D$2:$D$813,MATCH($A117,'Catálogo'!$A$2:$A$813,0)),"código no encontrado"))</f>
        <v/>
      </c>
      <c r="C117" s="4">
        <f>IF($A117="","",IFERROR(INDEX('Catálogo'!$H$2:$H$813,MATCH($A117,'Catálogo'!$A$2:$A$813,0)),"código no encontrado"))</f>
        <v/>
      </c>
      <c r="D117" s="4">
        <f>IF($A117="","",IFERROR(INDEX('Catálogo'!$I$2:$I$813,MATCH($A117,'Catálogo'!$A$2:$A$813,0)),"código no encontrado"))</f>
        <v/>
      </c>
      <c r="E117" s="15" t="n"/>
      <c r="F117" s="10">
        <f>IF($A117="","",IFERROR(INDEX('Catálogo'!$N$2:$N$813,MATCH($A117,'Catálogo'!$A$2:$A$813,0)),"código no encontrado"))</f>
        <v/>
      </c>
      <c r="G117" s="10">
        <f>IF(OR($E117="",$F117="",NOT(ISNUMBER($F117))),"",$E117*$F117)</f>
        <v/>
      </c>
      <c r="H117" s="4">
        <f>IF($A117="","",IFERROR(INDEX('Catálogo'!$Q$2:$Q$813,MATCH($A117,'Catálogo'!$A$2:$A$813,0)),"código no encontrado"))</f>
        <v/>
      </c>
      <c r="I117" s="10">
        <f>IF($G117="","",IF($H117="Sí",ROUND($G117/1.18,2),$G117))</f>
        <v/>
      </c>
      <c r="J117" s="14" t="n"/>
    </row>
    <row r="118">
      <c r="A118" s="14" t="n"/>
      <c r="B118" s="5">
        <f>IF($A118="","",IFERROR(INDEX('Catálogo'!$D$2:$D$813,MATCH($A118,'Catálogo'!$A$2:$A$813,0)),"código no encontrado"))</f>
        <v/>
      </c>
      <c r="C118" s="4">
        <f>IF($A118="","",IFERROR(INDEX('Catálogo'!$H$2:$H$813,MATCH($A118,'Catálogo'!$A$2:$A$813,0)),"código no encontrado"))</f>
        <v/>
      </c>
      <c r="D118" s="4">
        <f>IF($A118="","",IFERROR(INDEX('Catálogo'!$I$2:$I$813,MATCH($A118,'Catálogo'!$A$2:$A$813,0)),"código no encontrado"))</f>
        <v/>
      </c>
      <c r="E118" s="15" t="n"/>
      <c r="F118" s="10">
        <f>IF($A118="","",IFERROR(INDEX('Catálogo'!$N$2:$N$813,MATCH($A118,'Catálogo'!$A$2:$A$813,0)),"código no encontrado"))</f>
        <v/>
      </c>
      <c r="G118" s="10">
        <f>IF(OR($E118="",$F118="",NOT(ISNUMBER($F118))),"",$E118*$F118)</f>
        <v/>
      </c>
      <c r="H118" s="4">
        <f>IF($A118="","",IFERROR(INDEX('Catálogo'!$Q$2:$Q$813,MATCH($A118,'Catálogo'!$A$2:$A$813,0)),"código no encontrado"))</f>
        <v/>
      </c>
      <c r="I118" s="10">
        <f>IF($G118="","",IF($H118="Sí",ROUND($G118/1.18,2),$G118))</f>
        <v/>
      </c>
      <c r="J118" s="14" t="n"/>
    </row>
    <row r="119">
      <c r="A119" s="14" t="n"/>
      <c r="B119" s="5">
        <f>IF($A119="","",IFERROR(INDEX('Catálogo'!$D$2:$D$813,MATCH($A119,'Catálogo'!$A$2:$A$813,0)),"código no encontrado"))</f>
        <v/>
      </c>
      <c r="C119" s="4">
        <f>IF($A119="","",IFERROR(INDEX('Catálogo'!$H$2:$H$813,MATCH($A119,'Catálogo'!$A$2:$A$813,0)),"código no encontrado"))</f>
        <v/>
      </c>
      <c r="D119" s="4">
        <f>IF($A119="","",IFERROR(INDEX('Catálogo'!$I$2:$I$813,MATCH($A119,'Catálogo'!$A$2:$A$813,0)),"código no encontrado"))</f>
        <v/>
      </c>
      <c r="E119" s="15" t="n"/>
      <c r="F119" s="10">
        <f>IF($A119="","",IFERROR(INDEX('Catálogo'!$N$2:$N$813,MATCH($A119,'Catálogo'!$A$2:$A$813,0)),"código no encontrado"))</f>
        <v/>
      </c>
      <c r="G119" s="10">
        <f>IF(OR($E119="",$F119="",NOT(ISNUMBER($F119))),"",$E119*$F119)</f>
        <v/>
      </c>
      <c r="H119" s="4">
        <f>IF($A119="","",IFERROR(INDEX('Catálogo'!$Q$2:$Q$813,MATCH($A119,'Catálogo'!$A$2:$A$813,0)),"código no encontrado"))</f>
        <v/>
      </c>
      <c r="I119" s="10">
        <f>IF($G119="","",IF($H119="Sí",ROUND($G119/1.18,2),$G119))</f>
        <v/>
      </c>
      <c r="J119" s="14" t="n"/>
    </row>
    <row r="120">
      <c r="A120" s="14" t="n"/>
      <c r="B120" s="5">
        <f>IF($A120="","",IFERROR(INDEX('Catálogo'!$D$2:$D$813,MATCH($A120,'Catálogo'!$A$2:$A$813,0)),"código no encontrado"))</f>
        <v/>
      </c>
      <c r="C120" s="4">
        <f>IF($A120="","",IFERROR(INDEX('Catálogo'!$H$2:$H$813,MATCH($A120,'Catálogo'!$A$2:$A$813,0)),"código no encontrado"))</f>
        <v/>
      </c>
      <c r="D120" s="4">
        <f>IF($A120="","",IFERROR(INDEX('Catálogo'!$I$2:$I$813,MATCH($A120,'Catálogo'!$A$2:$A$813,0)),"código no encontrado"))</f>
        <v/>
      </c>
      <c r="E120" s="15" t="n"/>
      <c r="F120" s="10">
        <f>IF($A120="","",IFERROR(INDEX('Catálogo'!$N$2:$N$813,MATCH($A120,'Catálogo'!$A$2:$A$813,0)),"código no encontrado"))</f>
        <v/>
      </c>
      <c r="G120" s="10">
        <f>IF(OR($E120="",$F120="",NOT(ISNUMBER($F120))),"",$E120*$F120)</f>
        <v/>
      </c>
      <c r="H120" s="4">
        <f>IF($A120="","",IFERROR(INDEX('Catálogo'!$Q$2:$Q$813,MATCH($A120,'Catálogo'!$A$2:$A$813,0)),"código no encontrado"))</f>
        <v/>
      </c>
      <c r="I120" s="10">
        <f>IF($G120="","",IF($H120="Sí",ROUND($G120/1.18,2),$G120))</f>
        <v/>
      </c>
      <c r="J120" s="14" t="n"/>
    </row>
    <row r="121">
      <c r="A121" s="14" t="n"/>
      <c r="B121" s="5">
        <f>IF($A121="","",IFERROR(INDEX('Catálogo'!$D$2:$D$813,MATCH($A121,'Catálogo'!$A$2:$A$813,0)),"código no encontrado"))</f>
        <v/>
      </c>
      <c r="C121" s="4">
        <f>IF($A121="","",IFERROR(INDEX('Catálogo'!$H$2:$H$813,MATCH($A121,'Catálogo'!$A$2:$A$813,0)),"código no encontrado"))</f>
        <v/>
      </c>
      <c r="D121" s="4">
        <f>IF($A121="","",IFERROR(INDEX('Catálogo'!$I$2:$I$813,MATCH($A121,'Catálogo'!$A$2:$A$813,0)),"código no encontrado"))</f>
        <v/>
      </c>
      <c r="E121" s="15" t="n"/>
      <c r="F121" s="10">
        <f>IF($A121="","",IFERROR(INDEX('Catálogo'!$N$2:$N$813,MATCH($A121,'Catálogo'!$A$2:$A$813,0)),"código no encontrado"))</f>
        <v/>
      </c>
      <c r="G121" s="10">
        <f>IF(OR($E121="",$F121="",NOT(ISNUMBER($F121))),"",$E121*$F121)</f>
        <v/>
      </c>
      <c r="H121" s="4">
        <f>IF($A121="","",IFERROR(INDEX('Catálogo'!$Q$2:$Q$813,MATCH($A121,'Catálogo'!$A$2:$A$813,0)),"código no encontrado"))</f>
        <v/>
      </c>
      <c r="I121" s="10">
        <f>IF($G121="","",IF($H121="Sí",ROUND($G121/1.18,2),$G121))</f>
        <v/>
      </c>
      <c r="J121" s="14" t="n"/>
    </row>
    <row r="122">
      <c r="A122" s="14" t="n"/>
      <c r="B122" s="5">
        <f>IF($A122="","",IFERROR(INDEX('Catálogo'!$D$2:$D$813,MATCH($A122,'Catálogo'!$A$2:$A$813,0)),"código no encontrado"))</f>
        <v/>
      </c>
      <c r="C122" s="4">
        <f>IF($A122="","",IFERROR(INDEX('Catálogo'!$H$2:$H$813,MATCH($A122,'Catálogo'!$A$2:$A$813,0)),"código no encontrado"))</f>
        <v/>
      </c>
      <c r="D122" s="4">
        <f>IF($A122="","",IFERROR(INDEX('Catálogo'!$I$2:$I$813,MATCH($A122,'Catálogo'!$A$2:$A$813,0)),"código no encontrado"))</f>
        <v/>
      </c>
      <c r="E122" s="15" t="n"/>
      <c r="F122" s="10">
        <f>IF($A122="","",IFERROR(INDEX('Catálogo'!$N$2:$N$813,MATCH($A122,'Catálogo'!$A$2:$A$813,0)),"código no encontrado"))</f>
        <v/>
      </c>
      <c r="G122" s="10">
        <f>IF(OR($E122="",$F122="",NOT(ISNUMBER($F122))),"",$E122*$F122)</f>
        <v/>
      </c>
      <c r="H122" s="4">
        <f>IF($A122="","",IFERROR(INDEX('Catálogo'!$Q$2:$Q$813,MATCH($A122,'Catálogo'!$A$2:$A$813,0)),"código no encontrado"))</f>
        <v/>
      </c>
      <c r="I122" s="10">
        <f>IF($G122="","",IF($H122="Sí",ROUND($G122/1.18,2),$G122))</f>
        <v/>
      </c>
      <c r="J122" s="14" t="n"/>
    </row>
    <row r="123">
      <c r="A123" s="14" t="n"/>
      <c r="B123" s="5">
        <f>IF($A123="","",IFERROR(INDEX('Catálogo'!$D$2:$D$813,MATCH($A123,'Catálogo'!$A$2:$A$813,0)),"código no encontrado"))</f>
        <v/>
      </c>
      <c r="C123" s="4">
        <f>IF($A123="","",IFERROR(INDEX('Catálogo'!$H$2:$H$813,MATCH($A123,'Catálogo'!$A$2:$A$813,0)),"código no encontrado"))</f>
        <v/>
      </c>
      <c r="D123" s="4">
        <f>IF($A123="","",IFERROR(INDEX('Catálogo'!$I$2:$I$813,MATCH($A123,'Catálogo'!$A$2:$A$813,0)),"código no encontrado"))</f>
        <v/>
      </c>
      <c r="E123" s="15" t="n"/>
      <c r="F123" s="10">
        <f>IF($A123="","",IFERROR(INDEX('Catálogo'!$N$2:$N$813,MATCH($A123,'Catálogo'!$A$2:$A$813,0)),"código no encontrado"))</f>
        <v/>
      </c>
      <c r="G123" s="10">
        <f>IF(OR($E123="",$F123="",NOT(ISNUMBER($F123))),"",$E123*$F123)</f>
        <v/>
      </c>
      <c r="H123" s="4">
        <f>IF($A123="","",IFERROR(INDEX('Catálogo'!$Q$2:$Q$813,MATCH($A123,'Catálogo'!$A$2:$A$813,0)),"código no encontrado"))</f>
        <v/>
      </c>
      <c r="I123" s="10">
        <f>IF($G123="","",IF($H123="Sí",ROUND($G123/1.18,2),$G123))</f>
        <v/>
      </c>
      <c r="J123" s="14" t="n"/>
    </row>
    <row r="124">
      <c r="A124" s="14" t="n"/>
      <c r="B124" s="5">
        <f>IF($A124="","",IFERROR(INDEX('Catálogo'!$D$2:$D$813,MATCH($A124,'Catálogo'!$A$2:$A$813,0)),"código no encontrado"))</f>
        <v/>
      </c>
      <c r="C124" s="4">
        <f>IF($A124="","",IFERROR(INDEX('Catálogo'!$H$2:$H$813,MATCH($A124,'Catálogo'!$A$2:$A$813,0)),"código no encontrado"))</f>
        <v/>
      </c>
      <c r="D124" s="4">
        <f>IF($A124="","",IFERROR(INDEX('Catálogo'!$I$2:$I$813,MATCH($A124,'Catálogo'!$A$2:$A$813,0)),"código no encontrado"))</f>
        <v/>
      </c>
      <c r="E124" s="15" t="n"/>
      <c r="F124" s="10">
        <f>IF($A124="","",IFERROR(INDEX('Catálogo'!$N$2:$N$813,MATCH($A124,'Catálogo'!$A$2:$A$813,0)),"código no encontrado"))</f>
        <v/>
      </c>
      <c r="G124" s="10">
        <f>IF(OR($E124="",$F124="",NOT(ISNUMBER($F124))),"",$E124*$F124)</f>
        <v/>
      </c>
      <c r="H124" s="4">
        <f>IF($A124="","",IFERROR(INDEX('Catálogo'!$Q$2:$Q$813,MATCH($A124,'Catálogo'!$A$2:$A$813,0)),"código no encontrado"))</f>
        <v/>
      </c>
      <c r="I124" s="10">
        <f>IF($G124="","",IF($H124="Sí",ROUND($G124/1.18,2),$G124))</f>
        <v/>
      </c>
      <c r="J124" s="14" t="n"/>
    </row>
    <row r="125">
      <c r="A125" s="14" t="n"/>
      <c r="B125" s="5">
        <f>IF($A125="","",IFERROR(INDEX('Catálogo'!$D$2:$D$813,MATCH($A125,'Catálogo'!$A$2:$A$813,0)),"código no encontrado"))</f>
        <v/>
      </c>
      <c r="C125" s="4">
        <f>IF($A125="","",IFERROR(INDEX('Catálogo'!$H$2:$H$813,MATCH($A125,'Catálogo'!$A$2:$A$813,0)),"código no encontrado"))</f>
        <v/>
      </c>
      <c r="D125" s="4">
        <f>IF($A125="","",IFERROR(INDEX('Catálogo'!$I$2:$I$813,MATCH($A125,'Catálogo'!$A$2:$A$813,0)),"código no encontrado"))</f>
        <v/>
      </c>
      <c r="E125" s="15" t="n"/>
      <c r="F125" s="10">
        <f>IF($A125="","",IFERROR(INDEX('Catálogo'!$N$2:$N$813,MATCH($A125,'Catálogo'!$A$2:$A$813,0)),"código no encontrado"))</f>
        <v/>
      </c>
      <c r="G125" s="10">
        <f>IF(OR($E125="",$F125="",NOT(ISNUMBER($F125))),"",$E125*$F125)</f>
        <v/>
      </c>
      <c r="H125" s="4">
        <f>IF($A125="","",IFERROR(INDEX('Catálogo'!$Q$2:$Q$813,MATCH($A125,'Catálogo'!$A$2:$A$813,0)),"código no encontrado"))</f>
        <v/>
      </c>
      <c r="I125" s="10">
        <f>IF($G125="","",IF($H125="Sí",ROUND($G125/1.18,2),$G125))</f>
        <v/>
      </c>
      <c r="J125" s="14" t="n"/>
    </row>
    <row r="126">
      <c r="A126" s="14" t="n"/>
      <c r="B126" s="5">
        <f>IF($A126="","",IFERROR(INDEX('Catálogo'!$D$2:$D$813,MATCH($A126,'Catálogo'!$A$2:$A$813,0)),"código no encontrado"))</f>
        <v/>
      </c>
      <c r="C126" s="4">
        <f>IF($A126="","",IFERROR(INDEX('Catálogo'!$H$2:$H$813,MATCH($A126,'Catálogo'!$A$2:$A$813,0)),"código no encontrado"))</f>
        <v/>
      </c>
      <c r="D126" s="4">
        <f>IF($A126="","",IFERROR(INDEX('Catálogo'!$I$2:$I$813,MATCH($A126,'Catálogo'!$A$2:$A$813,0)),"código no encontrado"))</f>
        <v/>
      </c>
      <c r="E126" s="15" t="n"/>
      <c r="F126" s="10">
        <f>IF($A126="","",IFERROR(INDEX('Catálogo'!$N$2:$N$813,MATCH($A126,'Catálogo'!$A$2:$A$813,0)),"código no encontrado"))</f>
        <v/>
      </c>
      <c r="G126" s="10">
        <f>IF(OR($E126="",$F126="",NOT(ISNUMBER($F126))),"",$E126*$F126)</f>
        <v/>
      </c>
      <c r="H126" s="4">
        <f>IF($A126="","",IFERROR(INDEX('Catálogo'!$Q$2:$Q$813,MATCH($A126,'Catálogo'!$A$2:$A$813,0)),"código no encontrado"))</f>
        <v/>
      </c>
      <c r="I126" s="10">
        <f>IF($G126="","",IF($H126="Sí",ROUND($G126/1.18,2),$G126))</f>
        <v/>
      </c>
      <c r="J126" s="14" t="n"/>
    </row>
    <row r="127">
      <c r="A127" s="14" t="n"/>
      <c r="B127" s="5">
        <f>IF($A127="","",IFERROR(INDEX('Catálogo'!$D$2:$D$813,MATCH($A127,'Catálogo'!$A$2:$A$813,0)),"código no encontrado"))</f>
        <v/>
      </c>
      <c r="C127" s="4">
        <f>IF($A127="","",IFERROR(INDEX('Catálogo'!$H$2:$H$813,MATCH($A127,'Catálogo'!$A$2:$A$813,0)),"código no encontrado"))</f>
        <v/>
      </c>
      <c r="D127" s="4">
        <f>IF($A127="","",IFERROR(INDEX('Catálogo'!$I$2:$I$813,MATCH($A127,'Catálogo'!$A$2:$A$813,0)),"código no encontrado"))</f>
        <v/>
      </c>
      <c r="E127" s="15" t="n"/>
      <c r="F127" s="10">
        <f>IF($A127="","",IFERROR(INDEX('Catálogo'!$N$2:$N$813,MATCH($A127,'Catálogo'!$A$2:$A$813,0)),"código no encontrado"))</f>
        <v/>
      </c>
      <c r="G127" s="10">
        <f>IF(OR($E127="",$F127="",NOT(ISNUMBER($F127))),"",$E127*$F127)</f>
        <v/>
      </c>
      <c r="H127" s="4">
        <f>IF($A127="","",IFERROR(INDEX('Catálogo'!$Q$2:$Q$813,MATCH($A127,'Catálogo'!$A$2:$A$813,0)),"código no encontrado"))</f>
        <v/>
      </c>
      <c r="I127" s="10">
        <f>IF($G127="","",IF($H127="Sí",ROUND($G127/1.18,2),$G127))</f>
        <v/>
      </c>
      <c r="J127" s="14" t="n"/>
    </row>
    <row r="128">
      <c r="A128" s="14" t="n"/>
      <c r="B128" s="5">
        <f>IF($A128="","",IFERROR(INDEX('Catálogo'!$D$2:$D$813,MATCH($A128,'Catálogo'!$A$2:$A$813,0)),"código no encontrado"))</f>
        <v/>
      </c>
      <c r="C128" s="4">
        <f>IF($A128="","",IFERROR(INDEX('Catálogo'!$H$2:$H$813,MATCH($A128,'Catálogo'!$A$2:$A$813,0)),"código no encontrado"))</f>
        <v/>
      </c>
      <c r="D128" s="4">
        <f>IF($A128="","",IFERROR(INDEX('Catálogo'!$I$2:$I$813,MATCH($A128,'Catálogo'!$A$2:$A$813,0)),"código no encontrado"))</f>
        <v/>
      </c>
      <c r="E128" s="15" t="n"/>
      <c r="F128" s="10">
        <f>IF($A128="","",IFERROR(INDEX('Catálogo'!$N$2:$N$813,MATCH($A128,'Catálogo'!$A$2:$A$813,0)),"código no encontrado"))</f>
        <v/>
      </c>
      <c r="G128" s="10">
        <f>IF(OR($E128="",$F128="",NOT(ISNUMBER($F128))),"",$E128*$F128)</f>
        <v/>
      </c>
      <c r="H128" s="4">
        <f>IF($A128="","",IFERROR(INDEX('Catálogo'!$Q$2:$Q$813,MATCH($A128,'Catálogo'!$A$2:$A$813,0)),"código no encontrado"))</f>
        <v/>
      </c>
      <c r="I128" s="10">
        <f>IF($G128="","",IF($H128="Sí",ROUND($G128/1.18,2),$G128))</f>
        <v/>
      </c>
      <c r="J128" s="14" t="n"/>
    </row>
    <row r="129">
      <c r="A129" s="14" t="n"/>
      <c r="B129" s="5">
        <f>IF($A129="","",IFERROR(INDEX('Catálogo'!$D$2:$D$813,MATCH($A129,'Catálogo'!$A$2:$A$813,0)),"código no encontrado"))</f>
        <v/>
      </c>
      <c r="C129" s="4">
        <f>IF($A129="","",IFERROR(INDEX('Catálogo'!$H$2:$H$813,MATCH($A129,'Catálogo'!$A$2:$A$813,0)),"código no encontrado"))</f>
        <v/>
      </c>
      <c r="D129" s="4">
        <f>IF($A129="","",IFERROR(INDEX('Catálogo'!$I$2:$I$813,MATCH($A129,'Catálogo'!$A$2:$A$813,0)),"código no encontrado"))</f>
        <v/>
      </c>
      <c r="E129" s="15" t="n"/>
      <c r="F129" s="10">
        <f>IF($A129="","",IFERROR(INDEX('Catálogo'!$N$2:$N$813,MATCH($A129,'Catálogo'!$A$2:$A$813,0)),"código no encontrado"))</f>
        <v/>
      </c>
      <c r="G129" s="10">
        <f>IF(OR($E129="",$F129="",NOT(ISNUMBER($F129))),"",$E129*$F129)</f>
        <v/>
      </c>
      <c r="H129" s="4">
        <f>IF($A129="","",IFERROR(INDEX('Catálogo'!$Q$2:$Q$813,MATCH($A129,'Catálogo'!$A$2:$A$813,0)),"código no encontrado"))</f>
        <v/>
      </c>
      <c r="I129" s="10">
        <f>IF($G129="","",IF($H129="Sí",ROUND($G129/1.18,2),$G129))</f>
        <v/>
      </c>
      <c r="J129" s="14" t="n"/>
    </row>
    <row r="130">
      <c r="A130" s="14" t="n"/>
      <c r="B130" s="5">
        <f>IF($A130="","",IFERROR(INDEX('Catálogo'!$D$2:$D$813,MATCH($A130,'Catálogo'!$A$2:$A$813,0)),"código no encontrado"))</f>
        <v/>
      </c>
      <c r="C130" s="4">
        <f>IF($A130="","",IFERROR(INDEX('Catálogo'!$H$2:$H$813,MATCH($A130,'Catálogo'!$A$2:$A$813,0)),"código no encontrado"))</f>
        <v/>
      </c>
      <c r="D130" s="4">
        <f>IF($A130="","",IFERROR(INDEX('Catálogo'!$I$2:$I$813,MATCH($A130,'Catálogo'!$A$2:$A$813,0)),"código no encontrado"))</f>
        <v/>
      </c>
      <c r="E130" s="15" t="n"/>
      <c r="F130" s="10">
        <f>IF($A130="","",IFERROR(INDEX('Catálogo'!$N$2:$N$813,MATCH($A130,'Catálogo'!$A$2:$A$813,0)),"código no encontrado"))</f>
        <v/>
      </c>
      <c r="G130" s="10">
        <f>IF(OR($E130="",$F130="",NOT(ISNUMBER($F130))),"",$E130*$F130)</f>
        <v/>
      </c>
      <c r="H130" s="4">
        <f>IF($A130="","",IFERROR(INDEX('Catálogo'!$Q$2:$Q$813,MATCH($A130,'Catálogo'!$A$2:$A$813,0)),"código no encontrado"))</f>
        <v/>
      </c>
      <c r="I130" s="10">
        <f>IF($G130="","",IF($H130="Sí",ROUND($G130/1.18,2),$G130))</f>
        <v/>
      </c>
      <c r="J130" s="14" t="n"/>
    </row>
    <row r="131">
      <c r="A131" s="14" t="n"/>
      <c r="B131" s="5">
        <f>IF($A131="","",IFERROR(INDEX('Catálogo'!$D$2:$D$813,MATCH($A131,'Catálogo'!$A$2:$A$813,0)),"código no encontrado"))</f>
        <v/>
      </c>
      <c r="C131" s="4">
        <f>IF($A131="","",IFERROR(INDEX('Catálogo'!$H$2:$H$813,MATCH($A131,'Catálogo'!$A$2:$A$813,0)),"código no encontrado"))</f>
        <v/>
      </c>
      <c r="D131" s="4">
        <f>IF($A131="","",IFERROR(INDEX('Catálogo'!$I$2:$I$813,MATCH($A131,'Catálogo'!$A$2:$A$813,0)),"código no encontrado"))</f>
        <v/>
      </c>
      <c r="E131" s="15" t="n"/>
      <c r="F131" s="10">
        <f>IF($A131="","",IFERROR(INDEX('Catálogo'!$N$2:$N$813,MATCH($A131,'Catálogo'!$A$2:$A$813,0)),"código no encontrado"))</f>
        <v/>
      </c>
      <c r="G131" s="10">
        <f>IF(OR($E131="",$F131="",NOT(ISNUMBER($F131))),"",$E131*$F131)</f>
        <v/>
      </c>
      <c r="H131" s="4">
        <f>IF($A131="","",IFERROR(INDEX('Catálogo'!$Q$2:$Q$813,MATCH($A131,'Catálogo'!$A$2:$A$813,0)),"código no encontrado"))</f>
        <v/>
      </c>
      <c r="I131" s="10">
        <f>IF($G131="","",IF($H131="Sí",ROUND($G131/1.18,2),$G131))</f>
        <v/>
      </c>
      <c r="J131" s="14" t="n"/>
    </row>
    <row r="132">
      <c r="A132" s="14" t="n"/>
      <c r="B132" s="5">
        <f>IF($A132="","",IFERROR(INDEX('Catálogo'!$D$2:$D$813,MATCH($A132,'Catálogo'!$A$2:$A$813,0)),"código no encontrado"))</f>
        <v/>
      </c>
      <c r="C132" s="4">
        <f>IF($A132="","",IFERROR(INDEX('Catálogo'!$H$2:$H$813,MATCH($A132,'Catálogo'!$A$2:$A$813,0)),"código no encontrado"))</f>
        <v/>
      </c>
      <c r="D132" s="4">
        <f>IF($A132="","",IFERROR(INDEX('Catálogo'!$I$2:$I$813,MATCH($A132,'Catálogo'!$A$2:$A$813,0)),"código no encontrado"))</f>
        <v/>
      </c>
      <c r="E132" s="15" t="n"/>
      <c r="F132" s="10">
        <f>IF($A132="","",IFERROR(INDEX('Catálogo'!$N$2:$N$813,MATCH($A132,'Catálogo'!$A$2:$A$813,0)),"código no encontrado"))</f>
        <v/>
      </c>
      <c r="G132" s="10">
        <f>IF(OR($E132="",$F132="",NOT(ISNUMBER($F132))),"",$E132*$F132)</f>
        <v/>
      </c>
      <c r="H132" s="4">
        <f>IF($A132="","",IFERROR(INDEX('Catálogo'!$Q$2:$Q$813,MATCH($A132,'Catálogo'!$A$2:$A$813,0)),"código no encontrado"))</f>
        <v/>
      </c>
      <c r="I132" s="10">
        <f>IF($G132="","",IF($H132="Sí",ROUND($G132/1.18,2),$G132))</f>
        <v/>
      </c>
      <c r="J132" s="14" t="n"/>
    </row>
    <row r="133">
      <c r="A133" s="14" t="n"/>
      <c r="B133" s="5">
        <f>IF($A133="","",IFERROR(INDEX('Catálogo'!$D$2:$D$813,MATCH($A133,'Catálogo'!$A$2:$A$813,0)),"código no encontrado"))</f>
        <v/>
      </c>
      <c r="C133" s="4">
        <f>IF($A133="","",IFERROR(INDEX('Catálogo'!$H$2:$H$813,MATCH($A133,'Catálogo'!$A$2:$A$813,0)),"código no encontrado"))</f>
        <v/>
      </c>
      <c r="D133" s="4">
        <f>IF($A133="","",IFERROR(INDEX('Catálogo'!$I$2:$I$813,MATCH($A133,'Catálogo'!$A$2:$A$813,0)),"código no encontrado"))</f>
        <v/>
      </c>
      <c r="E133" s="15" t="n"/>
      <c r="F133" s="10">
        <f>IF($A133="","",IFERROR(INDEX('Catálogo'!$N$2:$N$813,MATCH($A133,'Catálogo'!$A$2:$A$813,0)),"código no encontrado"))</f>
        <v/>
      </c>
      <c r="G133" s="10">
        <f>IF(OR($E133="",$F133="",NOT(ISNUMBER($F133))),"",$E133*$F133)</f>
        <v/>
      </c>
      <c r="H133" s="4">
        <f>IF($A133="","",IFERROR(INDEX('Catálogo'!$Q$2:$Q$813,MATCH($A133,'Catálogo'!$A$2:$A$813,0)),"código no encontrado"))</f>
        <v/>
      </c>
      <c r="I133" s="10">
        <f>IF($G133="","",IF($H133="Sí",ROUND($G133/1.18,2),$G133))</f>
        <v/>
      </c>
      <c r="J133" s="14" t="n"/>
    </row>
    <row r="134">
      <c r="A134" s="14" t="n"/>
      <c r="B134" s="5">
        <f>IF($A134="","",IFERROR(INDEX('Catálogo'!$D$2:$D$813,MATCH($A134,'Catálogo'!$A$2:$A$813,0)),"código no encontrado"))</f>
        <v/>
      </c>
      <c r="C134" s="4">
        <f>IF($A134="","",IFERROR(INDEX('Catálogo'!$H$2:$H$813,MATCH($A134,'Catálogo'!$A$2:$A$813,0)),"código no encontrado"))</f>
        <v/>
      </c>
      <c r="D134" s="4">
        <f>IF($A134="","",IFERROR(INDEX('Catálogo'!$I$2:$I$813,MATCH($A134,'Catálogo'!$A$2:$A$813,0)),"código no encontrado"))</f>
        <v/>
      </c>
      <c r="E134" s="15" t="n"/>
      <c r="F134" s="10">
        <f>IF($A134="","",IFERROR(INDEX('Catálogo'!$N$2:$N$813,MATCH($A134,'Catálogo'!$A$2:$A$813,0)),"código no encontrado"))</f>
        <v/>
      </c>
      <c r="G134" s="10">
        <f>IF(OR($E134="",$F134="",NOT(ISNUMBER($F134))),"",$E134*$F134)</f>
        <v/>
      </c>
      <c r="H134" s="4">
        <f>IF($A134="","",IFERROR(INDEX('Catálogo'!$Q$2:$Q$813,MATCH($A134,'Catálogo'!$A$2:$A$813,0)),"código no encontrado"))</f>
        <v/>
      </c>
      <c r="I134" s="10">
        <f>IF($G134="","",IF($H134="Sí",ROUND($G134/1.18,2),$G134))</f>
        <v/>
      </c>
      <c r="J134" s="14" t="n"/>
    </row>
    <row r="135">
      <c r="A135" s="14" t="n"/>
      <c r="B135" s="5">
        <f>IF($A135="","",IFERROR(INDEX('Catálogo'!$D$2:$D$813,MATCH($A135,'Catálogo'!$A$2:$A$813,0)),"código no encontrado"))</f>
        <v/>
      </c>
      <c r="C135" s="4">
        <f>IF($A135="","",IFERROR(INDEX('Catálogo'!$H$2:$H$813,MATCH($A135,'Catálogo'!$A$2:$A$813,0)),"código no encontrado"))</f>
        <v/>
      </c>
      <c r="D135" s="4">
        <f>IF($A135="","",IFERROR(INDEX('Catálogo'!$I$2:$I$813,MATCH($A135,'Catálogo'!$A$2:$A$813,0)),"código no encontrado"))</f>
        <v/>
      </c>
      <c r="E135" s="15" t="n"/>
      <c r="F135" s="10">
        <f>IF($A135="","",IFERROR(INDEX('Catálogo'!$N$2:$N$813,MATCH($A135,'Catálogo'!$A$2:$A$813,0)),"código no encontrado"))</f>
        <v/>
      </c>
      <c r="G135" s="10">
        <f>IF(OR($E135="",$F135="",NOT(ISNUMBER($F135))),"",$E135*$F135)</f>
        <v/>
      </c>
      <c r="H135" s="4">
        <f>IF($A135="","",IFERROR(INDEX('Catálogo'!$Q$2:$Q$813,MATCH($A135,'Catálogo'!$A$2:$A$813,0)),"código no encontrado"))</f>
        <v/>
      </c>
      <c r="I135" s="10">
        <f>IF($G135="","",IF($H135="Sí",ROUND($G135/1.18,2),$G135))</f>
        <v/>
      </c>
      <c r="J135" s="14" t="n"/>
    </row>
    <row r="136">
      <c r="A136" s="14" t="n"/>
      <c r="B136" s="5">
        <f>IF($A136="","",IFERROR(INDEX('Catálogo'!$D$2:$D$813,MATCH($A136,'Catálogo'!$A$2:$A$813,0)),"código no encontrado"))</f>
        <v/>
      </c>
      <c r="C136" s="4">
        <f>IF($A136="","",IFERROR(INDEX('Catálogo'!$H$2:$H$813,MATCH($A136,'Catálogo'!$A$2:$A$813,0)),"código no encontrado"))</f>
        <v/>
      </c>
      <c r="D136" s="4">
        <f>IF($A136="","",IFERROR(INDEX('Catálogo'!$I$2:$I$813,MATCH($A136,'Catálogo'!$A$2:$A$813,0)),"código no encontrado"))</f>
        <v/>
      </c>
      <c r="E136" s="15" t="n"/>
      <c r="F136" s="10">
        <f>IF($A136="","",IFERROR(INDEX('Catálogo'!$N$2:$N$813,MATCH($A136,'Catálogo'!$A$2:$A$813,0)),"código no encontrado"))</f>
        <v/>
      </c>
      <c r="G136" s="10">
        <f>IF(OR($E136="",$F136="",NOT(ISNUMBER($F136))),"",$E136*$F136)</f>
        <v/>
      </c>
      <c r="H136" s="4">
        <f>IF($A136="","",IFERROR(INDEX('Catálogo'!$Q$2:$Q$813,MATCH($A136,'Catálogo'!$A$2:$A$813,0)),"código no encontrado"))</f>
        <v/>
      </c>
      <c r="I136" s="10">
        <f>IF($G136="","",IF($H136="Sí",ROUND($G136/1.18,2),$G136))</f>
        <v/>
      </c>
      <c r="J136" s="14" t="n"/>
    </row>
    <row r="137">
      <c r="A137" s="14" t="n"/>
      <c r="B137" s="5">
        <f>IF($A137="","",IFERROR(INDEX('Catálogo'!$D$2:$D$813,MATCH($A137,'Catálogo'!$A$2:$A$813,0)),"código no encontrado"))</f>
        <v/>
      </c>
      <c r="C137" s="4">
        <f>IF($A137="","",IFERROR(INDEX('Catálogo'!$H$2:$H$813,MATCH($A137,'Catálogo'!$A$2:$A$813,0)),"código no encontrado"))</f>
        <v/>
      </c>
      <c r="D137" s="4">
        <f>IF($A137="","",IFERROR(INDEX('Catálogo'!$I$2:$I$813,MATCH($A137,'Catálogo'!$A$2:$A$813,0)),"código no encontrado"))</f>
        <v/>
      </c>
      <c r="E137" s="15" t="n"/>
      <c r="F137" s="10">
        <f>IF($A137="","",IFERROR(INDEX('Catálogo'!$N$2:$N$813,MATCH($A137,'Catálogo'!$A$2:$A$813,0)),"código no encontrado"))</f>
        <v/>
      </c>
      <c r="G137" s="10">
        <f>IF(OR($E137="",$F137="",NOT(ISNUMBER($F137))),"",$E137*$F137)</f>
        <v/>
      </c>
      <c r="H137" s="4">
        <f>IF($A137="","",IFERROR(INDEX('Catálogo'!$Q$2:$Q$813,MATCH($A137,'Catálogo'!$A$2:$A$813,0)),"código no encontrado"))</f>
        <v/>
      </c>
      <c r="I137" s="10">
        <f>IF($G137="","",IF($H137="Sí",ROUND($G137/1.18,2),$G137))</f>
        <v/>
      </c>
      <c r="J137" s="14" t="n"/>
    </row>
    <row r="138">
      <c r="A138" s="14" t="n"/>
      <c r="B138" s="5">
        <f>IF($A138="","",IFERROR(INDEX('Catálogo'!$D$2:$D$813,MATCH($A138,'Catálogo'!$A$2:$A$813,0)),"código no encontrado"))</f>
        <v/>
      </c>
      <c r="C138" s="4">
        <f>IF($A138="","",IFERROR(INDEX('Catálogo'!$H$2:$H$813,MATCH($A138,'Catálogo'!$A$2:$A$813,0)),"código no encontrado"))</f>
        <v/>
      </c>
      <c r="D138" s="4">
        <f>IF($A138="","",IFERROR(INDEX('Catálogo'!$I$2:$I$813,MATCH($A138,'Catálogo'!$A$2:$A$813,0)),"código no encontrado"))</f>
        <v/>
      </c>
      <c r="E138" s="15" t="n"/>
      <c r="F138" s="10">
        <f>IF($A138="","",IFERROR(INDEX('Catálogo'!$N$2:$N$813,MATCH($A138,'Catálogo'!$A$2:$A$813,0)),"código no encontrado"))</f>
        <v/>
      </c>
      <c r="G138" s="10">
        <f>IF(OR($E138="",$F138="",NOT(ISNUMBER($F138))),"",$E138*$F138)</f>
        <v/>
      </c>
      <c r="H138" s="4">
        <f>IF($A138="","",IFERROR(INDEX('Catálogo'!$Q$2:$Q$813,MATCH($A138,'Catálogo'!$A$2:$A$813,0)),"código no encontrado"))</f>
        <v/>
      </c>
      <c r="I138" s="10">
        <f>IF($G138="","",IF($H138="Sí",ROUND($G138/1.18,2),$G138))</f>
        <v/>
      </c>
      <c r="J138" s="14" t="n"/>
    </row>
    <row r="139">
      <c r="A139" s="14" t="n"/>
      <c r="B139" s="5">
        <f>IF($A139="","",IFERROR(INDEX('Catálogo'!$D$2:$D$813,MATCH($A139,'Catálogo'!$A$2:$A$813,0)),"código no encontrado"))</f>
        <v/>
      </c>
      <c r="C139" s="4">
        <f>IF($A139="","",IFERROR(INDEX('Catálogo'!$H$2:$H$813,MATCH($A139,'Catálogo'!$A$2:$A$813,0)),"código no encontrado"))</f>
        <v/>
      </c>
      <c r="D139" s="4">
        <f>IF($A139="","",IFERROR(INDEX('Catálogo'!$I$2:$I$813,MATCH($A139,'Catálogo'!$A$2:$A$813,0)),"código no encontrado"))</f>
        <v/>
      </c>
      <c r="E139" s="15" t="n"/>
      <c r="F139" s="10">
        <f>IF($A139="","",IFERROR(INDEX('Catálogo'!$N$2:$N$813,MATCH($A139,'Catálogo'!$A$2:$A$813,0)),"código no encontrado"))</f>
        <v/>
      </c>
      <c r="G139" s="10">
        <f>IF(OR($E139="",$F139="",NOT(ISNUMBER($F139))),"",$E139*$F139)</f>
        <v/>
      </c>
      <c r="H139" s="4">
        <f>IF($A139="","",IFERROR(INDEX('Catálogo'!$Q$2:$Q$813,MATCH($A139,'Catálogo'!$A$2:$A$813,0)),"código no encontrado"))</f>
        <v/>
      </c>
      <c r="I139" s="10">
        <f>IF($G139="","",IF($H139="Sí",ROUND($G139/1.18,2),$G139))</f>
        <v/>
      </c>
      <c r="J139" s="14" t="n"/>
    </row>
    <row r="140">
      <c r="A140" s="14" t="n"/>
      <c r="B140" s="5">
        <f>IF($A140="","",IFERROR(INDEX('Catálogo'!$D$2:$D$813,MATCH($A140,'Catálogo'!$A$2:$A$813,0)),"código no encontrado"))</f>
        <v/>
      </c>
      <c r="C140" s="4">
        <f>IF($A140="","",IFERROR(INDEX('Catálogo'!$H$2:$H$813,MATCH($A140,'Catálogo'!$A$2:$A$813,0)),"código no encontrado"))</f>
        <v/>
      </c>
      <c r="D140" s="4">
        <f>IF($A140="","",IFERROR(INDEX('Catálogo'!$I$2:$I$813,MATCH($A140,'Catálogo'!$A$2:$A$813,0)),"código no encontrado"))</f>
        <v/>
      </c>
      <c r="E140" s="15" t="n"/>
      <c r="F140" s="10">
        <f>IF($A140="","",IFERROR(INDEX('Catálogo'!$N$2:$N$813,MATCH($A140,'Catálogo'!$A$2:$A$813,0)),"código no encontrado"))</f>
        <v/>
      </c>
      <c r="G140" s="10">
        <f>IF(OR($E140="",$F140="",NOT(ISNUMBER($F140))),"",$E140*$F140)</f>
        <v/>
      </c>
      <c r="H140" s="4">
        <f>IF($A140="","",IFERROR(INDEX('Catálogo'!$Q$2:$Q$813,MATCH($A140,'Catálogo'!$A$2:$A$813,0)),"código no encontrado"))</f>
        <v/>
      </c>
      <c r="I140" s="10">
        <f>IF($G140="","",IF($H140="Sí",ROUND($G140/1.18,2),$G140))</f>
        <v/>
      </c>
      <c r="J140" s="14" t="n"/>
    </row>
    <row r="141">
      <c r="A141" s="14" t="n"/>
      <c r="B141" s="5">
        <f>IF($A141="","",IFERROR(INDEX('Catálogo'!$D$2:$D$813,MATCH($A141,'Catálogo'!$A$2:$A$813,0)),"código no encontrado"))</f>
        <v/>
      </c>
      <c r="C141" s="4">
        <f>IF($A141="","",IFERROR(INDEX('Catálogo'!$H$2:$H$813,MATCH($A141,'Catálogo'!$A$2:$A$813,0)),"código no encontrado"))</f>
        <v/>
      </c>
      <c r="D141" s="4">
        <f>IF($A141="","",IFERROR(INDEX('Catálogo'!$I$2:$I$813,MATCH($A141,'Catálogo'!$A$2:$A$813,0)),"código no encontrado"))</f>
        <v/>
      </c>
      <c r="E141" s="15" t="n"/>
      <c r="F141" s="10">
        <f>IF($A141="","",IFERROR(INDEX('Catálogo'!$N$2:$N$813,MATCH($A141,'Catálogo'!$A$2:$A$813,0)),"código no encontrado"))</f>
        <v/>
      </c>
      <c r="G141" s="10">
        <f>IF(OR($E141="",$F141="",NOT(ISNUMBER($F141))),"",$E141*$F141)</f>
        <v/>
      </c>
      <c r="H141" s="4">
        <f>IF($A141="","",IFERROR(INDEX('Catálogo'!$Q$2:$Q$813,MATCH($A141,'Catálogo'!$A$2:$A$813,0)),"código no encontrado"))</f>
        <v/>
      </c>
      <c r="I141" s="10">
        <f>IF($G141="","",IF($H141="Sí",ROUND($G141/1.18,2),$G141))</f>
        <v/>
      </c>
      <c r="J141" s="14" t="n"/>
    </row>
    <row r="142">
      <c r="A142" s="14" t="n"/>
      <c r="B142" s="5">
        <f>IF($A142="","",IFERROR(INDEX('Catálogo'!$D$2:$D$813,MATCH($A142,'Catálogo'!$A$2:$A$813,0)),"código no encontrado"))</f>
        <v/>
      </c>
      <c r="C142" s="4">
        <f>IF($A142="","",IFERROR(INDEX('Catálogo'!$H$2:$H$813,MATCH($A142,'Catálogo'!$A$2:$A$813,0)),"código no encontrado"))</f>
        <v/>
      </c>
      <c r="D142" s="4">
        <f>IF($A142="","",IFERROR(INDEX('Catálogo'!$I$2:$I$813,MATCH($A142,'Catálogo'!$A$2:$A$813,0)),"código no encontrado"))</f>
        <v/>
      </c>
      <c r="E142" s="15" t="n"/>
      <c r="F142" s="10">
        <f>IF($A142="","",IFERROR(INDEX('Catálogo'!$N$2:$N$813,MATCH($A142,'Catálogo'!$A$2:$A$813,0)),"código no encontrado"))</f>
        <v/>
      </c>
      <c r="G142" s="10">
        <f>IF(OR($E142="",$F142="",NOT(ISNUMBER($F142))),"",$E142*$F142)</f>
        <v/>
      </c>
      <c r="H142" s="4">
        <f>IF($A142="","",IFERROR(INDEX('Catálogo'!$Q$2:$Q$813,MATCH($A142,'Catálogo'!$A$2:$A$813,0)),"código no encontrado"))</f>
        <v/>
      </c>
      <c r="I142" s="10">
        <f>IF($G142="","",IF($H142="Sí",ROUND($G142/1.18,2),$G142))</f>
        <v/>
      </c>
      <c r="J142" s="14" t="n"/>
    </row>
    <row r="143">
      <c r="A143" s="14" t="n"/>
      <c r="B143" s="5">
        <f>IF($A143="","",IFERROR(INDEX('Catálogo'!$D$2:$D$813,MATCH($A143,'Catálogo'!$A$2:$A$813,0)),"código no encontrado"))</f>
        <v/>
      </c>
      <c r="C143" s="4">
        <f>IF($A143="","",IFERROR(INDEX('Catálogo'!$H$2:$H$813,MATCH($A143,'Catálogo'!$A$2:$A$813,0)),"código no encontrado"))</f>
        <v/>
      </c>
      <c r="D143" s="4">
        <f>IF($A143="","",IFERROR(INDEX('Catálogo'!$I$2:$I$813,MATCH($A143,'Catálogo'!$A$2:$A$813,0)),"código no encontrado"))</f>
        <v/>
      </c>
      <c r="E143" s="15" t="n"/>
      <c r="F143" s="10">
        <f>IF($A143="","",IFERROR(INDEX('Catálogo'!$N$2:$N$813,MATCH($A143,'Catálogo'!$A$2:$A$813,0)),"código no encontrado"))</f>
        <v/>
      </c>
      <c r="G143" s="10">
        <f>IF(OR($E143="",$F143="",NOT(ISNUMBER($F143))),"",$E143*$F143)</f>
        <v/>
      </c>
      <c r="H143" s="4">
        <f>IF($A143="","",IFERROR(INDEX('Catálogo'!$Q$2:$Q$813,MATCH($A143,'Catálogo'!$A$2:$A$813,0)),"código no encontrado"))</f>
        <v/>
      </c>
      <c r="I143" s="10">
        <f>IF($G143="","",IF($H143="Sí",ROUND($G143/1.18,2),$G143))</f>
        <v/>
      </c>
      <c r="J143" s="14" t="n"/>
    </row>
    <row r="144">
      <c r="A144" s="14" t="n"/>
      <c r="B144" s="5">
        <f>IF($A144="","",IFERROR(INDEX('Catálogo'!$D$2:$D$813,MATCH($A144,'Catálogo'!$A$2:$A$813,0)),"código no encontrado"))</f>
        <v/>
      </c>
      <c r="C144" s="4">
        <f>IF($A144="","",IFERROR(INDEX('Catálogo'!$H$2:$H$813,MATCH($A144,'Catálogo'!$A$2:$A$813,0)),"código no encontrado"))</f>
        <v/>
      </c>
      <c r="D144" s="4">
        <f>IF($A144="","",IFERROR(INDEX('Catálogo'!$I$2:$I$813,MATCH($A144,'Catálogo'!$A$2:$A$813,0)),"código no encontrado"))</f>
        <v/>
      </c>
      <c r="E144" s="15" t="n"/>
      <c r="F144" s="10">
        <f>IF($A144="","",IFERROR(INDEX('Catálogo'!$N$2:$N$813,MATCH($A144,'Catálogo'!$A$2:$A$813,0)),"código no encontrado"))</f>
        <v/>
      </c>
      <c r="G144" s="10">
        <f>IF(OR($E144="",$F144="",NOT(ISNUMBER($F144))),"",$E144*$F144)</f>
        <v/>
      </c>
      <c r="H144" s="4">
        <f>IF($A144="","",IFERROR(INDEX('Catálogo'!$Q$2:$Q$813,MATCH($A144,'Catálogo'!$A$2:$A$813,0)),"código no encontrado"))</f>
        <v/>
      </c>
      <c r="I144" s="10">
        <f>IF($G144="","",IF($H144="Sí",ROUND($G144/1.18,2),$G144))</f>
        <v/>
      </c>
      <c r="J144" s="14" t="n"/>
    </row>
    <row r="145">
      <c r="A145" s="14" t="n"/>
      <c r="B145" s="5">
        <f>IF($A145="","",IFERROR(INDEX('Catálogo'!$D$2:$D$813,MATCH($A145,'Catálogo'!$A$2:$A$813,0)),"código no encontrado"))</f>
        <v/>
      </c>
      <c r="C145" s="4">
        <f>IF($A145="","",IFERROR(INDEX('Catálogo'!$H$2:$H$813,MATCH($A145,'Catálogo'!$A$2:$A$813,0)),"código no encontrado"))</f>
        <v/>
      </c>
      <c r="D145" s="4">
        <f>IF($A145="","",IFERROR(INDEX('Catálogo'!$I$2:$I$813,MATCH($A145,'Catálogo'!$A$2:$A$813,0)),"código no encontrado"))</f>
        <v/>
      </c>
      <c r="E145" s="15" t="n"/>
      <c r="F145" s="10">
        <f>IF($A145="","",IFERROR(INDEX('Catálogo'!$N$2:$N$813,MATCH($A145,'Catálogo'!$A$2:$A$813,0)),"código no encontrado"))</f>
        <v/>
      </c>
      <c r="G145" s="10">
        <f>IF(OR($E145="",$F145="",NOT(ISNUMBER($F145))),"",$E145*$F145)</f>
        <v/>
      </c>
      <c r="H145" s="4">
        <f>IF($A145="","",IFERROR(INDEX('Catálogo'!$Q$2:$Q$813,MATCH($A145,'Catálogo'!$A$2:$A$813,0)),"código no encontrado"))</f>
        <v/>
      </c>
      <c r="I145" s="10">
        <f>IF($G145="","",IF($H145="Sí",ROUND($G145/1.18,2),$G145))</f>
        <v/>
      </c>
      <c r="J145" s="14" t="n"/>
    </row>
    <row r="146">
      <c r="A146" s="14" t="n"/>
      <c r="B146" s="5">
        <f>IF($A146="","",IFERROR(INDEX('Catálogo'!$D$2:$D$813,MATCH($A146,'Catálogo'!$A$2:$A$813,0)),"código no encontrado"))</f>
        <v/>
      </c>
      <c r="C146" s="4">
        <f>IF($A146="","",IFERROR(INDEX('Catálogo'!$H$2:$H$813,MATCH($A146,'Catálogo'!$A$2:$A$813,0)),"código no encontrado"))</f>
        <v/>
      </c>
      <c r="D146" s="4">
        <f>IF($A146="","",IFERROR(INDEX('Catálogo'!$I$2:$I$813,MATCH($A146,'Catálogo'!$A$2:$A$813,0)),"código no encontrado"))</f>
        <v/>
      </c>
      <c r="E146" s="15" t="n"/>
      <c r="F146" s="10">
        <f>IF($A146="","",IFERROR(INDEX('Catálogo'!$N$2:$N$813,MATCH($A146,'Catálogo'!$A$2:$A$813,0)),"código no encontrado"))</f>
        <v/>
      </c>
      <c r="G146" s="10">
        <f>IF(OR($E146="",$F146="",NOT(ISNUMBER($F146))),"",$E146*$F146)</f>
        <v/>
      </c>
      <c r="H146" s="4">
        <f>IF($A146="","",IFERROR(INDEX('Catálogo'!$Q$2:$Q$813,MATCH($A146,'Catálogo'!$A$2:$A$813,0)),"código no encontrado"))</f>
        <v/>
      </c>
      <c r="I146" s="10">
        <f>IF($G146="","",IF($H146="Sí",ROUND($G146/1.18,2),$G146))</f>
        <v/>
      </c>
      <c r="J146" s="14" t="n"/>
    </row>
    <row r="147">
      <c r="A147" s="14" t="n"/>
      <c r="B147" s="5">
        <f>IF($A147="","",IFERROR(INDEX('Catálogo'!$D$2:$D$813,MATCH($A147,'Catálogo'!$A$2:$A$813,0)),"código no encontrado"))</f>
        <v/>
      </c>
      <c r="C147" s="4">
        <f>IF($A147="","",IFERROR(INDEX('Catálogo'!$H$2:$H$813,MATCH($A147,'Catálogo'!$A$2:$A$813,0)),"código no encontrado"))</f>
        <v/>
      </c>
      <c r="D147" s="4">
        <f>IF($A147="","",IFERROR(INDEX('Catálogo'!$I$2:$I$813,MATCH($A147,'Catálogo'!$A$2:$A$813,0)),"código no encontrado"))</f>
        <v/>
      </c>
      <c r="E147" s="15" t="n"/>
      <c r="F147" s="10">
        <f>IF($A147="","",IFERROR(INDEX('Catálogo'!$N$2:$N$813,MATCH($A147,'Catálogo'!$A$2:$A$813,0)),"código no encontrado"))</f>
        <v/>
      </c>
      <c r="G147" s="10">
        <f>IF(OR($E147="",$F147="",NOT(ISNUMBER($F147))),"",$E147*$F147)</f>
        <v/>
      </c>
      <c r="H147" s="4">
        <f>IF($A147="","",IFERROR(INDEX('Catálogo'!$Q$2:$Q$813,MATCH($A147,'Catálogo'!$A$2:$A$813,0)),"código no encontrado"))</f>
        <v/>
      </c>
      <c r="I147" s="10">
        <f>IF($G147="","",IF($H147="Sí",ROUND($G147/1.18,2),$G147))</f>
        <v/>
      </c>
      <c r="J147" s="14" t="n"/>
    </row>
    <row r="148">
      <c r="A148" s="14" t="n"/>
      <c r="B148" s="5">
        <f>IF($A148="","",IFERROR(INDEX('Catálogo'!$D$2:$D$813,MATCH($A148,'Catálogo'!$A$2:$A$813,0)),"código no encontrado"))</f>
        <v/>
      </c>
      <c r="C148" s="4">
        <f>IF($A148="","",IFERROR(INDEX('Catálogo'!$H$2:$H$813,MATCH($A148,'Catálogo'!$A$2:$A$813,0)),"código no encontrado"))</f>
        <v/>
      </c>
      <c r="D148" s="4">
        <f>IF($A148="","",IFERROR(INDEX('Catálogo'!$I$2:$I$813,MATCH($A148,'Catálogo'!$A$2:$A$813,0)),"código no encontrado"))</f>
        <v/>
      </c>
      <c r="E148" s="15" t="n"/>
      <c r="F148" s="10">
        <f>IF($A148="","",IFERROR(INDEX('Catálogo'!$N$2:$N$813,MATCH($A148,'Catálogo'!$A$2:$A$813,0)),"código no encontrado"))</f>
        <v/>
      </c>
      <c r="G148" s="10">
        <f>IF(OR($E148="",$F148="",NOT(ISNUMBER($F148))),"",$E148*$F148)</f>
        <v/>
      </c>
      <c r="H148" s="4">
        <f>IF($A148="","",IFERROR(INDEX('Catálogo'!$Q$2:$Q$813,MATCH($A148,'Catálogo'!$A$2:$A$813,0)),"código no encontrado"))</f>
        <v/>
      </c>
      <c r="I148" s="10">
        <f>IF($G148="","",IF($H148="Sí",ROUND($G148/1.18,2),$G148))</f>
        <v/>
      </c>
      <c r="J148" s="14" t="n"/>
    </row>
    <row r="149">
      <c r="A149" s="14" t="n"/>
      <c r="B149" s="5">
        <f>IF($A149="","",IFERROR(INDEX('Catálogo'!$D$2:$D$813,MATCH($A149,'Catálogo'!$A$2:$A$813,0)),"código no encontrado"))</f>
        <v/>
      </c>
      <c r="C149" s="4">
        <f>IF($A149="","",IFERROR(INDEX('Catálogo'!$H$2:$H$813,MATCH($A149,'Catálogo'!$A$2:$A$813,0)),"código no encontrado"))</f>
        <v/>
      </c>
      <c r="D149" s="4">
        <f>IF($A149="","",IFERROR(INDEX('Catálogo'!$I$2:$I$813,MATCH($A149,'Catálogo'!$A$2:$A$813,0)),"código no encontrado"))</f>
        <v/>
      </c>
      <c r="E149" s="15" t="n"/>
      <c r="F149" s="10">
        <f>IF($A149="","",IFERROR(INDEX('Catálogo'!$N$2:$N$813,MATCH($A149,'Catálogo'!$A$2:$A$813,0)),"código no encontrado"))</f>
        <v/>
      </c>
      <c r="G149" s="10">
        <f>IF(OR($E149="",$F149="",NOT(ISNUMBER($F149))),"",$E149*$F149)</f>
        <v/>
      </c>
      <c r="H149" s="4">
        <f>IF($A149="","",IFERROR(INDEX('Catálogo'!$Q$2:$Q$813,MATCH($A149,'Catálogo'!$A$2:$A$813,0)),"código no encontrado"))</f>
        <v/>
      </c>
      <c r="I149" s="10">
        <f>IF($G149="","",IF($H149="Sí",ROUND($G149/1.18,2),$G149))</f>
        <v/>
      </c>
      <c r="J149" s="14" t="n"/>
    </row>
    <row r="150">
      <c r="A150" s="14" t="n"/>
      <c r="B150" s="5">
        <f>IF($A150="","",IFERROR(INDEX('Catálogo'!$D$2:$D$813,MATCH($A150,'Catálogo'!$A$2:$A$813,0)),"código no encontrado"))</f>
        <v/>
      </c>
      <c r="C150" s="4">
        <f>IF($A150="","",IFERROR(INDEX('Catálogo'!$H$2:$H$813,MATCH($A150,'Catálogo'!$A$2:$A$813,0)),"código no encontrado"))</f>
        <v/>
      </c>
      <c r="D150" s="4">
        <f>IF($A150="","",IFERROR(INDEX('Catálogo'!$I$2:$I$813,MATCH($A150,'Catálogo'!$A$2:$A$813,0)),"código no encontrado"))</f>
        <v/>
      </c>
      <c r="E150" s="15" t="n"/>
      <c r="F150" s="10">
        <f>IF($A150="","",IFERROR(INDEX('Catálogo'!$N$2:$N$813,MATCH($A150,'Catálogo'!$A$2:$A$813,0)),"código no encontrado"))</f>
        <v/>
      </c>
      <c r="G150" s="10">
        <f>IF(OR($E150="",$F150="",NOT(ISNUMBER($F150))),"",$E150*$F150)</f>
        <v/>
      </c>
      <c r="H150" s="4">
        <f>IF($A150="","",IFERROR(INDEX('Catálogo'!$Q$2:$Q$813,MATCH($A150,'Catálogo'!$A$2:$A$813,0)),"código no encontrado"))</f>
        <v/>
      </c>
      <c r="I150" s="10">
        <f>IF($G150="","",IF($H150="Sí",ROUND($G150/1.18,2),$G150))</f>
        <v/>
      </c>
      <c r="J150" s="14" t="n"/>
    </row>
    <row r="151">
      <c r="A151" s="14" t="n"/>
      <c r="B151" s="5">
        <f>IF($A151="","",IFERROR(INDEX('Catálogo'!$D$2:$D$813,MATCH($A151,'Catálogo'!$A$2:$A$813,0)),"código no encontrado"))</f>
        <v/>
      </c>
      <c r="C151" s="4">
        <f>IF($A151="","",IFERROR(INDEX('Catálogo'!$H$2:$H$813,MATCH($A151,'Catálogo'!$A$2:$A$813,0)),"código no encontrado"))</f>
        <v/>
      </c>
      <c r="D151" s="4">
        <f>IF($A151="","",IFERROR(INDEX('Catálogo'!$I$2:$I$813,MATCH($A151,'Catálogo'!$A$2:$A$813,0)),"código no encontrado"))</f>
        <v/>
      </c>
      <c r="E151" s="15" t="n"/>
      <c r="F151" s="10">
        <f>IF($A151="","",IFERROR(INDEX('Catálogo'!$N$2:$N$813,MATCH($A151,'Catálogo'!$A$2:$A$813,0)),"código no encontrado"))</f>
        <v/>
      </c>
      <c r="G151" s="10">
        <f>IF(OR($E151="",$F151="",NOT(ISNUMBER($F151))),"",$E151*$F151)</f>
        <v/>
      </c>
      <c r="H151" s="4">
        <f>IF($A151="","",IFERROR(INDEX('Catálogo'!$Q$2:$Q$813,MATCH($A151,'Catálogo'!$A$2:$A$813,0)),"código no encontrado"))</f>
        <v/>
      </c>
      <c r="I151" s="10">
        <f>IF($G151="","",IF($H151="Sí",ROUND($G151/1.18,2),$G151))</f>
        <v/>
      </c>
      <c r="J151" s="14" t="n"/>
    </row>
    <row r="152">
      <c r="A152" s="14" t="n"/>
      <c r="B152" s="5">
        <f>IF($A152="","",IFERROR(INDEX('Catálogo'!$D$2:$D$813,MATCH($A152,'Catálogo'!$A$2:$A$813,0)),"código no encontrado"))</f>
        <v/>
      </c>
      <c r="C152" s="4">
        <f>IF($A152="","",IFERROR(INDEX('Catálogo'!$H$2:$H$813,MATCH($A152,'Catálogo'!$A$2:$A$813,0)),"código no encontrado"))</f>
        <v/>
      </c>
      <c r="D152" s="4">
        <f>IF($A152="","",IFERROR(INDEX('Catálogo'!$I$2:$I$813,MATCH($A152,'Catálogo'!$A$2:$A$813,0)),"código no encontrado"))</f>
        <v/>
      </c>
      <c r="E152" s="15" t="n"/>
      <c r="F152" s="10">
        <f>IF($A152="","",IFERROR(INDEX('Catálogo'!$N$2:$N$813,MATCH($A152,'Catálogo'!$A$2:$A$813,0)),"código no encontrado"))</f>
        <v/>
      </c>
      <c r="G152" s="10">
        <f>IF(OR($E152="",$F152="",NOT(ISNUMBER($F152))),"",$E152*$F152)</f>
        <v/>
      </c>
      <c r="H152" s="4">
        <f>IF($A152="","",IFERROR(INDEX('Catálogo'!$Q$2:$Q$813,MATCH($A152,'Catálogo'!$A$2:$A$813,0)),"código no encontrado"))</f>
        <v/>
      </c>
      <c r="I152" s="10">
        <f>IF($G152="","",IF($H152="Sí",ROUND($G152/1.18,2),$G152))</f>
        <v/>
      </c>
      <c r="J152" s="14" t="n"/>
    </row>
    <row r="153">
      <c r="A153" s="14" t="n"/>
      <c r="B153" s="5">
        <f>IF($A153="","",IFERROR(INDEX('Catálogo'!$D$2:$D$813,MATCH($A153,'Catálogo'!$A$2:$A$813,0)),"código no encontrado"))</f>
        <v/>
      </c>
      <c r="C153" s="4">
        <f>IF($A153="","",IFERROR(INDEX('Catálogo'!$H$2:$H$813,MATCH($A153,'Catálogo'!$A$2:$A$813,0)),"código no encontrado"))</f>
        <v/>
      </c>
      <c r="D153" s="4">
        <f>IF($A153="","",IFERROR(INDEX('Catálogo'!$I$2:$I$813,MATCH($A153,'Catálogo'!$A$2:$A$813,0)),"código no encontrado"))</f>
        <v/>
      </c>
      <c r="E153" s="15" t="n"/>
      <c r="F153" s="10">
        <f>IF($A153="","",IFERROR(INDEX('Catálogo'!$N$2:$N$813,MATCH($A153,'Catálogo'!$A$2:$A$813,0)),"código no encontrado"))</f>
        <v/>
      </c>
      <c r="G153" s="10">
        <f>IF(OR($E153="",$F153="",NOT(ISNUMBER($F153))),"",$E153*$F153)</f>
        <v/>
      </c>
      <c r="H153" s="4">
        <f>IF($A153="","",IFERROR(INDEX('Catálogo'!$Q$2:$Q$813,MATCH($A153,'Catálogo'!$A$2:$A$813,0)),"código no encontrado"))</f>
        <v/>
      </c>
      <c r="I153" s="10">
        <f>IF($G153="","",IF($H153="Sí",ROUND($G153/1.18,2),$G153))</f>
        <v/>
      </c>
      <c r="J153" s="14" t="n"/>
    </row>
    <row r="154">
      <c r="A154" s="14" t="n"/>
      <c r="B154" s="5">
        <f>IF($A154="","",IFERROR(INDEX('Catálogo'!$D$2:$D$813,MATCH($A154,'Catálogo'!$A$2:$A$813,0)),"código no encontrado"))</f>
        <v/>
      </c>
      <c r="C154" s="4">
        <f>IF($A154="","",IFERROR(INDEX('Catálogo'!$H$2:$H$813,MATCH($A154,'Catálogo'!$A$2:$A$813,0)),"código no encontrado"))</f>
        <v/>
      </c>
      <c r="D154" s="4">
        <f>IF($A154="","",IFERROR(INDEX('Catálogo'!$I$2:$I$813,MATCH($A154,'Catálogo'!$A$2:$A$813,0)),"código no encontrado"))</f>
        <v/>
      </c>
      <c r="E154" s="15" t="n"/>
      <c r="F154" s="10">
        <f>IF($A154="","",IFERROR(INDEX('Catálogo'!$N$2:$N$813,MATCH($A154,'Catálogo'!$A$2:$A$813,0)),"código no encontrado"))</f>
        <v/>
      </c>
      <c r="G154" s="10">
        <f>IF(OR($E154="",$F154="",NOT(ISNUMBER($F154))),"",$E154*$F154)</f>
        <v/>
      </c>
      <c r="H154" s="4">
        <f>IF($A154="","",IFERROR(INDEX('Catálogo'!$Q$2:$Q$813,MATCH($A154,'Catálogo'!$A$2:$A$813,0)),"código no encontrado"))</f>
        <v/>
      </c>
      <c r="I154" s="10">
        <f>IF($G154="","",IF($H154="Sí",ROUND($G154/1.18,2),$G154))</f>
        <v/>
      </c>
      <c r="J154" s="14" t="n"/>
    </row>
    <row r="155">
      <c r="A155" s="14" t="n"/>
      <c r="B155" s="5">
        <f>IF($A155="","",IFERROR(INDEX('Catálogo'!$D$2:$D$813,MATCH($A155,'Catálogo'!$A$2:$A$813,0)),"código no encontrado"))</f>
        <v/>
      </c>
      <c r="C155" s="4">
        <f>IF($A155="","",IFERROR(INDEX('Catálogo'!$H$2:$H$813,MATCH($A155,'Catálogo'!$A$2:$A$813,0)),"código no encontrado"))</f>
        <v/>
      </c>
      <c r="D155" s="4">
        <f>IF($A155="","",IFERROR(INDEX('Catálogo'!$I$2:$I$813,MATCH($A155,'Catálogo'!$A$2:$A$813,0)),"código no encontrado"))</f>
        <v/>
      </c>
      <c r="E155" s="15" t="n"/>
      <c r="F155" s="10">
        <f>IF($A155="","",IFERROR(INDEX('Catálogo'!$N$2:$N$813,MATCH($A155,'Catálogo'!$A$2:$A$813,0)),"código no encontrado"))</f>
        <v/>
      </c>
      <c r="G155" s="10">
        <f>IF(OR($E155="",$F155="",NOT(ISNUMBER($F155))),"",$E155*$F155)</f>
        <v/>
      </c>
      <c r="H155" s="4">
        <f>IF($A155="","",IFERROR(INDEX('Catálogo'!$Q$2:$Q$813,MATCH($A155,'Catálogo'!$A$2:$A$813,0)),"código no encontrado"))</f>
        <v/>
      </c>
      <c r="I155" s="10">
        <f>IF($G155="","",IF($H155="Sí",ROUND($G155/1.18,2),$G155))</f>
        <v/>
      </c>
      <c r="J155" s="14" t="n"/>
    </row>
    <row r="156">
      <c r="A156" s="14" t="n"/>
      <c r="B156" s="5">
        <f>IF($A156="","",IFERROR(INDEX('Catálogo'!$D$2:$D$813,MATCH($A156,'Catálogo'!$A$2:$A$813,0)),"código no encontrado"))</f>
        <v/>
      </c>
      <c r="C156" s="4">
        <f>IF($A156="","",IFERROR(INDEX('Catálogo'!$H$2:$H$813,MATCH($A156,'Catálogo'!$A$2:$A$813,0)),"código no encontrado"))</f>
        <v/>
      </c>
      <c r="D156" s="4">
        <f>IF($A156="","",IFERROR(INDEX('Catálogo'!$I$2:$I$813,MATCH($A156,'Catálogo'!$A$2:$A$813,0)),"código no encontrado"))</f>
        <v/>
      </c>
      <c r="E156" s="15" t="n"/>
      <c r="F156" s="10">
        <f>IF($A156="","",IFERROR(INDEX('Catálogo'!$N$2:$N$813,MATCH($A156,'Catálogo'!$A$2:$A$813,0)),"código no encontrado"))</f>
        <v/>
      </c>
      <c r="G156" s="10">
        <f>IF(OR($E156="",$F156="",NOT(ISNUMBER($F156))),"",$E156*$F156)</f>
        <v/>
      </c>
      <c r="H156" s="4">
        <f>IF($A156="","",IFERROR(INDEX('Catálogo'!$Q$2:$Q$813,MATCH($A156,'Catálogo'!$A$2:$A$813,0)),"código no encontrado"))</f>
        <v/>
      </c>
      <c r="I156" s="10">
        <f>IF($G156="","",IF($H156="Sí",ROUND($G156/1.18,2),$G156))</f>
        <v/>
      </c>
      <c r="J156" s="14" t="n"/>
    </row>
    <row r="157">
      <c r="A157" s="14" t="n"/>
      <c r="B157" s="5">
        <f>IF($A157="","",IFERROR(INDEX('Catálogo'!$D$2:$D$813,MATCH($A157,'Catálogo'!$A$2:$A$813,0)),"código no encontrado"))</f>
        <v/>
      </c>
      <c r="C157" s="4">
        <f>IF($A157="","",IFERROR(INDEX('Catálogo'!$H$2:$H$813,MATCH($A157,'Catálogo'!$A$2:$A$813,0)),"código no encontrado"))</f>
        <v/>
      </c>
      <c r="D157" s="4">
        <f>IF($A157="","",IFERROR(INDEX('Catálogo'!$I$2:$I$813,MATCH($A157,'Catálogo'!$A$2:$A$813,0)),"código no encontrado"))</f>
        <v/>
      </c>
      <c r="E157" s="15" t="n"/>
      <c r="F157" s="10">
        <f>IF($A157="","",IFERROR(INDEX('Catálogo'!$N$2:$N$813,MATCH($A157,'Catálogo'!$A$2:$A$813,0)),"código no encontrado"))</f>
        <v/>
      </c>
      <c r="G157" s="10">
        <f>IF(OR($E157="",$F157="",NOT(ISNUMBER($F157))),"",$E157*$F157)</f>
        <v/>
      </c>
      <c r="H157" s="4">
        <f>IF($A157="","",IFERROR(INDEX('Catálogo'!$Q$2:$Q$813,MATCH($A157,'Catálogo'!$A$2:$A$813,0)),"código no encontrado"))</f>
        <v/>
      </c>
      <c r="I157" s="10">
        <f>IF($G157="","",IF($H157="Sí",ROUND($G157/1.18,2),$G157))</f>
        <v/>
      </c>
      <c r="J157" s="14" t="n"/>
    </row>
    <row r="158">
      <c r="A158" s="14" t="n"/>
      <c r="B158" s="5">
        <f>IF($A158="","",IFERROR(INDEX('Catálogo'!$D$2:$D$813,MATCH($A158,'Catálogo'!$A$2:$A$813,0)),"código no encontrado"))</f>
        <v/>
      </c>
      <c r="C158" s="4">
        <f>IF($A158="","",IFERROR(INDEX('Catálogo'!$H$2:$H$813,MATCH($A158,'Catálogo'!$A$2:$A$813,0)),"código no encontrado"))</f>
        <v/>
      </c>
      <c r="D158" s="4">
        <f>IF($A158="","",IFERROR(INDEX('Catálogo'!$I$2:$I$813,MATCH($A158,'Catálogo'!$A$2:$A$813,0)),"código no encontrado"))</f>
        <v/>
      </c>
      <c r="E158" s="15" t="n"/>
      <c r="F158" s="10">
        <f>IF($A158="","",IFERROR(INDEX('Catálogo'!$N$2:$N$813,MATCH($A158,'Catálogo'!$A$2:$A$813,0)),"código no encontrado"))</f>
        <v/>
      </c>
      <c r="G158" s="10">
        <f>IF(OR($E158="",$F158="",NOT(ISNUMBER($F158))),"",$E158*$F158)</f>
        <v/>
      </c>
      <c r="H158" s="4">
        <f>IF($A158="","",IFERROR(INDEX('Catálogo'!$Q$2:$Q$813,MATCH($A158,'Catálogo'!$A$2:$A$813,0)),"código no encontrado"))</f>
        <v/>
      </c>
      <c r="I158" s="10">
        <f>IF($G158="","",IF($H158="Sí",ROUND($G158/1.18,2),$G158))</f>
        <v/>
      </c>
      <c r="J158" s="14" t="n"/>
    </row>
    <row r="159">
      <c r="A159" s="14" t="n"/>
      <c r="B159" s="5">
        <f>IF($A159="","",IFERROR(INDEX('Catálogo'!$D$2:$D$813,MATCH($A159,'Catálogo'!$A$2:$A$813,0)),"código no encontrado"))</f>
        <v/>
      </c>
      <c r="C159" s="4">
        <f>IF($A159="","",IFERROR(INDEX('Catálogo'!$H$2:$H$813,MATCH($A159,'Catálogo'!$A$2:$A$813,0)),"código no encontrado"))</f>
        <v/>
      </c>
      <c r="D159" s="4">
        <f>IF($A159="","",IFERROR(INDEX('Catálogo'!$I$2:$I$813,MATCH($A159,'Catálogo'!$A$2:$A$813,0)),"código no encontrado"))</f>
        <v/>
      </c>
      <c r="E159" s="15" t="n"/>
      <c r="F159" s="10">
        <f>IF($A159="","",IFERROR(INDEX('Catálogo'!$N$2:$N$813,MATCH($A159,'Catálogo'!$A$2:$A$813,0)),"código no encontrado"))</f>
        <v/>
      </c>
      <c r="G159" s="10">
        <f>IF(OR($E159="",$F159="",NOT(ISNUMBER($F159))),"",$E159*$F159)</f>
        <v/>
      </c>
      <c r="H159" s="4">
        <f>IF($A159="","",IFERROR(INDEX('Catálogo'!$Q$2:$Q$813,MATCH($A159,'Catálogo'!$A$2:$A$813,0)),"código no encontrado"))</f>
        <v/>
      </c>
      <c r="I159" s="10">
        <f>IF($G159="","",IF($H159="Sí",ROUND($G159/1.18,2),$G159))</f>
        <v/>
      </c>
      <c r="J159" s="14" t="n"/>
    </row>
    <row r="160">
      <c r="A160" s="14" t="n"/>
      <c r="B160" s="5">
        <f>IF($A160="","",IFERROR(INDEX('Catálogo'!$D$2:$D$813,MATCH($A160,'Catálogo'!$A$2:$A$813,0)),"código no encontrado"))</f>
        <v/>
      </c>
      <c r="C160" s="4">
        <f>IF($A160="","",IFERROR(INDEX('Catálogo'!$H$2:$H$813,MATCH($A160,'Catálogo'!$A$2:$A$813,0)),"código no encontrado"))</f>
        <v/>
      </c>
      <c r="D160" s="4">
        <f>IF($A160="","",IFERROR(INDEX('Catálogo'!$I$2:$I$813,MATCH($A160,'Catálogo'!$A$2:$A$813,0)),"código no encontrado"))</f>
        <v/>
      </c>
      <c r="E160" s="15" t="n"/>
      <c r="F160" s="10">
        <f>IF($A160="","",IFERROR(INDEX('Catálogo'!$N$2:$N$813,MATCH($A160,'Catálogo'!$A$2:$A$813,0)),"código no encontrado"))</f>
        <v/>
      </c>
      <c r="G160" s="10">
        <f>IF(OR($E160="",$F160="",NOT(ISNUMBER($F160))),"",$E160*$F160)</f>
        <v/>
      </c>
      <c r="H160" s="4">
        <f>IF($A160="","",IFERROR(INDEX('Catálogo'!$Q$2:$Q$813,MATCH($A160,'Catálogo'!$A$2:$A$813,0)),"código no encontrado"))</f>
        <v/>
      </c>
      <c r="I160" s="10">
        <f>IF($G160="","",IF($H160="Sí",ROUND($G160/1.18,2),$G160))</f>
        <v/>
      </c>
      <c r="J160" s="14" t="n"/>
    </row>
    <row r="161">
      <c r="A161" s="14" t="n"/>
      <c r="B161" s="5">
        <f>IF($A161="","",IFERROR(INDEX('Catálogo'!$D$2:$D$813,MATCH($A161,'Catálogo'!$A$2:$A$813,0)),"código no encontrado"))</f>
        <v/>
      </c>
      <c r="C161" s="4">
        <f>IF($A161="","",IFERROR(INDEX('Catálogo'!$H$2:$H$813,MATCH($A161,'Catálogo'!$A$2:$A$813,0)),"código no encontrado"))</f>
        <v/>
      </c>
      <c r="D161" s="4">
        <f>IF($A161="","",IFERROR(INDEX('Catálogo'!$I$2:$I$813,MATCH($A161,'Catálogo'!$A$2:$A$813,0)),"código no encontrado"))</f>
        <v/>
      </c>
      <c r="E161" s="15" t="n"/>
      <c r="F161" s="10">
        <f>IF($A161="","",IFERROR(INDEX('Catálogo'!$N$2:$N$813,MATCH($A161,'Catálogo'!$A$2:$A$813,0)),"código no encontrado"))</f>
        <v/>
      </c>
      <c r="G161" s="10">
        <f>IF(OR($E161="",$F161="",NOT(ISNUMBER($F161))),"",$E161*$F161)</f>
        <v/>
      </c>
      <c r="H161" s="4">
        <f>IF($A161="","",IFERROR(INDEX('Catálogo'!$Q$2:$Q$813,MATCH($A161,'Catálogo'!$A$2:$A$813,0)),"código no encontrado"))</f>
        <v/>
      </c>
      <c r="I161" s="10">
        <f>IF($G161="","",IF($H161="Sí",ROUND($G161/1.18,2),$G161))</f>
        <v/>
      </c>
      <c r="J161" s="14" t="n"/>
    </row>
    <row r="162">
      <c r="A162" s="14" t="n"/>
      <c r="B162" s="5">
        <f>IF($A162="","",IFERROR(INDEX('Catálogo'!$D$2:$D$813,MATCH($A162,'Catálogo'!$A$2:$A$813,0)),"código no encontrado"))</f>
        <v/>
      </c>
      <c r="C162" s="4">
        <f>IF($A162="","",IFERROR(INDEX('Catálogo'!$H$2:$H$813,MATCH($A162,'Catálogo'!$A$2:$A$813,0)),"código no encontrado"))</f>
        <v/>
      </c>
      <c r="D162" s="4">
        <f>IF($A162="","",IFERROR(INDEX('Catálogo'!$I$2:$I$813,MATCH($A162,'Catálogo'!$A$2:$A$813,0)),"código no encontrado"))</f>
        <v/>
      </c>
      <c r="E162" s="15" t="n"/>
      <c r="F162" s="10">
        <f>IF($A162="","",IFERROR(INDEX('Catálogo'!$N$2:$N$813,MATCH($A162,'Catálogo'!$A$2:$A$813,0)),"código no encontrado"))</f>
        <v/>
      </c>
      <c r="G162" s="10">
        <f>IF(OR($E162="",$F162="",NOT(ISNUMBER($F162))),"",$E162*$F162)</f>
        <v/>
      </c>
      <c r="H162" s="4">
        <f>IF($A162="","",IFERROR(INDEX('Catálogo'!$Q$2:$Q$813,MATCH($A162,'Catálogo'!$A$2:$A$813,0)),"código no encontrado"))</f>
        <v/>
      </c>
      <c r="I162" s="10">
        <f>IF($G162="","",IF($H162="Sí",ROUND($G162/1.18,2),$G162))</f>
        <v/>
      </c>
      <c r="J162" s="14" t="n"/>
    </row>
    <row r="163">
      <c r="A163" s="14" t="n"/>
      <c r="B163" s="5">
        <f>IF($A163="","",IFERROR(INDEX('Catálogo'!$D$2:$D$813,MATCH($A163,'Catálogo'!$A$2:$A$813,0)),"código no encontrado"))</f>
        <v/>
      </c>
      <c r="C163" s="4">
        <f>IF($A163="","",IFERROR(INDEX('Catálogo'!$H$2:$H$813,MATCH($A163,'Catálogo'!$A$2:$A$813,0)),"código no encontrado"))</f>
        <v/>
      </c>
      <c r="D163" s="4">
        <f>IF($A163="","",IFERROR(INDEX('Catálogo'!$I$2:$I$813,MATCH($A163,'Catálogo'!$A$2:$A$813,0)),"código no encontrado"))</f>
        <v/>
      </c>
      <c r="E163" s="15" t="n"/>
      <c r="F163" s="10">
        <f>IF($A163="","",IFERROR(INDEX('Catálogo'!$N$2:$N$813,MATCH($A163,'Catálogo'!$A$2:$A$813,0)),"código no encontrado"))</f>
        <v/>
      </c>
      <c r="G163" s="10">
        <f>IF(OR($E163="",$F163="",NOT(ISNUMBER($F163))),"",$E163*$F163)</f>
        <v/>
      </c>
      <c r="H163" s="4">
        <f>IF($A163="","",IFERROR(INDEX('Catálogo'!$Q$2:$Q$813,MATCH($A163,'Catálogo'!$A$2:$A$813,0)),"código no encontrado"))</f>
        <v/>
      </c>
      <c r="I163" s="10">
        <f>IF($G163="","",IF($H163="Sí",ROUND($G163/1.18,2),$G163))</f>
        <v/>
      </c>
      <c r="J163" s="14" t="n"/>
    </row>
    <row r="164">
      <c r="A164" s="14" t="n"/>
      <c r="B164" s="5">
        <f>IF($A164="","",IFERROR(INDEX('Catálogo'!$D$2:$D$813,MATCH($A164,'Catálogo'!$A$2:$A$813,0)),"código no encontrado"))</f>
        <v/>
      </c>
      <c r="C164" s="4">
        <f>IF($A164="","",IFERROR(INDEX('Catálogo'!$H$2:$H$813,MATCH($A164,'Catálogo'!$A$2:$A$813,0)),"código no encontrado"))</f>
        <v/>
      </c>
      <c r="D164" s="4">
        <f>IF($A164="","",IFERROR(INDEX('Catálogo'!$I$2:$I$813,MATCH($A164,'Catálogo'!$A$2:$A$813,0)),"código no encontrado"))</f>
        <v/>
      </c>
      <c r="E164" s="15" t="n"/>
      <c r="F164" s="10">
        <f>IF($A164="","",IFERROR(INDEX('Catálogo'!$N$2:$N$813,MATCH($A164,'Catálogo'!$A$2:$A$813,0)),"código no encontrado"))</f>
        <v/>
      </c>
      <c r="G164" s="10">
        <f>IF(OR($E164="",$F164="",NOT(ISNUMBER($F164))),"",$E164*$F164)</f>
        <v/>
      </c>
      <c r="H164" s="4">
        <f>IF($A164="","",IFERROR(INDEX('Catálogo'!$Q$2:$Q$813,MATCH($A164,'Catálogo'!$A$2:$A$813,0)),"código no encontrado"))</f>
        <v/>
      </c>
      <c r="I164" s="10">
        <f>IF($G164="","",IF($H164="Sí",ROUND($G164/1.18,2),$G164))</f>
        <v/>
      </c>
      <c r="J164" s="14" t="n"/>
    </row>
    <row r="165">
      <c r="A165" s="14" t="n"/>
      <c r="B165" s="5">
        <f>IF($A165="","",IFERROR(INDEX('Catálogo'!$D$2:$D$813,MATCH($A165,'Catálogo'!$A$2:$A$813,0)),"código no encontrado"))</f>
        <v/>
      </c>
      <c r="C165" s="4">
        <f>IF($A165="","",IFERROR(INDEX('Catálogo'!$H$2:$H$813,MATCH($A165,'Catálogo'!$A$2:$A$813,0)),"código no encontrado"))</f>
        <v/>
      </c>
      <c r="D165" s="4">
        <f>IF($A165="","",IFERROR(INDEX('Catálogo'!$I$2:$I$813,MATCH($A165,'Catálogo'!$A$2:$A$813,0)),"código no encontrado"))</f>
        <v/>
      </c>
      <c r="E165" s="15" t="n"/>
      <c r="F165" s="10">
        <f>IF($A165="","",IFERROR(INDEX('Catálogo'!$N$2:$N$813,MATCH($A165,'Catálogo'!$A$2:$A$813,0)),"código no encontrado"))</f>
        <v/>
      </c>
      <c r="G165" s="10">
        <f>IF(OR($E165="",$F165="",NOT(ISNUMBER($F165))),"",$E165*$F165)</f>
        <v/>
      </c>
      <c r="H165" s="4">
        <f>IF($A165="","",IFERROR(INDEX('Catálogo'!$Q$2:$Q$813,MATCH($A165,'Catálogo'!$A$2:$A$813,0)),"código no encontrado"))</f>
        <v/>
      </c>
      <c r="I165" s="10">
        <f>IF($G165="","",IF($H165="Sí",ROUND($G165/1.18,2),$G165))</f>
        <v/>
      </c>
      <c r="J165" s="14" t="n"/>
    </row>
    <row r="166">
      <c r="A166" s="14" t="n"/>
      <c r="B166" s="5">
        <f>IF($A166="","",IFERROR(INDEX('Catálogo'!$D$2:$D$813,MATCH($A166,'Catálogo'!$A$2:$A$813,0)),"código no encontrado"))</f>
        <v/>
      </c>
      <c r="C166" s="4">
        <f>IF($A166="","",IFERROR(INDEX('Catálogo'!$H$2:$H$813,MATCH($A166,'Catálogo'!$A$2:$A$813,0)),"código no encontrado"))</f>
        <v/>
      </c>
      <c r="D166" s="4">
        <f>IF($A166="","",IFERROR(INDEX('Catálogo'!$I$2:$I$813,MATCH($A166,'Catálogo'!$A$2:$A$813,0)),"código no encontrado"))</f>
        <v/>
      </c>
      <c r="E166" s="15" t="n"/>
      <c r="F166" s="10">
        <f>IF($A166="","",IFERROR(INDEX('Catálogo'!$N$2:$N$813,MATCH($A166,'Catálogo'!$A$2:$A$813,0)),"código no encontrado"))</f>
        <v/>
      </c>
      <c r="G166" s="10">
        <f>IF(OR($E166="",$F166="",NOT(ISNUMBER($F166))),"",$E166*$F166)</f>
        <v/>
      </c>
      <c r="H166" s="4">
        <f>IF($A166="","",IFERROR(INDEX('Catálogo'!$Q$2:$Q$813,MATCH($A166,'Catálogo'!$A$2:$A$813,0)),"código no encontrado"))</f>
        <v/>
      </c>
      <c r="I166" s="10">
        <f>IF($G166="","",IF($H166="Sí",ROUND($G166/1.18,2),$G166))</f>
        <v/>
      </c>
      <c r="J166" s="14" t="n"/>
    </row>
    <row r="167">
      <c r="A167" s="14" t="n"/>
      <c r="B167" s="5">
        <f>IF($A167="","",IFERROR(INDEX('Catálogo'!$D$2:$D$813,MATCH($A167,'Catálogo'!$A$2:$A$813,0)),"código no encontrado"))</f>
        <v/>
      </c>
      <c r="C167" s="4">
        <f>IF($A167="","",IFERROR(INDEX('Catálogo'!$H$2:$H$813,MATCH($A167,'Catálogo'!$A$2:$A$813,0)),"código no encontrado"))</f>
        <v/>
      </c>
      <c r="D167" s="4">
        <f>IF($A167="","",IFERROR(INDEX('Catálogo'!$I$2:$I$813,MATCH($A167,'Catálogo'!$A$2:$A$813,0)),"código no encontrado"))</f>
        <v/>
      </c>
      <c r="E167" s="15" t="n"/>
      <c r="F167" s="10">
        <f>IF($A167="","",IFERROR(INDEX('Catálogo'!$N$2:$N$813,MATCH($A167,'Catálogo'!$A$2:$A$813,0)),"código no encontrado"))</f>
        <v/>
      </c>
      <c r="G167" s="10">
        <f>IF(OR($E167="",$F167="",NOT(ISNUMBER($F167))),"",$E167*$F167)</f>
        <v/>
      </c>
      <c r="H167" s="4">
        <f>IF($A167="","",IFERROR(INDEX('Catálogo'!$Q$2:$Q$813,MATCH($A167,'Catálogo'!$A$2:$A$813,0)),"código no encontrado"))</f>
        <v/>
      </c>
      <c r="I167" s="10">
        <f>IF($G167="","",IF($H167="Sí",ROUND($G167/1.18,2),$G167))</f>
        <v/>
      </c>
      <c r="J167" s="14" t="n"/>
    </row>
    <row r="168">
      <c r="A168" s="14" t="n"/>
      <c r="B168" s="5">
        <f>IF($A168="","",IFERROR(INDEX('Catálogo'!$D$2:$D$813,MATCH($A168,'Catálogo'!$A$2:$A$813,0)),"código no encontrado"))</f>
        <v/>
      </c>
      <c r="C168" s="4">
        <f>IF($A168="","",IFERROR(INDEX('Catálogo'!$H$2:$H$813,MATCH($A168,'Catálogo'!$A$2:$A$813,0)),"código no encontrado"))</f>
        <v/>
      </c>
      <c r="D168" s="4">
        <f>IF($A168="","",IFERROR(INDEX('Catálogo'!$I$2:$I$813,MATCH($A168,'Catálogo'!$A$2:$A$813,0)),"código no encontrado"))</f>
        <v/>
      </c>
      <c r="E168" s="15" t="n"/>
      <c r="F168" s="10">
        <f>IF($A168="","",IFERROR(INDEX('Catálogo'!$N$2:$N$813,MATCH($A168,'Catálogo'!$A$2:$A$813,0)),"código no encontrado"))</f>
        <v/>
      </c>
      <c r="G168" s="10">
        <f>IF(OR($E168="",$F168="",NOT(ISNUMBER($F168))),"",$E168*$F168)</f>
        <v/>
      </c>
      <c r="H168" s="4">
        <f>IF($A168="","",IFERROR(INDEX('Catálogo'!$Q$2:$Q$813,MATCH($A168,'Catálogo'!$A$2:$A$813,0)),"código no encontrado"))</f>
        <v/>
      </c>
      <c r="I168" s="10">
        <f>IF($G168="","",IF($H168="Sí",ROUND($G168/1.18,2),$G168))</f>
        <v/>
      </c>
      <c r="J168" s="14" t="n"/>
    </row>
    <row r="169">
      <c r="A169" s="14" t="n"/>
      <c r="B169" s="5">
        <f>IF($A169="","",IFERROR(INDEX('Catálogo'!$D$2:$D$813,MATCH($A169,'Catálogo'!$A$2:$A$813,0)),"código no encontrado"))</f>
        <v/>
      </c>
      <c r="C169" s="4">
        <f>IF($A169="","",IFERROR(INDEX('Catálogo'!$H$2:$H$813,MATCH($A169,'Catálogo'!$A$2:$A$813,0)),"código no encontrado"))</f>
        <v/>
      </c>
      <c r="D169" s="4">
        <f>IF($A169="","",IFERROR(INDEX('Catálogo'!$I$2:$I$813,MATCH($A169,'Catálogo'!$A$2:$A$813,0)),"código no encontrado"))</f>
        <v/>
      </c>
      <c r="E169" s="15" t="n"/>
      <c r="F169" s="10">
        <f>IF($A169="","",IFERROR(INDEX('Catálogo'!$N$2:$N$813,MATCH($A169,'Catálogo'!$A$2:$A$813,0)),"código no encontrado"))</f>
        <v/>
      </c>
      <c r="G169" s="10">
        <f>IF(OR($E169="",$F169="",NOT(ISNUMBER($F169))),"",$E169*$F169)</f>
        <v/>
      </c>
      <c r="H169" s="4">
        <f>IF($A169="","",IFERROR(INDEX('Catálogo'!$Q$2:$Q$813,MATCH($A169,'Catálogo'!$A$2:$A$813,0)),"código no encontrado"))</f>
        <v/>
      </c>
      <c r="I169" s="10">
        <f>IF($G169="","",IF($H169="Sí",ROUND($G169/1.18,2),$G169))</f>
        <v/>
      </c>
      <c r="J169" s="14" t="n"/>
    </row>
    <row r="170">
      <c r="A170" s="14" t="n"/>
      <c r="B170" s="5">
        <f>IF($A170="","",IFERROR(INDEX('Catálogo'!$D$2:$D$813,MATCH($A170,'Catálogo'!$A$2:$A$813,0)),"código no encontrado"))</f>
        <v/>
      </c>
      <c r="C170" s="4">
        <f>IF($A170="","",IFERROR(INDEX('Catálogo'!$H$2:$H$813,MATCH($A170,'Catálogo'!$A$2:$A$813,0)),"código no encontrado"))</f>
        <v/>
      </c>
      <c r="D170" s="4">
        <f>IF($A170="","",IFERROR(INDEX('Catálogo'!$I$2:$I$813,MATCH($A170,'Catálogo'!$A$2:$A$813,0)),"código no encontrado"))</f>
        <v/>
      </c>
      <c r="E170" s="15" t="n"/>
      <c r="F170" s="10">
        <f>IF($A170="","",IFERROR(INDEX('Catálogo'!$N$2:$N$813,MATCH($A170,'Catálogo'!$A$2:$A$813,0)),"código no encontrado"))</f>
        <v/>
      </c>
      <c r="G170" s="10">
        <f>IF(OR($E170="",$F170="",NOT(ISNUMBER($F170))),"",$E170*$F170)</f>
        <v/>
      </c>
      <c r="H170" s="4">
        <f>IF($A170="","",IFERROR(INDEX('Catálogo'!$Q$2:$Q$813,MATCH($A170,'Catálogo'!$A$2:$A$813,0)),"código no encontrado"))</f>
        <v/>
      </c>
      <c r="I170" s="10">
        <f>IF($G170="","",IF($H170="Sí",ROUND($G170/1.18,2),$G170))</f>
        <v/>
      </c>
      <c r="J170" s="14" t="n"/>
    </row>
    <row r="171">
      <c r="A171" s="14" t="n"/>
      <c r="B171" s="5">
        <f>IF($A171="","",IFERROR(INDEX('Catálogo'!$D$2:$D$813,MATCH($A171,'Catálogo'!$A$2:$A$813,0)),"código no encontrado"))</f>
        <v/>
      </c>
      <c r="C171" s="4">
        <f>IF($A171="","",IFERROR(INDEX('Catálogo'!$H$2:$H$813,MATCH($A171,'Catálogo'!$A$2:$A$813,0)),"código no encontrado"))</f>
        <v/>
      </c>
      <c r="D171" s="4">
        <f>IF($A171="","",IFERROR(INDEX('Catálogo'!$I$2:$I$813,MATCH($A171,'Catálogo'!$A$2:$A$813,0)),"código no encontrado"))</f>
        <v/>
      </c>
      <c r="E171" s="15" t="n"/>
      <c r="F171" s="10">
        <f>IF($A171="","",IFERROR(INDEX('Catálogo'!$N$2:$N$813,MATCH($A171,'Catálogo'!$A$2:$A$813,0)),"código no encontrado"))</f>
        <v/>
      </c>
      <c r="G171" s="10">
        <f>IF(OR($E171="",$F171="",NOT(ISNUMBER($F171))),"",$E171*$F171)</f>
        <v/>
      </c>
      <c r="H171" s="4">
        <f>IF($A171="","",IFERROR(INDEX('Catálogo'!$Q$2:$Q$813,MATCH($A171,'Catálogo'!$A$2:$A$813,0)),"código no encontrado"))</f>
        <v/>
      </c>
      <c r="I171" s="10">
        <f>IF($G171="","",IF($H171="Sí",ROUND($G171/1.18,2),$G171))</f>
        <v/>
      </c>
      <c r="J171" s="14" t="n"/>
    </row>
    <row r="172">
      <c r="A172" s="14" t="n"/>
      <c r="B172" s="5">
        <f>IF($A172="","",IFERROR(INDEX('Catálogo'!$D$2:$D$813,MATCH($A172,'Catálogo'!$A$2:$A$813,0)),"código no encontrado"))</f>
        <v/>
      </c>
      <c r="C172" s="4">
        <f>IF($A172="","",IFERROR(INDEX('Catálogo'!$H$2:$H$813,MATCH($A172,'Catálogo'!$A$2:$A$813,0)),"código no encontrado"))</f>
        <v/>
      </c>
      <c r="D172" s="4">
        <f>IF($A172="","",IFERROR(INDEX('Catálogo'!$I$2:$I$813,MATCH($A172,'Catálogo'!$A$2:$A$813,0)),"código no encontrado"))</f>
        <v/>
      </c>
      <c r="E172" s="15" t="n"/>
      <c r="F172" s="10">
        <f>IF($A172="","",IFERROR(INDEX('Catálogo'!$N$2:$N$813,MATCH($A172,'Catálogo'!$A$2:$A$813,0)),"código no encontrado"))</f>
        <v/>
      </c>
      <c r="G172" s="10">
        <f>IF(OR($E172="",$F172="",NOT(ISNUMBER($F172))),"",$E172*$F172)</f>
        <v/>
      </c>
      <c r="H172" s="4">
        <f>IF($A172="","",IFERROR(INDEX('Catálogo'!$Q$2:$Q$813,MATCH($A172,'Catálogo'!$A$2:$A$813,0)),"código no encontrado"))</f>
        <v/>
      </c>
      <c r="I172" s="10">
        <f>IF($G172="","",IF($H172="Sí",ROUND($G172/1.18,2),$G172))</f>
        <v/>
      </c>
      <c r="J172" s="14" t="n"/>
    </row>
    <row r="173">
      <c r="A173" s="14" t="n"/>
      <c r="B173" s="5">
        <f>IF($A173="","",IFERROR(INDEX('Catálogo'!$D$2:$D$813,MATCH($A173,'Catálogo'!$A$2:$A$813,0)),"código no encontrado"))</f>
        <v/>
      </c>
      <c r="C173" s="4">
        <f>IF($A173="","",IFERROR(INDEX('Catálogo'!$H$2:$H$813,MATCH($A173,'Catálogo'!$A$2:$A$813,0)),"código no encontrado"))</f>
        <v/>
      </c>
      <c r="D173" s="4">
        <f>IF($A173="","",IFERROR(INDEX('Catálogo'!$I$2:$I$813,MATCH($A173,'Catálogo'!$A$2:$A$813,0)),"código no encontrado"))</f>
        <v/>
      </c>
      <c r="E173" s="15" t="n"/>
      <c r="F173" s="10">
        <f>IF($A173="","",IFERROR(INDEX('Catálogo'!$N$2:$N$813,MATCH($A173,'Catálogo'!$A$2:$A$813,0)),"código no encontrado"))</f>
        <v/>
      </c>
      <c r="G173" s="10">
        <f>IF(OR($E173="",$F173="",NOT(ISNUMBER($F173))),"",$E173*$F173)</f>
        <v/>
      </c>
      <c r="H173" s="4">
        <f>IF($A173="","",IFERROR(INDEX('Catálogo'!$Q$2:$Q$813,MATCH($A173,'Catálogo'!$A$2:$A$813,0)),"código no encontrado"))</f>
        <v/>
      </c>
      <c r="I173" s="10">
        <f>IF($G173="","",IF($H173="Sí",ROUND($G173/1.18,2),$G173))</f>
        <v/>
      </c>
      <c r="J173" s="14" t="n"/>
    </row>
    <row r="174">
      <c r="A174" s="14" t="n"/>
      <c r="B174" s="5">
        <f>IF($A174="","",IFERROR(INDEX('Catálogo'!$D$2:$D$813,MATCH($A174,'Catálogo'!$A$2:$A$813,0)),"código no encontrado"))</f>
        <v/>
      </c>
      <c r="C174" s="4">
        <f>IF($A174="","",IFERROR(INDEX('Catálogo'!$H$2:$H$813,MATCH($A174,'Catálogo'!$A$2:$A$813,0)),"código no encontrado"))</f>
        <v/>
      </c>
      <c r="D174" s="4">
        <f>IF($A174="","",IFERROR(INDEX('Catálogo'!$I$2:$I$813,MATCH($A174,'Catálogo'!$A$2:$A$813,0)),"código no encontrado"))</f>
        <v/>
      </c>
      <c r="E174" s="15" t="n"/>
      <c r="F174" s="10">
        <f>IF($A174="","",IFERROR(INDEX('Catálogo'!$N$2:$N$813,MATCH($A174,'Catálogo'!$A$2:$A$813,0)),"código no encontrado"))</f>
        <v/>
      </c>
      <c r="G174" s="10">
        <f>IF(OR($E174="",$F174="",NOT(ISNUMBER($F174))),"",$E174*$F174)</f>
        <v/>
      </c>
      <c r="H174" s="4">
        <f>IF($A174="","",IFERROR(INDEX('Catálogo'!$Q$2:$Q$813,MATCH($A174,'Catálogo'!$A$2:$A$813,0)),"código no encontrado"))</f>
        <v/>
      </c>
      <c r="I174" s="10">
        <f>IF($G174="","",IF($H174="Sí",ROUND($G174/1.18,2),$G174))</f>
        <v/>
      </c>
      <c r="J174" s="14" t="n"/>
    </row>
    <row r="175">
      <c r="A175" s="14" t="n"/>
      <c r="B175" s="5">
        <f>IF($A175="","",IFERROR(INDEX('Catálogo'!$D$2:$D$813,MATCH($A175,'Catálogo'!$A$2:$A$813,0)),"código no encontrado"))</f>
        <v/>
      </c>
      <c r="C175" s="4">
        <f>IF($A175="","",IFERROR(INDEX('Catálogo'!$H$2:$H$813,MATCH($A175,'Catálogo'!$A$2:$A$813,0)),"código no encontrado"))</f>
        <v/>
      </c>
      <c r="D175" s="4">
        <f>IF($A175="","",IFERROR(INDEX('Catálogo'!$I$2:$I$813,MATCH($A175,'Catálogo'!$A$2:$A$813,0)),"código no encontrado"))</f>
        <v/>
      </c>
      <c r="E175" s="15" t="n"/>
      <c r="F175" s="10">
        <f>IF($A175="","",IFERROR(INDEX('Catálogo'!$N$2:$N$813,MATCH($A175,'Catálogo'!$A$2:$A$813,0)),"código no encontrado"))</f>
        <v/>
      </c>
      <c r="G175" s="10">
        <f>IF(OR($E175="",$F175="",NOT(ISNUMBER($F175))),"",$E175*$F175)</f>
        <v/>
      </c>
      <c r="H175" s="4">
        <f>IF($A175="","",IFERROR(INDEX('Catálogo'!$Q$2:$Q$813,MATCH($A175,'Catálogo'!$A$2:$A$813,0)),"código no encontrado"))</f>
        <v/>
      </c>
      <c r="I175" s="10">
        <f>IF($G175="","",IF($H175="Sí",ROUND($G175/1.18,2),$G175))</f>
        <v/>
      </c>
      <c r="J175" s="14" t="n"/>
    </row>
    <row r="176">
      <c r="A176" s="14" t="n"/>
      <c r="B176" s="5">
        <f>IF($A176="","",IFERROR(INDEX('Catálogo'!$D$2:$D$813,MATCH($A176,'Catálogo'!$A$2:$A$813,0)),"código no encontrado"))</f>
        <v/>
      </c>
      <c r="C176" s="4">
        <f>IF($A176="","",IFERROR(INDEX('Catálogo'!$H$2:$H$813,MATCH($A176,'Catálogo'!$A$2:$A$813,0)),"código no encontrado"))</f>
        <v/>
      </c>
      <c r="D176" s="4">
        <f>IF($A176="","",IFERROR(INDEX('Catálogo'!$I$2:$I$813,MATCH($A176,'Catálogo'!$A$2:$A$813,0)),"código no encontrado"))</f>
        <v/>
      </c>
      <c r="E176" s="15" t="n"/>
      <c r="F176" s="10">
        <f>IF($A176="","",IFERROR(INDEX('Catálogo'!$N$2:$N$813,MATCH($A176,'Catálogo'!$A$2:$A$813,0)),"código no encontrado"))</f>
        <v/>
      </c>
      <c r="G176" s="10">
        <f>IF(OR($E176="",$F176="",NOT(ISNUMBER($F176))),"",$E176*$F176)</f>
        <v/>
      </c>
      <c r="H176" s="4">
        <f>IF($A176="","",IFERROR(INDEX('Catálogo'!$Q$2:$Q$813,MATCH($A176,'Catálogo'!$A$2:$A$813,0)),"código no encontrado"))</f>
        <v/>
      </c>
      <c r="I176" s="10">
        <f>IF($G176="","",IF($H176="Sí",ROUND($G176/1.18,2),$G176))</f>
        <v/>
      </c>
      <c r="J176" s="14" t="n"/>
    </row>
    <row r="177">
      <c r="A177" s="14" t="n"/>
      <c r="B177" s="5">
        <f>IF($A177="","",IFERROR(INDEX('Catálogo'!$D$2:$D$813,MATCH($A177,'Catálogo'!$A$2:$A$813,0)),"código no encontrado"))</f>
        <v/>
      </c>
      <c r="C177" s="4">
        <f>IF($A177="","",IFERROR(INDEX('Catálogo'!$H$2:$H$813,MATCH($A177,'Catálogo'!$A$2:$A$813,0)),"código no encontrado"))</f>
        <v/>
      </c>
      <c r="D177" s="4">
        <f>IF($A177="","",IFERROR(INDEX('Catálogo'!$I$2:$I$813,MATCH($A177,'Catálogo'!$A$2:$A$813,0)),"código no encontrado"))</f>
        <v/>
      </c>
      <c r="E177" s="15" t="n"/>
      <c r="F177" s="10">
        <f>IF($A177="","",IFERROR(INDEX('Catálogo'!$N$2:$N$813,MATCH($A177,'Catálogo'!$A$2:$A$813,0)),"código no encontrado"))</f>
        <v/>
      </c>
      <c r="G177" s="10">
        <f>IF(OR($E177="",$F177="",NOT(ISNUMBER($F177))),"",$E177*$F177)</f>
        <v/>
      </c>
      <c r="H177" s="4">
        <f>IF($A177="","",IFERROR(INDEX('Catálogo'!$Q$2:$Q$813,MATCH($A177,'Catálogo'!$A$2:$A$813,0)),"código no encontrado"))</f>
        <v/>
      </c>
      <c r="I177" s="10">
        <f>IF($G177="","",IF($H177="Sí",ROUND($G177/1.18,2),$G177))</f>
        <v/>
      </c>
      <c r="J177" s="14" t="n"/>
    </row>
    <row r="178">
      <c r="A178" s="14" t="n"/>
      <c r="B178" s="5">
        <f>IF($A178="","",IFERROR(INDEX('Catálogo'!$D$2:$D$813,MATCH($A178,'Catálogo'!$A$2:$A$813,0)),"código no encontrado"))</f>
        <v/>
      </c>
      <c r="C178" s="4">
        <f>IF($A178="","",IFERROR(INDEX('Catálogo'!$H$2:$H$813,MATCH($A178,'Catálogo'!$A$2:$A$813,0)),"código no encontrado"))</f>
        <v/>
      </c>
      <c r="D178" s="4">
        <f>IF($A178="","",IFERROR(INDEX('Catálogo'!$I$2:$I$813,MATCH($A178,'Catálogo'!$A$2:$A$813,0)),"código no encontrado"))</f>
        <v/>
      </c>
      <c r="E178" s="15" t="n"/>
      <c r="F178" s="10">
        <f>IF($A178="","",IFERROR(INDEX('Catálogo'!$N$2:$N$813,MATCH($A178,'Catálogo'!$A$2:$A$813,0)),"código no encontrado"))</f>
        <v/>
      </c>
      <c r="G178" s="10">
        <f>IF(OR($E178="",$F178="",NOT(ISNUMBER($F178))),"",$E178*$F178)</f>
        <v/>
      </c>
      <c r="H178" s="4">
        <f>IF($A178="","",IFERROR(INDEX('Catálogo'!$Q$2:$Q$813,MATCH($A178,'Catálogo'!$A$2:$A$813,0)),"código no encontrado"))</f>
        <v/>
      </c>
      <c r="I178" s="10">
        <f>IF($G178="","",IF($H178="Sí",ROUND($G178/1.18,2),$G178))</f>
        <v/>
      </c>
      <c r="J178" s="14" t="n"/>
    </row>
    <row r="179">
      <c r="A179" s="14" t="n"/>
      <c r="B179" s="5">
        <f>IF($A179="","",IFERROR(INDEX('Catálogo'!$D$2:$D$813,MATCH($A179,'Catálogo'!$A$2:$A$813,0)),"código no encontrado"))</f>
        <v/>
      </c>
      <c r="C179" s="4">
        <f>IF($A179="","",IFERROR(INDEX('Catálogo'!$H$2:$H$813,MATCH($A179,'Catálogo'!$A$2:$A$813,0)),"código no encontrado"))</f>
        <v/>
      </c>
      <c r="D179" s="4">
        <f>IF($A179="","",IFERROR(INDEX('Catálogo'!$I$2:$I$813,MATCH($A179,'Catálogo'!$A$2:$A$813,0)),"código no encontrado"))</f>
        <v/>
      </c>
      <c r="E179" s="15" t="n"/>
      <c r="F179" s="10">
        <f>IF($A179="","",IFERROR(INDEX('Catálogo'!$N$2:$N$813,MATCH($A179,'Catálogo'!$A$2:$A$813,0)),"código no encontrado"))</f>
        <v/>
      </c>
      <c r="G179" s="10">
        <f>IF(OR($E179="",$F179="",NOT(ISNUMBER($F179))),"",$E179*$F179)</f>
        <v/>
      </c>
      <c r="H179" s="4">
        <f>IF($A179="","",IFERROR(INDEX('Catálogo'!$Q$2:$Q$813,MATCH($A179,'Catálogo'!$A$2:$A$813,0)),"código no encontrado"))</f>
        <v/>
      </c>
      <c r="I179" s="10">
        <f>IF($G179="","",IF($H179="Sí",ROUND($G179/1.18,2),$G179))</f>
        <v/>
      </c>
      <c r="J179" s="14" t="n"/>
    </row>
    <row r="180">
      <c r="A180" s="14" t="n"/>
      <c r="B180" s="5">
        <f>IF($A180="","",IFERROR(INDEX('Catálogo'!$D$2:$D$813,MATCH($A180,'Catálogo'!$A$2:$A$813,0)),"código no encontrado"))</f>
        <v/>
      </c>
      <c r="C180" s="4">
        <f>IF($A180="","",IFERROR(INDEX('Catálogo'!$H$2:$H$813,MATCH($A180,'Catálogo'!$A$2:$A$813,0)),"código no encontrado"))</f>
        <v/>
      </c>
      <c r="D180" s="4">
        <f>IF($A180="","",IFERROR(INDEX('Catálogo'!$I$2:$I$813,MATCH($A180,'Catálogo'!$A$2:$A$813,0)),"código no encontrado"))</f>
        <v/>
      </c>
      <c r="E180" s="15" t="n"/>
      <c r="F180" s="10">
        <f>IF($A180="","",IFERROR(INDEX('Catálogo'!$N$2:$N$813,MATCH($A180,'Catálogo'!$A$2:$A$813,0)),"código no encontrado"))</f>
        <v/>
      </c>
      <c r="G180" s="10">
        <f>IF(OR($E180="",$F180="",NOT(ISNUMBER($F180))),"",$E180*$F180)</f>
        <v/>
      </c>
      <c r="H180" s="4">
        <f>IF($A180="","",IFERROR(INDEX('Catálogo'!$Q$2:$Q$813,MATCH($A180,'Catálogo'!$A$2:$A$813,0)),"código no encontrado"))</f>
        <v/>
      </c>
      <c r="I180" s="10">
        <f>IF($G180="","",IF($H180="Sí",ROUND($G180/1.18,2),$G180))</f>
        <v/>
      </c>
      <c r="J180" s="14" t="n"/>
    </row>
    <row r="181">
      <c r="A181" s="14" t="n"/>
      <c r="B181" s="5">
        <f>IF($A181="","",IFERROR(INDEX('Catálogo'!$D$2:$D$813,MATCH($A181,'Catálogo'!$A$2:$A$813,0)),"código no encontrado"))</f>
        <v/>
      </c>
      <c r="C181" s="4">
        <f>IF($A181="","",IFERROR(INDEX('Catálogo'!$H$2:$H$813,MATCH($A181,'Catálogo'!$A$2:$A$813,0)),"código no encontrado"))</f>
        <v/>
      </c>
      <c r="D181" s="4">
        <f>IF($A181="","",IFERROR(INDEX('Catálogo'!$I$2:$I$813,MATCH($A181,'Catálogo'!$A$2:$A$813,0)),"código no encontrado"))</f>
        <v/>
      </c>
      <c r="E181" s="15" t="n"/>
      <c r="F181" s="10">
        <f>IF($A181="","",IFERROR(INDEX('Catálogo'!$N$2:$N$813,MATCH($A181,'Catálogo'!$A$2:$A$813,0)),"código no encontrado"))</f>
        <v/>
      </c>
      <c r="G181" s="10">
        <f>IF(OR($E181="",$F181="",NOT(ISNUMBER($F181))),"",$E181*$F181)</f>
        <v/>
      </c>
      <c r="H181" s="4">
        <f>IF($A181="","",IFERROR(INDEX('Catálogo'!$Q$2:$Q$813,MATCH($A181,'Catálogo'!$A$2:$A$813,0)),"código no encontrado"))</f>
        <v/>
      </c>
      <c r="I181" s="10">
        <f>IF($G181="","",IF($H181="Sí",ROUND($G181/1.18,2),$G181))</f>
        <v/>
      </c>
      <c r="J181" s="14" t="n"/>
    </row>
    <row r="182">
      <c r="A182" s="14" t="n"/>
      <c r="B182" s="5">
        <f>IF($A182="","",IFERROR(INDEX('Catálogo'!$D$2:$D$813,MATCH($A182,'Catálogo'!$A$2:$A$813,0)),"código no encontrado"))</f>
        <v/>
      </c>
      <c r="C182" s="4">
        <f>IF($A182="","",IFERROR(INDEX('Catálogo'!$H$2:$H$813,MATCH($A182,'Catálogo'!$A$2:$A$813,0)),"código no encontrado"))</f>
        <v/>
      </c>
      <c r="D182" s="4">
        <f>IF($A182="","",IFERROR(INDEX('Catálogo'!$I$2:$I$813,MATCH($A182,'Catálogo'!$A$2:$A$813,0)),"código no encontrado"))</f>
        <v/>
      </c>
      <c r="E182" s="15" t="n"/>
      <c r="F182" s="10">
        <f>IF($A182="","",IFERROR(INDEX('Catálogo'!$N$2:$N$813,MATCH($A182,'Catálogo'!$A$2:$A$813,0)),"código no encontrado"))</f>
        <v/>
      </c>
      <c r="G182" s="10">
        <f>IF(OR($E182="",$F182="",NOT(ISNUMBER($F182))),"",$E182*$F182)</f>
        <v/>
      </c>
      <c r="H182" s="4">
        <f>IF($A182="","",IFERROR(INDEX('Catálogo'!$Q$2:$Q$813,MATCH($A182,'Catálogo'!$A$2:$A$813,0)),"código no encontrado"))</f>
        <v/>
      </c>
      <c r="I182" s="10">
        <f>IF($G182="","",IF($H182="Sí",ROUND($G182/1.18,2),$G182))</f>
        <v/>
      </c>
      <c r="J182" s="14" t="n"/>
    </row>
    <row r="183">
      <c r="A183" s="14" t="n"/>
      <c r="B183" s="5">
        <f>IF($A183="","",IFERROR(INDEX('Catálogo'!$D$2:$D$813,MATCH($A183,'Catálogo'!$A$2:$A$813,0)),"código no encontrado"))</f>
        <v/>
      </c>
      <c r="C183" s="4">
        <f>IF($A183="","",IFERROR(INDEX('Catálogo'!$H$2:$H$813,MATCH($A183,'Catálogo'!$A$2:$A$813,0)),"código no encontrado"))</f>
        <v/>
      </c>
      <c r="D183" s="4">
        <f>IF($A183="","",IFERROR(INDEX('Catálogo'!$I$2:$I$813,MATCH($A183,'Catálogo'!$A$2:$A$813,0)),"código no encontrado"))</f>
        <v/>
      </c>
      <c r="E183" s="15" t="n"/>
      <c r="F183" s="10">
        <f>IF($A183="","",IFERROR(INDEX('Catálogo'!$N$2:$N$813,MATCH($A183,'Catálogo'!$A$2:$A$813,0)),"código no encontrado"))</f>
        <v/>
      </c>
      <c r="G183" s="10">
        <f>IF(OR($E183="",$F183="",NOT(ISNUMBER($F183))),"",$E183*$F183)</f>
        <v/>
      </c>
      <c r="H183" s="4">
        <f>IF($A183="","",IFERROR(INDEX('Catálogo'!$Q$2:$Q$813,MATCH($A183,'Catálogo'!$A$2:$A$813,0)),"código no encontrado"))</f>
        <v/>
      </c>
      <c r="I183" s="10">
        <f>IF($G183="","",IF($H183="Sí",ROUND($G183/1.18,2),$G183))</f>
        <v/>
      </c>
      <c r="J183" s="14" t="n"/>
    </row>
    <row r="184">
      <c r="A184" s="14" t="n"/>
      <c r="B184" s="5">
        <f>IF($A184="","",IFERROR(INDEX('Catálogo'!$D$2:$D$813,MATCH($A184,'Catálogo'!$A$2:$A$813,0)),"código no encontrado"))</f>
        <v/>
      </c>
      <c r="C184" s="4">
        <f>IF($A184="","",IFERROR(INDEX('Catálogo'!$H$2:$H$813,MATCH($A184,'Catálogo'!$A$2:$A$813,0)),"código no encontrado"))</f>
        <v/>
      </c>
      <c r="D184" s="4">
        <f>IF($A184="","",IFERROR(INDEX('Catálogo'!$I$2:$I$813,MATCH($A184,'Catálogo'!$A$2:$A$813,0)),"código no encontrado"))</f>
        <v/>
      </c>
      <c r="E184" s="15" t="n"/>
      <c r="F184" s="10">
        <f>IF($A184="","",IFERROR(INDEX('Catálogo'!$N$2:$N$813,MATCH($A184,'Catálogo'!$A$2:$A$813,0)),"código no encontrado"))</f>
        <v/>
      </c>
      <c r="G184" s="10">
        <f>IF(OR($E184="",$F184="",NOT(ISNUMBER($F184))),"",$E184*$F184)</f>
        <v/>
      </c>
      <c r="H184" s="4">
        <f>IF($A184="","",IFERROR(INDEX('Catálogo'!$Q$2:$Q$813,MATCH($A184,'Catálogo'!$A$2:$A$813,0)),"código no encontrado"))</f>
        <v/>
      </c>
      <c r="I184" s="10">
        <f>IF($G184="","",IF($H184="Sí",ROUND($G184/1.18,2),$G184))</f>
        <v/>
      </c>
      <c r="J184" s="14" t="n"/>
    </row>
    <row r="185">
      <c r="A185" s="14" t="n"/>
      <c r="B185" s="5">
        <f>IF($A185="","",IFERROR(INDEX('Catálogo'!$D$2:$D$813,MATCH($A185,'Catálogo'!$A$2:$A$813,0)),"código no encontrado"))</f>
        <v/>
      </c>
      <c r="C185" s="4">
        <f>IF($A185="","",IFERROR(INDEX('Catálogo'!$H$2:$H$813,MATCH($A185,'Catálogo'!$A$2:$A$813,0)),"código no encontrado"))</f>
        <v/>
      </c>
      <c r="D185" s="4">
        <f>IF($A185="","",IFERROR(INDEX('Catálogo'!$I$2:$I$813,MATCH($A185,'Catálogo'!$A$2:$A$813,0)),"código no encontrado"))</f>
        <v/>
      </c>
      <c r="E185" s="15" t="n"/>
      <c r="F185" s="10">
        <f>IF($A185="","",IFERROR(INDEX('Catálogo'!$N$2:$N$813,MATCH($A185,'Catálogo'!$A$2:$A$813,0)),"código no encontrado"))</f>
        <v/>
      </c>
      <c r="G185" s="10">
        <f>IF(OR($E185="",$F185="",NOT(ISNUMBER($F185))),"",$E185*$F185)</f>
        <v/>
      </c>
      <c r="H185" s="4">
        <f>IF($A185="","",IFERROR(INDEX('Catálogo'!$Q$2:$Q$813,MATCH($A185,'Catálogo'!$A$2:$A$813,0)),"código no encontrado"))</f>
        <v/>
      </c>
      <c r="I185" s="10">
        <f>IF($G185="","",IF($H185="Sí",ROUND($G185/1.18,2),$G185))</f>
        <v/>
      </c>
      <c r="J185" s="14" t="n"/>
    </row>
    <row r="186">
      <c r="A186" s="14" t="n"/>
      <c r="B186" s="5">
        <f>IF($A186="","",IFERROR(INDEX('Catálogo'!$D$2:$D$813,MATCH($A186,'Catálogo'!$A$2:$A$813,0)),"código no encontrado"))</f>
        <v/>
      </c>
      <c r="C186" s="4">
        <f>IF($A186="","",IFERROR(INDEX('Catálogo'!$H$2:$H$813,MATCH($A186,'Catálogo'!$A$2:$A$813,0)),"código no encontrado"))</f>
        <v/>
      </c>
      <c r="D186" s="4">
        <f>IF($A186="","",IFERROR(INDEX('Catálogo'!$I$2:$I$813,MATCH($A186,'Catálogo'!$A$2:$A$813,0)),"código no encontrado"))</f>
        <v/>
      </c>
      <c r="E186" s="15" t="n"/>
      <c r="F186" s="10">
        <f>IF($A186="","",IFERROR(INDEX('Catálogo'!$N$2:$N$813,MATCH($A186,'Catálogo'!$A$2:$A$813,0)),"código no encontrado"))</f>
        <v/>
      </c>
      <c r="G186" s="10">
        <f>IF(OR($E186="",$F186="",NOT(ISNUMBER($F186))),"",$E186*$F186)</f>
        <v/>
      </c>
      <c r="H186" s="4">
        <f>IF($A186="","",IFERROR(INDEX('Catálogo'!$Q$2:$Q$813,MATCH($A186,'Catálogo'!$A$2:$A$813,0)),"código no encontrado"))</f>
        <v/>
      </c>
      <c r="I186" s="10">
        <f>IF($G186="","",IF($H186="Sí",ROUND($G186/1.18,2),$G186))</f>
        <v/>
      </c>
      <c r="J186" s="14" t="n"/>
    </row>
    <row r="187">
      <c r="A187" s="14" t="n"/>
      <c r="B187" s="5">
        <f>IF($A187="","",IFERROR(INDEX('Catálogo'!$D$2:$D$813,MATCH($A187,'Catálogo'!$A$2:$A$813,0)),"código no encontrado"))</f>
        <v/>
      </c>
      <c r="C187" s="4">
        <f>IF($A187="","",IFERROR(INDEX('Catálogo'!$H$2:$H$813,MATCH($A187,'Catálogo'!$A$2:$A$813,0)),"código no encontrado"))</f>
        <v/>
      </c>
      <c r="D187" s="4">
        <f>IF($A187="","",IFERROR(INDEX('Catálogo'!$I$2:$I$813,MATCH($A187,'Catálogo'!$A$2:$A$813,0)),"código no encontrado"))</f>
        <v/>
      </c>
      <c r="E187" s="15" t="n"/>
      <c r="F187" s="10">
        <f>IF($A187="","",IFERROR(INDEX('Catálogo'!$N$2:$N$813,MATCH($A187,'Catálogo'!$A$2:$A$813,0)),"código no encontrado"))</f>
        <v/>
      </c>
      <c r="G187" s="10">
        <f>IF(OR($E187="",$F187="",NOT(ISNUMBER($F187))),"",$E187*$F187)</f>
        <v/>
      </c>
      <c r="H187" s="4">
        <f>IF($A187="","",IFERROR(INDEX('Catálogo'!$Q$2:$Q$813,MATCH($A187,'Catálogo'!$A$2:$A$813,0)),"código no encontrado"))</f>
        <v/>
      </c>
      <c r="I187" s="10">
        <f>IF($G187="","",IF($H187="Sí",ROUND($G187/1.18,2),$G187))</f>
        <v/>
      </c>
      <c r="J187" s="14" t="n"/>
    </row>
    <row r="188">
      <c r="A188" s="14" t="n"/>
      <c r="B188" s="5">
        <f>IF($A188="","",IFERROR(INDEX('Catálogo'!$D$2:$D$813,MATCH($A188,'Catálogo'!$A$2:$A$813,0)),"código no encontrado"))</f>
        <v/>
      </c>
      <c r="C188" s="4">
        <f>IF($A188="","",IFERROR(INDEX('Catálogo'!$H$2:$H$813,MATCH($A188,'Catálogo'!$A$2:$A$813,0)),"código no encontrado"))</f>
        <v/>
      </c>
      <c r="D188" s="4">
        <f>IF($A188="","",IFERROR(INDEX('Catálogo'!$I$2:$I$813,MATCH($A188,'Catálogo'!$A$2:$A$813,0)),"código no encontrado"))</f>
        <v/>
      </c>
      <c r="E188" s="15" t="n"/>
      <c r="F188" s="10">
        <f>IF($A188="","",IFERROR(INDEX('Catálogo'!$N$2:$N$813,MATCH($A188,'Catálogo'!$A$2:$A$813,0)),"código no encontrado"))</f>
        <v/>
      </c>
      <c r="G188" s="10">
        <f>IF(OR($E188="",$F188="",NOT(ISNUMBER($F188))),"",$E188*$F188)</f>
        <v/>
      </c>
      <c r="H188" s="4">
        <f>IF($A188="","",IFERROR(INDEX('Catálogo'!$Q$2:$Q$813,MATCH($A188,'Catálogo'!$A$2:$A$813,0)),"código no encontrado"))</f>
        <v/>
      </c>
      <c r="I188" s="10">
        <f>IF($G188="","",IF($H188="Sí",ROUND($G188/1.18,2),$G188))</f>
        <v/>
      </c>
      <c r="J188" s="14" t="n"/>
    </row>
    <row r="189">
      <c r="A189" s="14" t="n"/>
      <c r="B189" s="5">
        <f>IF($A189="","",IFERROR(INDEX('Catálogo'!$D$2:$D$813,MATCH($A189,'Catálogo'!$A$2:$A$813,0)),"código no encontrado"))</f>
        <v/>
      </c>
      <c r="C189" s="4">
        <f>IF($A189="","",IFERROR(INDEX('Catálogo'!$H$2:$H$813,MATCH($A189,'Catálogo'!$A$2:$A$813,0)),"código no encontrado"))</f>
        <v/>
      </c>
      <c r="D189" s="4">
        <f>IF($A189="","",IFERROR(INDEX('Catálogo'!$I$2:$I$813,MATCH($A189,'Catálogo'!$A$2:$A$813,0)),"código no encontrado"))</f>
        <v/>
      </c>
      <c r="E189" s="15" t="n"/>
      <c r="F189" s="10">
        <f>IF($A189="","",IFERROR(INDEX('Catálogo'!$N$2:$N$813,MATCH($A189,'Catálogo'!$A$2:$A$813,0)),"código no encontrado"))</f>
        <v/>
      </c>
      <c r="G189" s="10">
        <f>IF(OR($E189="",$F189="",NOT(ISNUMBER($F189))),"",$E189*$F189)</f>
        <v/>
      </c>
      <c r="H189" s="4">
        <f>IF($A189="","",IFERROR(INDEX('Catálogo'!$Q$2:$Q$813,MATCH($A189,'Catálogo'!$A$2:$A$813,0)),"código no encontrado"))</f>
        <v/>
      </c>
      <c r="I189" s="10">
        <f>IF($G189="","",IF($H189="Sí",ROUND($G189/1.18,2),$G189))</f>
        <v/>
      </c>
      <c r="J189" s="14" t="n"/>
    </row>
    <row r="190">
      <c r="A190" s="14" t="n"/>
      <c r="B190" s="5">
        <f>IF($A190="","",IFERROR(INDEX('Catálogo'!$D$2:$D$813,MATCH($A190,'Catálogo'!$A$2:$A$813,0)),"código no encontrado"))</f>
        <v/>
      </c>
      <c r="C190" s="4">
        <f>IF($A190="","",IFERROR(INDEX('Catálogo'!$H$2:$H$813,MATCH($A190,'Catálogo'!$A$2:$A$813,0)),"código no encontrado"))</f>
        <v/>
      </c>
      <c r="D190" s="4">
        <f>IF($A190="","",IFERROR(INDEX('Catálogo'!$I$2:$I$813,MATCH($A190,'Catálogo'!$A$2:$A$813,0)),"código no encontrado"))</f>
        <v/>
      </c>
      <c r="E190" s="15" t="n"/>
      <c r="F190" s="10">
        <f>IF($A190="","",IFERROR(INDEX('Catálogo'!$N$2:$N$813,MATCH($A190,'Catálogo'!$A$2:$A$813,0)),"código no encontrado"))</f>
        <v/>
      </c>
      <c r="G190" s="10">
        <f>IF(OR($E190="",$F190="",NOT(ISNUMBER($F190))),"",$E190*$F190)</f>
        <v/>
      </c>
      <c r="H190" s="4">
        <f>IF($A190="","",IFERROR(INDEX('Catálogo'!$Q$2:$Q$813,MATCH($A190,'Catálogo'!$A$2:$A$813,0)),"código no encontrado"))</f>
        <v/>
      </c>
      <c r="I190" s="10">
        <f>IF($G190="","",IF($H190="Sí",ROUND($G190/1.18,2),$G190))</f>
        <v/>
      </c>
      <c r="J190" s="14" t="n"/>
    </row>
    <row r="191">
      <c r="A191" s="14" t="n"/>
      <c r="B191" s="5">
        <f>IF($A191="","",IFERROR(INDEX('Catálogo'!$D$2:$D$813,MATCH($A191,'Catálogo'!$A$2:$A$813,0)),"código no encontrado"))</f>
        <v/>
      </c>
      <c r="C191" s="4">
        <f>IF($A191="","",IFERROR(INDEX('Catálogo'!$H$2:$H$813,MATCH($A191,'Catálogo'!$A$2:$A$813,0)),"código no encontrado"))</f>
        <v/>
      </c>
      <c r="D191" s="4">
        <f>IF($A191="","",IFERROR(INDEX('Catálogo'!$I$2:$I$813,MATCH($A191,'Catálogo'!$A$2:$A$813,0)),"código no encontrado"))</f>
        <v/>
      </c>
      <c r="E191" s="15" t="n"/>
      <c r="F191" s="10">
        <f>IF($A191="","",IFERROR(INDEX('Catálogo'!$N$2:$N$813,MATCH($A191,'Catálogo'!$A$2:$A$813,0)),"código no encontrado"))</f>
        <v/>
      </c>
      <c r="G191" s="10">
        <f>IF(OR($E191="",$F191="",NOT(ISNUMBER($F191))),"",$E191*$F191)</f>
        <v/>
      </c>
      <c r="H191" s="4">
        <f>IF($A191="","",IFERROR(INDEX('Catálogo'!$Q$2:$Q$813,MATCH($A191,'Catálogo'!$A$2:$A$813,0)),"código no encontrado"))</f>
        <v/>
      </c>
      <c r="I191" s="10">
        <f>IF($G191="","",IF($H191="Sí",ROUND($G191/1.18,2),$G191))</f>
        <v/>
      </c>
      <c r="J191" s="14" t="n"/>
    </row>
    <row r="192">
      <c r="A192" s="14" t="n"/>
      <c r="B192" s="5">
        <f>IF($A192="","",IFERROR(INDEX('Catálogo'!$D$2:$D$813,MATCH($A192,'Catálogo'!$A$2:$A$813,0)),"código no encontrado"))</f>
        <v/>
      </c>
      <c r="C192" s="4">
        <f>IF($A192="","",IFERROR(INDEX('Catálogo'!$H$2:$H$813,MATCH($A192,'Catálogo'!$A$2:$A$813,0)),"código no encontrado"))</f>
        <v/>
      </c>
      <c r="D192" s="4">
        <f>IF($A192="","",IFERROR(INDEX('Catálogo'!$I$2:$I$813,MATCH($A192,'Catálogo'!$A$2:$A$813,0)),"código no encontrado"))</f>
        <v/>
      </c>
      <c r="E192" s="15" t="n"/>
      <c r="F192" s="10">
        <f>IF($A192="","",IFERROR(INDEX('Catálogo'!$N$2:$N$813,MATCH($A192,'Catálogo'!$A$2:$A$813,0)),"código no encontrado"))</f>
        <v/>
      </c>
      <c r="G192" s="10">
        <f>IF(OR($E192="",$F192="",NOT(ISNUMBER($F192))),"",$E192*$F192)</f>
        <v/>
      </c>
      <c r="H192" s="4">
        <f>IF($A192="","",IFERROR(INDEX('Catálogo'!$Q$2:$Q$813,MATCH($A192,'Catálogo'!$A$2:$A$813,0)),"código no encontrado"))</f>
        <v/>
      </c>
      <c r="I192" s="10">
        <f>IF($G192="","",IF($H192="Sí",ROUND($G192/1.18,2),$G192))</f>
        <v/>
      </c>
      <c r="J192" s="14" t="n"/>
    </row>
    <row r="193">
      <c r="A193" s="14" t="n"/>
      <c r="B193" s="5">
        <f>IF($A193="","",IFERROR(INDEX('Catálogo'!$D$2:$D$813,MATCH($A193,'Catálogo'!$A$2:$A$813,0)),"código no encontrado"))</f>
        <v/>
      </c>
      <c r="C193" s="4">
        <f>IF($A193="","",IFERROR(INDEX('Catálogo'!$H$2:$H$813,MATCH($A193,'Catálogo'!$A$2:$A$813,0)),"código no encontrado"))</f>
        <v/>
      </c>
      <c r="D193" s="4">
        <f>IF($A193="","",IFERROR(INDEX('Catálogo'!$I$2:$I$813,MATCH($A193,'Catálogo'!$A$2:$A$813,0)),"código no encontrado"))</f>
        <v/>
      </c>
      <c r="E193" s="15" t="n"/>
      <c r="F193" s="10">
        <f>IF($A193="","",IFERROR(INDEX('Catálogo'!$N$2:$N$813,MATCH($A193,'Catálogo'!$A$2:$A$813,0)),"código no encontrado"))</f>
        <v/>
      </c>
      <c r="G193" s="10">
        <f>IF(OR($E193="",$F193="",NOT(ISNUMBER($F193))),"",$E193*$F193)</f>
        <v/>
      </c>
      <c r="H193" s="4">
        <f>IF($A193="","",IFERROR(INDEX('Catálogo'!$Q$2:$Q$813,MATCH($A193,'Catálogo'!$A$2:$A$813,0)),"código no encontrado"))</f>
        <v/>
      </c>
      <c r="I193" s="10">
        <f>IF($G193="","",IF($H193="Sí",ROUND($G193/1.18,2),$G193))</f>
        <v/>
      </c>
      <c r="J193" s="14" t="n"/>
    </row>
    <row r="194">
      <c r="A194" s="14" t="n"/>
      <c r="B194" s="5">
        <f>IF($A194="","",IFERROR(INDEX('Catálogo'!$D$2:$D$813,MATCH($A194,'Catálogo'!$A$2:$A$813,0)),"código no encontrado"))</f>
        <v/>
      </c>
      <c r="C194" s="4">
        <f>IF($A194="","",IFERROR(INDEX('Catálogo'!$H$2:$H$813,MATCH($A194,'Catálogo'!$A$2:$A$813,0)),"código no encontrado"))</f>
        <v/>
      </c>
      <c r="D194" s="4">
        <f>IF($A194="","",IFERROR(INDEX('Catálogo'!$I$2:$I$813,MATCH($A194,'Catálogo'!$A$2:$A$813,0)),"código no encontrado"))</f>
        <v/>
      </c>
      <c r="E194" s="15" t="n"/>
      <c r="F194" s="10">
        <f>IF($A194="","",IFERROR(INDEX('Catálogo'!$N$2:$N$813,MATCH($A194,'Catálogo'!$A$2:$A$813,0)),"código no encontrado"))</f>
        <v/>
      </c>
      <c r="G194" s="10">
        <f>IF(OR($E194="",$F194="",NOT(ISNUMBER($F194))),"",$E194*$F194)</f>
        <v/>
      </c>
      <c r="H194" s="4">
        <f>IF($A194="","",IFERROR(INDEX('Catálogo'!$Q$2:$Q$813,MATCH($A194,'Catálogo'!$A$2:$A$813,0)),"código no encontrado"))</f>
        <v/>
      </c>
      <c r="I194" s="10">
        <f>IF($G194="","",IF($H194="Sí",ROUND($G194/1.18,2),$G194))</f>
        <v/>
      </c>
      <c r="J194" s="14" t="n"/>
    </row>
    <row r="195">
      <c r="A195" s="14" t="n"/>
      <c r="B195" s="5">
        <f>IF($A195="","",IFERROR(INDEX('Catálogo'!$D$2:$D$813,MATCH($A195,'Catálogo'!$A$2:$A$813,0)),"código no encontrado"))</f>
        <v/>
      </c>
      <c r="C195" s="4">
        <f>IF($A195="","",IFERROR(INDEX('Catálogo'!$H$2:$H$813,MATCH($A195,'Catálogo'!$A$2:$A$813,0)),"código no encontrado"))</f>
        <v/>
      </c>
      <c r="D195" s="4">
        <f>IF($A195="","",IFERROR(INDEX('Catálogo'!$I$2:$I$813,MATCH($A195,'Catálogo'!$A$2:$A$813,0)),"código no encontrado"))</f>
        <v/>
      </c>
      <c r="E195" s="15" t="n"/>
      <c r="F195" s="10">
        <f>IF($A195="","",IFERROR(INDEX('Catálogo'!$N$2:$N$813,MATCH($A195,'Catálogo'!$A$2:$A$813,0)),"código no encontrado"))</f>
        <v/>
      </c>
      <c r="G195" s="10">
        <f>IF(OR($E195="",$F195="",NOT(ISNUMBER($F195))),"",$E195*$F195)</f>
        <v/>
      </c>
      <c r="H195" s="4">
        <f>IF($A195="","",IFERROR(INDEX('Catálogo'!$Q$2:$Q$813,MATCH($A195,'Catálogo'!$A$2:$A$813,0)),"código no encontrado"))</f>
        <v/>
      </c>
      <c r="I195" s="10">
        <f>IF($G195="","",IF($H195="Sí",ROUND($G195/1.18,2),$G195))</f>
        <v/>
      </c>
      <c r="J195" s="14" t="n"/>
    </row>
    <row r="196">
      <c r="A196" s="14" t="n"/>
      <c r="B196" s="5">
        <f>IF($A196="","",IFERROR(INDEX('Catálogo'!$D$2:$D$813,MATCH($A196,'Catálogo'!$A$2:$A$813,0)),"código no encontrado"))</f>
        <v/>
      </c>
      <c r="C196" s="4">
        <f>IF($A196="","",IFERROR(INDEX('Catálogo'!$H$2:$H$813,MATCH($A196,'Catálogo'!$A$2:$A$813,0)),"código no encontrado"))</f>
        <v/>
      </c>
      <c r="D196" s="4">
        <f>IF($A196="","",IFERROR(INDEX('Catálogo'!$I$2:$I$813,MATCH($A196,'Catálogo'!$A$2:$A$813,0)),"código no encontrado"))</f>
        <v/>
      </c>
      <c r="E196" s="15" t="n"/>
      <c r="F196" s="10">
        <f>IF($A196="","",IFERROR(INDEX('Catálogo'!$N$2:$N$813,MATCH($A196,'Catálogo'!$A$2:$A$813,0)),"código no encontrado"))</f>
        <v/>
      </c>
      <c r="G196" s="10">
        <f>IF(OR($E196="",$F196="",NOT(ISNUMBER($F196))),"",$E196*$F196)</f>
        <v/>
      </c>
      <c r="H196" s="4">
        <f>IF($A196="","",IFERROR(INDEX('Catálogo'!$Q$2:$Q$813,MATCH($A196,'Catálogo'!$A$2:$A$813,0)),"código no encontrado"))</f>
        <v/>
      </c>
      <c r="I196" s="10">
        <f>IF($G196="","",IF($H196="Sí",ROUND($G196/1.18,2),$G196))</f>
        <v/>
      </c>
      <c r="J196" s="14" t="n"/>
    </row>
    <row r="197">
      <c r="A197" s="14" t="n"/>
      <c r="B197" s="5">
        <f>IF($A197="","",IFERROR(INDEX('Catálogo'!$D$2:$D$813,MATCH($A197,'Catálogo'!$A$2:$A$813,0)),"código no encontrado"))</f>
        <v/>
      </c>
      <c r="C197" s="4">
        <f>IF($A197="","",IFERROR(INDEX('Catálogo'!$H$2:$H$813,MATCH($A197,'Catálogo'!$A$2:$A$813,0)),"código no encontrado"))</f>
        <v/>
      </c>
      <c r="D197" s="4">
        <f>IF($A197="","",IFERROR(INDEX('Catálogo'!$I$2:$I$813,MATCH($A197,'Catálogo'!$A$2:$A$813,0)),"código no encontrado"))</f>
        <v/>
      </c>
      <c r="E197" s="15" t="n"/>
      <c r="F197" s="10">
        <f>IF($A197="","",IFERROR(INDEX('Catálogo'!$N$2:$N$813,MATCH($A197,'Catálogo'!$A$2:$A$813,0)),"código no encontrado"))</f>
        <v/>
      </c>
      <c r="G197" s="10">
        <f>IF(OR($E197="",$F197="",NOT(ISNUMBER($F197))),"",$E197*$F197)</f>
        <v/>
      </c>
      <c r="H197" s="4">
        <f>IF($A197="","",IFERROR(INDEX('Catálogo'!$Q$2:$Q$813,MATCH($A197,'Catálogo'!$A$2:$A$813,0)),"código no encontrado"))</f>
        <v/>
      </c>
      <c r="I197" s="10">
        <f>IF($G197="","",IF($H197="Sí",ROUND($G197/1.18,2),$G197))</f>
        <v/>
      </c>
      <c r="J197" s="14" t="n"/>
    </row>
    <row r="198">
      <c r="A198" s="14" t="n"/>
      <c r="B198" s="5">
        <f>IF($A198="","",IFERROR(INDEX('Catálogo'!$D$2:$D$813,MATCH($A198,'Catálogo'!$A$2:$A$813,0)),"código no encontrado"))</f>
        <v/>
      </c>
      <c r="C198" s="4">
        <f>IF($A198="","",IFERROR(INDEX('Catálogo'!$H$2:$H$813,MATCH($A198,'Catálogo'!$A$2:$A$813,0)),"código no encontrado"))</f>
        <v/>
      </c>
      <c r="D198" s="4">
        <f>IF($A198="","",IFERROR(INDEX('Catálogo'!$I$2:$I$813,MATCH($A198,'Catálogo'!$A$2:$A$813,0)),"código no encontrado"))</f>
        <v/>
      </c>
      <c r="E198" s="15" t="n"/>
      <c r="F198" s="10">
        <f>IF($A198="","",IFERROR(INDEX('Catálogo'!$N$2:$N$813,MATCH($A198,'Catálogo'!$A$2:$A$813,0)),"código no encontrado"))</f>
        <v/>
      </c>
      <c r="G198" s="10">
        <f>IF(OR($E198="",$F198="",NOT(ISNUMBER($F198))),"",$E198*$F198)</f>
        <v/>
      </c>
      <c r="H198" s="4">
        <f>IF($A198="","",IFERROR(INDEX('Catálogo'!$Q$2:$Q$813,MATCH($A198,'Catálogo'!$A$2:$A$813,0)),"código no encontrado"))</f>
        <v/>
      </c>
      <c r="I198" s="10">
        <f>IF($G198="","",IF($H198="Sí",ROUND($G198/1.18,2),$G198))</f>
        <v/>
      </c>
      <c r="J198" s="14" t="n"/>
    </row>
    <row r="199">
      <c r="A199" s="14" t="n"/>
      <c r="B199" s="5">
        <f>IF($A199="","",IFERROR(INDEX('Catálogo'!$D$2:$D$813,MATCH($A199,'Catálogo'!$A$2:$A$813,0)),"código no encontrado"))</f>
        <v/>
      </c>
      <c r="C199" s="4">
        <f>IF($A199="","",IFERROR(INDEX('Catálogo'!$H$2:$H$813,MATCH($A199,'Catálogo'!$A$2:$A$813,0)),"código no encontrado"))</f>
        <v/>
      </c>
      <c r="D199" s="4">
        <f>IF($A199="","",IFERROR(INDEX('Catálogo'!$I$2:$I$813,MATCH($A199,'Catálogo'!$A$2:$A$813,0)),"código no encontrado"))</f>
        <v/>
      </c>
      <c r="E199" s="15" t="n"/>
      <c r="F199" s="10">
        <f>IF($A199="","",IFERROR(INDEX('Catálogo'!$N$2:$N$813,MATCH($A199,'Catálogo'!$A$2:$A$813,0)),"código no encontrado"))</f>
        <v/>
      </c>
      <c r="G199" s="10">
        <f>IF(OR($E199="",$F199="",NOT(ISNUMBER($F199))),"",$E199*$F199)</f>
        <v/>
      </c>
      <c r="H199" s="4">
        <f>IF($A199="","",IFERROR(INDEX('Catálogo'!$Q$2:$Q$813,MATCH($A199,'Catálogo'!$A$2:$A$813,0)),"código no encontrado"))</f>
        <v/>
      </c>
      <c r="I199" s="10">
        <f>IF($G199="","",IF($H199="Sí",ROUND($G199/1.18,2),$G199))</f>
        <v/>
      </c>
      <c r="J199" s="14" t="n"/>
    </row>
    <row r="200">
      <c r="A200" s="14" t="n"/>
      <c r="B200" s="5">
        <f>IF($A200="","",IFERROR(INDEX('Catálogo'!$D$2:$D$813,MATCH($A200,'Catálogo'!$A$2:$A$813,0)),"código no encontrado"))</f>
        <v/>
      </c>
      <c r="C200" s="4">
        <f>IF($A200="","",IFERROR(INDEX('Catálogo'!$H$2:$H$813,MATCH($A200,'Catálogo'!$A$2:$A$813,0)),"código no encontrado"))</f>
        <v/>
      </c>
      <c r="D200" s="4">
        <f>IF($A200="","",IFERROR(INDEX('Catálogo'!$I$2:$I$813,MATCH($A200,'Catálogo'!$A$2:$A$813,0)),"código no encontrado"))</f>
        <v/>
      </c>
      <c r="E200" s="15" t="n"/>
      <c r="F200" s="10">
        <f>IF($A200="","",IFERROR(INDEX('Catálogo'!$N$2:$N$813,MATCH($A200,'Catálogo'!$A$2:$A$813,0)),"código no encontrado"))</f>
        <v/>
      </c>
      <c r="G200" s="10">
        <f>IF(OR($E200="",$F200="",NOT(ISNUMBER($F200))),"",$E200*$F200)</f>
        <v/>
      </c>
      <c r="H200" s="4">
        <f>IF($A200="","",IFERROR(INDEX('Catálogo'!$Q$2:$Q$813,MATCH($A200,'Catálogo'!$A$2:$A$813,0)),"código no encontrado"))</f>
        <v/>
      </c>
      <c r="I200" s="10">
        <f>IF($G200="","",IF($H200="Sí",ROUND($G200/1.18,2),$G200))</f>
        <v/>
      </c>
      <c r="J200" s="14" t="n"/>
    </row>
    <row r="201">
      <c r="A201" s="14" t="n"/>
      <c r="B201" s="5">
        <f>IF($A201="","",IFERROR(INDEX('Catálogo'!$D$2:$D$813,MATCH($A201,'Catálogo'!$A$2:$A$813,0)),"código no encontrado"))</f>
        <v/>
      </c>
      <c r="C201" s="4">
        <f>IF($A201="","",IFERROR(INDEX('Catálogo'!$H$2:$H$813,MATCH($A201,'Catálogo'!$A$2:$A$813,0)),"código no encontrado"))</f>
        <v/>
      </c>
      <c r="D201" s="4">
        <f>IF($A201="","",IFERROR(INDEX('Catálogo'!$I$2:$I$813,MATCH($A201,'Catálogo'!$A$2:$A$813,0)),"código no encontrado"))</f>
        <v/>
      </c>
      <c r="E201" s="15" t="n"/>
      <c r="F201" s="10">
        <f>IF($A201="","",IFERROR(INDEX('Catálogo'!$N$2:$N$813,MATCH($A201,'Catálogo'!$A$2:$A$813,0)),"código no encontrado"))</f>
        <v/>
      </c>
      <c r="G201" s="10">
        <f>IF(OR($E201="",$F201="",NOT(ISNUMBER($F201))),"",$E201*$F201)</f>
        <v/>
      </c>
      <c r="H201" s="4">
        <f>IF($A201="","",IFERROR(INDEX('Catálogo'!$Q$2:$Q$813,MATCH($A201,'Catálogo'!$A$2:$A$813,0)),"código no encontrado"))</f>
        <v/>
      </c>
      <c r="I201" s="10">
        <f>IF($G201="","",IF($H201="Sí",ROUND($G201/1.18,2),$G201))</f>
        <v/>
      </c>
      <c r="J201" s="14" t="n"/>
    </row>
    <row r="202">
      <c r="A202" s="14" t="n"/>
      <c r="B202" s="5">
        <f>IF($A202="","",IFERROR(INDEX('Catálogo'!$D$2:$D$813,MATCH($A202,'Catálogo'!$A$2:$A$813,0)),"código no encontrado"))</f>
        <v/>
      </c>
      <c r="C202" s="4">
        <f>IF($A202="","",IFERROR(INDEX('Catálogo'!$H$2:$H$813,MATCH($A202,'Catálogo'!$A$2:$A$813,0)),"código no encontrado"))</f>
        <v/>
      </c>
      <c r="D202" s="4">
        <f>IF($A202="","",IFERROR(INDEX('Catálogo'!$I$2:$I$813,MATCH($A202,'Catálogo'!$A$2:$A$813,0)),"código no encontrado"))</f>
        <v/>
      </c>
      <c r="E202" s="15" t="n"/>
      <c r="F202" s="10">
        <f>IF($A202="","",IFERROR(INDEX('Catálogo'!$N$2:$N$813,MATCH($A202,'Catálogo'!$A$2:$A$813,0)),"código no encontrado"))</f>
        <v/>
      </c>
      <c r="G202" s="10">
        <f>IF(OR($E202="",$F202="",NOT(ISNUMBER($F202))),"",$E202*$F202)</f>
        <v/>
      </c>
      <c r="H202" s="4">
        <f>IF($A202="","",IFERROR(INDEX('Catálogo'!$Q$2:$Q$813,MATCH($A202,'Catálogo'!$A$2:$A$813,0)),"código no encontrado"))</f>
        <v/>
      </c>
      <c r="I202" s="10">
        <f>IF($G202="","",IF($H202="Sí",ROUND($G202/1.18,2),$G202))</f>
        <v/>
      </c>
      <c r="J202" s="14" t="n"/>
    </row>
    <row r="203">
      <c r="A203" s="14" t="n"/>
      <c r="B203" s="5">
        <f>IF($A203="","",IFERROR(INDEX('Catálogo'!$D$2:$D$813,MATCH($A203,'Catálogo'!$A$2:$A$813,0)),"código no encontrado"))</f>
        <v/>
      </c>
      <c r="C203" s="4">
        <f>IF($A203="","",IFERROR(INDEX('Catálogo'!$H$2:$H$813,MATCH($A203,'Catálogo'!$A$2:$A$813,0)),"código no encontrado"))</f>
        <v/>
      </c>
      <c r="D203" s="4">
        <f>IF($A203="","",IFERROR(INDEX('Catálogo'!$I$2:$I$813,MATCH($A203,'Catálogo'!$A$2:$A$813,0)),"código no encontrado"))</f>
        <v/>
      </c>
      <c r="E203" s="15" t="n"/>
      <c r="F203" s="10">
        <f>IF($A203="","",IFERROR(INDEX('Catálogo'!$N$2:$N$813,MATCH($A203,'Catálogo'!$A$2:$A$813,0)),"código no encontrado"))</f>
        <v/>
      </c>
      <c r="G203" s="10">
        <f>IF(OR($E203="",$F203="",NOT(ISNUMBER($F203))),"",$E203*$F203)</f>
        <v/>
      </c>
      <c r="H203" s="4">
        <f>IF($A203="","",IFERROR(INDEX('Catálogo'!$Q$2:$Q$813,MATCH($A203,'Catálogo'!$A$2:$A$813,0)),"código no encontrado"))</f>
        <v/>
      </c>
      <c r="I203" s="10">
        <f>IF($G203="","",IF($H203="Sí",ROUND($G203/1.18,2),$G203))</f>
        <v/>
      </c>
      <c r="J203" s="14" t="n"/>
    </row>
    <row r="204">
      <c r="A204" s="14" t="n"/>
      <c r="B204" s="5">
        <f>IF($A204="","",IFERROR(INDEX('Catálogo'!$D$2:$D$813,MATCH($A204,'Catálogo'!$A$2:$A$813,0)),"código no encontrado"))</f>
        <v/>
      </c>
      <c r="C204" s="4">
        <f>IF($A204="","",IFERROR(INDEX('Catálogo'!$H$2:$H$813,MATCH($A204,'Catálogo'!$A$2:$A$813,0)),"código no encontrado"))</f>
        <v/>
      </c>
      <c r="D204" s="4">
        <f>IF($A204="","",IFERROR(INDEX('Catálogo'!$I$2:$I$813,MATCH($A204,'Catálogo'!$A$2:$A$813,0)),"código no encontrado"))</f>
        <v/>
      </c>
      <c r="E204" s="15" t="n"/>
      <c r="F204" s="10">
        <f>IF($A204="","",IFERROR(INDEX('Catálogo'!$N$2:$N$813,MATCH($A204,'Catálogo'!$A$2:$A$813,0)),"código no encontrado"))</f>
        <v/>
      </c>
      <c r="G204" s="10">
        <f>IF(OR($E204="",$F204="",NOT(ISNUMBER($F204))),"",$E204*$F204)</f>
        <v/>
      </c>
      <c r="H204" s="4">
        <f>IF($A204="","",IFERROR(INDEX('Catálogo'!$Q$2:$Q$813,MATCH($A204,'Catálogo'!$A$2:$A$813,0)),"código no encontrado"))</f>
        <v/>
      </c>
      <c r="I204" s="10">
        <f>IF($G204="","",IF($H204="Sí",ROUND($G204/1.18,2),$G204))</f>
        <v/>
      </c>
      <c r="J204" s="14" t="n"/>
    </row>
    <row r="205">
      <c r="A205" s="14" t="n"/>
      <c r="B205" s="5">
        <f>IF($A205="","",IFERROR(INDEX('Catálogo'!$D$2:$D$813,MATCH($A205,'Catálogo'!$A$2:$A$813,0)),"código no encontrado"))</f>
        <v/>
      </c>
      <c r="C205" s="4">
        <f>IF($A205="","",IFERROR(INDEX('Catálogo'!$H$2:$H$813,MATCH($A205,'Catálogo'!$A$2:$A$813,0)),"código no encontrado"))</f>
        <v/>
      </c>
      <c r="D205" s="4">
        <f>IF($A205="","",IFERROR(INDEX('Catálogo'!$I$2:$I$813,MATCH($A205,'Catálogo'!$A$2:$A$813,0)),"código no encontrado"))</f>
        <v/>
      </c>
      <c r="E205" s="15" t="n"/>
      <c r="F205" s="10">
        <f>IF($A205="","",IFERROR(INDEX('Catálogo'!$N$2:$N$813,MATCH($A205,'Catálogo'!$A$2:$A$813,0)),"código no encontrado"))</f>
        <v/>
      </c>
      <c r="G205" s="10">
        <f>IF(OR($E205="",$F205="",NOT(ISNUMBER($F205))),"",$E205*$F205)</f>
        <v/>
      </c>
      <c r="H205" s="4">
        <f>IF($A205="","",IFERROR(INDEX('Catálogo'!$Q$2:$Q$813,MATCH($A205,'Catálogo'!$A$2:$A$813,0)),"código no encontrado"))</f>
        <v/>
      </c>
      <c r="I205" s="10">
        <f>IF($G205="","",IF($H205="Sí",ROUND($G205/1.18,2),$G205))</f>
        <v/>
      </c>
      <c r="J205" s="14" t="n"/>
    </row>
    <row r="206">
      <c r="A206" s="14" t="n"/>
      <c r="B206" s="5">
        <f>IF($A206="","",IFERROR(INDEX('Catálogo'!$D$2:$D$813,MATCH($A206,'Catálogo'!$A$2:$A$813,0)),"código no encontrado"))</f>
        <v/>
      </c>
      <c r="C206" s="4">
        <f>IF($A206="","",IFERROR(INDEX('Catálogo'!$H$2:$H$813,MATCH($A206,'Catálogo'!$A$2:$A$813,0)),"código no encontrado"))</f>
        <v/>
      </c>
      <c r="D206" s="4">
        <f>IF($A206="","",IFERROR(INDEX('Catálogo'!$I$2:$I$813,MATCH($A206,'Catálogo'!$A$2:$A$813,0)),"código no encontrado"))</f>
        <v/>
      </c>
      <c r="E206" s="15" t="n"/>
      <c r="F206" s="10">
        <f>IF($A206="","",IFERROR(INDEX('Catálogo'!$N$2:$N$813,MATCH($A206,'Catálogo'!$A$2:$A$813,0)),"código no encontrado"))</f>
        <v/>
      </c>
      <c r="G206" s="10">
        <f>IF(OR($E206="",$F206="",NOT(ISNUMBER($F206))),"",$E206*$F206)</f>
        <v/>
      </c>
      <c r="H206" s="4">
        <f>IF($A206="","",IFERROR(INDEX('Catálogo'!$Q$2:$Q$813,MATCH($A206,'Catálogo'!$A$2:$A$813,0)),"código no encontrado"))</f>
        <v/>
      </c>
      <c r="I206" s="10">
        <f>IF($G206="","",IF($H206="Sí",ROUND($G206/1.18,2),$G206))</f>
        <v/>
      </c>
      <c r="J206" s="14" t="n"/>
    </row>
    <row r="207">
      <c r="A207" s="14" t="n"/>
      <c r="B207" s="5">
        <f>IF($A207="","",IFERROR(INDEX('Catálogo'!$D$2:$D$813,MATCH($A207,'Catálogo'!$A$2:$A$813,0)),"código no encontrado"))</f>
        <v/>
      </c>
      <c r="C207" s="4">
        <f>IF($A207="","",IFERROR(INDEX('Catálogo'!$H$2:$H$813,MATCH($A207,'Catálogo'!$A$2:$A$813,0)),"código no encontrado"))</f>
        <v/>
      </c>
      <c r="D207" s="4">
        <f>IF($A207="","",IFERROR(INDEX('Catálogo'!$I$2:$I$813,MATCH($A207,'Catálogo'!$A$2:$A$813,0)),"código no encontrado"))</f>
        <v/>
      </c>
      <c r="E207" s="15" t="n"/>
      <c r="F207" s="10">
        <f>IF($A207="","",IFERROR(INDEX('Catálogo'!$N$2:$N$813,MATCH($A207,'Catálogo'!$A$2:$A$813,0)),"código no encontrado"))</f>
        <v/>
      </c>
      <c r="G207" s="10">
        <f>IF(OR($E207="",$F207="",NOT(ISNUMBER($F207))),"",$E207*$F207)</f>
        <v/>
      </c>
      <c r="H207" s="4">
        <f>IF($A207="","",IFERROR(INDEX('Catálogo'!$Q$2:$Q$813,MATCH($A207,'Catálogo'!$A$2:$A$813,0)),"código no encontrado"))</f>
        <v/>
      </c>
      <c r="I207" s="10">
        <f>IF($G207="","",IF($H207="Sí",ROUND($G207/1.18,2),$G207))</f>
        <v/>
      </c>
      <c r="J207" s="14" t="n"/>
    </row>
    <row r="208">
      <c r="A208" s="14" t="n"/>
      <c r="B208" s="5">
        <f>IF($A208="","",IFERROR(INDEX('Catálogo'!$D$2:$D$813,MATCH($A208,'Catálogo'!$A$2:$A$813,0)),"código no encontrado"))</f>
        <v/>
      </c>
      <c r="C208" s="4">
        <f>IF($A208="","",IFERROR(INDEX('Catálogo'!$H$2:$H$813,MATCH($A208,'Catálogo'!$A$2:$A$813,0)),"código no encontrado"))</f>
        <v/>
      </c>
      <c r="D208" s="4">
        <f>IF($A208="","",IFERROR(INDEX('Catálogo'!$I$2:$I$813,MATCH($A208,'Catálogo'!$A$2:$A$813,0)),"código no encontrado"))</f>
        <v/>
      </c>
      <c r="E208" s="15" t="n"/>
      <c r="F208" s="10">
        <f>IF($A208="","",IFERROR(INDEX('Catálogo'!$N$2:$N$813,MATCH($A208,'Catálogo'!$A$2:$A$813,0)),"código no encontrado"))</f>
        <v/>
      </c>
      <c r="G208" s="10">
        <f>IF(OR($E208="",$F208="",NOT(ISNUMBER($F208))),"",$E208*$F208)</f>
        <v/>
      </c>
      <c r="H208" s="4">
        <f>IF($A208="","",IFERROR(INDEX('Catálogo'!$Q$2:$Q$813,MATCH($A208,'Catálogo'!$A$2:$A$813,0)),"código no encontrado"))</f>
        <v/>
      </c>
      <c r="I208" s="10">
        <f>IF($G208="","",IF($H208="Sí",ROUND($G208/1.18,2),$G208))</f>
        <v/>
      </c>
      <c r="J208" s="14" t="n"/>
    </row>
    <row r="209">
      <c r="A209" s="14" t="n"/>
      <c r="B209" s="5">
        <f>IF($A209="","",IFERROR(INDEX('Catálogo'!$D$2:$D$813,MATCH($A209,'Catálogo'!$A$2:$A$813,0)),"código no encontrado"))</f>
        <v/>
      </c>
      <c r="C209" s="4">
        <f>IF($A209="","",IFERROR(INDEX('Catálogo'!$H$2:$H$813,MATCH($A209,'Catálogo'!$A$2:$A$813,0)),"código no encontrado"))</f>
        <v/>
      </c>
      <c r="D209" s="4">
        <f>IF($A209="","",IFERROR(INDEX('Catálogo'!$I$2:$I$813,MATCH($A209,'Catálogo'!$A$2:$A$813,0)),"código no encontrado"))</f>
        <v/>
      </c>
      <c r="E209" s="15" t="n"/>
      <c r="F209" s="10">
        <f>IF($A209="","",IFERROR(INDEX('Catálogo'!$N$2:$N$813,MATCH($A209,'Catálogo'!$A$2:$A$813,0)),"código no encontrado"))</f>
        <v/>
      </c>
      <c r="G209" s="10">
        <f>IF(OR($E209="",$F209="",NOT(ISNUMBER($F209))),"",$E209*$F209)</f>
        <v/>
      </c>
      <c r="H209" s="4">
        <f>IF($A209="","",IFERROR(INDEX('Catálogo'!$Q$2:$Q$813,MATCH($A209,'Catálogo'!$A$2:$A$813,0)),"código no encontrado"))</f>
        <v/>
      </c>
      <c r="I209" s="10">
        <f>IF($G209="","",IF($H209="Sí",ROUND($G209/1.18,2),$G209))</f>
        <v/>
      </c>
      <c r="J209" s="14" t="n"/>
    </row>
    <row r="210">
      <c r="A210" s="14" t="n"/>
      <c r="B210" s="5">
        <f>IF($A210="","",IFERROR(INDEX('Catálogo'!$D$2:$D$813,MATCH($A210,'Catálogo'!$A$2:$A$813,0)),"código no encontrado"))</f>
        <v/>
      </c>
      <c r="C210" s="4">
        <f>IF($A210="","",IFERROR(INDEX('Catálogo'!$H$2:$H$813,MATCH($A210,'Catálogo'!$A$2:$A$813,0)),"código no encontrado"))</f>
        <v/>
      </c>
      <c r="D210" s="4">
        <f>IF($A210="","",IFERROR(INDEX('Catálogo'!$I$2:$I$813,MATCH($A210,'Catálogo'!$A$2:$A$813,0)),"código no encontrado"))</f>
        <v/>
      </c>
      <c r="E210" s="15" t="n"/>
      <c r="F210" s="10">
        <f>IF($A210="","",IFERROR(INDEX('Catálogo'!$N$2:$N$813,MATCH($A210,'Catálogo'!$A$2:$A$813,0)),"código no encontrado"))</f>
        <v/>
      </c>
      <c r="G210" s="10">
        <f>IF(OR($E210="",$F210="",NOT(ISNUMBER($F210))),"",$E210*$F210)</f>
        <v/>
      </c>
      <c r="H210" s="4">
        <f>IF($A210="","",IFERROR(INDEX('Catálogo'!$Q$2:$Q$813,MATCH($A210,'Catálogo'!$A$2:$A$813,0)),"código no encontrado"))</f>
        <v/>
      </c>
      <c r="I210" s="10">
        <f>IF($G210="","",IF($H210="Sí",ROUND($G210/1.18,2),$G210))</f>
        <v/>
      </c>
      <c r="J210" s="14" t="n"/>
    </row>
    <row r="211">
      <c r="A211" s="14" t="n"/>
      <c r="B211" s="5">
        <f>IF($A211="","",IFERROR(INDEX('Catálogo'!$D$2:$D$813,MATCH($A211,'Catálogo'!$A$2:$A$813,0)),"código no encontrado"))</f>
        <v/>
      </c>
      <c r="C211" s="4">
        <f>IF($A211="","",IFERROR(INDEX('Catálogo'!$H$2:$H$813,MATCH($A211,'Catálogo'!$A$2:$A$813,0)),"código no encontrado"))</f>
        <v/>
      </c>
      <c r="D211" s="4">
        <f>IF($A211="","",IFERROR(INDEX('Catálogo'!$I$2:$I$813,MATCH($A211,'Catálogo'!$A$2:$A$813,0)),"código no encontrado"))</f>
        <v/>
      </c>
      <c r="E211" s="15" t="n"/>
      <c r="F211" s="10">
        <f>IF($A211="","",IFERROR(INDEX('Catálogo'!$N$2:$N$813,MATCH($A211,'Catálogo'!$A$2:$A$813,0)),"código no encontrado"))</f>
        <v/>
      </c>
      <c r="G211" s="10">
        <f>IF(OR($E211="",$F211="",NOT(ISNUMBER($F211))),"",$E211*$F211)</f>
        <v/>
      </c>
      <c r="H211" s="4">
        <f>IF($A211="","",IFERROR(INDEX('Catálogo'!$Q$2:$Q$813,MATCH($A211,'Catálogo'!$A$2:$A$813,0)),"código no encontrado"))</f>
        <v/>
      </c>
      <c r="I211" s="10">
        <f>IF($G211="","",IF($H211="Sí",ROUND($G211/1.18,2),$G211))</f>
        <v/>
      </c>
      <c r="J211" s="14" t="n"/>
    </row>
    <row r="212">
      <c r="A212" s="14" t="n"/>
      <c r="B212" s="5">
        <f>IF($A212="","",IFERROR(INDEX('Catálogo'!$D$2:$D$813,MATCH($A212,'Catálogo'!$A$2:$A$813,0)),"código no encontrado"))</f>
        <v/>
      </c>
      <c r="C212" s="4">
        <f>IF($A212="","",IFERROR(INDEX('Catálogo'!$H$2:$H$813,MATCH($A212,'Catálogo'!$A$2:$A$813,0)),"código no encontrado"))</f>
        <v/>
      </c>
      <c r="D212" s="4">
        <f>IF($A212="","",IFERROR(INDEX('Catálogo'!$I$2:$I$813,MATCH($A212,'Catálogo'!$A$2:$A$813,0)),"código no encontrado"))</f>
        <v/>
      </c>
      <c r="E212" s="15" t="n"/>
      <c r="F212" s="10">
        <f>IF($A212="","",IFERROR(INDEX('Catálogo'!$N$2:$N$813,MATCH($A212,'Catálogo'!$A$2:$A$813,0)),"código no encontrado"))</f>
        <v/>
      </c>
      <c r="G212" s="10">
        <f>IF(OR($E212="",$F212="",NOT(ISNUMBER($F212))),"",$E212*$F212)</f>
        <v/>
      </c>
      <c r="H212" s="4">
        <f>IF($A212="","",IFERROR(INDEX('Catálogo'!$Q$2:$Q$813,MATCH($A212,'Catálogo'!$A$2:$A$813,0)),"código no encontrado"))</f>
        <v/>
      </c>
      <c r="I212" s="10">
        <f>IF($G212="","",IF($H212="Sí",ROUND($G212/1.18,2),$G212))</f>
        <v/>
      </c>
      <c r="J212" s="14" t="n"/>
    </row>
    <row r="213">
      <c r="A213" s="14" t="n"/>
      <c r="B213" s="5">
        <f>IF($A213="","",IFERROR(INDEX('Catálogo'!$D$2:$D$813,MATCH($A213,'Catálogo'!$A$2:$A$813,0)),"código no encontrado"))</f>
        <v/>
      </c>
      <c r="C213" s="4">
        <f>IF($A213="","",IFERROR(INDEX('Catálogo'!$H$2:$H$813,MATCH($A213,'Catálogo'!$A$2:$A$813,0)),"código no encontrado"))</f>
        <v/>
      </c>
      <c r="D213" s="4">
        <f>IF($A213="","",IFERROR(INDEX('Catálogo'!$I$2:$I$813,MATCH($A213,'Catálogo'!$A$2:$A$813,0)),"código no encontrado"))</f>
        <v/>
      </c>
      <c r="E213" s="15" t="n"/>
      <c r="F213" s="10">
        <f>IF($A213="","",IFERROR(INDEX('Catálogo'!$N$2:$N$813,MATCH($A213,'Catálogo'!$A$2:$A$813,0)),"código no encontrado"))</f>
        <v/>
      </c>
      <c r="G213" s="10">
        <f>IF(OR($E213="",$F213="",NOT(ISNUMBER($F213))),"",$E213*$F213)</f>
        <v/>
      </c>
      <c r="H213" s="4">
        <f>IF($A213="","",IFERROR(INDEX('Catálogo'!$Q$2:$Q$813,MATCH($A213,'Catálogo'!$A$2:$A$813,0)),"código no encontrado"))</f>
        <v/>
      </c>
      <c r="I213" s="10">
        <f>IF($G213="","",IF($H213="Sí",ROUND($G213/1.18,2),$G213))</f>
        <v/>
      </c>
      <c r="J213" s="14" t="n"/>
    </row>
    <row r="214">
      <c r="A214" s="14" t="n"/>
      <c r="B214" s="5">
        <f>IF($A214="","",IFERROR(INDEX('Catálogo'!$D$2:$D$813,MATCH($A214,'Catálogo'!$A$2:$A$813,0)),"código no encontrado"))</f>
        <v/>
      </c>
      <c r="C214" s="4">
        <f>IF($A214="","",IFERROR(INDEX('Catálogo'!$H$2:$H$813,MATCH($A214,'Catálogo'!$A$2:$A$813,0)),"código no encontrado"))</f>
        <v/>
      </c>
      <c r="D214" s="4">
        <f>IF($A214="","",IFERROR(INDEX('Catálogo'!$I$2:$I$813,MATCH($A214,'Catálogo'!$A$2:$A$813,0)),"código no encontrado"))</f>
        <v/>
      </c>
      <c r="E214" s="15" t="n"/>
      <c r="F214" s="10">
        <f>IF($A214="","",IFERROR(INDEX('Catálogo'!$N$2:$N$813,MATCH($A214,'Catálogo'!$A$2:$A$813,0)),"código no encontrado"))</f>
        <v/>
      </c>
      <c r="G214" s="10">
        <f>IF(OR($E214="",$F214="",NOT(ISNUMBER($F214))),"",$E214*$F214)</f>
        <v/>
      </c>
      <c r="H214" s="4">
        <f>IF($A214="","",IFERROR(INDEX('Catálogo'!$Q$2:$Q$813,MATCH($A214,'Catálogo'!$A$2:$A$813,0)),"código no encontrado"))</f>
        <v/>
      </c>
      <c r="I214" s="10">
        <f>IF($G214="","",IF($H214="Sí",ROUND($G214/1.18,2),$G214))</f>
        <v/>
      </c>
      <c r="J214" s="14" t="n"/>
    </row>
    <row r="215">
      <c r="A215" s="14" t="n"/>
      <c r="B215" s="5">
        <f>IF($A215="","",IFERROR(INDEX('Catálogo'!$D$2:$D$813,MATCH($A215,'Catálogo'!$A$2:$A$813,0)),"código no encontrado"))</f>
        <v/>
      </c>
      <c r="C215" s="4">
        <f>IF($A215="","",IFERROR(INDEX('Catálogo'!$H$2:$H$813,MATCH($A215,'Catálogo'!$A$2:$A$813,0)),"código no encontrado"))</f>
        <v/>
      </c>
      <c r="D215" s="4">
        <f>IF($A215="","",IFERROR(INDEX('Catálogo'!$I$2:$I$813,MATCH($A215,'Catálogo'!$A$2:$A$813,0)),"código no encontrado"))</f>
        <v/>
      </c>
      <c r="E215" s="15" t="n"/>
      <c r="F215" s="10">
        <f>IF($A215="","",IFERROR(INDEX('Catálogo'!$N$2:$N$813,MATCH($A215,'Catálogo'!$A$2:$A$813,0)),"código no encontrado"))</f>
        <v/>
      </c>
      <c r="G215" s="10">
        <f>IF(OR($E215="",$F215="",NOT(ISNUMBER($F215))),"",$E215*$F215)</f>
        <v/>
      </c>
      <c r="H215" s="4">
        <f>IF($A215="","",IFERROR(INDEX('Catálogo'!$Q$2:$Q$813,MATCH($A215,'Catálogo'!$A$2:$A$813,0)),"código no encontrado"))</f>
        <v/>
      </c>
      <c r="I215" s="10">
        <f>IF($G215="","",IF($H215="Sí",ROUND($G215/1.18,2),$G215))</f>
        <v/>
      </c>
      <c r="J215" s="14" t="n"/>
    </row>
    <row r="216">
      <c r="A216" s="14" t="n"/>
      <c r="B216" s="5">
        <f>IF($A216="","",IFERROR(INDEX('Catálogo'!$D$2:$D$813,MATCH($A216,'Catálogo'!$A$2:$A$813,0)),"código no encontrado"))</f>
        <v/>
      </c>
      <c r="C216" s="4">
        <f>IF($A216="","",IFERROR(INDEX('Catálogo'!$H$2:$H$813,MATCH($A216,'Catálogo'!$A$2:$A$813,0)),"código no encontrado"))</f>
        <v/>
      </c>
      <c r="D216" s="4">
        <f>IF($A216="","",IFERROR(INDEX('Catálogo'!$I$2:$I$813,MATCH($A216,'Catálogo'!$A$2:$A$813,0)),"código no encontrado"))</f>
        <v/>
      </c>
      <c r="E216" s="15" t="n"/>
      <c r="F216" s="10">
        <f>IF($A216="","",IFERROR(INDEX('Catálogo'!$N$2:$N$813,MATCH($A216,'Catálogo'!$A$2:$A$813,0)),"código no encontrado"))</f>
        <v/>
      </c>
      <c r="G216" s="10">
        <f>IF(OR($E216="",$F216="",NOT(ISNUMBER($F216))),"",$E216*$F216)</f>
        <v/>
      </c>
      <c r="H216" s="4">
        <f>IF($A216="","",IFERROR(INDEX('Catálogo'!$Q$2:$Q$813,MATCH($A216,'Catálogo'!$A$2:$A$813,0)),"código no encontrado"))</f>
        <v/>
      </c>
      <c r="I216" s="10">
        <f>IF($G216="","",IF($H216="Sí",ROUND($G216/1.18,2),$G216))</f>
        <v/>
      </c>
      <c r="J216" s="14" t="n"/>
    </row>
    <row r="217">
      <c r="A217" s="14" t="n"/>
      <c r="B217" s="5">
        <f>IF($A217="","",IFERROR(INDEX('Catálogo'!$D$2:$D$813,MATCH($A217,'Catálogo'!$A$2:$A$813,0)),"código no encontrado"))</f>
        <v/>
      </c>
      <c r="C217" s="4">
        <f>IF($A217="","",IFERROR(INDEX('Catálogo'!$H$2:$H$813,MATCH($A217,'Catálogo'!$A$2:$A$813,0)),"código no encontrado"))</f>
        <v/>
      </c>
      <c r="D217" s="4">
        <f>IF($A217="","",IFERROR(INDEX('Catálogo'!$I$2:$I$813,MATCH($A217,'Catálogo'!$A$2:$A$813,0)),"código no encontrado"))</f>
        <v/>
      </c>
      <c r="E217" s="15" t="n"/>
      <c r="F217" s="10">
        <f>IF($A217="","",IFERROR(INDEX('Catálogo'!$N$2:$N$813,MATCH($A217,'Catálogo'!$A$2:$A$813,0)),"código no encontrado"))</f>
        <v/>
      </c>
      <c r="G217" s="10">
        <f>IF(OR($E217="",$F217="",NOT(ISNUMBER($F217))),"",$E217*$F217)</f>
        <v/>
      </c>
      <c r="H217" s="4">
        <f>IF($A217="","",IFERROR(INDEX('Catálogo'!$Q$2:$Q$813,MATCH($A217,'Catálogo'!$A$2:$A$813,0)),"código no encontrado"))</f>
        <v/>
      </c>
      <c r="I217" s="10">
        <f>IF($G217="","",IF($H217="Sí",ROUND($G217/1.18,2),$G217))</f>
        <v/>
      </c>
      <c r="J217" s="14" t="n"/>
    </row>
    <row r="218">
      <c r="A218" s="14" t="n"/>
      <c r="B218" s="5">
        <f>IF($A218="","",IFERROR(INDEX('Catálogo'!$D$2:$D$813,MATCH($A218,'Catálogo'!$A$2:$A$813,0)),"código no encontrado"))</f>
        <v/>
      </c>
      <c r="C218" s="4">
        <f>IF($A218="","",IFERROR(INDEX('Catálogo'!$H$2:$H$813,MATCH($A218,'Catálogo'!$A$2:$A$813,0)),"código no encontrado"))</f>
        <v/>
      </c>
      <c r="D218" s="4">
        <f>IF($A218="","",IFERROR(INDEX('Catálogo'!$I$2:$I$813,MATCH($A218,'Catálogo'!$A$2:$A$813,0)),"código no encontrado"))</f>
        <v/>
      </c>
      <c r="E218" s="15" t="n"/>
      <c r="F218" s="10">
        <f>IF($A218="","",IFERROR(INDEX('Catálogo'!$N$2:$N$813,MATCH($A218,'Catálogo'!$A$2:$A$813,0)),"código no encontrado"))</f>
        <v/>
      </c>
      <c r="G218" s="10">
        <f>IF(OR($E218="",$F218="",NOT(ISNUMBER($F218))),"",$E218*$F218)</f>
        <v/>
      </c>
      <c r="H218" s="4">
        <f>IF($A218="","",IFERROR(INDEX('Catálogo'!$Q$2:$Q$813,MATCH($A218,'Catálogo'!$A$2:$A$813,0)),"código no encontrado"))</f>
        <v/>
      </c>
      <c r="I218" s="10">
        <f>IF($G218="","",IF($H218="Sí",ROUND($G218/1.18,2),$G218))</f>
        <v/>
      </c>
      <c r="J218" s="14" t="n"/>
    </row>
    <row r="219">
      <c r="A219" s="14" t="n"/>
      <c r="B219" s="5">
        <f>IF($A219="","",IFERROR(INDEX('Catálogo'!$D$2:$D$813,MATCH($A219,'Catálogo'!$A$2:$A$813,0)),"código no encontrado"))</f>
        <v/>
      </c>
      <c r="C219" s="4">
        <f>IF($A219="","",IFERROR(INDEX('Catálogo'!$H$2:$H$813,MATCH($A219,'Catálogo'!$A$2:$A$813,0)),"código no encontrado"))</f>
        <v/>
      </c>
      <c r="D219" s="4">
        <f>IF($A219="","",IFERROR(INDEX('Catálogo'!$I$2:$I$813,MATCH($A219,'Catálogo'!$A$2:$A$813,0)),"código no encontrado"))</f>
        <v/>
      </c>
      <c r="E219" s="15" t="n"/>
      <c r="F219" s="10">
        <f>IF($A219="","",IFERROR(INDEX('Catálogo'!$N$2:$N$813,MATCH($A219,'Catálogo'!$A$2:$A$813,0)),"código no encontrado"))</f>
        <v/>
      </c>
      <c r="G219" s="10">
        <f>IF(OR($E219="",$F219="",NOT(ISNUMBER($F219))),"",$E219*$F219)</f>
        <v/>
      </c>
      <c r="H219" s="4">
        <f>IF($A219="","",IFERROR(INDEX('Catálogo'!$Q$2:$Q$813,MATCH($A219,'Catálogo'!$A$2:$A$813,0)),"código no encontrado"))</f>
        <v/>
      </c>
      <c r="I219" s="10">
        <f>IF($G219="","",IF($H219="Sí",ROUND($G219/1.18,2),$G219))</f>
        <v/>
      </c>
      <c r="J219" s="14" t="n"/>
    </row>
    <row r="220">
      <c r="A220" s="14" t="n"/>
      <c r="B220" s="5">
        <f>IF($A220="","",IFERROR(INDEX('Catálogo'!$D$2:$D$813,MATCH($A220,'Catálogo'!$A$2:$A$813,0)),"código no encontrado"))</f>
        <v/>
      </c>
      <c r="C220" s="4">
        <f>IF($A220="","",IFERROR(INDEX('Catálogo'!$H$2:$H$813,MATCH($A220,'Catálogo'!$A$2:$A$813,0)),"código no encontrado"))</f>
        <v/>
      </c>
      <c r="D220" s="4">
        <f>IF($A220="","",IFERROR(INDEX('Catálogo'!$I$2:$I$813,MATCH($A220,'Catálogo'!$A$2:$A$813,0)),"código no encontrado"))</f>
        <v/>
      </c>
      <c r="E220" s="15" t="n"/>
      <c r="F220" s="10">
        <f>IF($A220="","",IFERROR(INDEX('Catálogo'!$N$2:$N$813,MATCH($A220,'Catálogo'!$A$2:$A$813,0)),"código no encontrado"))</f>
        <v/>
      </c>
      <c r="G220" s="10">
        <f>IF(OR($E220="",$F220="",NOT(ISNUMBER($F220))),"",$E220*$F220)</f>
        <v/>
      </c>
      <c r="H220" s="4">
        <f>IF($A220="","",IFERROR(INDEX('Catálogo'!$Q$2:$Q$813,MATCH($A220,'Catálogo'!$A$2:$A$813,0)),"código no encontrado"))</f>
        <v/>
      </c>
      <c r="I220" s="10">
        <f>IF($G220="","",IF($H220="Sí",ROUND($G220/1.18,2),$G220))</f>
        <v/>
      </c>
      <c r="J220" s="14" t="n"/>
    </row>
    <row r="221">
      <c r="A221" s="14" t="n"/>
      <c r="B221" s="5">
        <f>IF($A221="","",IFERROR(INDEX('Catálogo'!$D$2:$D$813,MATCH($A221,'Catálogo'!$A$2:$A$813,0)),"código no encontrado"))</f>
        <v/>
      </c>
      <c r="C221" s="4">
        <f>IF($A221="","",IFERROR(INDEX('Catálogo'!$H$2:$H$813,MATCH($A221,'Catálogo'!$A$2:$A$813,0)),"código no encontrado"))</f>
        <v/>
      </c>
      <c r="D221" s="4">
        <f>IF($A221="","",IFERROR(INDEX('Catálogo'!$I$2:$I$813,MATCH($A221,'Catálogo'!$A$2:$A$813,0)),"código no encontrado"))</f>
        <v/>
      </c>
      <c r="E221" s="15" t="n"/>
      <c r="F221" s="10">
        <f>IF($A221="","",IFERROR(INDEX('Catálogo'!$N$2:$N$813,MATCH($A221,'Catálogo'!$A$2:$A$813,0)),"código no encontrado"))</f>
        <v/>
      </c>
      <c r="G221" s="10">
        <f>IF(OR($E221="",$F221="",NOT(ISNUMBER($F221))),"",$E221*$F221)</f>
        <v/>
      </c>
      <c r="H221" s="4">
        <f>IF($A221="","",IFERROR(INDEX('Catálogo'!$Q$2:$Q$813,MATCH($A221,'Catálogo'!$A$2:$A$813,0)),"código no encontrado"))</f>
        <v/>
      </c>
      <c r="I221" s="10">
        <f>IF($G221="","",IF($H221="Sí",ROUND($G221/1.18,2),$G221))</f>
        <v/>
      </c>
      <c r="J221" s="14" t="n"/>
    </row>
    <row r="222">
      <c r="A222" s="14" t="n"/>
      <c r="B222" s="5">
        <f>IF($A222="","",IFERROR(INDEX('Catálogo'!$D$2:$D$813,MATCH($A222,'Catálogo'!$A$2:$A$813,0)),"código no encontrado"))</f>
        <v/>
      </c>
      <c r="C222" s="4">
        <f>IF($A222="","",IFERROR(INDEX('Catálogo'!$H$2:$H$813,MATCH($A222,'Catálogo'!$A$2:$A$813,0)),"código no encontrado"))</f>
        <v/>
      </c>
      <c r="D222" s="4">
        <f>IF($A222="","",IFERROR(INDEX('Catálogo'!$I$2:$I$813,MATCH($A222,'Catálogo'!$A$2:$A$813,0)),"código no encontrado"))</f>
        <v/>
      </c>
      <c r="E222" s="15" t="n"/>
      <c r="F222" s="10">
        <f>IF($A222="","",IFERROR(INDEX('Catálogo'!$N$2:$N$813,MATCH($A222,'Catálogo'!$A$2:$A$813,0)),"código no encontrado"))</f>
        <v/>
      </c>
      <c r="G222" s="10">
        <f>IF(OR($E222="",$F222="",NOT(ISNUMBER($F222))),"",$E222*$F222)</f>
        <v/>
      </c>
      <c r="H222" s="4">
        <f>IF($A222="","",IFERROR(INDEX('Catálogo'!$Q$2:$Q$813,MATCH($A222,'Catálogo'!$A$2:$A$813,0)),"código no encontrado"))</f>
        <v/>
      </c>
      <c r="I222" s="10">
        <f>IF($G222="","",IF($H222="Sí",ROUND($G222/1.18,2),$G222))</f>
        <v/>
      </c>
      <c r="J222" s="14" t="n"/>
    </row>
    <row r="223">
      <c r="A223" s="14" t="n"/>
      <c r="B223" s="5">
        <f>IF($A223="","",IFERROR(INDEX('Catálogo'!$D$2:$D$813,MATCH($A223,'Catálogo'!$A$2:$A$813,0)),"código no encontrado"))</f>
        <v/>
      </c>
      <c r="C223" s="4">
        <f>IF($A223="","",IFERROR(INDEX('Catálogo'!$H$2:$H$813,MATCH($A223,'Catálogo'!$A$2:$A$813,0)),"código no encontrado"))</f>
        <v/>
      </c>
      <c r="D223" s="4">
        <f>IF($A223="","",IFERROR(INDEX('Catálogo'!$I$2:$I$813,MATCH($A223,'Catálogo'!$A$2:$A$813,0)),"código no encontrado"))</f>
        <v/>
      </c>
      <c r="E223" s="15" t="n"/>
      <c r="F223" s="10">
        <f>IF($A223="","",IFERROR(INDEX('Catálogo'!$N$2:$N$813,MATCH($A223,'Catálogo'!$A$2:$A$813,0)),"código no encontrado"))</f>
        <v/>
      </c>
      <c r="G223" s="10">
        <f>IF(OR($E223="",$F223="",NOT(ISNUMBER($F223))),"",$E223*$F223)</f>
        <v/>
      </c>
      <c r="H223" s="4">
        <f>IF($A223="","",IFERROR(INDEX('Catálogo'!$Q$2:$Q$813,MATCH($A223,'Catálogo'!$A$2:$A$813,0)),"código no encontrado"))</f>
        <v/>
      </c>
      <c r="I223" s="10">
        <f>IF($G223="","",IF($H223="Sí",ROUND($G223/1.18,2),$G223))</f>
        <v/>
      </c>
      <c r="J223" s="14" t="n"/>
    </row>
    <row r="224">
      <c r="A224" s="14" t="n"/>
      <c r="B224" s="5">
        <f>IF($A224="","",IFERROR(INDEX('Catálogo'!$D$2:$D$813,MATCH($A224,'Catálogo'!$A$2:$A$813,0)),"código no encontrado"))</f>
        <v/>
      </c>
      <c r="C224" s="4">
        <f>IF($A224="","",IFERROR(INDEX('Catálogo'!$H$2:$H$813,MATCH($A224,'Catálogo'!$A$2:$A$813,0)),"código no encontrado"))</f>
        <v/>
      </c>
      <c r="D224" s="4">
        <f>IF($A224="","",IFERROR(INDEX('Catálogo'!$I$2:$I$813,MATCH($A224,'Catálogo'!$A$2:$A$813,0)),"código no encontrado"))</f>
        <v/>
      </c>
      <c r="E224" s="15" t="n"/>
      <c r="F224" s="10">
        <f>IF($A224="","",IFERROR(INDEX('Catálogo'!$N$2:$N$813,MATCH($A224,'Catálogo'!$A$2:$A$813,0)),"código no encontrado"))</f>
        <v/>
      </c>
      <c r="G224" s="10">
        <f>IF(OR($E224="",$F224="",NOT(ISNUMBER($F224))),"",$E224*$F224)</f>
        <v/>
      </c>
      <c r="H224" s="4">
        <f>IF($A224="","",IFERROR(INDEX('Catálogo'!$Q$2:$Q$813,MATCH($A224,'Catálogo'!$A$2:$A$813,0)),"código no encontrado"))</f>
        <v/>
      </c>
      <c r="I224" s="10">
        <f>IF($G224="","",IF($H224="Sí",ROUND($G224/1.18,2),$G224))</f>
        <v/>
      </c>
      <c r="J224" s="14" t="n"/>
    </row>
    <row r="225">
      <c r="A225" s="14" t="n"/>
      <c r="B225" s="5">
        <f>IF($A225="","",IFERROR(INDEX('Catálogo'!$D$2:$D$813,MATCH($A225,'Catálogo'!$A$2:$A$813,0)),"código no encontrado"))</f>
        <v/>
      </c>
      <c r="C225" s="4">
        <f>IF($A225="","",IFERROR(INDEX('Catálogo'!$H$2:$H$813,MATCH($A225,'Catálogo'!$A$2:$A$813,0)),"código no encontrado"))</f>
        <v/>
      </c>
      <c r="D225" s="4">
        <f>IF($A225="","",IFERROR(INDEX('Catálogo'!$I$2:$I$813,MATCH($A225,'Catálogo'!$A$2:$A$813,0)),"código no encontrado"))</f>
        <v/>
      </c>
      <c r="E225" s="15" t="n"/>
      <c r="F225" s="10">
        <f>IF($A225="","",IFERROR(INDEX('Catálogo'!$N$2:$N$813,MATCH($A225,'Catálogo'!$A$2:$A$813,0)),"código no encontrado"))</f>
        <v/>
      </c>
      <c r="G225" s="10">
        <f>IF(OR($E225="",$F225="",NOT(ISNUMBER($F225))),"",$E225*$F225)</f>
        <v/>
      </c>
      <c r="H225" s="4">
        <f>IF($A225="","",IFERROR(INDEX('Catálogo'!$Q$2:$Q$813,MATCH($A225,'Catálogo'!$A$2:$A$813,0)),"código no encontrado"))</f>
        <v/>
      </c>
      <c r="I225" s="10">
        <f>IF($G225="","",IF($H225="Sí",ROUND($G225/1.18,2),$G225))</f>
        <v/>
      </c>
      <c r="J225" s="14" t="n"/>
    </row>
    <row r="226">
      <c r="A226" s="14" t="n"/>
      <c r="B226" s="5">
        <f>IF($A226="","",IFERROR(INDEX('Catálogo'!$D$2:$D$813,MATCH($A226,'Catálogo'!$A$2:$A$813,0)),"código no encontrado"))</f>
        <v/>
      </c>
      <c r="C226" s="4">
        <f>IF($A226="","",IFERROR(INDEX('Catálogo'!$H$2:$H$813,MATCH($A226,'Catálogo'!$A$2:$A$813,0)),"código no encontrado"))</f>
        <v/>
      </c>
      <c r="D226" s="4">
        <f>IF($A226="","",IFERROR(INDEX('Catálogo'!$I$2:$I$813,MATCH($A226,'Catálogo'!$A$2:$A$813,0)),"código no encontrado"))</f>
        <v/>
      </c>
      <c r="E226" s="15" t="n"/>
      <c r="F226" s="10">
        <f>IF($A226="","",IFERROR(INDEX('Catálogo'!$N$2:$N$813,MATCH($A226,'Catálogo'!$A$2:$A$813,0)),"código no encontrado"))</f>
        <v/>
      </c>
      <c r="G226" s="10">
        <f>IF(OR($E226="",$F226="",NOT(ISNUMBER($F226))),"",$E226*$F226)</f>
        <v/>
      </c>
      <c r="H226" s="4">
        <f>IF($A226="","",IFERROR(INDEX('Catálogo'!$Q$2:$Q$813,MATCH($A226,'Catálogo'!$A$2:$A$813,0)),"código no encontrado"))</f>
        <v/>
      </c>
      <c r="I226" s="10">
        <f>IF($G226="","",IF($H226="Sí",ROUND($G226/1.18,2),$G226))</f>
        <v/>
      </c>
      <c r="J226" s="14" t="n"/>
    </row>
    <row r="227">
      <c r="A227" s="14" t="n"/>
      <c r="B227" s="5">
        <f>IF($A227="","",IFERROR(INDEX('Catálogo'!$D$2:$D$813,MATCH($A227,'Catálogo'!$A$2:$A$813,0)),"código no encontrado"))</f>
        <v/>
      </c>
      <c r="C227" s="4">
        <f>IF($A227="","",IFERROR(INDEX('Catálogo'!$H$2:$H$813,MATCH($A227,'Catálogo'!$A$2:$A$813,0)),"código no encontrado"))</f>
        <v/>
      </c>
      <c r="D227" s="4">
        <f>IF($A227="","",IFERROR(INDEX('Catálogo'!$I$2:$I$813,MATCH($A227,'Catálogo'!$A$2:$A$813,0)),"código no encontrado"))</f>
        <v/>
      </c>
      <c r="E227" s="15" t="n"/>
      <c r="F227" s="10">
        <f>IF($A227="","",IFERROR(INDEX('Catálogo'!$N$2:$N$813,MATCH($A227,'Catálogo'!$A$2:$A$813,0)),"código no encontrado"))</f>
        <v/>
      </c>
      <c r="G227" s="10">
        <f>IF(OR($E227="",$F227="",NOT(ISNUMBER($F227))),"",$E227*$F227)</f>
        <v/>
      </c>
      <c r="H227" s="4">
        <f>IF($A227="","",IFERROR(INDEX('Catálogo'!$Q$2:$Q$813,MATCH($A227,'Catálogo'!$A$2:$A$813,0)),"código no encontrado"))</f>
        <v/>
      </c>
      <c r="I227" s="10">
        <f>IF($G227="","",IF($H227="Sí",ROUND($G227/1.18,2),$G227))</f>
        <v/>
      </c>
      <c r="J227" s="14" t="n"/>
    </row>
    <row r="228">
      <c r="A228" s="14" t="n"/>
      <c r="B228" s="5">
        <f>IF($A228="","",IFERROR(INDEX('Catálogo'!$D$2:$D$813,MATCH($A228,'Catálogo'!$A$2:$A$813,0)),"código no encontrado"))</f>
        <v/>
      </c>
      <c r="C228" s="4">
        <f>IF($A228="","",IFERROR(INDEX('Catálogo'!$H$2:$H$813,MATCH($A228,'Catálogo'!$A$2:$A$813,0)),"código no encontrado"))</f>
        <v/>
      </c>
      <c r="D228" s="4">
        <f>IF($A228="","",IFERROR(INDEX('Catálogo'!$I$2:$I$813,MATCH($A228,'Catálogo'!$A$2:$A$813,0)),"código no encontrado"))</f>
        <v/>
      </c>
      <c r="E228" s="15" t="n"/>
      <c r="F228" s="10">
        <f>IF($A228="","",IFERROR(INDEX('Catálogo'!$N$2:$N$813,MATCH($A228,'Catálogo'!$A$2:$A$813,0)),"código no encontrado"))</f>
        <v/>
      </c>
      <c r="G228" s="10">
        <f>IF(OR($E228="",$F228="",NOT(ISNUMBER($F228))),"",$E228*$F228)</f>
        <v/>
      </c>
      <c r="H228" s="4">
        <f>IF($A228="","",IFERROR(INDEX('Catálogo'!$Q$2:$Q$813,MATCH($A228,'Catálogo'!$A$2:$A$813,0)),"código no encontrado"))</f>
        <v/>
      </c>
      <c r="I228" s="10">
        <f>IF($G228="","",IF($H228="Sí",ROUND($G228/1.18,2),$G228))</f>
        <v/>
      </c>
      <c r="J228" s="14" t="n"/>
    </row>
    <row r="229">
      <c r="A229" s="14" t="n"/>
      <c r="B229" s="5">
        <f>IF($A229="","",IFERROR(INDEX('Catálogo'!$D$2:$D$813,MATCH($A229,'Catálogo'!$A$2:$A$813,0)),"código no encontrado"))</f>
        <v/>
      </c>
      <c r="C229" s="4">
        <f>IF($A229="","",IFERROR(INDEX('Catálogo'!$H$2:$H$813,MATCH($A229,'Catálogo'!$A$2:$A$813,0)),"código no encontrado"))</f>
        <v/>
      </c>
      <c r="D229" s="4">
        <f>IF($A229="","",IFERROR(INDEX('Catálogo'!$I$2:$I$813,MATCH($A229,'Catálogo'!$A$2:$A$813,0)),"código no encontrado"))</f>
        <v/>
      </c>
      <c r="E229" s="15" t="n"/>
      <c r="F229" s="10">
        <f>IF($A229="","",IFERROR(INDEX('Catálogo'!$N$2:$N$813,MATCH($A229,'Catálogo'!$A$2:$A$813,0)),"código no encontrado"))</f>
        <v/>
      </c>
      <c r="G229" s="10">
        <f>IF(OR($E229="",$F229="",NOT(ISNUMBER($F229))),"",$E229*$F229)</f>
        <v/>
      </c>
      <c r="H229" s="4">
        <f>IF($A229="","",IFERROR(INDEX('Catálogo'!$Q$2:$Q$813,MATCH($A229,'Catálogo'!$A$2:$A$813,0)),"código no encontrado"))</f>
        <v/>
      </c>
      <c r="I229" s="10">
        <f>IF($G229="","",IF($H229="Sí",ROUND($G229/1.18,2),$G229))</f>
        <v/>
      </c>
      <c r="J229" s="14" t="n"/>
    </row>
    <row r="230">
      <c r="A230" s="14" t="n"/>
      <c r="B230" s="5">
        <f>IF($A230="","",IFERROR(INDEX('Catálogo'!$D$2:$D$813,MATCH($A230,'Catálogo'!$A$2:$A$813,0)),"código no encontrado"))</f>
        <v/>
      </c>
      <c r="C230" s="4">
        <f>IF($A230="","",IFERROR(INDEX('Catálogo'!$H$2:$H$813,MATCH($A230,'Catálogo'!$A$2:$A$813,0)),"código no encontrado"))</f>
        <v/>
      </c>
      <c r="D230" s="4">
        <f>IF($A230="","",IFERROR(INDEX('Catálogo'!$I$2:$I$813,MATCH($A230,'Catálogo'!$A$2:$A$813,0)),"código no encontrado"))</f>
        <v/>
      </c>
      <c r="E230" s="15" t="n"/>
      <c r="F230" s="10">
        <f>IF($A230="","",IFERROR(INDEX('Catálogo'!$N$2:$N$813,MATCH($A230,'Catálogo'!$A$2:$A$813,0)),"código no encontrado"))</f>
        <v/>
      </c>
      <c r="G230" s="10">
        <f>IF(OR($E230="",$F230="",NOT(ISNUMBER($F230))),"",$E230*$F230)</f>
        <v/>
      </c>
      <c r="H230" s="4">
        <f>IF($A230="","",IFERROR(INDEX('Catálogo'!$Q$2:$Q$813,MATCH($A230,'Catálogo'!$A$2:$A$813,0)),"código no encontrado"))</f>
        <v/>
      </c>
      <c r="I230" s="10">
        <f>IF($G230="","",IF($H230="Sí",ROUND($G230/1.18,2),$G230))</f>
        <v/>
      </c>
      <c r="J230" s="14" t="n"/>
    </row>
    <row r="231">
      <c r="A231" s="14" t="n"/>
      <c r="B231" s="5">
        <f>IF($A231="","",IFERROR(INDEX('Catálogo'!$D$2:$D$813,MATCH($A231,'Catálogo'!$A$2:$A$813,0)),"código no encontrado"))</f>
        <v/>
      </c>
      <c r="C231" s="4">
        <f>IF($A231="","",IFERROR(INDEX('Catálogo'!$H$2:$H$813,MATCH($A231,'Catálogo'!$A$2:$A$813,0)),"código no encontrado"))</f>
        <v/>
      </c>
      <c r="D231" s="4">
        <f>IF($A231="","",IFERROR(INDEX('Catálogo'!$I$2:$I$813,MATCH($A231,'Catálogo'!$A$2:$A$813,0)),"código no encontrado"))</f>
        <v/>
      </c>
      <c r="E231" s="15" t="n"/>
      <c r="F231" s="10">
        <f>IF($A231="","",IFERROR(INDEX('Catálogo'!$N$2:$N$813,MATCH($A231,'Catálogo'!$A$2:$A$813,0)),"código no encontrado"))</f>
        <v/>
      </c>
      <c r="G231" s="10">
        <f>IF(OR($E231="",$F231="",NOT(ISNUMBER($F231))),"",$E231*$F231)</f>
        <v/>
      </c>
      <c r="H231" s="4">
        <f>IF($A231="","",IFERROR(INDEX('Catálogo'!$Q$2:$Q$813,MATCH($A231,'Catálogo'!$A$2:$A$813,0)),"código no encontrado"))</f>
        <v/>
      </c>
      <c r="I231" s="10">
        <f>IF($G231="","",IF($H231="Sí",ROUND($G231/1.18,2),$G231))</f>
        <v/>
      </c>
      <c r="J231" s="14" t="n"/>
    </row>
    <row r="232">
      <c r="A232" s="14" t="n"/>
      <c r="B232" s="5">
        <f>IF($A232="","",IFERROR(INDEX('Catálogo'!$D$2:$D$813,MATCH($A232,'Catálogo'!$A$2:$A$813,0)),"código no encontrado"))</f>
        <v/>
      </c>
      <c r="C232" s="4">
        <f>IF($A232="","",IFERROR(INDEX('Catálogo'!$H$2:$H$813,MATCH($A232,'Catálogo'!$A$2:$A$813,0)),"código no encontrado"))</f>
        <v/>
      </c>
      <c r="D232" s="4">
        <f>IF($A232="","",IFERROR(INDEX('Catálogo'!$I$2:$I$813,MATCH($A232,'Catálogo'!$A$2:$A$813,0)),"código no encontrado"))</f>
        <v/>
      </c>
      <c r="E232" s="15" t="n"/>
      <c r="F232" s="10">
        <f>IF($A232="","",IFERROR(INDEX('Catálogo'!$N$2:$N$813,MATCH($A232,'Catálogo'!$A$2:$A$813,0)),"código no encontrado"))</f>
        <v/>
      </c>
      <c r="G232" s="10">
        <f>IF(OR($E232="",$F232="",NOT(ISNUMBER($F232))),"",$E232*$F232)</f>
        <v/>
      </c>
      <c r="H232" s="4">
        <f>IF($A232="","",IFERROR(INDEX('Catálogo'!$Q$2:$Q$813,MATCH($A232,'Catálogo'!$A$2:$A$813,0)),"código no encontrado"))</f>
        <v/>
      </c>
      <c r="I232" s="10">
        <f>IF($G232="","",IF($H232="Sí",ROUND($G232/1.18,2),$G232))</f>
        <v/>
      </c>
      <c r="J232" s="14" t="n"/>
    </row>
    <row r="233">
      <c r="A233" s="14" t="n"/>
      <c r="B233" s="5">
        <f>IF($A233="","",IFERROR(INDEX('Catálogo'!$D$2:$D$813,MATCH($A233,'Catálogo'!$A$2:$A$813,0)),"código no encontrado"))</f>
        <v/>
      </c>
      <c r="C233" s="4">
        <f>IF($A233="","",IFERROR(INDEX('Catálogo'!$H$2:$H$813,MATCH($A233,'Catálogo'!$A$2:$A$813,0)),"código no encontrado"))</f>
        <v/>
      </c>
      <c r="D233" s="4">
        <f>IF($A233="","",IFERROR(INDEX('Catálogo'!$I$2:$I$813,MATCH($A233,'Catálogo'!$A$2:$A$813,0)),"código no encontrado"))</f>
        <v/>
      </c>
      <c r="E233" s="15" t="n"/>
      <c r="F233" s="10">
        <f>IF($A233="","",IFERROR(INDEX('Catálogo'!$N$2:$N$813,MATCH($A233,'Catálogo'!$A$2:$A$813,0)),"código no encontrado"))</f>
        <v/>
      </c>
      <c r="G233" s="10">
        <f>IF(OR($E233="",$F233="",NOT(ISNUMBER($F233))),"",$E233*$F233)</f>
        <v/>
      </c>
      <c r="H233" s="4">
        <f>IF($A233="","",IFERROR(INDEX('Catálogo'!$Q$2:$Q$813,MATCH($A233,'Catálogo'!$A$2:$A$813,0)),"código no encontrado"))</f>
        <v/>
      </c>
      <c r="I233" s="10">
        <f>IF($G233="","",IF($H233="Sí",ROUND($G233/1.18,2),$G233))</f>
        <v/>
      </c>
      <c r="J233" s="14" t="n"/>
    </row>
    <row r="234">
      <c r="A234" s="14" t="n"/>
      <c r="B234" s="5">
        <f>IF($A234="","",IFERROR(INDEX('Catálogo'!$D$2:$D$813,MATCH($A234,'Catálogo'!$A$2:$A$813,0)),"código no encontrado"))</f>
        <v/>
      </c>
      <c r="C234" s="4">
        <f>IF($A234="","",IFERROR(INDEX('Catálogo'!$H$2:$H$813,MATCH($A234,'Catálogo'!$A$2:$A$813,0)),"código no encontrado"))</f>
        <v/>
      </c>
      <c r="D234" s="4">
        <f>IF($A234="","",IFERROR(INDEX('Catálogo'!$I$2:$I$813,MATCH($A234,'Catálogo'!$A$2:$A$813,0)),"código no encontrado"))</f>
        <v/>
      </c>
      <c r="E234" s="15" t="n"/>
      <c r="F234" s="10">
        <f>IF($A234="","",IFERROR(INDEX('Catálogo'!$N$2:$N$813,MATCH($A234,'Catálogo'!$A$2:$A$813,0)),"código no encontrado"))</f>
        <v/>
      </c>
      <c r="G234" s="10">
        <f>IF(OR($E234="",$F234="",NOT(ISNUMBER($F234))),"",$E234*$F234)</f>
        <v/>
      </c>
      <c r="H234" s="4">
        <f>IF($A234="","",IFERROR(INDEX('Catálogo'!$Q$2:$Q$813,MATCH($A234,'Catálogo'!$A$2:$A$813,0)),"código no encontrado"))</f>
        <v/>
      </c>
      <c r="I234" s="10">
        <f>IF($G234="","",IF($H234="Sí",ROUND($G234/1.18,2),$G234))</f>
        <v/>
      </c>
      <c r="J234" s="14" t="n"/>
    </row>
    <row r="235">
      <c r="A235" s="14" t="n"/>
      <c r="B235" s="5">
        <f>IF($A235="","",IFERROR(INDEX('Catálogo'!$D$2:$D$813,MATCH($A235,'Catálogo'!$A$2:$A$813,0)),"código no encontrado"))</f>
        <v/>
      </c>
      <c r="C235" s="4">
        <f>IF($A235="","",IFERROR(INDEX('Catálogo'!$H$2:$H$813,MATCH($A235,'Catálogo'!$A$2:$A$813,0)),"código no encontrado"))</f>
        <v/>
      </c>
      <c r="D235" s="4">
        <f>IF($A235="","",IFERROR(INDEX('Catálogo'!$I$2:$I$813,MATCH($A235,'Catálogo'!$A$2:$A$813,0)),"código no encontrado"))</f>
        <v/>
      </c>
      <c r="E235" s="15" t="n"/>
      <c r="F235" s="10">
        <f>IF($A235="","",IFERROR(INDEX('Catálogo'!$N$2:$N$813,MATCH($A235,'Catálogo'!$A$2:$A$813,0)),"código no encontrado"))</f>
        <v/>
      </c>
      <c r="G235" s="10">
        <f>IF(OR($E235="",$F235="",NOT(ISNUMBER($F235))),"",$E235*$F235)</f>
        <v/>
      </c>
      <c r="H235" s="4">
        <f>IF($A235="","",IFERROR(INDEX('Catálogo'!$Q$2:$Q$813,MATCH($A235,'Catálogo'!$A$2:$A$813,0)),"código no encontrado"))</f>
        <v/>
      </c>
      <c r="I235" s="10">
        <f>IF($G235="","",IF($H235="Sí",ROUND($G235/1.18,2),$G235))</f>
        <v/>
      </c>
      <c r="J235" s="14" t="n"/>
    </row>
    <row r="236">
      <c r="A236" s="14" t="n"/>
      <c r="B236" s="5">
        <f>IF($A236="","",IFERROR(INDEX('Catálogo'!$D$2:$D$813,MATCH($A236,'Catálogo'!$A$2:$A$813,0)),"código no encontrado"))</f>
        <v/>
      </c>
      <c r="C236" s="4">
        <f>IF($A236="","",IFERROR(INDEX('Catálogo'!$H$2:$H$813,MATCH($A236,'Catálogo'!$A$2:$A$813,0)),"código no encontrado"))</f>
        <v/>
      </c>
      <c r="D236" s="4">
        <f>IF($A236="","",IFERROR(INDEX('Catálogo'!$I$2:$I$813,MATCH($A236,'Catálogo'!$A$2:$A$813,0)),"código no encontrado"))</f>
        <v/>
      </c>
      <c r="E236" s="15" t="n"/>
      <c r="F236" s="10">
        <f>IF($A236="","",IFERROR(INDEX('Catálogo'!$N$2:$N$813,MATCH($A236,'Catálogo'!$A$2:$A$813,0)),"código no encontrado"))</f>
        <v/>
      </c>
      <c r="G236" s="10">
        <f>IF(OR($E236="",$F236="",NOT(ISNUMBER($F236))),"",$E236*$F236)</f>
        <v/>
      </c>
      <c r="H236" s="4">
        <f>IF($A236="","",IFERROR(INDEX('Catálogo'!$Q$2:$Q$813,MATCH($A236,'Catálogo'!$A$2:$A$813,0)),"código no encontrado"))</f>
        <v/>
      </c>
      <c r="I236" s="10">
        <f>IF($G236="","",IF($H236="Sí",ROUND($G236/1.18,2),$G236))</f>
        <v/>
      </c>
      <c r="J236" s="14" t="n"/>
    </row>
    <row r="237">
      <c r="A237" s="14" t="n"/>
      <c r="B237" s="5">
        <f>IF($A237="","",IFERROR(INDEX('Catálogo'!$D$2:$D$813,MATCH($A237,'Catálogo'!$A$2:$A$813,0)),"código no encontrado"))</f>
        <v/>
      </c>
      <c r="C237" s="4">
        <f>IF($A237="","",IFERROR(INDEX('Catálogo'!$H$2:$H$813,MATCH($A237,'Catálogo'!$A$2:$A$813,0)),"código no encontrado"))</f>
        <v/>
      </c>
      <c r="D237" s="4">
        <f>IF($A237="","",IFERROR(INDEX('Catálogo'!$I$2:$I$813,MATCH($A237,'Catálogo'!$A$2:$A$813,0)),"código no encontrado"))</f>
        <v/>
      </c>
      <c r="E237" s="15" t="n"/>
      <c r="F237" s="10">
        <f>IF($A237="","",IFERROR(INDEX('Catálogo'!$N$2:$N$813,MATCH($A237,'Catálogo'!$A$2:$A$813,0)),"código no encontrado"))</f>
        <v/>
      </c>
      <c r="G237" s="10">
        <f>IF(OR($E237="",$F237="",NOT(ISNUMBER($F237))),"",$E237*$F237)</f>
        <v/>
      </c>
      <c r="H237" s="4">
        <f>IF($A237="","",IFERROR(INDEX('Catálogo'!$Q$2:$Q$813,MATCH($A237,'Catálogo'!$A$2:$A$813,0)),"código no encontrado"))</f>
        <v/>
      </c>
      <c r="I237" s="10">
        <f>IF($G237="","",IF($H237="Sí",ROUND($G237/1.18,2),$G237))</f>
        <v/>
      </c>
      <c r="J237" s="14" t="n"/>
    </row>
    <row r="238">
      <c r="A238" s="14" t="n"/>
      <c r="B238" s="5">
        <f>IF($A238="","",IFERROR(INDEX('Catálogo'!$D$2:$D$813,MATCH($A238,'Catálogo'!$A$2:$A$813,0)),"código no encontrado"))</f>
        <v/>
      </c>
      <c r="C238" s="4">
        <f>IF($A238="","",IFERROR(INDEX('Catálogo'!$H$2:$H$813,MATCH($A238,'Catálogo'!$A$2:$A$813,0)),"código no encontrado"))</f>
        <v/>
      </c>
      <c r="D238" s="4">
        <f>IF($A238="","",IFERROR(INDEX('Catálogo'!$I$2:$I$813,MATCH($A238,'Catálogo'!$A$2:$A$813,0)),"código no encontrado"))</f>
        <v/>
      </c>
      <c r="E238" s="15" t="n"/>
      <c r="F238" s="10">
        <f>IF($A238="","",IFERROR(INDEX('Catálogo'!$N$2:$N$813,MATCH($A238,'Catálogo'!$A$2:$A$813,0)),"código no encontrado"))</f>
        <v/>
      </c>
      <c r="G238" s="10">
        <f>IF(OR($E238="",$F238="",NOT(ISNUMBER($F238))),"",$E238*$F238)</f>
        <v/>
      </c>
      <c r="H238" s="4">
        <f>IF($A238="","",IFERROR(INDEX('Catálogo'!$Q$2:$Q$813,MATCH($A238,'Catálogo'!$A$2:$A$813,0)),"código no encontrado"))</f>
        <v/>
      </c>
      <c r="I238" s="10">
        <f>IF($G238="","",IF($H238="Sí",ROUND($G238/1.18,2),$G238))</f>
        <v/>
      </c>
      <c r="J238" s="14" t="n"/>
    </row>
    <row r="239">
      <c r="A239" s="14" t="n"/>
      <c r="B239" s="5">
        <f>IF($A239="","",IFERROR(INDEX('Catálogo'!$D$2:$D$813,MATCH($A239,'Catálogo'!$A$2:$A$813,0)),"código no encontrado"))</f>
        <v/>
      </c>
      <c r="C239" s="4">
        <f>IF($A239="","",IFERROR(INDEX('Catálogo'!$H$2:$H$813,MATCH($A239,'Catálogo'!$A$2:$A$813,0)),"código no encontrado"))</f>
        <v/>
      </c>
      <c r="D239" s="4">
        <f>IF($A239="","",IFERROR(INDEX('Catálogo'!$I$2:$I$813,MATCH($A239,'Catálogo'!$A$2:$A$813,0)),"código no encontrado"))</f>
        <v/>
      </c>
      <c r="E239" s="15" t="n"/>
      <c r="F239" s="10">
        <f>IF($A239="","",IFERROR(INDEX('Catálogo'!$N$2:$N$813,MATCH($A239,'Catálogo'!$A$2:$A$813,0)),"código no encontrado"))</f>
        <v/>
      </c>
      <c r="G239" s="10">
        <f>IF(OR($E239="",$F239="",NOT(ISNUMBER($F239))),"",$E239*$F239)</f>
        <v/>
      </c>
      <c r="H239" s="4">
        <f>IF($A239="","",IFERROR(INDEX('Catálogo'!$Q$2:$Q$813,MATCH($A239,'Catálogo'!$A$2:$A$813,0)),"código no encontrado"))</f>
        <v/>
      </c>
      <c r="I239" s="10">
        <f>IF($G239="","",IF($H239="Sí",ROUND($G239/1.18,2),$G239))</f>
        <v/>
      </c>
      <c r="J239" s="14" t="n"/>
    </row>
    <row r="240">
      <c r="A240" s="14" t="n"/>
      <c r="B240" s="5">
        <f>IF($A240="","",IFERROR(INDEX('Catálogo'!$D$2:$D$813,MATCH($A240,'Catálogo'!$A$2:$A$813,0)),"código no encontrado"))</f>
        <v/>
      </c>
      <c r="C240" s="4">
        <f>IF($A240="","",IFERROR(INDEX('Catálogo'!$H$2:$H$813,MATCH($A240,'Catálogo'!$A$2:$A$813,0)),"código no encontrado"))</f>
        <v/>
      </c>
      <c r="D240" s="4">
        <f>IF($A240="","",IFERROR(INDEX('Catálogo'!$I$2:$I$813,MATCH($A240,'Catálogo'!$A$2:$A$813,0)),"código no encontrado"))</f>
        <v/>
      </c>
      <c r="E240" s="15" t="n"/>
      <c r="F240" s="10">
        <f>IF($A240="","",IFERROR(INDEX('Catálogo'!$N$2:$N$813,MATCH($A240,'Catálogo'!$A$2:$A$813,0)),"código no encontrado"))</f>
        <v/>
      </c>
      <c r="G240" s="10">
        <f>IF(OR($E240="",$F240="",NOT(ISNUMBER($F240))),"",$E240*$F240)</f>
        <v/>
      </c>
      <c r="H240" s="4">
        <f>IF($A240="","",IFERROR(INDEX('Catálogo'!$Q$2:$Q$813,MATCH($A240,'Catálogo'!$A$2:$A$813,0)),"código no encontrado"))</f>
        <v/>
      </c>
      <c r="I240" s="10">
        <f>IF($G240="","",IF($H240="Sí",ROUND($G240/1.18,2),$G240))</f>
        <v/>
      </c>
      <c r="J240" s="14" t="n"/>
    </row>
    <row r="241">
      <c r="A241" s="14" t="n"/>
      <c r="B241" s="5">
        <f>IF($A241="","",IFERROR(INDEX('Catálogo'!$D$2:$D$813,MATCH($A241,'Catálogo'!$A$2:$A$813,0)),"código no encontrado"))</f>
        <v/>
      </c>
      <c r="C241" s="4">
        <f>IF($A241="","",IFERROR(INDEX('Catálogo'!$H$2:$H$813,MATCH($A241,'Catálogo'!$A$2:$A$813,0)),"código no encontrado"))</f>
        <v/>
      </c>
      <c r="D241" s="4">
        <f>IF($A241="","",IFERROR(INDEX('Catálogo'!$I$2:$I$813,MATCH($A241,'Catálogo'!$A$2:$A$813,0)),"código no encontrado"))</f>
        <v/>
      </c>
      <c r="E241" s="15" t="n"/>
      <c r="F241" s="10">
        <f>IF($A241="","",IFERROR(INDEX('Catálogo'!$N$2:$N$813,MATCH($A241,'Catálogo'!$A$2:$A$813,0)),"código no encontrado"))</f>
        <v/>
      </c>
      <c r="G241" s="10">
        <f>IF(OR($E241="",$F241="",NOT(ISNUMBER($F241))),"",$E241*$F241)</f>
        <v/>
      </c>
      <c r="H241" s="4">
        <f>IF($A241="","",IFERROR(INDEX('Catálogo'!$Q$2:$Q$813,MATCH($A241,'Catálogo'!$A$2:$A$813,0)),"código no encontrado"))</f>
        <v/>
      </c>
      <c r="I241" s="10">
        <f>IF($G241="","",IF($H241="Sí",ROUND($G241/1.18,2),$G241))</f>
        <v/>
      </c>
      <c r="J241" s="14" t="n"/>
    </row>
    <row r="242">
      <c r="A242" s="14" t="n"/>
      <c r="B242" s="5">
        <f>IF($A242="","",IFERROR(INDEX('Catálogo'!$D$2:$D$813,MATCH($A242,'Catálogo'!$A$2:$A$813,0)),"código no encontrado"))</f>
        <v/>
      </c>
      <c r="C242" s="4">
        <f>IF($A242="","",IFERROR(INDEX('Catálogo'!$H$2:$H$813,MATCH($A242,'Catálogo'!$A$2:$A$813,0)),"código no encontrado"))</f>
        <v/>
      </c>
      <c r="D242" s="4">
        <f>IF($A242="","",IFERROR(INDEX('Catálogo'!$I$2:$I$813,MATCH($A242,'Catálogo'!$A$2:$A$813,0)),"código no encontrado"))</f>
        <v/>
      </c>
      <c r="E242" s="15" t="n"/>
      <c r="F242" s="10">
        <f>IF($A242="","",IFERROR(INDEX('Catálogo'!$N$2:$N$813,MATCH($A242,'Catálogo'!$A$2:$A$813,0)),"código no encontrado"))</f>
        <v/>
      </c>
      <c r="G242" s="10">
        <f>IF(OR($E242="",$F242="",NOT(ISNUMBER($F242))),"",$E242*$F242)</f>
        <v/>
      </c>
      <c r="H242" s="4">
        <f>IF($A242="","",IFERROR(INDEX('Catálogo'!$Q$2:$Q$813,MATCH($A242,'Catálogo'!$A$2:$A$813,0)),"código no encontrado"))</f>
        <v/>
      </c>
      <c r="I242" s="10">
        <f>IF($G242="","",IF($H242="Sí",ROUND($G242/1.18,2),$G242))</f>
        <v/>
      </c>
      <c r="J242" s="14" t="n"/>
    </row>
    <row r="243">
      <c r="A243" s="14" t="n"/>
      <c r="B243" s="5">
        <f>IF($A243="","",IFERROR(INDEX('Catálogo'!$D$2:$D$813,MATCH($A243,'Catálogo'!$A$2:$A$813,0)),"código no encontrado"))</f>
        <v/>
      </c>
      <c r="C243" s="4">
        <f>IF($A243="","",IFERROR(INDEX('Catálogo'!$H$2:$H$813,MATCH($A243,'Catálogo'!$A$2:$A$813,0)),"código no encontrado"))</f>
        <v/>
      </c>
      <c r="D243" s="4">
        <f>IF($A243="","",IFERROR(INDEX('Catálogo'!$I$2:$I$813,MATCH($A243,'Catálogo'!$A$2:$A$813,0)),"código no encontrado"))</f>
        <v/>
      </c>
      <c r="E243" s="15" t="n"/>
      <c r="F243" s="10">
        <f>IF($A243="","",IFERROR(INDEX('Catálogo'!$N$2:$N$813,MATCH($A243,'Catálogo'!$A$2:$A$813,0)),"código no encontrado"))</f>
        <v/>
      </c>
      <c r="G243" s="10">
        <f>IF(OR($E243="",$F243="",NOT(ISNUMBER($F243))),"",$E243*$F243)</f>
        <v/>
      </c>
      <c r="H243" s="4">
        <f>IF($A243="","",IFERROR(INDEX('Catálogo'!$Q$2:$Q$813,MATCH($A243,'Catálogo'!$A$2:$A$813,0)),"código no encontrado"))</f>
        <v/>
      </c>
      <c r="I243" s="10">
        <f>IF($G243="","",IF($H243="Sí",ROUND($G243/1.18,2),$G243))</f>
        <v/>
      </c>
      <c r="J243" s="14" t="n"/>
    </row>
    <row r="244">
      <c r="A244" s="14" t="n"/>
      <c r="B244" s="5">
        <f>IF($A244="","",IFERROR(INDEX('Catálogo'!$D$2:$D$813,MATCH($A244,'Catálogo'!$A$2:$A$813,0)),"código no encontrado"))</f>
        <v/>
      </c>
      <c r="C244" s="4">
        <f>IF($A244="","",IFERROR(INDEX('Catálogo'!$H$2:$H$813,MATCH($A244,'Catálogo'!$A$2:$A$813,0)),"código no encontrado"))</f>
        <v/>
      </c>
      <c r="D244" s="4">
        <f>IF($A244="","",IFERROR(INDEX('Catálogo'!$I$2:$I$813,MATCH($A244,'Catálogo'!$A$2:$A$813,0)),"código no encontrado"))</f>
        <v/>
      </c>
      <c r="E244" s="15" t="n"/>
      <c r="F244" s="10">
        <f>IF($A244="","",IFERROR(INDEX('Catálogo'!$N$2:$N$813,MATCH($A244,'Catálogo'!$A$2:$A$813,0)),"código no encontrado"))</f>
        <v/>
      </c>
      <c r="G244" s="10">
        <f>IF(OR($E244="",$F244="",NOT(ISNUMBER($F244))),"",$E244*$F244)</f>
        <v/>
      </c>
      <c r="H244" s="4">
        <f>IF($A244="","",IFERROR(INDEX('Catálogo'!$Q$2:$Q$813,MATCH($A244,'Catálogo'!$A$2:$A$813,0)),"código no encontrado"))</f>
        <v/>
      </c>
      <c r="I244" s="10">
        <f>IF($G244="","",IF($H244="Sí",ROUND($G244/1.18,2),$G244))</f>
        <v/>
      </c>
      <c r="J244" s="14" t="n"/>
    </row>
    <row r="245">
      <c r="A245" s="14" t="n"/>
      <c r="B245" s="5">
        <f>IF($A245="","",IFERROR(INDEX('Catálogo'!$D$2:$D$813,MATCH($A245,'Catálogo'!$A$2:$A$813,0)),"código no encontrado"))</f>
        <v/>
      </c>
      <c r="C245" s="4">
        <f>IF($A245="","",IFERROR(INDEX('Catálogo'!$H$2:$H$813,MATCH($A245,'Catálogo'!$A$2:$A$813,0)),"código no encontrado"))</f>
        <v/>
      </c>
      <c r="D245" s="4">
        <f>IF($A245="","",IFERROR(INDEX('Catálogo'!$I$2:$I$813,MATCH($A245,'Catálogo'!$A$2:$A$813,0)),"código no encontrado"))</f>
        <v/>
      </c>
      <c r="E245" s="15" t="n"/>
      <c r="F245" s="10">
        <f>IF($A245="","",IFERROR(INDEX('Catálogo'!$N$2:$N$813,MATCH($A245,'Catálogo'!$A$2:$A$813,0)),"código no encontrado"))</f>
        <v/>
      </c>
      <c r="G245" s="10">
        <f>IF(OR($E245="",$F245="",NOT(ISNUMBER($F245))),"",$E245*$F245)</f>
        <v/>
      </c>
      <c r="H245" s="4">
        <f>IF($A245="","",IFERROR(INDEX('Catálogo'!$Q$2:$Q$813,MATCH($A245,'Catálogo'!$A$2:$A$813,0)),"código no encontrado"))</f>
        <v/>
      </c>
      <c r="I245" s="10">
        <f>IF($G245="","",IF($H245="Sí",ROUND($G245/1.18,2),$G245))</f>
        <v/>
      </c>
      <c r="J245" s="14" t="n"/>
    </row>
    <row r="246">
      <c r="A246" s="14" t="n"/>
      <c r="B246" s="5">
        <f>IF($A246="","",IFERROR(INDEX('Catálogo'!$D$2:$D$813,MATCH($A246,'Catálogo'!$A$2:$A$813,0)),"código no encontrado"))</f>
        <v/>
      </c>
      <c r="C246" s="4">
        <f>IF($A246="","",IFERROR(INDEX('Catálogo'!$H$2:$H$813,MATCH($A246,'Catálogo'!$A$2:$A$813,0)),"código no encontrado"))</f>
        <v/>
      </c>
      <c r="D246" s="4">
        <f>IF($A246="","",IFERROR(INDEX('Catálogo'!$I$2:$I$813,MATCH($A246,'Catálogo'!$A$2:$A$813,0)),"código no encontrado"))</f>
        <v/>
      </c>
      <c r="E246" s="15" t="n"/>
      <c r="F246" s="10">
        <f>IF($A246="","",IFERROR(INDEX('Catálogo'!$N$2:$N$813,MATCH($A246,'Catálogo'!$A$2:$A$813,0)),"código no encontrado"))</f>
        <v/>
      </c>
      <c r="G246" s="10">
        <f>IF(OR($E246="",$F246="",NOT(ISNUMBER($F246))),"",$E246*$F246)</f>
        <v/>
      </c>
      <c r="H246" s="4">
        <f>IF($A246="","",IFERROR(INDEX('Catálogo'!$Q$2:$Q$813,MATCH($A246,'Catálogo'!$A$2:$A$813,0)),"código no encontrado"))</f>
        <v/>
      </c>
      <c r="I246" s="10">
        <f>IF($G246="","",IF($H246="Sí",ROUND($G246/1.18,2),$G246))</f>
        <v/>
      </c>
      <c r="J246" s="14" t="n"/>
    </row>
    <row r="247">
      <c r="A247" s="14" t="n"/>
      <c r="B247" s="5">
        <f>IF($A247="","",IFERROR(INDEX('Catálogo'!$D$2:$D$813,MATCH($A247,'Catálogo'!$A$2:$A$813,0)),"código no encontrado"))</f>
        <v/>
      </c>
      <c r="C247" s="4">
        <f>IF($A247="","",IFERROR(INDEX('Catálogo'!$H$2:$H$813,MATCH($A247,'Catálogo'!$A$2:$A$813,0)),"código no encontrado"))</f>
        <v/>
      </c>
      <c r="D247" s="4">
        <f>IF($A247="","",IFERROR(INDEX('Catálogo'!$I$2:$I$813,MATCH($A247,'Catálogo'!$A$2:$A$813,0)),"código no encontrado"))</f>
        <v/>
      </c>
      <c r="E247" s="15" t="n"/>
      <c r="F247" s="10">
        <f>IF($A247="","",IFERROR(INDEX('Catálogo'!$N$2:$N$813,MATCH($A247,'Catálogo'!$A$2:$A$813,0)),"código no encontrado"))</f>
        <v/>
      </c>
      <c r="G247" s="10">
        <f>IF(OR($E247="",$F247="",NOT(ISNUMBER($F247))),"",$E247*$F247)</f>
        <v/>
      </c>
      <c r="H247" s="4">
        <f>IF($A247="","",IFERROR(INDEX('Catálogo'!$Q$2:$Q$813,MATCH($A247,'Catálogo'!$A$2:$A$813,0)),"código no encontrado"))</f>
        <v/>
      </c>
      <c r="I247" s="10">
        <f>IF($G247="","",IF($H247="Sí",ROUND($G247/1.18,2),$G247))</f>
        <v/>
      </c>
      <c r="J247" s="14" t="n"/>
    </row>
    <row r="248">
      <c r="A248" s="14" t="n"/>
      <c r="B248" s="5">
        <f>IF($A248="","",IFERROR(INDEX('Catálogo'!$D$2:$D$813,MATCH($A248,'Catálogo'!$A$2:$A$813,0)),"código no encontrado"))</f>
        <v/>
      </c>
      <c r="C248" s="4">
        <f>IF($A248="","",IFERROR(INDEX('Catálogo'!$H$2:$H$813,MATCH($A248,'Catálogo'!$A$2:$A$813,0)),"código no encontrado"))</f>
        <v/>
      </c>
      <c r="D248" s="4">
        <f>IF($A248="","",IFERROR(INDEX('Catálogo'!$I$2:$I$813,MATCH($A248,'Catálogo'!$A$2:$A$813,0)),"código no encontrado"))</f>
        <v/>
      </c>
      <c r="E248" s="15" t="n"/>
      <c r="F248" s="10">
        <f>IF($A248="","",IFERROR(INDEX('Catálogo'!$N$2:$N$813,MATCH($A248,'Catálogo'!$A$2:$A$813,0)),"código no encontrado"))</f>
        <v/>
      </c>
      <c r="G248" s="10">
        <f>IF(OR($E248="",$F248="",NOT(ISNUMBER($F248))),"",$E248*$F248)</f>
        <v/>
      </c>
      <c r="H248" s="4">
        <f>IF($A248="","",IFERROR(INDEX('Catálogo'!$Q$2:$Q$813,MATCH($A248,'Catálogo'!$A$2:$A$813,0)),"código no encontrado"))</f>
        <v/>
      </c>
      <c r="I248" s="10">
        <f>IF($G248="","",IF($H248="Sí",ROUND($G248/1.18,2),$G248))</f>
        <v/>
      </c>
      <c r="J248" s="14" t="n"/>
    </row>
    <row r="249">
      <c r="A249" s="14" t="n"/>
      <c r="B249" s="5">
        <f>IF($A249="","",IFERROR(INDEX('Catálogo'!$D$2:$D$813,MATCH($A249,'Catálogo'!$A$2:$A$813,0)),"código no encontrado"))</f>
        <v/>
      </c>
      <c r="C249" s="4">
        <f>IF($A249="","",IFERROR(INDEX('Catálogo'!$H$2:$H$813,MATCH($A249,'Catálogo'!$A$2:$A$813,0)),"código no encontrado"))</f>
        <v/>
      </c>
      <c r="D249" s="4">
        <f>IF($A249="","",IFERROR(INDEX('Catálogo'!$I$2:$I$813,MATCH($A249,'Catálogo'!$A$2:$A$813,0)),"código no encontrado"))</f>
        <v/>
      </c>
      <c r="E249" s="15" t="n"/>
      <c r="F249" s="10">
        <f>IF($A249="","",IFERROR(INDEX('Catálogo'!$N$2:$N$813,MATCH($A249,'Catálogo'!$A$2:$A$813,0)),"código no encontrado"))</f>
        <v/>
      </c>
      <c r="G249" s="10">
        <f>IF(OR($E249="",$F249="",NOT(ISNUMBER($F249))),"",$E249*$F249)</f>
        <v/>
      </c>
      <c r="H249" s="4">
        <f>IF($A249="","",IFERROR(INDEX('Catálogo'!$Q$2:$Q$813,MATCH($A249,'Catálogo'!$A$2:$A$813,0)),"código no encontrado"))</f>
        <v/>
      </c>
      <c r="I249" s="10">
        <f>IF($G249="","",IF($H249="Sí",ROUND($G249/1.18,2),$G249))</f>
        <v/>
      </c>
      <c r="J249" s="14" t="n"/>
    </row>
    <row r="250">
      <c r="A250" s="14" t="n"/>
      <c r="B250" s="5">
        <f>IF($A250="","",IFERROR(INDEX('Catálogo'!$D$2:$D$813,MATCH($A250,'Catálogo'!$A$2:$A$813,0)),"código no encontrado"))</f>
        <v/>
      </c>
      <c r="C250" s="4">
        <f>IF($A250="","",IFERROR(INDEX('Catálogo'!$H$2:$H$813,MATCH($A250,'Catálogo'!$A$2:$A$813,0)),"código no encontrado"))</f>
        <v/>
      </c>
      <c r="D250" s="4">
        <f>IF($A250="","",IFERROR(INDEX('Catálogo'!$I$2:$I$813,MATCH($A250,'Catálogo'!$A$2:$A$813,0)),"código no encontrado"))</f>
        <v/>
      </c>
      <c r="E250" s="15" t="n"/>
      <c r="F250" s="10">
        <f>IF($A250="","",IFERROR(INDEX('Catálogo'!$N$2:$N$813,MATCH($A250,'Catálogo'!$A$2:$A$813,0)),"código no encontrado"))</f>
        <v/>
      </c>
      <c r="G250" s="10">
        <f>IF(OR($E250="",$F250="",NOT(ISNUMBER($F250))),"",$E250*$F250)</f>
        <v/>
      </c>
      <c r="H250" s="4">
        <f>IF($A250="","",IFERROR(INDEX('Catálogo'!$Q$2:$Q$813,MATCH($A250,'Catálogo'!$A$2:$A$813,0)),"código no encontrado"))</f>
        <v/>
      </c>
      <c r="I250" s="10">
        <f>IF($G250="","",IF($H250="Sí",ROUND($G250/1.18,2),$G250))</f>
        <v/>
      </c>
      <c r="J250" s="14" t="n"/>
    </row>
    <row r="251">
      <c r="A251" s="14" t="n"/>
      <c r="B251" s="5">
        <f>IF($A251="","",IFERROR(INDEX('Catálogo'!$D$2:$D$813,MATCH($A251,'Catálogo'!$A$2:$A$813,0)),"código no encontrado"))</f>
        <v/>
      </c>
      <c r="C251" s="4">
        <f>IF($A251="","",IFERROR(INDEX('Catálogo'!$H$2:$H$813,MATCH($A251,'Catálogo'!$A$2:$A$813,0)),"código no encontrado"))</f>
        <v/>
      </c>
      <c r="D251" s="4">
        <f>IF($A251="","",IFERROR(INDEX('Catálogo'!$I$2:$I$813,MATCH($A251,'Catálogo'!$A$2:$A$813,0)),"código no encontrado"))</f>
        <v/>
      </c>
      <c r="E251" s="15" t="n"/>
      <c r="F251" s="10">
        <f>IF($A251="","",IFERROR(INDEX('Catálogo'!$N$2:$N$813,MATCH($A251,'Catálogo'!$A$2:$A$813,0)),"código no encontrado"))</f>
        <v/>
      </c>
      <c r="G251" s="10">
        <f>IF(OR($E251="",$F251="",NOT(ISNUMBER($F251))),"",$E251*$F251)</f>
        <v/>
      </c>
      <c r="H251" s="4">
        <f>IF($A251="","",IFERROR(INDEX('Catálogo'!$Q$2:$Q$813,MATCH($A251,'Catálogo'!$A$2:$A$813,0)),"código no encontrado"))</f>
        <v/>
      </c>
      <c r="I251" s="10">
        <f>IF($G251="","",IF($H251="Sí",ROUND($G251/1.18,2),$G251))</f>
        <v/>
      </c>
      <c r="J251" s="14" t="n"/>
    </row>
    <row r="252">
      <c r="A252" s="14" t="n"/>
      <c r="B252" s="5">
        <f>IF($A252="","",IFERROR(INDEX('Catálogo'!$D$2:$D$813,MATCH($A252,'Catálogo'!$A$2:$A$813,0)),"código no encontrado"))</f>
        <v/>
      </c>
      <c r="C252" s="4">
        <f>IF($A252="","",IFERROR(INDEX('Catálogo'!$H$2:$H$813,MATCH($A252,'Catálogo'!$A$2:$A$813,0)),"código no encontrado"))</f>
        <v/>
      </c>
      <c r="D252" s="4">
        <f>IF($A252="","",IFERROR(INDEX('Catálogo'!$I$2:$I$813,MATCH($A252,'Catálogo'!$A$2:$A$813,0)),"código no encontrado"))</f>
        <v/>
      </c>
      <c r="E252" s="15" t="n"/>
      <c r="F252" s="10">
        <f>IF($A252="","",IFERROR(INDEX('Catálogo'!$N$2:$N$813,MATCH($A252,'Catálogo'!$A$2:$A$813,0)),"código no encontrado"))</f>
        <v/>
      </c>
      <c r="G252" s="10">
        <f>IF(OR($E252="",$F252="",NOT(ISNUMBER($F252))),"",$E252*$F252)</f>
        <v/>
      </c>
      <c r="H252" s="4">
        <f>IF($A252="","",IFERROR(INDEX('Catálogo'!$Q$2:$Q$813,MATCH($A252,'Catálogo'!$A$2:$A$813,0)),"código no encontrado"))</f>
        <v/>
      </c>
      <c r="I252" s="10">
        <f>IF($G252="","",IF($H252="Sí",ROUND($G252/1.18,2),$G252))</f>
        <v/>
      </c>
      <c r="J252" s="14" t="n"/>
    </row>
    <row r="253">
      <c r="A253" s="14" t="n"/>
      <c r="B253" s="5">
        <f>IF($A253="","",IFERROR(INDEX('Catálogo'!$D$2:$D$813,MATCH($A253,'Catálogo'!$A$2:$A$813,0)),"código no encontrado"))</f>
        <v/>
      </c>
      <c r="C253" s="4">
        <f>IF($A253="","",IFERROR(INDEX('Catálogo'!$H$2:$H$813,MATCH($A253,'Catálogo'!$A$2:$A$813,0)),"código no encontrado"))</f>
        <v/>
      </c>
      <c r="D253" s="4">
        <f>IF($A253="","",IFERROR(INDEX('Catálogo'!$I$2:$I$813,MATCH($A253,'Catálogo'!$A$2:$A$813,0)),"código no encontrado"))</f>
        <v/>
      </c>
      <c r="E253" s="15" t="n"/>
      <c r="F253" s="10">
        <f>IF($A253="","",IFERROR(INDEX('Catálogo'!$N$2:$N$813,MATCH($A253,'Catálogo'!$A$2:$A$813,0)),"código no encontrado"))</f>
        <v/>
      </c>
      <c r="G253" s="10">
        <f>IF(OR($E253="",$F253="",NOT(ISNUMBER($F253))),"",$E253*$F253)</f>
        <v/>
      </c>
      <c r="H253" s="4">
        <f>IF($A253="","",IFERROR(INDEX('Catálogo'!$Q$2:$Q$813,MATCH($A253,'Catálogo'!$A$2:$A$813,0)),"código no encontrado"))</f>
        <v/>
      </c>
      <c r="I253" s="10">
        <f>IF($G253="","",IF($H253="Sí",ROUND($G253/1.18,2),$G253))</f>
        <v/>
      </c>
      <c r="J253" s="14" t="n"/>
    </row>
    <row r="254">
      <c r="A254" s="14" t="n"/>
      <c r="B254" s="5">
        <f>IF($A254="","",IFERROR(INDEX('Catálogo'!$D$2:$D$813,MATCH($A254,'Catálogo'!$A$2:$A$813,0)),"código no encontrado"))</f>
        <v/>
      </c>
      <c r="C254" s="4">
        <f>IF($A254="","",IFERROR(INDEX('Catálogo'!$H$2:$H$813,MATCH($A254,'Catálogo'!$A$2:$A$813,0)),"código no encontrado"))</f>
        <v/>
      </c>
      <c r="D254" s="4">
        <f>IF($A254="","",IFERROR(INDEX('Catálogo'!$I$2:$I$813,MATCH($A254,'Catálogo'!$A$2:$A$813,0)),"código no encontrado"))</f>
        <v/>
      </c>
      <c r="E254" s="15" t="n"/>
      <c r="F254" s="10">
        <f>IF($A254="","",IFERROR(INDEX('Catálogo'!$N$2:$N$813,MATCH($A254,'Catálogo'!$A$2:$A$813,0)),"código no encontrado"))</f>
        <v/>
      </c>
      <c r="G254" s="10">
        <f>IF(OR($E254="",$F254="",NOT(ISNUMBER($F254))),"",$E254*$F254)</f>
        <v/>
      </c>
      <c r="H254" s="4">
        <f>IF($A254="","",IFERROR(INDEX('Catálogo'!$Q$2:$Q$813,MATCH($A254,'Catálogo'!$A$2:$A$813,0)),"código no encontrado"))</f>
        <v/>
      </c>
      <c r="I254" s="10">
        <f>IF($G254="","",IF($H254="Sí",ROUND($G254/1.18,2),$G254))</f>
        <v/>
      </c>
      <c r="J254" s="14" t="n"/>
    </row>
    <row r="255">
      <c r="A255" s="14" t="n"/>
      <c r="B255" s="5">
        <f>IF($A255="","",IFERROR(INDEX('Catálogo'!$D$2:$D$813,MATCH($A255,'Catálogo'!$A$2:$A$813,0)),"código no encontrado"))</f>
        <v/>
      </c>
      <c r="C255" s="4">
        <f>IF($A255="","",IFERROR(INDEX('Catálogo'!$H$2:$H$813,MATCH($A255,'Catálogo'!$A$2:$A$813,0)),"código no encontrado"))</f>
        <v/>
      </c>
      <c r="D255" s="4">
        <f>IF($A255="","",IFERROR(INDEX('Catálogo'!$I$2:$I$813,MATCH($A255,'Catálogo'!$A$2:$A$813,0)),"código no encontrado"))</f>
        <v/>
      </c>
      <c r="E255" s="15" t="n"/>
      <c r="F255" s="10">
        <f>IF($A255="","",IFERROR(INDEX('Catálogo'!$N$2:$N$813,MATCH($A255,'Catálogo'!$A$2:$A$813,0)),"código no encontrado"))</f>
        <v/>
      </c>
      <c r="G255" s="10">
        <f>IF(OR($E255="",$F255="",NOT(ISNUMBER($F255))),"",$E255*$F255)</f>
        <v/>
      </c>
      <c r="H255" s="4">
        <f>IF($A255="","",IFERROR(INDEX('Catálogo'!$Q$2:$Q$813,MATCH($A255,'Catálogo'!$A$2:$A$813,0)),"código no encontrado"))</f>
        <v/>
      </c>
      <c r="I255" s="10">
        <f>IF($G255="","",IF($H255="Sí",ROUND($G255/1.18,2),$G255))</f>
        <v/>
      </c>
      <c r="J255" s="14" t="n"/>
    </row>
    <row r="256">
      <c r="A256" s="14" t="n"/>
      <c r="B256" s="5">
        <f>IF($A256="","",IFERROR(INDEX('Catálogo'!$D$2:$D$813,MATCH($A256,'Catálogo'!$A$2:$A$813,0)),"código no encontrado"))</f>
        <v/>
      </c>
      <c r="C256" s="4">
        <f>IF($A256="","",IFERROR(INDEX('Catálogo'!$H$2:$H$813,MATCH($A256,'Catálogo'!$A$2:$A$813,0)),"código no encontrado"))</f>
        <v/>
      </c>
      <c r="D256" s="4">
        <f>IF($A256="","",IFERROR(INDEX('Catálogo'!$I$2:$I$813,MATCH($A256,'Catálogo'!$A$2:$A$813,0)),"código no encontrado"))</f>
        <v/>
      </c>
      <c r="E256" s="15" t="n"/>
      <c r="F256" s="10">
        <f>IF($A256="","",IFERROR(INDEX('Catálogo'!$N$2:$N$813,MATCH($A256,'Catálogo'!$A$2:$A$813,0)),"código no encontrado"))</f>
        <v/>
      </c>
      <c r="G256" s="10">
        <f>IF(OR($E256="",$F256="",NOT(ISNUMBER($F256))),"",$E256*$F256)</f>
        <v/>
      </c>
      <c r="H256" s="4">
        <f>IF($A256="","",IFERROR(INDEX('Catálogo'!$Q$2:$Q$813,MATCH($A256,'Catálogo'!$A$2:$A$813,0)),"código no encontrado"))</f>
        <v/>
      </c>
      <c r="I256" s="10">
        <f>IF($G256="","",IF($H256="Sí",ROUND($G256/1.18,2),$G256))</f>
        <v/>
      </c>
      <c r="J256" s="14" t="n"/>
    </row>
    <row r="257">
      <c r="A257" s="14" t="n"/>
      <c r="B257" s="5">
        <f>IF($A257="","",IFERROR(INDEX('Catálogo'!$D$2:$D$813,MATCH($A257,'Catálogo'!$A$2:$A$813,0)),"código no encontrado"))</f>
        <v/>
      </c>
      <c r="C257" s="4">
        <f>IF($A257="","",IFERROR(INDEX('Catálogo'!$H$2:$H$813,MATCH($A257,'Catálogo'!$A$2:$A$813,0)),"código no encontrado"))</f>
        <v/>
      </c>
      <c r="D257" s="4">
        <f>IF($A257="","",IFERROR(INDEX('Catálogo'!$I$2:$I$813,MATCH($A257,'Catálogo'!$A$2:$A$813,0)),"código no encontrado"))</f>
        <v/>
      </c>
      <c r="E257" s="15" t="n"/>
      <c r="F257" s="10">
        <f>IF($A257="","",IFERROR(INDEX('Catálogo'!$N$2:$N$813,MATCH($A257,'Catálogo'!$A$2:$A$813,0)),"código no encontrado"))</f>
        <v/>
      </c>
      <c r="G257" s="10">
        <f>IF(OR($E257="",$F257="",NOT(ISNUMBER($F257))),"",$E257*$F257)</f>
        <v/>
      </c>
      <c r="H257" s="4">
        <f>IF($A257="","",IFERROR(INDEX('Catálogo'!$Q$2:$Q$813,MATCH($A257,'Catálogo'!$A$2:$A$813,0)),"código no encontrado"))</f>
        <v/>
      </c>
      <c r="I257" s="10">
        <f>IF($G257="","",IF($H257="Sí",ROUND($G257/1.18,2),$G257))</f>
        <v/>
      </c>
      <c r="J257" s="14" t="n"/>
    </row>
    <row r="258">
      <c r="A258" s="14" t="n"/>
      <c r="B258" s="5">
        <f>IF($A258="","",IFERROR(INDEX('Catálogo'!$D$2:$D$813,MATCH($A258,'Catálogo'!$A$2:$A$813,0)),"código no encontrado"))</f>
        <v/>
      </c>
      <c r="C258" s="4">
        <f>IF($A258="","",IFERROR(INDEX('Catálogo'!$H$2:$H$813,MATCH($A258,'Catálogo'!$A$2:$A$813,0)),"código no encontrado"))</f>
        <v/>
      </c>
      <c r="D258" s="4">
        <f>IF($A258="","",IFERROR(INDEX('Catálogo'!$I$2:$I$813,MATCH($A258,'Catálogo'!$A$2:$A$813,0)),"código no encontrado"))</f>
        <v/>
      </c>
      <c r="E258" s="15" t="n"/>
      <c r="F258" s="10">
        <f>IF($A258="","",IFERROR(INDEX('Catálogo'!$N$2:$N$813,MATCH($A258,'Catálogo'!$A$2:$A$813,0)),"código no encontrado"))</f>
        <v/>
      </c>
      <c r="G258" s="10">
        <f>IF(OR($E258="",$F258="",NOT(ISNUMBER($F258))),"",$E258*$F258)</f>
        <v/>
      </c>
      <c r="H258" s="4">
        <f>IF($A258="","",IFERROR(INDEX('Catálogo'!$Q$2:$Q$813,MATCH($A258,'Catálogo'!$A$2:$A$813,0)),"código no encontrado"))</f>
        <v/>
      </c>
      <c r="I258" s="10">
        <f>IF($G258="","",IF($H258="Sí",ROUND($G258/1.18,2),$G258))</f>
        <v/>
      </c>
      <c r="J258" s="14" t="n"/>
    </row>
    <row r="259">
      <c r="A259" s="14" t="n"/>
      <c r="B259" s="5">
        <f>IF($A259="","",IFERROR(INDEX('Catálogo'!$D$2:$D$813,MATCH($A259,'Catálogo'!$A$2:$A$813,0)),"código no encontrado"))</f>
        <v/>
      </c>
      <c r="C259" s="4">
        <f>IF($A259="","",IFERROR(INDEX('Catálogo'!$H$2:$H$813,MATCH($A259,'Catálogo'!$A$2:$A$813,0)),"código no encontrado"))</f>
        <v/>
      </c>
      <c r="D259" s="4">
        <f>IF($A259="","",IFERROR(INDEX('Catálogo'!$I$2:$I$813,MATCH($A259,'Catálogo'!$A$2:$A$813,0)),"código no encontrado"))</f>
        <v/>
      </c>
      <c r="E259" s="15" t="n"/>
      <c r="F259" s="10">
        <f>IF($A259="","",IFERROR(INDEX('Catálogo'!$N$2:$N$813,MATCH($A259,'Catálogo'!$A$2:$A$813,0)),"código no encontrado"))</f>
        <v/>
      </c>
      <c r="G259" s="10">
        <f>IF(OR($E259="",$F259="",NOT(ISNUMBER($F259))),"",$E259*$F259)</f>
        <v/>
      </c>
      <c r="H259" s="4">
        <f>IF($A259="","",IFERROR(INDEX('Catálogo'!$Q$2:$Q$813,MATCH($A259,'Catálogo'!$A$2:$A$813,0)),"código no encontrado"))</f>
        <v/>
      </c>
      <c r="I259" s="10">
        <f>IF($G259="","",IF($H259="Sí",ROUND($G259/1.18,2),$G259))</f>
        <v/>
      </c>
      <c r="J259" s="14" t="n"/>
    </row>
    <row r="260">
      <c r="A260" s="14" t="n"/>
      <c r="B260" s="5">
        <f>IF($A260="","",IFERROR(INDEX('Catálogo'!$D$2:$D$813,MATCH($A260,'Catálogo'!$A$2:$A$813,0)),"código no encontrado"))</f>
        <v/>
      </c>
      <c r="C260" s="4">
        <f>IF($A260="","",IFERROR(INDEX('Catálogo'!$H$2:$H$813,MATCH($A260,'Catálogo'!$A$2:$A$813,0)),"código no encontrado"))</f>
        <v/>
      </c>
      <c r="D260" s="4">
        <f>IF($A260="","",IFERROR(INDEX('Catálogo'!$I$2:$I$813,MATCH($A260,'Catálogo'!$A$2:$A$813,0)),"código no encontrado"))</f>
        <v/>
      </c>
      <c r="E260" s="15" t="n"/>
      <c r="F260" s="10">
        <f>IF($A260="","",IFERROR(INDEX('Catálogo'!$N$2:$N$813,MATCH($A260,'Catálogo'!$A$2:$A$813,0)),"código no encontrado"))</f>
        <v/>
      </c>
      <c r="G260" s="10">
        <f>IF(OR($E260="",$F260="",NOT(ISNUMBER($F260))),"",$E260*$F260)</f>
        <v/>
      </c>
      <c r="H260" s="4">
        <f>IF($A260="","",IFERROR(INDEX('Catálogo'!$Q$2:$Q$813,MATCH($A260,'Catálogo'!$A$2:$A$813,0)),"código no encontrado"))</f>
        <v/>
      </c>
      <c r="I260" s="10">
        <f>IF($G260="","",IF($H260="Sí",ROUND($G260/1.18,2),$G260))</f>
        <v/>
      </c>
      <c r="J260" s="14" t="n"/>
    </row>
    <row r="261">
      <c r="A261" s="14" t="n"/>
      <c r="B261" s="5">
        <f>IF($A261="","",IFERROR(INDEX('Catálogo'!$D$2:$D$813,MATCH($A261,'Catálogo'!$A$2:$A$813,0)),"código no encontrado"))</f>
        <v/>
      </c>
      <c r="C261" s="4">
        <f>IF($A261="","",IFERROR(INDEX('Catálogo'!$H$2:$H$813,MATCH($A261,'Catálogo'!$A$2:$A$813,0)),"código no encontrado"))</f>
        <v/>
      </c>
      <c r="D261" s="4">
        <f>IF($A261="","",IFERROR(INDEX('Catálogo'!$I$2:$I$813,MATCH($A261,'Catálogo'!$A$2:$A$813,0)),"código no encontrado"))</f>
        <v/>
      </c>
      <c r="E261" s="15" t="n"/>
      <c r="F261" s="10">
        <f>IF($A261="","",IFERROR(INDEX('Catálogo'!$N$2:$N$813,MATCH($A261,'Catálogo'!$A$2:$A$813,0)),"código no encontrado"))</f>
        <v/>
      </c>
      <c r="G261" s="10">
        <f>IF(OR($E261="",$F261="",NOT(ISNUMBER($F261))),"",$E261*$F261)</f>
        <v/>
      </c>
      <c r="H261" s="4">
        <f>IF($A261="","",IFERROR(INDEX('Catálogo'!$Q$2:$Q$813,MATCH($A261,'Catálogo'!$A$2:$A$813,0)),"código no encontrado"))</f>
        <v/>
      </c>
      <c r="I261" s="10">
        <f>IF($G261="","",IF($H261="Sí",ROUND($G261/1.18,2),$G261))</f>
        <v/>
      </c>
      <c r="J261" s="14" t="n"/>
    </row>
    <row r="262">
      <c r="A262" s="14" t="n"/>
      <c r="B262" s="5">
        <f>IF($A262="","",IFERROR(INDEX('Catálogo'!$D$2:$D$813,MATCH($A262,'Catálogo'!$A$2:$A$813,0)),"código no encontrado"))</f>
        <v/>
      </c>
      <c r="C262" s="4">
        <f>IF($A262="","",IFERROR(INDEX('Catálogo'!$H$2:$H$813,MATCH($A262,'Catálogo'!$A$2:$A$813,0)),"código no encontrado"))</f>
        <v/>
      </c>
      <c r="D262" s="4">
        <f>IF($A262="","",IFERROR(INDEX('Catálogo'!$I$2:$I$813,MATCH($A262,'Catálogo'!$A$2:$A$813,0)),"código no encontrado"))</f>
        <v/>
      </c>
      <c r="E262" s="15" t="n"/>
      <c r="F262" s="10">
        <f>IF($A262="","",IFERROR(INDEX('Catálogo'!$N$2:$N$813,MATCH($A262,'Catálogo'!$A$2:$A$813,0)),"código no encontrado"))</f>
        <v/>
      </c>
      <c r="G262" s="10">
        <f>IF(OR($E262="",$F262="",NOT(ISNUMBER($F262))),"",$E262*$F262)</f>
        <v/>
      </c>
      <c r="H262" s="4">
        <f>IF($A262="","",IFERROR(INDEX('Catálogo'!$Q$2:$Q$813,MATCH($A262,'Catálogo'!$A$2:$A$813,0)),"código no encontrado"))</f>
        <v/>
      </c>
      <c r="I262" s="10">
        <f>IF($G262="","",IF($H262="Sí",ROUND($G262/1.18,2),$G262))</f>
        <v/>
      </c>
      <c r="J262" s="14" t="n"/>
    </row>
    <row r="263">
      <c r="A263" s="14" t="n"/>
      <c r="B263" s="5">
        <f>IF($A263="","",IFERROR(INDEX('Catálogo'!$D$2:$D$813,MATCH($A263,'Catálogo'!$A$2:$A$813,0)),"código no encontrado"))</f>
        <v/>
      </c>
      <c r="C263" s="4">
        <f>IF($A263="","",IFERROR(INDEX('Catálogo'!$H$2:$H$813,MATCH($A263,'Catálogo'!$A$2:$A$813,0)),"código no encontrado"))</f>
        <v/>
      </c>
      <c r="D263" s="4">
        <f>IF($A263="","",IFERROR(INDEX('Catálogo'!$I$2:$I$813,MATCH($A263,'Catálogo'!$A$2:$A$813,0)),"código no encontrado"))</f>
        <v/>
      </c>
      <c r="E263" s="15" t="n"/>
      <c r="F263" s="10">
        <f>IF($A263="","",IFERROR(INDEX('Catálogo'!$N$2:$N$813,MATCH($A263,'Catálogo'!$A$2:$A$813,0)),"código no encontrado"))</f>
        <v/>
      </c>
      <c r="G263" s="10">
        <f>IF(OR($E263="",$F263="",NOT(ISNUMBER($F263))),"",$E263*$F263)</f>
        <v/>
      </c>
      <c r="H263" s="4">
        <f>IF($A263="","",IFERROR(INDEX('Catálogo'!$Q$2:$Q$813,MATCH($A263,'Catálogo'!$A$2:$A$813,0)),"código no encontrado"))</f>
        <v/>
      </c>
      <c r="I263" s="10">
        <f>IF($G263="","",IF($H263="Sí",ROUND($G263/1.18,2),$G263))</f>
        <v/>
      </c>
      <c r="J263" s="14" t="n"/>
    </row>
    <row r="264">
      <c r="A264" s="14" t="n"/>
      <c r="B264" s="5">
        <f>IF($A264="","",IFERROR(INDEX('Catálogo'!$D$2:$D$813,MATCH($A264,'Catálogo'!$A$2:$A$813,0)),"código no encontrado"))</f>
        <v/>
      </c>
      <c r="C264" s="4">
        <f>IF($A264="","",IFERROR(INDEX('Catálogo'!$H$2:$H$813,MATCH($A264,'Catálogo'!$A$2:$A$813,0)),"código no encontrado"))</f>
        <v/>
      </c>
      <c r="D264" s="4">
        <f>IF($A264="","",IFERROR(INDEX('Catálogo'!$I$2:$I$813,MATCH($A264,'Catálogo'!$A$2:$A$813,0)),"código no encontrado"))</f>
        <v/>
      </c>
      <c r="E264" s="15" t="n"/>
      <c r="F264" s="10">
        <f>IF($A264="","",IFERROR(INDEX('Catálogo'!$N$2:$N$813,MATCH($A264,'Catálogo'!$A$2:$A$813,0)),"código no encontrado"))</f>
        <v/>
      </c>
      <c r="G264" s="10">
        <f>IF(OR($E264="",$F264="",NOT(ISNUMBER($F264))),"",$E264*$F264)</f>
        <v/>
      </c>
      <c r="H264" s="4">
        <f>IF($A264="","",IFERROR(INDEX('Catálogo'!$Q$2:$Q$813,MATCH($A264,'Catálogo'!$A$2:$A$813,0)),"código no encontrado"))</f>
        <v/>
      </c>
      <c r="I264" s="10">
        <f>IF($G264="","",IF($H264="Sí",ROUND($G264/1.18,2),$G264))</f>
        <v/>
      </c>
      <c r="J264" s="14" t="n"/>
    </row>
    <row r="265">
      <c r="A265" s="14" t="n"/>
      <c r="B265" s="5">
        <f>IF($A265="","",IFERROR(INDEX('Catálogo'!$D$2:$D$813,MATCH($A265,'Catálogo'!$A$2:$A$813,0)),"código no encontrado"))</f>
        <v/>
      </c>
      <c r="C265" s="4">
        <f>IF($A265="","",IFERROR(INDEX('Catálogo'!$H$2:$H$813,MATCH($A265,'Catálogo'!$A$2:$A$813,0)),"código no encontrado"))</f>
        <v/>
      </c>
      <c r="D265" s="4">
        <f>IF($A265="","",IFERROR(INDEX('Catálogo'!$I$2:$I$813,MATCH($A265,'Catálogo'!$A$2:$A$813,0)),"código no encontrado"))</f>
        <v/>
      </c>
      <c r="E265" s="15" t="n"/>
      <c r="F265" s="10">
        <f>IF($A265="","",IFERROR(INDEX('Catálogo'!$N$2:$N$813,MATCH($A265,'Catálogo'!$A$2:$A$813,0)),"código no encontrado"))</f>
        <v/>
      </c>
      <c r="G265" s="10">
        <f>IF(OR($E265="",$F265="",NOT(ISNUMBER($F265))),"",$E265*$F265)</f>
        <v/>
      </c>
      <c r="H265" s="4">
        <f>IF($A265="","",IFERROR(INDEX('Catálogo'!$Q$2:$Q$813,MATCH($A265,'Catálogo'!$A$2:$A$813,0)),"código no encontrado"))</f>
        <v/>
      </c>
      <c r="I265" s="10">
        <f>IF($G265="","",IF($H265="Sí",ROUND($G265/1.18,2),$G265))</f>
        <v/>
      </c>
      <c r="J265" s="14" t="n"/>
    </row>
    <row r="266">
      <c r="A266" s="14" t="n"/>
      <c r="B266" s="5">
        <f>IF($A266="","",IFERROR(INDEX('Catálogo'!$D$2:$D$813,MATCH($A266,'Catálogo'!$A$2:$A$813,0)),"código no encontrado"))</f>
        <v/>
      </c>
      <c r="C266" s="4">
        <f>IF($A266="","",IFERROR(INDEX('Catálogo'!$H$2:$H$813,MATCH($A266,'Catálogo'!$A$2:$A$813,0)),"código no encontrado"))</f>
        <v/>
      </c>
      <c r="D266" s="4">
        <f>IF($A266="","",IFERROR(INDEX('Catálogo'!$I$2:$I$813,MATCH($A266,'Catálogo'!$A$2:$A$813,0)),"código no encontrado"))</f>
        <v/>
      </c>
      <c r="E266" s="15" t="n"/>
      <c r="F266" s="10">
        <f>IF($A266="","",IFERROR(INDEX('Catálogo'!$N$2:$N$813,MATCH($A266,'Catálogo'!$A$2:$A$813,0)),"código no encontrado"))</f>
        <v/>
      </c>
      <c r="G266" s="10">
        <f>IF(OR($E266="",$F266="",NOT(ISNUMBER($F266))),"",$E266*$F266)</f>
        <v/>
      </c>
      <c r="H266" s="4">
        <f>IF($A266="","",IFERROR(INDEX('Catálogo'!$Q$2:$Q$813,MATCH($A266,'Catálogo'!$A$2:$A$813,0)),"código no encontrado"))</f>
        <v/>
      </c>
      <c r="I266" s="10">
        <f>IF($G266="","",IF($H266="Sí",ROUND($G266/1.18,2),$G266))</f>
        <v/>
      </c>
      <c r="J266" s="14" t="n"/>
    </row>
    <row r="267">
      <c r="A267" s="14" t="n"/>
      <c r="B267" s="5">
        <f>IF($A267="","",IFERROR(INDEX('Catálogo'!$D$2:$D$813,MATCH($A267,'Catálogo'!$A$2:$A$813,0)),"código no encontrado"))</f>
        <v/>
      </c>
      <c r="C267" s="4">
        <f>IF($A267="","",IFERROR(INDEX('Catálogo'!$H$2:$H$813,MATCH($A267,'Catálogo'!$A$2:$A$813,0)),"código no encontrado"))</f>
        <v/>
      </c>
      <c r="D267" s="4">
        <f>IF($A267="","",IFERROR(INDEX('Catálogo'!$I$2:$I$813,MATCH($A267,'Catálogo'!$A$2:$A$813,0)),"código no encontrado"))</f>
        <v/>
      </c>
      <c r="E267" s="15" t="n"/>
      <c r="F267" s="10">
        <f>IF($A267="","",IFERROR(INDEX('Catálogo'!$N$2:$N$813,MATCH($A267,'Catálogo'!$A$2:$A$813,0)),"código no encontrado"))</f>
        <v/>
      </c>
      <c r="G267" s="10">
        <f>IF(OR($E267="",$F267="",NOT(ISNUMBER($F267))),"",$E267*$F267)</f>
        <v/>
      </c>
      <c r="H267" s="4">
        <f>IF($A267="","",IFERROR(INDEX('Catálogo'!$Q$2:$Q$813,MATCH($A267,'Catálogo'!$A$2:$A$813,0)),"código no encontrado"))</f>
        <v/>
      </c>
      <c r="I267" s="10">
        <f>IF($G267="","",IF($H267="Sí",ROUND($G267/1.18,2),$G267))</f>
        <v/>
      </c>
      <c r="J267" s="14" t="n"/>
    </row>
    <row r="268">
      <c r="A268" s="14" t="n"/>
      <c r="B268" s="5">
        <f>IF($A268="","",IFERROR(INDEX('Catálogo'!$D$2:$D$813,MATCH($A268,'Catálogo'!$A$2:$A$813,0)),"código no encontrado"))</f>
        <v/>
      </c>
      <c r="C268" s="4">
        <f>IF($A268="","",IFERROR(INDEX('Catálogo'!$H$2:$H$813,MATCH($A268,'Catálogo'!$A$2:$A$813,0)),"código no encontrado"))</f>
        <v/>
      </c>
      <c r="D268" s="4">
        <f>IF($A268="","",IFERROR(INDEX('Catálogo'!$I$2:$I$813,MATCH($A268,'Catálogo'!$A$2:$A$813,0)),"código no encontrado"))</f>
        <v/>
      </c>
      <c r="E268" s="15" t="n"/>
      <c r="F268" s="10">
        <f>IF($A268="","",IFERROR(INDEX('Catálogo'!$N$2:$N$813,MATCH($A268,'Catálogo'!$A$2:$A$813,0)),"código no encontrado"))</f>
        <v/>
      </c>
      <c r="G268" s="10">
        <f>IF(OR($E268="",$F268="",NOT(ISNUMBER($F268))),"",$E268*$F268)</f>
        <v/>
      </c>
      <c r="H268" s="4">
        <f>IF($A268="","",IFERROR(INDEX('Catálogo'!$Q$2:$Q$813,MATCH($A268,'Catálogo'!$A$2:$A$813,0)),"código no encontrado"))</f>
        <v/>
      </c>
      <c r="I268" s="10">
        <f>IF($G268="","",IF($H268="Sí",ROUND($G268/1.18,2),$G268))</f>
        <v/>
      </c>
      <c r="J268" s="14" t="n"/>
    </row>
    <row r="269">
      <c r="A269" s="14" t="n"/>
      <c r="B269" s="5">
        <f>IF($A269="","",IFERROR(INDEX('Catálogo'!$D$2:$D$813,MATCH($A269,'Catálogo'!$A$2:$A$813,0)),"código no encontrado"))</f>
        <v/>
      </c>
      <c r="C269" s="4">
        <f>IF($A269="","",IFERROR(INDEX('Catálogo'!$H$2:$H$813,MATCH($A269,'Catálogo'!$A$2:$A$813,0)),"código no encontrado"))</f>
        <v/>
      </c>
      <c r="D269" s="4">
        <f>IF($A269="","",IFERROR(INDEX('Catálogo'!$I$2:$I$813,MATCH($A269,'Catálogo'!$A$2:$A$813,0)),"código no encontrado"))</f>
        <v/>
      </c>
      <c r="E269" s="15" t="n"/>
      <c r="F269" s="10">
        <f>IF($A269="","",IFERROR(INDEX('Catálogo'!$N$2:$N$813,MATCH($A269,'Catálogo'!$A$2:$A$813,0)),"código no encontrado"))</f>
        <v/>
      </c>
      <c r="G269" s="10">
        <f>IF(OR($E269="",$F269="",NOT(ISNUMBER($F269))),"",$E269*$F269)</f>
        <v/>
      </c>
      <c r="H269" s="4">
        <f>IF($A269="","",IFERROR(INDEX('Catálogo'!$Q$2:$Q$813,MATCH($A269,'Catálogo'!$A$2:$A$813,0)),"código no encontrado"))</f>
        <v/>
      </c>
      <c r="I269" s="10">
        <f>IF($G269="","",IF($H269="Sí",ROUND($G269/1.18,2),$G269))</f>
        <v/>
      </c>
      <c r="J269" s="14" t="n"/>
    </row>
    <row r="270">
      <c r="A270" s="14" t="n"/>
      <c r="B270" s="5">
        <f>IF($A270="","",IFERROR(INDEX('Catálogo'!$D$2:$D$813,MATCH($A270,'Catálogo'!$A$2:$A$813,0)),"código no encontrado"))</f>
        <v/>
      </c>
      <c r="C270" s="4">
        <f>IF($A270="","",IFERROR(INDEX('Catálogo'!$H$2:$H$813,MATCH($A270,'Catálogo'!$A$2:$A$813,0)),"código no encontrado"))</f>
        <v/>
      </c>
      <c r="D270" s="4">
        <f>IF($A270="","",IFERROR(INDEX('Catálogo'!$I$2:$I$813,MATCH($A270,'Catálogo'!$A$2:$A$813,0)),"código no encontrado"))</f>
        <v/>
      </c>
      <c r="E270" s="15" t="n"/>
      <c r="F270" s="10">
        <f>IF($A270="","",IFERROR(INDEX('Catálogo'!$N$2:$N$813,MATCH($A270,'Catálogo'!$A$2:$A$813,0)),"código no encontrado"))</f>
        <v/>
      </c>
      <c r="G270" s="10">
        <f>IF(OR($E270="",$F270="",NOT(ISNUMBER($F270))),"",$E270*$F270)</f>
        <v/>
      </c>
      <c r="H270" s="4">
        <f>IF($A270="","",IFERROR(INDEX('Catálogo'!$Q$2:$Q$813,MATCH($A270,'Catálogo'!$A$2:$A$813,0)),"código no encontrado"))</f>
        <v/>
      </c>
      <c r="I270" s="10">
        <f>IF($G270="","",IF($H270="Sí",ROUND($G270/1.18,2),$G270))</f>
        <v/>
      </c>
      <c r="J270" s="14" t="n"/>
    </row>
    <row r="271">
      <c r="A271" s="14" t="n"/>
      <c r="B271" s="5">
        <f>IF($A271="","",IFERROR(INDEX('Catálogo'!$D$2:$D$813,MATCH($A271,'Catálogo'!$A$2:$A$813,0)),"código no encontrado"))</f>
        <v/>
      </c>
      <c r="C271" s="4">
        <f>IF($A271="","",IFERROR(INDEX('Catálogo'!$H$2:$H$813,MATCH($A271,'Catálogo'!$A$2:$A$813,0)),"código no encontrado"))</f>
        <v/>
      </c>
      <c r="D271" s="4">
        <f>IF($A271="","",IFERROR(INDEX('Catálogo'!$I$2:$I$813,MATCH($A271,'Catálogo'!$A$2:$A$813,0)),"código no encontrado"))</f>
        <v/>
      </c>
      <c r="E271" s="15" t="n"/>
      <c r="F271" s="10">
        <f>IF($A271="","",IFERROR(INDEX('Catálogo'!$N$2:$N$813,MATCH($A271,'Catálogo'!$A$2:$A$813,0)),"código no encontrado"))</f>
        <v/>
      </c>
      <c r="G271" s="10">
        <f>IF(OR($E271="",$F271="",NOT(ISNUMBER($F271))),"",$E271*$F271)</f>
        <v/>
      </c>
      <c r="H271" s="4">
        <f>IF($A271="","",IFERROR(INDEX('Catálogo'!$Q$2:$Q$813,MATCH($A271,'Catálogo'!$A$2:$A$813,0)),"código no encontrado"))</f>
        <v/>
      </c>
      <c r="I271" s="10">
        <f>IF($G271="","",IF($H271="Sí",ROUND($G271/1.18,2),$G271))</f>
        <v/>
      </c>
      <c r="J271" s="14" t="n"/>
    </row>
    <row r="272">
      <c r="A272" s="14" t="n"/>
      <c r="B272" s="5">
        <f>IF($A272="","",IFERROR(INDEX('Catálogo'!$D$2:$D$813,MATCH($A272,'Catálogo'!$A$2:$A$813,0)),"código no encontrado"))</f>
        <v/>
      </c>
      <c r="C272" s="4">
        <f>IF($A272="","",IFERROR(INDEX('Catálogo'!$H$2:$H$813,MATCH($A272,'Catálogo'!$A$2:$A$813,0)),"código no encontrado"))</f>
        <v/>
      </c>
      <c r="D272" s="4">
        <f>IF($A272="","",IFERROR(INDEX('Catálogo'!$I$2:$I$813,MATCH($A272,'Catálogo'!$A$2:$A$813,0)),"código no encontrado"))</f>
        <v/>
      </c>
      <c r="E272" s="15" t="n"/>
      <c r="F272" s="10">
        <f>IF($A272="","",IFERROR(INDEX('Catálogo'!$N$2:$N$813,MATCH($A272,'Catálogo'!$A$2:$A$813,0)),"código no encontrado"))</f>
        <v/>
      </c>
      <c r="G272" s="10">
        <f>IF(OR($E272="",$F272="",NOT(ISNUMBER($F272))),"",$E272*$F272)</f>
        <v/>
      </c>
      <c r="H272" s="4">
        <f>IF($A272="","",IFERROR(INDEX('Catálogo'!$Q$2:$Q$813,MATCH($A272,'Catálogo'!$A$2:$A$813,0)),"código no encontrado"))</f>
        <v/>
      </c>
      <c r="I272" s="10">
        <f>IF($G272="","",IF($H272="Sí",ROUND($G272/1.18,2),$G272))</f>
        <v/>
      </c>
      <c r="J272" s="14" t="n"/>
    </row>
    <row r="273">
      <c r="A273" s="14" t="n"/>
      <c r="B273" s="5">
        <f>IF($A273="","",IFERROR(INDEX('Catálogo'!$D$2:$D$813,MATCH($A273,'Catálogo'!$A$2:$A$813,0)),"código no encontrado"))</f>
        <v/>
      </c>
      <c r="C273" s="4">
        <f>IF($A273="","",IFERROR(INDEX('Catálogo'!$H$2:$H$813,MATCH($A273,'Catálogo'!$A$2:$A$813,0)),"código no encontrado"))</f>
        <v/>
      </c>
      <c r="D273" s="4">
        <f>IF($A273="","",IFERROR(INDEX('Catálogo'!$I$2:$I$813,MATCH($A273,'Catálogo'!$A$2:$A$813,0)),"código no encontrado"))</f>
        <v/>
      </c>
      <c r="E273" s="15" t="n"/>
      <c r="F273" s="10">
        <f>IF($A273="","",IFERROR(INDEX('Catálogo'!$N$2:$N$813,MATCH($A273,'Catálogo'!$A$2:$A$813,0)),"código no encontrado"))</f>
        <v/>
      </c>
      <c r="G273" s="10">
        <f>IF(OR($E273="",$F273="",NOT(ISNUMBER($F273))),"",$E273*$F273)</f>
        <v/>
      </c>
      <c r="H273" s="4">
        <f>IF($A273="","",IFERROR(INDEX('Catálogo'!$Q$2:$Q$813,MATCH($A273,'Catálogo'!$A$2:$A$813,0)),"código no encontrado"))</f>
        <v/>
      </c>
      <c r="I273" s="10">
        <f>IF($G273="","",IF($H273="Sí",ROUND($G273/1.18,2),$G273))</f>
        <v/>
      </c>
      <c r="J273" s="14" t="n"/>
    </row>
    <row r="274">
      <c r="A274" s="14" t="n"/>
      <c r="B274" s="5">
        <f>IF($A274="","",IFERROR(INDEX('Catálogo'!$D$2:$D$813,MATCH($A274,'Catálogo'!$A$2:$A$813,0)),"código no encontrado"))</f>
        <v/>
      </c>
      <c r="C274" s="4">
        <f>IF($A274="","",IFERROR(INDEX('Catálogo'!$H$2:$H$813,MATCH($A274,'Catálogo'!$A$2:$A$813,0)),"código no encontrado"))</f>
        <v/>
      </c>
      <c r="D274" s="4">
        <f>IF($A274="","",IFERROR(INDEX('Catálogo'!$I$2:$I$813,MATCH($A274,'Catálogo'!$A$2:$A$813,0)),"código no encontrado"))</f>
        <v/>
      </c>
      <c r="E274" s="15" t="n"/>
      <c r="F274" s="10">
        <f>IF($A274="","",IFERROR(INDEX('Catálogo'!$N$2:$N$813,MATCH($A274,'Catálogo'!$A$2:$A$813,0)),"código no encontrado"))</f>
        <v/>
      </c>
      <c r="G274" s="10">
        <f>IF(OR($E274="",$F274="",NOT(ISNUMBER($F274))),"",$E274*$F274)</f>
        <v/>
      </c>
      <c r="H274" s="4">
        <f>IF($A274="","",IFERROR(INDEX('Catálogo'!$Q$2:$Q$813,MATCH($A274,'Catálogo'!$A$2:$A$813,0)),"código no encontrado"))</f>
        <v/>
      </c>
      <c r="I274" s="10">
        <f>IF($G274="","",IF($H274="Sí",ROUND($G274/1.18,2),$G274))</f>
        <v/>
      </c>
      <c r="J274" s="14" t="n"/>
    </row>
    <row r="275">
      <c r="A275" s="14" t="n"/>
      <c r="B275" s="5">
        <f>IF($A275="","",IFERROR(INDEX('Catálogo'!$D$2:$D$813,MATCH($A275,'Catálogo'!$A$2:$A$813,0)),"código no encontrado"))</f>
        <v/>
      </c>
      <c r="C275" s="4">
        <f>IF($A275="","",IFERROR(INDEX('Catálogo'!$H$2:$H$813,MATCH($A275,'Catálogo'!$A$2:$A$813,0)),"código no encontrado"))</f>
        <v/>
      </c>
      <c r="D275" s="4">
        <f>IF($A275="","",IFERROR(INDEX('Catálogo'!$I$2:$I$813,MATCH($A275,'Catálogo'!$A$2:$A$813,0)),"código no encontrado"))</f>
        <v/>
      </c>
      <c r="E275" s="15" t="n"/>
      <c r="F275" s="10">
        <f>IF($A275="","",IFERROR(INDEX('Catálogo'!$N$2:$N$813,MATCH($A275,'Catálogo'!$A$2:$A$813,0)),"código no encontrado"))</f>
        <v/>
      </c>
      <c r="G275" s="10">
        <f>IF(OR($E275="",$F275="",NOT(ISNUMBER($F275))),"",$E275*$F275)</f>
        <v/>
      </c>
      <c r="H275" s="4">
        <f>IF($A275="","",IFERROR(INDEX('Catálogo'!$Q$2:$Q$813,MATCH($A275,'Catálogo'!$A$2:$A$813,0)),"código no encontrado"))</f>
        <v/>
      </c>
      <c r="I275" s="10">
        <f>IF($G275="","",IF($H275="Sí",ROUND($G275/1.18,2),$G275))</f>
        <v/>
      </c>
      <c r="J275" s="14" t="n"/>
    </row>
    <row r="276">
      <c r="A276" s="14" t="n"/>
      <c r="B276" s="5">
        <f>IF($A276="","",IFERROR(INDEX('Catálogo'!$D$2:$D$813,MATCH($A276,'Catálogo'!$A$2:$A$813,0)),"código no encontrado"))</f>
        <v/>
      </c>
      <c r="C276" s="4">
        <f>IF($A276="","",IFERROR(INDEX('Catálogo'!$H$2:$H$813,MATCH($A276,'Catálogo'!$A$2:$A$813,0)),"código no encontrado"))</f>
        <v/>
      </c>
      <c r="D276" s="4">
        <f>IF($A276="","",IFERROR(INDEX('Catálogo'!$I$2:$I$813,MATCH($A276,'Catálogo'!$A$2:$A$813,0)),"código no encontrado"))</f>
        <v/>
      </c>
      <c r="E276" s="15" t="n"/>
      <c r="F276" s="10">
        <f>IF($A276="","",IFERROR(INDEX('Catálogo'!$N$2:$N$813,MATCH($A276,'Catálogo'!$A$2:$A$813,0)),"código no encontrado"))</f>
        <v/>
      </c>
      <c r="G276" s="10">
        <f>IF(OR($E276="",$F276="",NOT(ISNUMBER($F276))),"",$E276*$F276)</f>
        <v/>
      </c>
      <c r="H276" s="4">
        <f>IF($A276="","",IFERROR(INDEX('Catálogo'!$Q$2:$Q$813,MATCH($A276,'Catálogo'!$A$2:$A$813,0)),"código no encontrado"))</f>
        <v/>
      </c>
      <c r="I276" s="10">
        <f>IF($G276="","",IF($H276="Sí",ROUND($G276/1.18,2),$G276))</f>
        <v/>
      </c>
      <c r="J276" s="14" t="n"/>
    </row>
    <row r="277">
      <c r="A277" s="14" t="n"/>
      <c r="B277" s="5">
        <f>IF($A277="","",IFERROR(INDEX('Catálogo'!$D$2:$D$813,MATCH($A277,'Catálogo'!$A$2:$A$813,0)),"código no encontrado"))</f>
        <v/>
      </c>
      <c r="C277" s="4">
        <f>IF($A277="","",IFERROR(INDEX('Catálogo'!$H$2:$H$813,MATCH($A277,'Catálogo'!$A$2:$A$813,0)),"código no encontrado"))</f>
        <v/>
      </c>
      <c r="D277" s="4">
        <f>IF($A277="","",IFERROR(INDEX('Catálogo'!$I$2:$I$813,MATCH($A277,'Catálogo'!$A$2:$A$813,0)),"código no encontrado"))</f>
        <v/>
      </c>
      <c r="E277" s="15" t="n"/>
      <c r="F277" s="10">
        <f>IF($A277="","",IFERROR(INDEX('Catálogo'!$N$2:$N$813,MATCH($A277,'Catálogo'!$A$2:$A$813,0)),"código no encontrado"))</f>
        <v/>
      </c>
      <c r="G277" s="10">
        <f>IF(OR($E277="",$F277="",NOT(ISNUMBER($F277))),"",$E277*$F277)</f>
        <v/>
      </c>
      <c r="H277" s="4">
        <f>IF($A277="","",IFERROR(INDEX('Catálogo'!$Q$2:$Q$813,MATCH($A277,'Catálogo'!$A$2:$A$813,0)),"código no encontrado"))</f>
        <v/>
      </c>
      <c r="I277" s="10">
        <f>IF($G277="","",IF($H277="Sí",ROUND($G277/1.18,2),$G277))</f>
        <v/>
      </c>
      <c r="J277" s="14" t="n"/>
    </row>
    <row r="278">
      <c r="A278" s="14" t="n"/>
      <c r="B278" s="5">
        <f>IF($A278="","",IFERROR(INDEX('Catálogo'!$D$2:$D$813,MATCH($A278,'Catálogo'!$A$2:$A$813,0)),"código no encontrado"))</f>
        <v/>
      </c>
      <c r="C278" s="4">
        <f>IF($A278="","",IFERROR(INDEX('Catálogo'!$H$2:$H$813,MATCH($A278,'Catálogo'!$A$2:$A$813,0)),"código no encontrado"))</f>
        <v/>
      </c>
      <c r="D278" s="4">
        <f>IF($A278="","",IFERROR(INDEX('Catálogo'!$I$2:$I$813,MATCH($A278,'Catálogo'!$A$2:$A$813,0)),"código no encontrado"))</f>
        <v/>
      </c>
      <c r="E278" s="15" t="n"/>
      <c r="F278" s="10">
        <f>IF($A278="","",IFERROR(INDEX('Catálogo'!$N$2:$N$813,MATCH($A278,'Catálogo'!$A$2:$A$813,0)),"código no encontrado"))</f>
        <v/>
      </c>
      <c r="G278" s="10">
        <f>IF(OR($E278="",$F278="",NOT(ISNUMBER($F278))),"",$E278*$F278)</f>
        <v/>
      </c>
      <c r="H278" s="4">
        <f>IF($A278="","",IFERROR(INDEX('Catálogo'!$Q$2:$Q$813,MATCH($A278,'Catálogo'!$A$2:$A$813,0)),"código no encontrado"))</f>
        <v/>
      </c>
      <c r="I278" s="10">
        <f>IF($G278="","",IF($H278="Sí",ROUND($G278/1.18,2),$G278))</f>
        <v/>
      </c>
      <c r="J278" s="14" t="n"/>
    </row>
    <row r="279">
      <c r="A279" s="14" t="n"/>
      <c r="B279" s="5">
        <f>IF($A279="","",IFERROR(INDEX('Catálogo'!$D$2:$D$813,MATCH($A279,'Catálogo'!$A$2:$A$813,0)),"código no encontrado"))</f>
        <v/>
      </c>
      <c r="C279" s="4">
        <f>IF($A279="","",IFERROR(INDEX('Catálogo'!$H$2:$H$813,MATCH($A279,'Catálogo'!$A$2:$A$813,0)),"código no encontrado"))</f>
        <v/>
      </c>
      <c r="D279" s="4">
        <f>IF($A279="","",IFERROR(INDEX('Catálogo'!$I$2:$I$813,MATCH($A279,'Catálogo'!$A$2:$A$813,0)),"código no encontrado"))</f>
        <v/>
      </c>
      <c r="E279" s="15" t="n"/>
      <c r="F279" s="10">
        <f>IF($A279="","",IFERROR(INDEX('Catálogo'!$N$2:$N$813,MATCH($A279,'Catálogo'!$A$2:$A$813,0)),"código no encontrado"))</f>
        <v/>
      </c>
      <c r="G279" s="10">
        <f>IF(OR($E279="",$F279="",NOT(ISNUMBER($F279))),"",$E279*$F279)</f>
        <v/>
      </c>
      <c r="H279" s="4">
        <f>IF($A279="","",IFERROR(INDEX('Catálogo'!$Q$2:$Q$813,MATCH($A279,'Catálogo'!$A$2:$A$813,0)),"código no encontrado"))</f>
        <v/>
      </c>
      <c r="I279" s="10">
        <f>IF($G279="","",IF($H279="Sí",ROUND($G279/1.18,2),$G279))</f>
        <v/>
      </c>
      <c r="J279" s="14" t="n"/>
    </row>
    <row r="280">
      <c r="A280" s="14" t="n"/>
      <c r="B280" s="5">
        <f>IF($A280="","",IFERROR(INDEX('Catálogo'!$D$2:$D$813,MATCH($A280,'Catálogo'!$A$2:$A$813,0)),"código no encontrado"))</f>
        <v/>
      </c>
      <c r="C280" s="4">
        <f>IF($A280="","",IFERROR(INDEX('Catálogo'!$H$2:$H$813,MATCH($A280,'Catálogo'!$A$2:$A$813,0)),"código no encontrado"))</f>
        <v/>
      </c>
      <c r="D280" s="4">
        <f>IF($A280="","",IFERROR(INDEX('Catálogo'!$I$2:$I$813,MATCH($A280,'Catálogo'!$A$2:$A$813,0)),"código no encontrado"))</f>
        <v/>
      </c>
      <c r="E280" s="15" t="n"/>
      <c r="F280" s="10">
        <f>IF($A280="","",IFERROR(INDEX('Catálogo'!$N$2:$N$813,MATCH($A280,'Catálogo'!$A$2:$A$813,0)),"código no encontrado"))</f>
        <v/>
      </c>
      <c r="G280" s="10">
        <f>IF(OR($E280="",$F280="",NOT(ISNUMBER($F280))),"",$E280*$F280)</f>
        <v/>
      </c>
      <c r="H280" s="4">
        <f>IF($A280="","",IFERROR(INDEX('Catálogo'!$Q$2:$Q$813,MATCH($A280,'Catálogo'!$A$2:$A$813,0)),"código no encontrado"))</f>
        <v/>
      </c>
      <c r="I280" s="10">
        <f>IF($G280="","",IF($H280="Sí",ROUND($G280/1.18,2),$G280))</f>
        <v/>
      </c>
      <c r="J280" s="14" t="n"/>
    </row>
    <row r="281">
      <c r="A281" s="14" t="n"/>
      <c r="B281" s="5">
        <f>IF($A281="","",IFERROR(INDEX('Catálogo'!$D$2:$D$813,MATCH($A281,'Catálogo'!$A$2:$A$813,0)),"código no encontrado"))</f>
        <v/>
      </c>
      <c r="C281" s="4">
        <f>IF($A281="","",IFERROR(INDEX('Catálogo'!$H$2:$H$813,MATCH($A281,'Catálogo'!$A$2:$A$813,0)),"código no encontrado"))</f>
        <v/>
      </c>
      <c r="D281" s="4">
        <f>IF($A281="","",IFERROR(INDEX('Catálogo'!$I$2:$I$813,MATCH($A281,'Catálogo'!$A$2:$A$813,0)),"código no encontrado"))</f>
        <v/>
      </c>
      <c r="E281" s="15" t="n"/>
      <c r="F281" s="10">
        <f>IF($A281="","",IFERROR(INDEX('Catálogo'!$N$2:$N$813,MATCH($A281,'Catálogo'!$A$2:$A$813,0)),"código no encontrado"))</f>
        <v/>
      </c>
      <c r="G281" s="10">
        <f>IF(OR($E281="",$F281="",NOT(ISNUMBER($F281))),"",$E281*$F281)</f>
        <v/>
      </c>
      <c r="H281" s="4">
        <f>IF($A281="","",IFERROR(INDEX('Catálogo'!$Q$2:$Q$813,MATCH($A281,'Catálogo'!$A$2:$A$813,0)),"código no encontrado"))</f>
        <v/>
      </c>
      <c r="I281" s="10">
        <f>IF($G281="","",IF($H281="Sí",ROUND($G281/1.18,2),$G281))</f>
        <v/>
      </c>
      <c r="J281" s="14" t="n"/>
    </row>
    <row r="282">
      <c r="A282" s="14" t="n"/>
      <c r="B282" s="5">
        <f>IF($A282="","",IFERROR(INDEX('Catálogo'!$D$2:$D$813,MATCH($A282,'Catálogo'!$A$2:$A$813,0)),"código no encontrado"))</f>
        <v/>
      </c>
      <c r="C282" s="4">
        <f>IF($A282="","",IFERROR(INDEX('Catálogo'!$H$2:$H$813,MATCH($A282,'Catálogo'!$A$2:$A$813,0)),"código no encontrado"))</f>
        <v/>
      </c>
      <c r="D282" s="4">
        <f>IF($A282="","",IFERROR(INDEX('Catálogo'!$I$2:$I$813,MATCH($A282,'Catálogo'!$A$2:$A$813,0)),"código no encontrado"))</f>
        <v/>
      </c>
      <c r="E282" s="15" t="n"/>
      <c r="F282" s="10">
        <f>IF($A282="","",IFERROR(INDEX('Catálogo'!$N$2:$N$813,MATCH($A282,'Catálogo'!$A$2:$A$813,0)),"código no encontrado"))</f>
        <v/>
      </c>
      <c r="G282" s="10">
        <f>IF(OR($E282="",$F282="",NOT(ISNUMBER($F282))),"",$E282*$F282)</f>
        <v/>
      </c>
      <c r="H282" s="4">
        <f>IF($A282="","",IFERROR(INDEX('Catálogo'!$Q$2:$Q$813,MATCH($A282,'Catálogo'!$A$2:$A$813,0)),"código no encontrado"))</f>
        <v/>
      </c>
      <c r="I282" s="10">
        <f>IF($G282="","",IF($H282="Sí",ROUND($G282/1.18,2),$G282))</f>
        <v/>
      </c>
      <c r="J282" s="14" t="n"/>
    </row>
    <row r="283">
      <c r="A283" s="14" t="n"/>
      <c r="B283" s="5">
        <f>IF($A283="","",IFERROR(INDEX('Catálogo'!$D$2:$D$813,MATCH($A283,'Catálogo'!$A$2:$A$813,0)),"código no encontrado"))</f>
        <v/>
      </c>
      <c r="C283" s="4">
        <f>IF($A283="","",IFERROR(INDEX('Catálogo'!$H$2:$H$813,MATCH($A283,'Catálogo'!$A$2:$A$813,0)),"código no encontrado"))</f>
        <v/>
      </c>
      <c r="D283" s="4">
        <f>IF($A283="","",IFERROR(INDEX('Catálogo'!$I$2:$I$813,MATCH($A283,'Catálogo'!$A$2:$A$813,0)),"código no encontrado"))</f>
        <v/>
      </c>
      <c r="E283" s="15" t="n"/>
      <c r="F283" s="10">
        <f>IF($A283="","",IFERROR(INDEX('Catálogo'!$N$2:$N$813,MATCH($A283,'Catálogo'!$A$2:$A$813,0)),"código no encontrado"))</f>
        <v/>
      </c>
      <c r="G283" s="10">
        <f>IF(OR($E283="",$F283="",NOT(ISNUMBER($F283))),"",$E283*$F283)</f>
        <v/>
      </c>
      <c r="H283" s="4">
        <f>IF($A283="","",IFERROR(INDEX('Catálogo'!$Q$2:$Q$813,MATCH($A283,'Catálogo'!$A$2:$A$813,0)),"código no encontrado"))</f>
        <v/>
      </c>
      <c r="I283" s="10">
        <f>IF($G283="","",IF($H283="Sí",ROUND($G283/1.18,2),$G283))</f>
        <v/>
      </c>
      <c r="J283" s="14" t="n"/>
    </row>
    <row r="284">
      <c r="A284" s="14" t="n"/>
      <c r="B284" s="5">
        <f>IF($A284="","",IFERROR(INDEX('Catálogo'!$D$2:$D$813,MATCH($A284,'Catálogo'!$A$2:$A$813,0)),"código no encontrado"))</f>
        <v/>
      </c>
      <c r="C284" s="4">
        <f>IF($A284="","",IFERROR(INDEX('Catálogo'!$H$2:$H$813,MATCH($A284,'Catálogo'!$A$2:$A$813,0)),"código no encontrado"))</f>
        <v/>
      </c>
      <c r="D284" s="4">
        <f>IF($A284="","",IFERROR(INDEX('Catálogo'!$I$2:$I$813,MATCH($A284,'Catálogo'!$A$2:$A$813,0)),"código no encontrado"))</f>
        <v/>
      </c>
      <c r="E284" s="15" t="n"/>
      <c r="F284" s="10">
        <f>IF($A284="","",IFERROR(INDEX('Catálogo'!$N$2:$N$813,MATCH($A284,'Catálogo'!$A$2:$A$813,0)),"código no encontrado"))</f>
        <v/>
      </c>
      <c r="G284" s="10">
        <f>IF(OR($E284="",$F284="",NOT(ISNUMBER($F284))),"",$E284*$F284)</f>
        <v/>
      </c>
      <c r="H284" s="4">
        <f>IF($A284="","",IFERROR(INDEX('Catálogo'!$Q$2:$Q$813,MATCH($A284,'Catálogo'!$A$2:$A$813,0)),"código no encontrado"))</f>
        <v/>
      </c>
      <c r="I284" s="10">
        <f>IF($G284="","",IF($H284="Sí",ROUND($G284/1.18,2),$G284))</f>
        <v/>
      </c>
      <c r="J284" s="14" t="n"/>
    </row>
    <row r="285">
      <c r="A285" s="14" t="n"/>
      <c r="B285" s="5">
        <f>IF($A285="","",IFERROR(INDEX('Catálogo'!$D$2:$D$813,MATCH($A285,'Catálogo'!$A$2:$A$813,0)),"código no encontrado"))</f>
        <v/>
      </c>
      <c r="C285" s="4">
        <f>IF($A285="","",IFERROR(INDEX('Catálogo'!$H$2:$H$813,MATCH($A285,'Catálogo'!$A$2:$A$813,0)),"código no encontrado"))</f>
        <v/>
      </c>
      <c r="D285" s="4">
        <f>IF($A285="","",IFERROR(INDEX('Catálogo'!$I$2:$I$813,MATCH($A285,'Catálogo'!$A$2:$A$813,0)),"código no encontrado"))</f>
        <v/>
      </c>
      <c r="E285" s="15" t="n"/>
      <c r="F285" s="10">
        <f>IF($A285="","",IFERROR(INDEX('Catálogo'!$N$2:$N$813,MATCH($A285,'Catálogo'!$A$2:$A$813,0)),"código no encontrado"))</f>
        <v/>
      </c>
      <c r="G285" s="10">
        <f>IF(OR($E285="",$F285="",NOT(ISNUMBER($F285))),"",$E285*$F285)</f>
        <v/>
      </c>
      <c r="H285" s="4">
        <f>IF($A285="","",IFERROR(INDEX('Catálogo'!$Q$2:$Q$813,MATCH($A285,'Catálogo'!$A$2:$A$813,0)),"código no encontrado"))</f>
        <v/>
      </c>
      <c r="I285" s="10">
        <f>IF($G285="","",IF($H285="Sí",ROUND($G285/1.18,2),$G285))</f>
        <v/>
      </c>
      <c r="J285" s="14" t="n"/>
    </row>
    <row r="286">
      <c r="A286" s="14" t="n"/>
      <c r="B286" s="5">
        <f>IF($A286="","",IFERROR(INDEX('Catálogo'!$D$2:$D$813,MATCH($A286,'Catálogo'!$A$2:$A$813,0)),"código no encontrado"))</f>
        <v/>
      </c>
      <c r="C286" s="4">
        <f>IF($A286="","",IFERROR(INDEX('Catálogo'!$H$2:$H$813,MATCH($A286,'Catálogo'!$A$2:$A$813,0)),"código no encontrado"))</f>
        <v/>
      </c>
      <c r="D286" s="4">
        <f>IF($A286="","",IFERROR(INDEX('Catálogo'!$I$2:$I$813,MATCH($A286,'Catálogo'!$A$2:$A$813,0)),"código no encontrado"))</f>
        <v/>
      </c>
      <c r="E286" s="15" t="n"/>
      <c r="F286" s="10">
        <f>IF($A286="","",IFERROR(INDEX('Catálogo'!$N$2:$N$813,MATCH($A286,'Catálogo'!$A$2:$A$813,0)),"código no encontrado"))</f>
        <v/>
      </c>
      <c r="G286" s="10">
        <f>IF(OR($E286="",$F286="",NOT(ISNUMBER($F286))),"",$E286*$F286)</f>
        <v/>
      </c>
      <c r="H286" s="4">
        <f>IF($A286="","",IFERROR(INDEX('Catálogo'!$Q$2:$Q$813,MATCH($A286,'Catálogo'!$A$2:$A$813,0)),"código no encontrado"))</f>
        <v/>
      </c>
      <c r="I286" s="10">
        <f>IF($G286="","",IF($H286="Sí",ROUND($G286/1.18,2),$G286))</f>
        <v/>
      </c>
      <c r="J286" s="14" t="n"/>
    </row>
    <row r="287">
      <c r="A287" s="14" t="n"/>
      <c r="B287" s="5">
        <f>IF($A287="","",IFERROR(INDEX('Catálogo'!$D$2:$D$813,MATCH($A287,'Catálogo'!$A$2:$A$813,0)),"código no encontrado"))</f>
        <v/>
      </c>
      <c r="C287" s="4">
        <f>IF($A287="","",IFERROR(INDEX('Catálogo'!$H$2:$H$813,MATCH($A287,'Catálogo'!$A$2:$A$813,0)),"código no encontrado"))</f>
        <v/>
      </c>
      <c r="D287" s="4">
        <f>IF($A287="","",IFERROR(INDEX('Catálogo'!$I$2:$I$813,MATCH($A287,'Catálogo'!$A$2:$A$813,0)),"código no encontrado"))</f>
        <v/>
      </c>
      <c r="E287" s="15" t="n"/>
      <c r="F287" s="10">
        <f>IF($A287="","",IFERROR(INDEX('Catálogo'!$N$2:$N$813,MATCH($A287,'Catálogo'!$A$2:$A$813,0)),"código no encontrado"))</f>
        <v/>
      </c>
      <c r="G287" s="10">
        <f>IF(OR($E287="",$F287="",NOT(ISNUMBER($F287))),"",$E287*$F287)</f>
        <v/>
      </c>
      <c r="H287" s="4">
        <f>IF($A287="","",IFERROR(INDEX('Catálogo'!$Q$2:$Q$813,MATCH($A287,'Catálogo'!$A$2:$A$813,0)),"código no encontrado"))</f>
        <v/>
      </c>
      <c r="I287" s="10">
        <f>IF($G287="","",IF($H287="Sí",ROUND($G287/1.18,2),$G287))</f>
        <v/>
      </c>
      <c r="J287" s="14" t="n"/>
    </row>
    <row r="288">
      <c r="A288" s="14" t="n"/>
      <c r="B288" s="5">
        <f>IF($A288="","",IFERROR(INDEX('Catálogo'!$D$2:$D$813,MATCH($A288,'Catálogo'!$A$2:$A$813,0)),"código no encontrado"))</f>
        <v/>
      </c>
      <c r="C288" s="4">
        <f>IF($A288="","",IFERROR(INDEX('Catálogo'!$H$2:$H$813,MATCH($A288,'Catálogo'!$A$2:$A$813,0)),"código no encontrado"))</f>
        <v/>
      </c>
      <c r="D288" s="4">
        <f>IF($A288="","",IFERROR(INDEX('Catálogo'!$I$2:$I$813,MATCH($A288,'Catálogo'!$A$2:$A$813,0)),"código no encontrado"))</f>
        <v/>
      </c>
      <c r="E288" s="15" t="n"/>
      <c r="F288" s="10">
        <f>IF($A288="","",IFERROR(INDEX('Catálogo'!$N$2:$N$813,MATCH($A288,'Catálogo'!$A$2:$A$813,0)),"código no encontrado"))</f>
        <v/>
      </c>
      <c r="G288" s="10">
        <f>IF(OR($E288="",$F288="",NOT(ISNUMBER($F288))),"",$E288*$F288)</f>
        <v/>
      </c>
      <c r="H288" s="4">
        <f>IF($A288="","",IFERROR(INDEX('Catálogo'!$Q$2:$Q$813,MATCH($A288,'Catálogo'!$A$2:$A$813,0)),"código no encontrado"))</f>
        <v/>
      </c>
      <c r="I288" s="10">
        <f>IF($G288="","",IF($H288="Sí",ROUND($G288/1.18,2),$G288))</f>
        <v/>
      </c>
      <c r="J288" s="14" t="n"/>
    </row>
    <row r="289">
      <c r="A289" s="14" t="n"/>
      <c r="B289" s="5">
        <f>IF($A289="","",IFERROR(INDEX('Catálogo'!$D$2:$D$813,MATCH($A289,'Catálogo'!$A$2:$A$813,0)),"código no encontrado"))</f>
        <v/>
      </c>
      <c r="C289" s="4">
        <f>IF($A289="","",IFERROR(INDEX('Catálogo'!$H$2:$H$813,MATCH($A289,'Catálogo'!$A$2:$A$813,0)),"código no encontrado"))</f>
        <v/>
      </c>
      <c r="D289" s="4">
        <f>IF($A289="","",IFERROR(INDEX('Catálogo'!$I$2:$I$813,MATCH($A289,'Catálogo'!$A$2:$A$813,0)),"código no encontrado"))</f>
        <v/>
      </c>
      <c r="E289" s="15" t="n"/>
      <c r="F289" s="10">
        <f>IF($A289="","",IFERROR(INDEX('Catálogo'!$N$2:$N$813,MATCH($A289,'Catálogo'!$A$2:$A$813,0)),"código no encontrado"))</f>
        <v/>
      </c>
      <c r="G289" s="10">
        <f>IF(OR($E289="",$F289="",NOT(ISNUMBER($F289))),"",$E289*$F289)</f>
        <v/>
      </c>
      <c r="H289" s="4">
        <f>IF($A289="","",IFERROR(INDEX('Catálogo'!$Q$2:$Q$813,MATCH($A289,'Catálogo'!$A$2:$A$813,0)),"código no encontrado"))</f>
        <v/>
      </c>
      <c r="I289" s="10">
        <f>IF($G289="","",IF($H289="Sí",ROUND($G289/1.18,2),$G289))</f>
        <v/>
      </c>
      <c r="J289" s="14" t="n"/>
    </row>
    <row r="290">
      <c r="A290" s="14" t="n"/>
      <c r="B290" s="5">
        <f>IF($A290="","",IFERROR(INDEX('Catálogo'!$D$2:$D$813,MATCH($A290,'Catálogo'!$A$2:$A$813,0)),"código no encontrado"))</f>
        <v/>
      </c>
      <c r="C290" s="4">
        <f>IF($A290="","",IFERROR(INDEX('Catálogo'!$H$2:$H$813,MATCH($A290,'Catálogo'!$A$2:$A$813,0)),"código no encontrado"))</f>
        <v/>
      </c>
      <c r="D290" s="4">
        <f>IF($A290="","",IFERROR(INDEX('Catálogo'!$I$2:$I$813,MATCH($A290,'Catálogo'!$A$2:$A$813,0)),"código no encontrado"))</f>
        <v/>
      </c>
      <c r="E290" s="15" t="n"/>
      <c r="F290" s="10">
        <f>IF($A290="","",IFERROR(INDEX('Catálogo'!$N$2:$N$813,MATCH($A290,'Catálogo'!$A$2:$A$813,0)),"código no encontrado"))</f>
        <v/>
      </c>
      <c r="G290" s="10">
        <f>IF(OR($E290="",$F290="",NOT(ISNUMBER($F290))),"",$E290*$F290)</f>
        <v/>
      </c>
      <c r="H290" s="4">
        <f>IF($A290="","",IFERROR(INDEX('Catálogo'!$Q$2:$Q$813,MATCH($A290,'Catálogo'!$A$2:$A$813,0)),"código no encontrado"))</f>
        <v/>
      </c>
      <c r="I290" s="10">
        <f>IF($G290="","",IF($H290="Sí",ROUND($G290/1.18,2),$G290))</f>
        <v/>
      </c>
      <c r="J290" s="14" t="n"/>
    </row>
    <row r="291">
      <c r="A291" s="14" t="n"/>
      <c r="B291" s="5">
        <f>IF($A291="","",IFERROR(INDEX('Catálogo'!$D$2:$D$813,MATCH($A291,'Catálogo'!$A$2:$A$813,0)),"código no encontrado"))</f>
        <v/>
      </c>
      <c r="C291" s="4">
        <f>IF($A291="","",IFERROR(INDEX('Catálogo'!$H$2:$H$813,MATCH($A291,'Catálogo'!$A$2:$A$813,0)),"código no encontrado"))</f>
        <v/>
      </c>
      <c r="D291" s="4">
        <f>IF($A291="","",IFERROR(INDEX('Catálogo'!$I$2:$I$813,MATCH($A291,'Catálogo'!$A$2:$A$813,0)),"código no encontrado"))</f>
        <v/>
      </c>
      <c r="E291" s="15" t="n"/>
      <c r="F291" s="10">
        <f>IF($A291="","",IFERROR(INDEX('Catálogo'!$N$2:$N$813,MATCH($A291,'Catálogo'!$A$2:$A$813,0)),"código no encontrado"))</f>
        <v/>
      </c>
      <c r="G291" s="10">
        <f>IF(OR($E291="",$F291="",NOT(ISNUMBER($F291))),"",$E291*$F291)</f>
        <v/>
      </c>
      <c r="H291" s="4">
        <f>IF($A291="","",IFERROR(INDEX('Catálogo'!$Q$2:$Q$813,MATCH($A291,'Catálogo'!$A$2:$A$813,0)),"código no encontrado"))</f>
        <v/>
      </c>
      <c r="I291" s="10">
        <f>IF($G291="","",IF($H291="Sí",ROUND($G291/1.18,2),$G291))</f>
        <v/>
      </c>
      <c r="J291" s="14" t="n"/>
    </row>
    <row r="292">
      <c r="A292" s="14" t="n"/>
      <c r="B292" s="5">
        <f>IF($A292="","",IFERROR(INDEX('Catálogo'!$D$2:$D$813,MATCH($A292,'Catálogo'!$A$2:$A$813,0)),"código no encontrado"))</f>
        <v/>
      </c>
      <c r="C292" s="4">
        <f>IF($A292="","",IFERROR(INDEX('Catálogo'!$H$2:$H$813,MATCH($A292,'Catálogo'!$A$2:$A$813,0)),"código no encontrado"))</f>
        <v/>
      </c>
      <c r="D292" s="4">
        <f>IF($A292="","",IFERROR(INDEX('Catálogo'!$I$2:$I$813,MATCH($A292,'Catálogo'!$A$2:$A$813,0)),"código no encontrado"))</f>
        <v/>
      </c>
      <c r="E292" s="15" t="n"/>
      <c r="F292" s="10">
        <f>IF($A292="","",IFERROR(INDEX('Catálogo'!$N$2:$N$813,MATCH($A292,'Catálogo'!$A$2:$A$813,0)),"código no encontrado"))</f>
        <v/>
      </c>
      <c r="G292" s="10">
        <f>IF(OR($E292="",$F292="",NOT(ISNUMBER($F292))),"",$E292*$F292)</f>
        <v/>
      </c>
      <c r="H292" s="4">
        <f>IF($A292="","",IFERROR(INDEX('Catálogo'!$Q$2:$Q$813,MATCH($A292,'Catálogo'!$A$2:$A$813,0)),"código no encontrado"))</f>
        <v/>
      </c>
      <c r="I292" s="10">
        <f>IF($G292="","",IF($H292="Sí",ROUND($G292/1.18,2),$G292))</f>
        <v/>
      </c>
      <c r="J292" s="14" t="n"/>
    </row>
    <row r="293">
      <c r="A293" s="14" t="n"/>
      <c r="B293" s="5">
        <f>IF($A293="","",IFERROR(INDEX('Catálogo'!$D$2:$D$813,MATCH($A293,'Catálogo'!$A$2:$A$813,0)),"código no encontrado"))</f>
        <v/>
      </c>
      <c r="C293" s="4">
        <f>IF($A293="","",IFERROR(INDEX('Catálogo'!$H$2:$H$813,MATCH($A293,'Catálogo'!$A$2:$A$813,0)),"código no encontrado"))</f>
        <v/>
      </c>
      <c r="D293" s="4">
        <f>IF($A293="","",IFERROR(INDEX('Catálogo'!$I$2:$I$813,MATCH($A293,'Catálogo'!$A$2:$A$813,0)),"código no encontrado"))</f>
        <v/>
      </c>
      <c r="E293" s="15" t="n"/>
      <c r="F293" s="10">
        <f>IF($A293="","",IFERROR(INDEX('Catálogo'!$N$2:$N$813,MATCH($A293,'Catálogo'!$A$2:$A$813,0)),"código no encontrado"))</f>
        <v/>
      </c>
      <c r="G293" s="10">
        <f>IF(OR($E293="",$F293="",NOT(ISNUMBER($F293))),"",$E293*$F293)</f>
        <v/>
      </c>
      <c r="H293" s="4">
        <f>IF($A293="","",IFERROR(INDEX('Catálogo'!$Q$2:$Q$813,MATCH($A293,'Catálogo'!$A$2:$A$813,0)),"código no encontrado"))</f>
        <v/>
      </c>
      <c r="I293" s="10">
        <f>IF($G293="","",IF($H293="Sí",ROUND($G293/1.18,2),$G293))</f>
        <v/>
      </c>
      <c r="J293" s="14" t="n"/>
    </row>
    <row r="294">
      <c r="A294" s="14" t="n"/>
      <c r="B294" s="5">
        <f>IF($A294="","",IFERROR(INDEX('Catálogo'!$D$2:$D$813,MATCH($A294,'Catálogo'!$A$2:$A$813,0)),"código no encontrado"))</f>
        <v/>
      </c>
      <c r="C294" s="4">
        <f>IF($A294="","",IFERROR(INDEX('Catálogo'!$H$2:$H$813,MATCH($A294,'Catálogo'!$A$2:$A$813,0)),"código no encontrado"))</f>
        <v/>
      </c>
      <c r="D294" s="4">
        <f>IF($A294="","",IFERROR(INDEX('Catálogo'!$I$2:$I$813,MATCH($A294,'Catálogo'!$A$2:$A$813,0)),"código no encontrado"))</f>
        <v/>
      </c>
      <c r="E294" s="15" t="n"/>
      <c r="F294" s="10">
        <f>IF($A294="","",IFERROR(INDEX('Catálogo'!$N$2:$N$813,MATCH($A294,'Catálogo'!$A$2:$A$813,0)),"código no encontrado"))</f>
        <v/>
      </c>
      <c r="G294" s="10">
        <f>IF(OR($E294="",$F294="",NOT(ISNUMBER($F294))),"",$E294*$F294)</f>
        <v/>
      </c>
      <c r="H294" s="4">
        <f>IF($A294="","",IFERROR(INDEX('Catálogo'!$Q$2:$Q$813,MATCH($A294,'Catálogo'!$A$2:$A$813,0)),"código no encontrado"))</f>
        <v/>
      </c>
      <c r="I294" s="10">
        <f>IF($G294="","",IF($H294="Sí",ROUND($G294/1.18,2),$G294))</f>
        <v/>
      </c>
      <c r="J294" s="14" t="n"/>
    </row>
    <row r="295">
      <c r="A295" s="14" t="n"/>
      <c r="B295" s="5">
        <f>IF($A295="","",IFERROR(INDEX('Catálogo'!$D$2:$D$813,MATCH($A295,'Catálogo'!$A$2:$A$813,0)),"código no encontrado"))</f>
        <v/>
      </c>
      <c r="C295" s="4">
        <f>IF($A295="","",IFERROR(INDEX('Catálogo'!$H$2:$H$813,MATCH($A295,'Catálogo'!$A$2:$A$813,0)),"código no encontrado"))</f>
        <v/>
      </c>
      <c r="D295" s="4">
        <f>IF($A295="","",IFERROR(INDEX('Catálogo'!$I$2:$I$813,MATCH($A295,'Catálogo'!$A$2:$A$813,0)),"código no encontrado"))</f>
        <v/>
      </c>
      <c r="E295" s="15" t="n"/>
      <c r="F295" s="10">
        <f>IF($A295="","",IFERROR(INDEX('Catálogo'!$N$2:$N$813,MATCH($A295,'Catálogo'!$A$2:$A$813,0)),"código no encontrado"))</f>
        <v/>
      </c>
      <c r="G295" s="10">
        <f>IF(OR($E295="",$F295="",NOT(ISNUMBER($F295))),"",$E295*$F295)</f>
        <v/>
      </c>
      <c r="H295" s="4">
        <f>IF($A295="","",IFERROR(INDEX('Catálogo'!$Q$2:$Q$813,MATCH($A295,'Catálogo'!$A$2:$A$813,0)),"código no encontrado"))</f>
        <v/>
      </c>
      <c r="I295" s="10">
        <f>IF($G295="","",IF($H295="Sí",ROUND($G295/1.18,2),$G295))</f>
        <v/>
      </c>
      <c r="J295" s="14" t="n"/>
    </row>
    <row r="296">
      <c r="A296" s="14" t="n"/>
      <c r="B296" s="5">
        <f>IF($A296="","",IFERROR(INDEX('Catálogo'!$D$2:$D$813,MATCH($A296,'Catálogo'!$A$2:$A$813,0)),"código no encontrado"))</f>
        <v/>
      </c>
      <c r="C296" s="4">
        <f>IF($A296="","",IFERROR(INDEX('Catálogo'!$H$2:$H$813,MATCH($A296,'Catálogo'!$A$2:$A$813,0)),"código no encontrado"))</f>
        <v/>
      </c>
      <c r="D296" s="4">
        <f>IF($A296="","",IFERROR(INDEX('Catálogo'!$I$2:$I$813,MATCH($A296,'Catálogo'!$A$2:$A$813,0)),"código no encontrado"))</f>
        <v/>
      </c>
      <c r="E296" s="15" t="n"/>
      <c r="F296" s="10">
        <f>IF($A296="","",IFERROR(INDEX('Catálogo'!$N$2:$N$813,MATCH($A296,'Catálogo'!$A$2:$A$813,0)),"código no encontrado"))</f>
        <v/>
      </c>
      <c r="G296" s="10">
        <f>IF(OR($E296="",$F296="",NOT(ISNUMBER($F296))),"",$E296*$F296)</f>
        <v/>
      </c>
      <c r="H296" s="4">
        <f>IF($A296="","",IFERROR(INDEX('Catálogo'!$Q$2:$Q$813,MATCH($A296,'Catálogo'!$A$2:$A$813,0)),"código no encontrado"))</f>
        <v/>
      </c>
      <c r="I296" s="10">
        <f>IF($G296="","",IF($H296="Sí",ROUND($G296/1.18,2),$G296))</f>
        <v/>
      </c>
      <c r="J296" s="14" t="n"/>
    </row>
    <row r="297">
      <c r="A297" s="14" t="n"/>
      <c r="B297" s="5">
        <f>IF($A297="","",IFERROR(INDEX('Catálogo'!$D$2:$D$813,MATCH($A297,'Catálogo'!$A$2:$A$813,0)),"código no encontrado"))</f>
        <v/>
      </c>
      <c r="C297" s="4">
        <f>IF($A297="","",IFERROR(INDEX('Catálogo'!$H$2:$H$813,MATCH($A297,'Catálogo'!$A$2:$A$813,0)),"código no encontrado"))</f>
        <v/>
      </c>
      <c r="D297" s="4">
        <f>IF($A297="","",IFERROR(INDEX('Catálogo'!$I$2:$I$813,MATCH($A297,'Catálogo'!$A$2:$A$813,0)),"código no encontrado"))</f>
        <v/>
      </c>
      <c r="E297" s="15" t="n"/>
      <c r="F297" s="10">
        <f>IF($A297="","",IFERROR(INDEX('Catálogo'!$N$2:$N$813,MATCH($A297,'Catálogo'!$A$2:$A$813,0)),"código no encontrado"))</f>
        <v/>
      </c>
      <c r="G297" s="10">
        <f>IF(OR($E297="",$F297="",NOT(ISNUMBER($F297))),"",$E297*$F297)</f>
        <v/>
      </c>
      <c r="H297" s="4">
        <f>IF($A297="","",IFERROR(INDEX('Catálogo'!$Q$2:$Q$813,MATCH($A297,'Catálogo'!$A$2:$A$813,0)),"código no encontrado"))</f>
        <v/>
      </c>
      <c r="I297" s="10">
        <f>IF($G297="","",IF($H297="Sí",ROUND($G297/1.18,2),$G297))</f>
        <v/>
      </c>
      <c r="J297" s="14" t="n"/>
    </row>
    <row r="298">
      <c r="A298" s="14" t="n"/>
      <c r="B298" s="5">
        <f>IF($A298="","",IFERROR(INDEX('Catálogo'!$D$2:$D$813,MATCH($A298,'Catálogo'!$A$2:$A$813,0)),"código no encontrado"))</f>
        <v/>
      </c>
      <c r="C298" s="4">
        <f>IF($A298="","",IFERROR(INDEX('Catálogo'!$H$2:$H$813,MATCH($A298,'Catálogo'!$A$2:$A$813,0)),"código no encontrado"))</f>
        <v/>
      </c>
      <c r="D298" s="4">
        <f>IF($A298="","",IFERROR(INDEX('Catálogo'!$I$2:$I$813,MATCH($A298,'Catálogo'!$A$2:$A$813,0)),"código no encontrado"))</f>
        <v/>
      </c>
      <c r="E298" s="15" t="n"/>
      <c r="F298" s="10">
        <f>IF($A298="","",IFERROR(INDEX('Catálogo'!$N$2:$N$813,MATCH($A298,'Catálogo'!$A$2:$A$813,0)),"código no encontrado"))</f>
        <v/>
      </c>
      <c r="G298" s="10">
        <f>IF(OR($E298="",$F298="",NOT(ISNUMBER($F298))),"",$E298*$F298)</f>
        <v/>
      </c>
      <c r="H298" s="4">
        <f>IF($A298="","",IFERROR(INDEX('Catálogo'!$Q$2:$Q$813,MATCH($A298,'Catálogo'!$A$2:$A$813,0)),"código no encontrado"))</f>
        <v/>
      </c>
      <c r="I298" s="10">
        <f>IF($G298="","",IF($H298="Sí",ROUND($G298/1.18,2),$G298))</f>
        <v/>
      </c>
      <c r="J298" s="14" t="n"/>
    </row>
    <row r="299">
      <c r="A299" s="14" t="n"/>
      <c r="B299" s="5">
        <f>IF($A299="","",IFERROR(INDEX('Catálogo'!$D$2:$D$813,MATCH($A299,'Catálogo'!$A$2:$A$813,0)),"código no encontrado"))</f>
        <v/>
      </c>
      <c r="C299" s="4">
        <f>IF($A299="","",IFERROR(INDEX('Catálogo'!$H$2:$H$813,MATCH($A299,'Catálogo'!$A$2:$A$813,0)),"código no encontrado"))</f>
        <v/>
      </c>
      <c r="D299" s="4">
        <f>IF($A299="","",IFERROR(INDEX('Catálogo'!$I$2:$I$813,MATCH($A299,'Catálogo'!$A$2:$A$813,0)),"código no encontrado"))</f>
        <v/>
      </c>
      <c r="E299" s="15" t="n"/>
      <c r="F299" s="10">
        <f>IF($A299="","",IFERROR(INDEX('Catálogo'!$N$2:$N$813,MATCH($A299,'Catálogo'!$A$2:$A$813,0)),"código no encontrado"))</f>
        <v/>
      </c>
      <c r="G299" s="10">
        <f>IF(OR($E299="",$F299="",NOT(ISNUMBER($F299))),"",$E299*$F299)</f>
        <v/>
      </c>
      <c r="H299" s="4">
        <f>IF($A299="","",IFERROR(INDEX('Catálogo'!$Q$2:$Q$813,MATCH($A299,'Catálogo'!$A$2:$A$813,0)),"código no encontrado"))</f>
        <v/>
      </c>
      <c r="I299" s="10">
        <f>IF($G299="","",IF($H299="Sí",ROUND($G299/1.18,2),$G299))</f>
        <v/>
      </c>
      <c r="J299" s="14" t="n"/>
    </row>
    <row r="300">
      <c r="A300" s="14" t="n"/>
      <c r="B300" s="5">
        <f>IF($A300="","",IFERROR(INDEX('Catálogo'!$D$2:$D$813,MATCH($A300,'Catálogo'!$A$2:$A$813,0)),"código no encontrado"))</f>
        <v/>
      </c>
      <c r="C300" s="4">
        <f>IF($A300="","",IFERROR(INDEX('Catálogo'!$H$2:$H$813,MATCH($A300,'Catálogo'!$A$2:$A$813,0)),"código no encontrado"))</f>
        <v/>
      </c>
      <c r="D300" s="4">
        <f>IF($A300="","",IFERROR(INDEX('Catálogo'!$I$2:$I$813,MATCH($A300,'Catálogo'!$A$2:$A$813,0)),"código no encontrado"))</f>
        <v/>
      </c>
      <c r="E300" s="15" t="n"/>
      <c r="F300" s="10">
        <f>IF($A300="","",IFERROR(INDEX('Catálogo'!$N$2:$N$813,MATCH($A300,'Catálogo'!$A$2:$A$813,0)),"código no encontrado"))</f>
        <v/>
      </c>
      <c r="G300" s="10">
        <f>IF(OR($E300="",$F300="",NOT(ISNUMBER($F300))),"",$E300*$F300)</f>
        <v/>
      </c>
      <c r="H300" s="4">
        <f>IF($A300="","",IFERROR(INDEX('Catálogo'!$Q$2:$Q$813,MATCH($A300,'Catálogo'!$A$2:$A$813,0)),"código no encontrado"))</f>
        <v/>
      </c>
      <c r="I300" s="10">
        <f>IF($G300="","",IF($H300="Sí",ROUND($G300/1.18,2),$G300))</f>
        <v/>
      </c>
      <c r="J300" s="14" t="n"/>
    </row>
    <row r="301">
      <c r="A301" s="14" t="n"/>
      <c r="B301" s="5">
        <f>IF($A301="","",IFERROR(INDEX('Catálogo'!$D$2:$D$813,MATCH($A301,'Catálogo'!$A$2:$A$813,0)),"código no encontrado"))</f>
        <v/>
      </c>
      <c r="C301" s="4">
        <f>IF($A301="","",IFERROR(INDEX('Catálogo'!$H$2:$H$813,MATCH($A301,'Catálogo'!$A$2:$A$813,0)),"código no encontrado"))</f>
        <v/>
      </c>
      <c r="D301" s="4">
        <f>IF($A301="","",IFERROR(INDEX('Catálogo'!$I$2:$I$813,MATCH($A301,'Catálogo'!$A$2:$A$813,0)),"código no encontrado"))</f>
        <v/>
      </c>
      <c r="E301" s="15" t="n"/>
      <c r="F301" s="10">
        <f>IF($A301="","",IFERROR(INDEX('Catálogo'!$N$2:$N$813,MATCH($A301,'Catálogo'!$A$2:$A$813,0)),"código no encontrado"))</f>
        <v/>
      </c>
      <c r="G301" s="10">
        <f>IF(OR($E301="",$F301="",NOT(ISNUMBER($F301))),"",$E301*$F301)</f>
        <v/>
      </c>
      <c r="H301" s="4">
        <f>IF($A301="","",IFERROR(INDEX('Catálogo'!$Q$2:$Q$813,MATCH($A301,'Catálogo'!$A$2:$A$813,0)),"código no encontrado"))</f>
        <v/>
      </c>
      <c r="I301" s="10">
        <f>IF($G301="","",IF($H301="Sí",ROUND($G301/1.18,2),$G301))</f>
        <v/>
      </c>
      <c r="J301" s="14" t="n"/>
    </row>
    <row r="302">
      <c r="A302" s="14" t="n"/>
      <c r="B302" s="5">
        <f>IF($A302="","",IFERROR(INDEX('Catálogo'!$D$2:$D$813,MATCH($A302,'Catálogo'!$A$2:$A$813,0)),"código no encontrado"))</f>
        <v/>
      </c>
      <c r="C302" s="4">
        <f>IF($A302="","",IFERROR(INDEX('Catálogo'!$H$2:$H$813,MATCH($A302,'Catálogo'!$A$2:$A$813,0)),"código no encontrado"))</f>
        <v/>
      </c>
      <c r="D302" s="4">
        <f>IF($A302="","",IFERROR(INDEX('Catálogo'!$I$2:$I$813,MATCH($A302,'Catálogo'!$A$2:$A$813,0)),"código no encontrado"))</f>
        <v/>
      </c>
      <c r="E302" s="15" t="n"/>
      <c r="F302" s="10">
        <f>IF($A302="","",IFERROR(INDEX('Catálogo'!$N$2:$N$813,MATCH($A302,'Catálogo'!$A$2:$A$813,0)),"código no encontrado"))</f>
        <v/>
      </c>
      <c r="G302" s="10">
        <f>IF(OR($E302="",$F302="",NOT(ISNUMBER($F302))),"",$E302*$F302)</f>
        <v/>
      </c>
      <c r="H302" s="4">
        <f>IF($A302="","",IFERROR(INDEX('Catálogo'!$Q$2:$Q$813,MATCH($A302,'Catálogo'!$A$2:$A$813,0)),"código no encontrado"))</f>
        <v/>
      </c>
      <c r="I302" s="10">
        <f>IF($G302="","",IF($H302="Sí",ROUND($G302/1.18,2),$G302))</f>
        <v/>
      </c>
      <c r="J302" s="14" t="n"/>
    </row>
    <row r="303">
      <c r="A303" s="14" t="n"/>
      <c r="B303" s="5">
        <f>IF($A303="","",IFERROR(INDEX('Catálogo'!$D$2:$D$813,MATCH($A303,'Catálogo'!$A$2:$A$813,0)),"código no encontrado"))</f>
        <v/>
      </c>
      <c r="C303" s="4">
        <f>IF($A303="","",IFERROR(INDEX('Catálogo'!$H$2:$H$813,MATCH($A303,'Catálogo'!$A$2:$A$813,0)),"código no encontrado"))</f>
        <v/>
      </c>
      <c r="D303" s="4">
        <f>IF($A303="","",IFERROR(INDEX('Catálogo'!$I$2:$I$813,MATCH($A303,'Catálogo'!$A$2:$A$813,0)),"código no encontrado"))</f>
        <v/>
      </c>
      <c r="E303" s="15" t="n"/>
      <c r="F303" s="10">
        <f>IF($A303="","",IFERROR(INDEX('Catálogo'!$N$2:$N$813,MATCH($A303,'Catálogo'!$A$2:$A$813,0)),"código no encontrado"))</f>
        <v/>
      </c>
      <c r="G303" s="10">
        <f>IF(OR($E303="",$F303="",NOT(ISNUMBER($F303))),"",$E303*$F303)</f>
        <v/>
      </c>
      <c r="H303" s="4">
        <f>IF($A303="","",IFERROR(INDEX('Catálogo'!$Q$2:$Q$813,MATCH($A303,'Catálogo'!$A$2:$A$813,0)),"código no encontrado"))</f>
        <v/>
      </c>
      <c r="I303" s="10">
        <f>IF($G303="","",IF($H303="Sí",ROUND($G303/1.18,2),$G303))</f>
        <v/>
      </c>
      <c r="J303" s="14" t="n"/>
    </row>
    <row r="304">
      <c r="A304" s="14" t="n"/>
      <c r="B304" s="5">
        <f>IF($A304="","",IFERROR(INDEX('Catálogo'!$D$2:$D$813,MATCH($A304,'Catálogo'!$A$2:$A$813,0)),"código no encontrado"))</f>
        <v/>
      </c>
      <c r="C304" s="4">
        <f>IF($A304="","",IFERROR(INDEX('Catálogo'!$H$2:$H$813,MATCH($A304,'Catálogo'!$A$2:$A$813,0)),"código no encontrado"))</f>
        <v/>
      </c>
      <c r="D304" s="4">
        <f>IF($A304="","",IFERROR(INDEX('Catálogo'!$I$2:$I$813,MATCH($A304,'Catálogo'!$A$2:$A$813,0)),"código no encontrado"))</f>
        <v/>
      </c>
      <c r="E304" s="15" t="n"/>
      <c r="F304" s="10">
        <f>IF($A304="","",IFERROR(INDEX('Catálogo'!$N$2:$N$813,MATCH($A304,'Catálogo'!$A$2:$A$813,0)),"código no encontrado"))</f>
        <v/>
      </c>
      <c r="G304" s="10">
        <f>IF(OR($E304="",$F304="",NOT(ISNUMBER($F304))),"",$E304*$F304)</f>
        <v/>
      </c>
      <c r="H304" s="4">
        <f>IF($A304="","",IFERROR(INDEX('Catálogo'!$Q$2:$Q$813,MATCH($A304,'Catálogo'!$A$2:$A$813,0)),"código no encontrado"))</f>
        <v/>
      </c>
      <c r="I304" s="10">
        <f>IF($G304="","",IF($H304="Sí",ROUND($G304/1.18,2),$G304))</f>
        <v/>
      </c>
      <c r="J304" s="14" t="n"/>
    </row>
    <row r="305">
      <c r="A305" s="14" t="n"/>
      <c r="B305" s="5">
        <f>IF($A305="","",IFERROR(INDEX('Catálogo'!$D$2:$D$813,MATCH($A305,'Catálogo'!$A$2:$A$813,0)),"código no encontrado"))</f>
        <v/>
      </c>
      <c r="C305" s="4">
        <f>IF($A305="","",IFERROR(INDEX('Catálogo'!$H$2:$H$813,MATCH($A305,'Catálogo'!$A$2:$A$813,0)),"código no encontrado"))</f>
        <v/>
      </c>
      <c r="D305" s="4">
        <f>IF($A305="","",IFERROR(INDEX('Catálogo'!$I$2:$I$813,MATCH($A305,'Catálogo'!$A$2:$A$813,0)),"código no encontrado"))</f>
        <v/>
      </c>
      <c r="E305" s="15" t="n"/>
      <c r="F305" s="10">
        <f>IF($A305="","",IFERROR(INDEX('Catálogo'!$N$2:$N$813,MATCH($A305,'Catálogo'!$A$2:$A$813,0)),"código no encontrado"))</f>
        <v/>
      </c>
      <c r="G305" s="10">
        <f>IF(OR($E305="",$F305="",NOT(ISNUMBER($F305))),"",$E305*$F305)</f>
        <v/>
      </c>
      <c r="H305" s="4">
        <f>IF($A305="","",IFERROR(INDEX('Catálogo'!$Q$2:$Q$813,MATCH($A305,'Catálogo'!$A$2:$A$813,0)),"código no encontrado"))</f>
        <v/>
      </c>
      <c r="I305" s="10">
        <f>IF($G305="","",IF($H305="Sí",ROUND($G305/1.18,2),$G305))</f>
        <v/>
      </c>
      <c r="J305" s="14" t="n"/>
    </row>
    <row r="306">
      <c r="A306" s="14" t="n"/>
      <c r="B306" s="5">
        <f>IF($A306="","",IFERROR(INDEX('Catálogo'!$D$2:$D$813,MATCH($A306,'Catálogo'!$A$2:$A$813,0)),"código no encontrado"))</f>
        <v/>
      </c>
      <c r="C306" s="4">
        <f>IF($A306="","",IFERROR(INDEX('Catálogo'!$H$2:$H$813,MATCH($A306,'Catálogo'!$A$2:$A$813,0)),"código no encontrado"))</f>
        <v/>
      </c>
      <c r="D306" s="4">
        <f>IF($A306="","",IFERROR(INDEX('Catálogo'!$I$2:$I$813,MATCH($A306,'Catálogo'!$A$2:$A$813,0)),"código no encontrado"))</f>
        <v/>
      </c>
      <c r="E306" s="15" t="n"/>
      <c r="F306" s="10">
        <f>IF($A306="","",IFERROR(INDEX('Catálogo'!$N$2:$N$813,MATCH($A306,'Catálogo'!$A$2:$A$813,0)),"código no encontrado"))</f>
        <v/>
      </c>
      <c r="G306" s="10">
        <f>IF(OR($E306="",$F306="",NOT(ISNUMBER($F306))),"",$E306*$F306)</f>
        <v/>
      </c>
      <c r="H306" s="4">
        <f>IF($A306="","",IFERROR(INDEX('Catálogo'!$Q$2:$Q$813,MATCH($A306,'Catálogo'!$A$2:$A$813,0)),"código no encontrado"))</f>
        <v/>
      </c>
      <c r="I306" s="10">
        <f>IF($G306="","",IF($H306="Sí",ROUND($G306/1.18,2),$G306))</f>
        <v/>
      </c>
      <c r="J306" s="14" t="n"/>
    </row>
    <row r="307">
      <c r="A307" s="14" t="n"/>
      <c r="B307" s="5">
        <f>IF($A307="","",IFERROR(INDEX('Catálogo'!$D$2:$D$813,MATCH($A307,'Catálogo'!$A$2:$A$813,0)),"código no encontrado"))</f>
        <v/>
      </c>
      <c r="C307" s="4">
        <f>IF($A307="","",IFERROR(INDEX('Catálogo'!$H$2:$H$813,MATCH($A307,'Catálogo'!$A$2:$A$813,0)),"código no encontrado"))</f>
        <v/>
      </c>
      <c r="D307" s="4">
        <f>IF($A307="","",IFERROR(INDEX('Catálogo'!$I$2:$I$813,MATCH($A307,'Catálogo'!$A$2:$A$813,0)),"código no encontrado"))</f>
        <v/>
      </c>
      <c r="E307" s="15" t="n"/>
      <c r="F307" s="10">
        <f>IF($A307="","",IFERROR(INDEX('Catálogo'!$N$2:$N$813,MATCH($A307,'Catálogo'!$A$2:$A$813,0)),"código no encontrado"))</f>
        <v/>
      </c>
      <c r="G307" s="10">
        <f>IF(OR($E307="",$F307="",NOT(ISNUMBER($F307))),"",$E307*$F307)</f>
        <v/>
      </c>
      <c r="H307" s="4">
        <f>IF($A307="","",IFERROR(INDEX('Catálogo'!$Q$2:$Q$813,MATCH($A307,'Catálogo'!$A$2:$A$813,0)),"código no encontrado"))</f>
        <v/>
      </c>
      <c r="I307" s="10">
        <f>IF($G307="","",IF($H307="Sí",ROUND($G307/1.18,2),$G307))</f>
        <v/>
      </c>
      <c r="J307" s="14" t="n"/>
    </row>
    <row r="309">
      <c r="A309" s="16" t="inlineStr">
        <is>
          <t>Costo directo</t>
        </is>
      </c>
      <c r="G309" s="17">
        <f>SUM(G8:G307)</f>
        <v/>
      </c>
    </row>
    <row r="310">
      <c r="A310" s="16" t="inlineStr">
        <is>
          <t>ITBIS ya contenido en el costo directo</t>
        </is>
      </c>
      <c r="G310" s="17">
        <f>SUMIF($H$8:$H$307,"Sí",$G$8:$G$307)-SUMIF($H$8:$H$307,"Sí",$I$8:$I$307)</f>
        <v/>
      </c>
    </row>
    <row r="311">
      <c r="A311" s="16" t="inlineStr">
        <is>
          <t>Costo directo sin ITBIS</t>
        </is>
      </c>
      <c r="G311" s="17">
        <f>SUM(I8:I307)</f>
        <v/>
      </c>
    </row>
    <row r="313">
      <c r="A313" s="16" t="inlineStr">
        <is>
          <t>Gastos generales e indirectos (%)</t>
        </is>
      </c>
      <c r="E313" s="18" t="n">
        <v>0.12</v>
      </c>
    </row>
    <row r="314">
      <c r="A314" s="16" t="inlineStr">
        <is>
          <t>Utilidad (%)</t>
        </is>
      </c>
      <c r="E314" s="18" t="n">
        <v>0.1</v>
      </c>
    </row>
    <row r="315">
      <c r="A315" s="16" t="inlineStr">
        <is>
          <t>Gastos generales e indirectos</t>
        </is>
      </c>
      <c r="G315" s="17">
        <f>$G$309*$E$313</f>
        <v/>
      </c>
    </row>
    <row r="316">
      <c r="A316" s="16" t="inlineStr">
        <is>
          <t>Utilidad</t>
        </is>
      </c>
      <c r="G316" s="17">
        <f>$G$309*$E$314</f>
        <v/>
      </c>
    </row>
    <row r="317">
      <c r="A317" s="3" t="inlineStr">
        <is>
          <t>TOTAL DEL PRESUPUESTO</t>
        </is>
      </c>
      <c r="G317" s="19">
        <f>$G$309+$G$315+$G$316</f>
        <v/>
      </c>
    </row>
    <row r="319">
      <c r="A319" s="13" t="inlineStr">
        <is>
          <t>El ITBIS no se suma al final: cada precio ya viene como lo cobra el comercio, y los materiales de mostrador lo traen incluido mientras que la mano de obra y el alquiler de equipo no. La línea de arriba dice cuánto impuesto va contenido en el costo directo.</t>
        </is>
      </c>
    </row>
    <row r="320"/>
  </sheetData>
  <mergeCells count="9">
    <mergeCell ref="A309:D309"/>
    <mergeCell ref="A314:D314"/>
    <mergeCell ref="A311:D311"/>
    <mergeCell ref="A315:D315"/>
    <mergeCell ref="A319:J320"/>
    <mergeCell ref="A310:D310"/>
    <mergeCell ref="A316:D316"/>
    <mergeCell ref="A313:D313"/>
    <mergeCell ref="A317:D3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28" customWidth="1" min="1" max="1"/>
    <col width="18" customWidth="1" min="2" max="2"/>
    <col width="18" customWidth="1" min="3" max="3"/>
  </cols>
  <sheetData>
    <row r="1">
      <c r="A1" s="1" t="inlineStr">
        <is>
          <t>Resumen por etapa de obra</t>
        </is>
      </c>
    </row>
    <row r="2">
      <c r="A2" s="2" t="inlineStr">
        <is>
          <t>Se llena solo con lo que se escriba en la hoja Presupuesto.</t>
        </is>
      </c>
    </row>
    <row r="4" ht="30" customHeight="1">
      <c r="A4" s="6" t="inlineStr">
        <is>
          <t>Etapa de obra</t>
        </is>
      </c>
      <c r="B4" s="6" t="inlineStr">
        <is>
          <t>Importe (RD$)</t>
        </is>
      </c>
      <c r="C4" s="6" t="inlineStr">
        <is>
          <t>% del costo directo</t>
        </is>
      </c>
    </row>
    <row r="5">
      <c r="A5" s="4" t="inlineStr">
        <is>
          <t>Preliminares</t>
        </is>
      </c>
      <c r="B5" s="10">
        <f>SUMIF('Presupuesto'!$D$8:$D$307,$A5,'Presupuesto'!$G$8:$G$307)</f>
        <v/>
      </c>
      <c r="C5" s="11">
        <f>IF($B$19=0,"",B5/$B$19)</f>
        <v/>
      </c>
    </row>
    <row r="6">
      <c r="A6" s="4" t="inlineStr">
        <is>
          <t>Movimiento de tierra</t>
        </is>
      </c>
      <c r="B6" s="10">
        <f>SUMIF('Presupuesto'!$D$8:$D$307,$A6,'Presupuesto'!$G$8:$G$307)</f>
        <v/>
      </c>
      <c r="C6" s="11">
        <f>IF($B$19=0,"",B6/$B$19)</f>
        <v/>
      </c>
    </row>
    <row r="7">
      <c r="A7" s="4" t="inlineStr">
        <is>
          <t>Cimentación</t>
        </is>
      </c>
      <c r="B7" s="10">
        <f>SUMIF('Presupuesto'!$D$8:$D$307,$A7,'Presupuesto'!$G$8:$G$307)</f>
        <v/>
      </c>
      <c r="C7" s="11">
        <f>IF($B$19=0,"",B7/$B$19)</f>
        <v/>
      </c>
    </row>
    <row r="8">
      <c r="A8" s="4" t="inlineStr">
        <is>
          <t>Estructura</t>
        </is>
      </c>
      <c r="B8" s="10">
        <f>SUMIF('Presupuesto'!$D$8:$D$307,$A8,'Presupuesto'!$G$8:$G$307)</f>
        <v/>
      </c>
      <c r="C8" s="11">
        <f>IF($B$19=0,"",B8/$B$19)</f>
        <v/>
      </c>
    </row>
    <row r="9">
      <c r="A9" s="4" t="inlineStr">
        <is>
          <t>Mampostería</t>
        </is>
      </c>
      <c r="B9" s="10">
        <f>SUMIF('Presupuesto'!$D$8:$D$307,$A9,'Presupuesto'!$G$8:$G$307)</f>
        <v/>
      </c>
      <c r="C9" s="11">
        <f>IF($B$19=0,"",B9/$B$19)</f>
        <v/>
      </c>
    </row>
    <row r="10">
      <c r="A10" s="4" t="inlineStr">
        <is>
          <t>Terminación de superficies</t>
        </is>
      </c>
      <c r="B10" s="10">
        <f>SUMIF('Presupuesto'!$D$8:$D$307,$A10,'Presupuesto'!$G$8:$G$307)</f>
        <v/>
      </c>
      <c r="C10" s="11">
        <f>IF($B$19=0,"",B10/$B$19)</f>
        <v/>
      </c>
    </row>
    <row r="11">
      <c r="A11" s="4" t="inlineStr">
        <is>
          <t>Pisos</t>
        </is>
      </c>
      <c r="B11" s="10">
        <f>SUMIF('Presupuesto'!$D$8:$D$307,$A11,'Presupuesto'!$G$8:$G$307)</f>
        <v/>
      </c>
      <c r="C11" s="11">
        <f>IF($B$19=0,"",B11/$B$19)</f>
        <v/>
      </c>
    </row>
    <row r="12">
      <c r="A12" s="4" t="inlineStr">
        <is>
          <t>Techos</t>
        </is>
      </c>
      <c r="B12" s="10">
        <f>SUMIF('Presupuesto'!$D$8:$D$307,$A12,'Presupuesto'!$G$8:$G$307)</f>
        <v/>
      </c>
      <c r="C12" s="11">
        <f>IF($B$19=0,"",B12/$B$19)</f>
        <v/>
      </c>
    </row>
    <row r="13">
      <c r="A13" s="4" t="inlineStr">
        <is>
          <t>Instalaciones</t>
        </is>
      </c>
      <c r="B13" s="10">
        <f>SUMIF('Presupuesto'!$D$8:$D$307,$A13,'Presupuesto'!$G$8:$G$307)</f>
        <v/>
      </c>
      <c r="C13" s="11">
        <f>IF($B$19=0,"",B13/$B$19)</f>
        <v/>
      </c>
    </row>
    <row r="14">
      <c r="A14" s="4" t="inlineStr">
        <is>
          <t>Puertas y ventanas</t>
        </is>
      </c>
      <c r="B14" s="10">
        <f>SUMIF('Presupuesto'!$D$8:$D$307,$A14,'Presupuesto'!$G$8:$G$307)</f>
        <v/>
      </c>
      <c r="C14" s="11">
        <f>IF($B$19=0,"",B14/$B$19)</f>
        <v/>
      </c>
    </row>
    <row r="15">
      <c r="A15" s="4" t="inlineStr">
        <is>
          <t>Pintura</t>
        </is>
      </c>
      <c r="B15" s="10">
        <f>SUMIF('Presupuesto'!$D$8:$D$307,$A15,'Presupuesto'!$G$8:$G$307)</f>
        <v/>
      </c>
      <c r="C15" s="11">
        <f>IF($B$19=0,"",B15/$B$19)</f>
        <v/>
      </c>
    </row>
    <row r="16">
      <c r="A16" s="4" t="inlineStr">
        <is>
          <t>Exteriores</t>
        </is>
      </c>
      <c r="B16" s="10">
        <f>SUMIF('Presupuesto'!$D$8:$D$307,$A16,'Presupuesto'!$G$8:$G$307)</f>
        <v/>
      </c>
      <c r="C16" s="11">
        <f>IF($B$19=0,"",B16/$B$19)</f>
        <v/>
      </c>
    </row>
    <row r="17">
      <c r="A17" s="4" t="inlineStr">
        <is>
          <t>Limpieza</t>
        </is>
      </c>
      <c r="B17" s="10">
        <f>SUMIF('Presupuesto'!$D$8:$D$307,$A17,'Presupuesto'!$G$8:$G$307)</f>
        <v/>
      </c>
      <c r="C17" s="11">
        <f>IF($B$19=0,"",B17/$B$19)</f>
        <v/>
      </c>
    </row>
    <row r="18">
      <c r="A18" s="4" t="inlineStr">
        <is>
          <t>Transversal</t>
        </is>
      </c>
      <c r="B18" s="10">
        <f>SUMIF('Presupuesto'!$D$8:$D$307,$A18,'Presupuesto'!$G$8:$G$307)</f>
        <v/>
      </c>
      <c r="C18" s="11">
        <f>IF($B$19=0,"",B18/$B$19)</f>
        <v/>
      </c>
    </row>
    <row r="19">
      <c r="A19" s="3" t="inlineStr">
        <is>
          <t>Costo directo</t>
        </is>
      </c>
      <c r="B19" s="19">
        <f>SUM(B5:B18)</f>
        <v/>
      </c>
    </row>
    <row r="21">
      <c r="A21" s="13" t="inlineStr">
        <is>
          <t>El costo directo de esta hoja tiene que dar igual al de la hoja Presupuesto. Si no cuadra, es que hay una etapa escrita distinto.</t>
        </is>
      </c>
    </row>
    <row r="22"/>
  </sheetData>
  <mergeCells count="1">
    <mergeCell ref="A21:C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13"/>
  <sheetViews>
    <sheetView showGridLines="0" workbookViewId="0">
      <pane ySplit="8" topLeftCell="A9" activePane="bottomLeft" state="frozen"/>
      <selection pane="bottomLeft" activeCell="A1" sqref="A1"/>
    </sheetView>
  </sheetViews>
  <sheetFormatPr baseColWidth="8" defaultRowHeight="15"/>
  <cols>
    <col width="13" customWidth="1" min="1" max="1"/>
    <col width="44" customWidth="1" min="2" max="2"/>
    <col width="34" customWidth="1" min="3" max="3"/>
    <col width="12" customWidth="1" min="4" max="4"/>
    <col width="11" customWidth="1" min="5" max="5"/>
    <col width="15" customWidth="1" min="6" max="6"/>
    <col width="20" customWidth="1" min="7" max="7"/>
    <col width="16" customWidth="1" min="8" max="8"/>
    <col width="12" customWidth="1" min="9" max="9"/>
    <col width="16" customWidth="1" min="10" max="10"/>
    <col width="16" customWidth="1" min="11" max="11"/>
    <col width="16" customWidth="1" min="12" max="12"/>
    <col width="14" customWidth="1" min="13" max="13"/>
    <col width="16" customWidth="1" min="14" max="14"/>
    <col width="28" customWidth="1" min="15" max="15"/>
  </cols>
  <sheetData>
    <row r="1">
      <c r="A1" s="1" t="inlineStr">
        <is>
          <t>Solicitud de cotización</t>
        </is>
      </c>
    </row>
    <row r="2">
      <c r="A2" s="4" t="inlineStr">
        <is>
          <t>Escriba el código y la cantidad, imprima o envíe esta hoja, y deje que el proveedor llene de la columna G en adelante.</t>
        </is>
      </c>
    </row>
    <row r="4">
      <c r="A4" s="3" t="inlineStr">
        <is>
          <t>Proyecto:</t>
        </is>
      </c>
      <c r="C4" s="14" t="n"/>
      <c r="D4" s="20" t="n"/>
      <c r="E4" s="20" t="n"/>
      <c r="F4" s="21" t="n"/>
    </row>
    <row r="5">
      <c r="A5" s="3" t="inlineStr">
        <is>
          <t>Proveedor:</t>
        </is>
      </c>
      <c r="C5" s="14" t="n"/>
      <c r="D5" s="20" t="n"/>
      <c r="E5" s="20" t="n"/>
      <c r="F5" s="21" t="n"/>
    </row>
    <row r="6">
      <c r="A6" s="3" t="inlineStr">
        <is>
          <t>Fecha de solicitud:</t>
        </is>
      </c>
      <c r="C6" s="14" t="n"/>
      <c r="D6" s="20" t="n"/>
      <c r="E6" s="20" t="n"/>
      <c r="F6" s="21" t="n"/>
    </row>
    <row r="8" ht="30" customHeight="1">
      <c r="A8" s="6" t="inlineStr">
        <is>
          <t>Código</t>
        </is>
      </c>
      <c r="B8" s="6" t="inlineStr">
        <is>
          <t>Ítem</t>
        </is>
      </c>
      <c r="C8" s="6" t="inlineStr">
        <is>
          <t>Especificación</t>
        </is>
      </c>
      <c r="D8" s="6" t="inlineStr">
        <is>
          <t>Unidad</t>
        </is>
      </c>
      <c r="E8" s="6" t="inlineStr">
        <is>
          <t>Cantidad</t>
        </is>
      </c>
      <c r="F8" s="6" t="inlineStr">
        <is>
          <t>Referencia de mercado (RD$)</t>
        </is>
      </c>
      <c r="G8" s="6" t="inlineStr">
        <is>
          <t>Marca ofertada</t>
        </is>
      </c>
      <c r="H8" s="6" t="inlineStr">
        <is>
          <t>Precio unitario ofertado (RD$)</t>
        </is>
      </c>
      <c r="I8" s="6" t="inlineStr">
        <is>
          <t>¿Incluye ITBIS?</t>
        </is>
      </c>
      <c r="J8" s="6" t="inlineStr">
        <is>
          <t>Disponibilidad</t>
        </is>
      </c>
      <c r="K8" s="6" t="inlineStr">
        <is>
          <t>Plazo de entrega</t>
        </is>
      </c>
      <c r="L8" s="6" t="inlineStr">
        <is>
          <t>Validez de la oferta</t>
        </is>
      </c>
      <c r="M8" s="6" t="inlineStr">
        <is>
          <t>Diferencia vs. referencia</t>
        </is>
      </c>
      <c r="N8" s="6" t="inlineStr">
        <is>
          <t>Importe ofertado (RD$)</t>
        </is>
      </c>
      <c r="O8" s="6" t="inlineStr">
        <is>
          <t>Observaciones</t>
        </is>
      </c>
    </row>
    <row r="9">
      <c r="A9" s="14" t="n"/>
      <c r="B9" s="5">
        <f>IF($A9="","",IFERROR(INDEX('Catálogo'!$D$2:$D$813,MATCH($A9,'Catálogo'!$A$2:$A$813,0)),"código no encontrado"))</f>
        <v/>
      </c>
      <c r="C9" s="5">
        <f>IF($A9="","",IFERROR(INDEX('Catálogo'!$E$2:$E$813,MATCH($A9,'Catálogo'!$A$2:$A$813,0)),"código no encontrado"))</f>
        <v/>
      </c>
      <c r="D9" s="5">
        <f>IF($A9="","",IFERROR(INDEX('Catálogo'!$H$2:$H$813,MATCH($A9,'Catálogo'!$A$2:$A$813,0)),"código no encontrado"))</f>
        <v/>
      </c>
      <c r="E9" s="15" t="n"/>
      <c r="F9" s="10">
        <f>IF($A9="","",IFERROR(INDEX('Catálogo'!$N$2:$N$813,MATCH($A9,'Catálogo'!$A$2:$A$813,0)),"código no encontrado"))</f>
        <v/>
      </c>
      <c r="G9" s="14" t="n"/>
      <c r="H9" s="22" t="n"/>
      <c r="I9" s="14" t="n"/>
      <c r="J9" s="14" t="n"/>
      <c r="K9" s="14" t="n"/>
      <c r="L9" s="14" t="n"/>
      <c r="M9" s="11">
        <f>IF(OR($F9="",$H9="",NOT(ISNUMBER($F9)),NOT(ISNUMBER($H9))),"",($H9-$F9)/$F9)</f>
        <v/>
      </c>
      <c r="N9" s="10">
        <f>IF(OR($E9="",$H9=""),"",$E9*$H9)</f>
        <v/>
      </c>
      <c r="O9" s="14" t="n"/>
    </row>
    <row r="10">
      <c r="A10" s="14" t="n"/>
      <c r="B10" s="5">
        <f>IF($A10="","",IFERROR(INDEX('Catálogo'!$D$2:$D$813,MATCH($A10,'Catálogo'!$A$2:$A$813,0)),"código no encontrado"))</f>
        <v/>
      </c>
      <c r="C10" s="5">
        <f>IF($A10="","",IFERROR(INDEX('Catálogo'!$E$2:$E$813,MATCH($A10,'Catálogo'!$A$2:$A$813,0)),"código no encontrado"))</f>
        <v/>
      </c>
      <c r="D10" s="5">
        <f>IF($A10="","",IFERROR(INDEX('Catálogo'!$H$2:$H$813,MATCH($A10,'Catálogo'!$A$2:$A$813,0)),"código no encontrado"))</f>
        <v/>
      </c>
      <c r="E10" s="15" t="n"/>
      <c r="F10" s="10">
        <f>IF($A10="","",IFERROR(INDEX('Catálogo'!$N$2:$N$813,MATCH($A10,'Catálogo'!$A$2:$A$813,0)),"código no encontrado"))</f>
        <v/>
      </c>
      <c r="G10" s="14" t="n"/>
      <c r="H10" s="22" t="n"/>
      <c r="I10" s="14" t="n"/>
      <c r="J10" s="14" t="n"/>
      <c r="K10" s="14" t="n"/>
      <c r="L10" s="14" t="n"/>
      <c r="M10" s="11">
        <f>IF(OR($F10="",$H10="",NOT(ISNUMBER($F10)),NOT(ISNUMBER($H10))),"",($H10-$F10)/$F10)</f>
        <v/>
      </c>
      <c r="N10" s="10">
        <f>IF(OR($E10="",$H10=""),"",$E10*$H10)</f>
        <v/>
      </c>
      <c r="O10" s="14" t="n"/>
    </row>
    <row r="11">
      <c r="A11" s="14" t="n"/>
      <c r="B11" s="5">
        <f>IF($A11="","",IFERROR(INDEX('Catálogo'!$D$2:$D$813,MATCH($A11,'Catálogo'!$A$2:$A$813,0)),"código no encontrado"))</f>
        <v/>
      </c>
      <c r="C11" s="5">
        <f>IF($A11="","",IFERROR(INDEX('Catálogo'!$E$2:$E$813,MATCH($A11,'Catálogo'!$A$2:$A$813,0)),"código no encontrado"))</f>
        <v/>
      </c>
      <c r="D11" s="5">
        <f>IF($A11="","",IFERROR(INDEX('Catálogo'!$H$2:$H$813,MATCH($A11,'Catálogo'!$A$2:$A$813,0)),"código no encontrado"))</f>
        <v/>
      </c>
      <c r="E11" s="15" t="n"/>
      <c r="F11" s="10">
        <f>IF($A11="","",IFERROR(INDEX('Catálogo'!$N$2:$N$813,MATCH($A11,'Catálogo'!$A$2:$A$813,0)),"código no encontrado"))</f>
        <v/>
      </c>
      <c r="G11" s="14" t="n"/>
      <c r="H11" s="22" t="n"/>
      <c r="I11" s="14" t="n"/>
      <c r="J11" s="14" t="n"/>
      <c r="K11" s="14" t="n"/>
      <c r="L11" s="14" t="n"/>
      <c r="M11" s="11">
        <f>IF(OR($F11="",$H11="",NOT(ISNUMBER($F11)),NOT(ISNUMBER($H11))),"",($H11-$F11)/$F11)</f>
        <v/>
      </c>
      <c r="N11" s="10">
        <f>IF(OR($E11="",$H11=""),"",$E11*$H11)</f>
        <v/>
      </c>
      <c r="O11" s="14" t="n"/>
    </row>
    <row r="12">
      <c r="A12" s="14" t="n"/>
      <c r="B12" s="5">
        <f>IF($A12="","",IFERROR(INDEX('Catálogo'!$D$2:$D$813,MATCH($A12,'Catálogo'!$A$2:$A$813,0)),"código no encontrado"))</f>
        <v/>
      </c>
      <c r="C12" s="5">
        <f>IF($A12="","",IFERROR(INDEX('Catálogo'!$E$2:$E$813,MATCH($A12,'Catálogo'!$A$2:$A$813,0)),"código no encontrado"))</f>
        <v/>
      </c>
      <c r="D12" s="5">
        <f>IF($A12="","",IFERROR(INDEX('Catálogo'!$H$2:$H$813,MATCH($A12,'Catálogo'!$A$2:$A$813,0)),"código no encontrado"))</f>
        <v/>
      </c>
      <c r="E12" s="15" t="n"/>
      <c r="F12" s="10">
        <f>IF($A12="","",IFERROR(INDEX('Catálogo'!$N$2:$N$813,MATCH($A12,'Catálogo'!$A$2:$A$813,0)),"código no encontrado"))</f>
        <v/>
      </c>
      <c r="G12" s="14" t="n"/>
      <c r="H12" s="22" t="n"/>
      <c r="I12" s="14" t="n"/>
      <c r="J12" s="14" t="n"/>
      <c r="K12" s="14" t="n"/>
      <c r="L12" s="14" t="n"/>
      <c r="M12" s="11">
        <f>IF(OR($F12="",$H12="",NOT(ISNUMBER($F12)),NOT(ISNUMBER($H12))),"",($H12-$F12)/$F12)</f>
        <v/>
      </c>
      <c r="N12" s="10">
        <f>IF(OR($E12="",$H12=""),"",$E12*$H12)</f>
        <v/>
      </c>
      <c r="O12" s="14" t="n"/>
    </row>
    <row r="13">
      <c r="A13" s="14" t="n"/>
      <c r="B13" s="5">
        <f>IF($A13="","",IFERROR(INDEX('Catálogo'!$D$2:$D$813,MATCH($A13,'Catálogo'!$A$2:$A$813,0)),"código no encontrado"))</f>
        <v/>
      </c>
      <c r="C13" s="5">
        <f>IF($A13="","",IFERROR(INDEX('Catálogo'!$E$2:$E$813,MATCH($A13,'Catálogo'!$A$2:$A$813,0)),"código no encontrado"))</f>
        <v/>
      </c>
      <c r="D13" s="5">
        <f>IF($A13="","",IFERROR(INDEX('Catálogo'!$H$2:$H$813,MATCH($A13,'Catálogo'!$A$2:$A$813,0)),"código no encontrado"))</f>
        <v/>
      </c>
      <c r="E13" s="15" t="n"/>
      <c r="F13" s="10">
        <f>IF($A13="","",IFERROR(INDEX('Catálogo'!$N$2:$N$813,MATCH($A13,'Catálogo'!$A$2:$A$813,0)),"código no encontrado"))</f>
        <v/>
      </c>
      <c r="G13" s="14" t="n"/>
      <c r="H13" s="22" t="n"/>
      <c r="I13" s="14" t="n"/>
      <c r="J13" s="14" t="n"/>
      <c r="K13" s="14" t="n"/>
      <c r="L13" s="14" t="n"/>
      <c r="M13" s="11">
        <f>IF(OR($F13="",$H13="",NOT(ISNUMBER($F13)),NOT(ISNUMBER($H13))),"",($H13-$F13)/$F13)</f>
        <v/>
      </c>
      <c r="N13" s="10">
        <f>IF(OR($E13="",$H13=""),"",$E13*$H13)</f>
        <v/>
      </c>
      <c r="O13" s="14" t="n"/>
    </row>
    <row r="14">
      <c r="A14" s="14" t="n"/>
      <c r="B14" s="5">
        <f>IF($A14="","",IFERROR(INDEX('Catálogo'!$D$2:$D$813,MATCH($A14,'Catálogo'!$A$2:$A$813,0)),"código no encontrado"))</f>
        <v/>
      </c>
      <c r="C14" s="5">
        <f>IF($A14="","",IFERROR(INDEX('Catálogo'!$E$2:$E$813,MATCH($A14,'Catálogo'!$A$2:$A$813,0)),"código no encontrado"))</f>
        <v/>
      </c>
      <c r="D14" s="5">
        <f>IF($A14="","",IFERROR(INDEX('Catálogo'!$H$2:$H$813,MATCH($A14,'Catálogo'!$A$2:$A$813,0)),"código no encontrado"))</f>
        <v/>
      </c>
      <c r="E14" s="15" t="n"/>
      <c r="F14" s="10">
        <f>IF($A14="","",IFERROR(INDEX('Catálogo'!$N$2:$N$813,MATCH($A14,'Catálogo'!$A$2:$A$813,0)),"código no encontrado"))</f>
        <v/>
      </c>
      <c r="G14" s="14" t="n"/>
      <c r="H14" s="22" t="n"/>
      <c r="I14" s="14" t="n"/>
      <c r="J14" s="14" t="n"/>
      <c r="K14" s="14" t="n"/>
      <c r="L14" s="14" t="n"/>
      <c r="M14" s="11">
        <f>IF(OR($F14="",$H14="",NOT(ISNUMBER($F14)),NOT(ISNUMBER($H14))),"",($H14-$F14)/$F14)</f>
        <v/>
      </c>
      <c r="N14" s="10">
        <f>IF(OR($E14="",$H14=""),"",$E14*$H14)</f>
        <v/>
      </c>
      <c r="O14" s="14" t="n"/>
    </row>
    <row r="15">
      <c r="A15" s="14" t="n"/>
      <c r="B15" s="5">
        <f>IF($A15="","",IFERROR(INDEX('Catálogo'!$D$2:$D$813,MATCH($A15,'Catálogo'!$A$2:$A$813,0)),"código no encontrado"))</f>
        <v/>
      </c>
      <c r="C15" s="5">
        <f>IF($A15="","",IFERROR(INDEX('Catálogo'!$E$2:$E$813,MATCH($A15,'Catálogo'!$A$2:$A$813,0)),"código no encontrado"))</f>
        <v/>
      </c>
      <c r="D15" s="5">
        <f>IF($A15="","",IFERROR(INDEX('Catálogo'!$H$2:$H$813,MATCH($A15,'Catálogo'!$A$2:$A$813,0)),"código no encontrado"))</f>
        <v/>
      </c>
      <c r="E15" s="15" t="n"/>
      <c r="F15" s="10">
        <f>IF($A15="","",IFERROR(INDEX('Catálogo'!$N$2:$N$813,MATCH($A15,'Catálogo'!$A$2:$A$813,0)),"código no encontrado"))</f>
        <v/>
      </c>
      <c r="G15" s="14" t="n"/>
      <c r="H15" s="22" t="n"/>
      <c r="I15" s="14" t="n"/>
      <c r="J15" s="14" t="n"/>
      <c r="K15" s="14" t="n"/>
      <c r="L15" s="14" t="n"/>
      <c r="M15" s="11">
        <f>IF(OR($F15="",$H15="",NOT(ISNUMBER($F15)),NOT(ISNUMBER($H15))),"",($H15-$F15)/$F15)</f>
        <v/>
      </c>
      <c r="N15" s="10">
        <f>IF(OR($E15="",$H15=""),"",$E15*$H15)</f>
        <v/>
      </c>
      <c r="O15" s="14" t="n"/>
    </row>
    <row r="16">
      <c r="A16" s="14" t="n"/>
      <c r="B16" s="5">
        <f>IF($A16="","",IFERROR(INDEX('Catálogo'!$D$2:$D$813,MATCH($A16,'Catálogo'!$A$2:$A$813,0)),"código no encontrado"))</f>
        <v/>
      </c>
      <c r="C16" s="5">
        <f>IF($A16="","",IFERROR(INDEX('Catálogo'!$E$2:$E$813,MATCH($A16,'Catálogo'!$A$2:$A$813,0)),"código no encontrado"))</f>
        <v/>
      </c>
      <c r="D16" s="5">
        <f>IF($A16="","",IFERROR(INDEX('Catálogo'!$H$2:$H$813,MATCH($A16,'Catálogo'!$A$2:$A$813,0)),"código no encontrado"))</f>
        <v/>
      </c>
      <c r="E16" s="15" t="n"/>
      <c r="F16" s="10">
        <f>IF($A16="","",IFERROR(INDEX('Catálogo'!$N$2:$N$813,MATCH($A16,'Catálogo'!$A$2:$A$813,0)),"código no encontrado"))</f>
        <v/>
      </c>
      <c r="G16" s="14" t="n"/>
      <c r="H16" s="22" t="n"/>
      <c r="I16" s="14" t="n"/>
      <c r="J16" s="14" t="n"/>
      <c r="K16" s="14" t="n"/>
      <c r="L16" s="14" t="n"/>
      <c r="M16" s="11">
        <f>IF(OR($F16="",$H16="",NOT(ISNUMBER($F16)),NOT(ISNUMBER($H16))),"",($H16-$F16)/$F16)</f>
        <v/>
      </c>
      <c r="N16" s="10">
        <f>IF(OR($E16="",$H16=""),"",$E16*$H16)</f>
        <v/>
      </c>
      <c r="O16" s="14" t="n"/>
    </row>
    <row r="17">
      <c r="A17" s="14" t="n"/>
      <c r="B17" s="5">
        <f>IF($A17="","",IFERROR(INDEX('Catálogo'!$D$2:$D$813,MATCH($A17,'Catálogo'!$A$2:$A$813,0)),"código no encontrado"))</f>
        <v/>
      </c>
      <c r="C17" s="5">
        <f>IF($A17="","",IFERROR(INDEX('Catálogo'!$E$2:$E$813,MATCH($A17,'Catálogo'!$A$2:$A$813,0)),"código no encontrado"))</f>
        <v/>
      </c>
      <c r="D17" s="5">
        <f>IF($A17="","",IFERROR(INDEX('Catálogo'!$H$2:$H$813,MATCH($A17,'Catálogo'!$A$2:$A$813,0)),"código no encontrado"))</f>
        <v/>
      </c>
      <c r="E17" s="15" t="n"/>
      <c r="F17" s="10">
        <f>IF($A17="","",IFERROR(INDEX('Catálogo'!$N$2:$N$813,MATCH($A17,'Catálogo'!$A$2:$A$813,0)),"código no encontrado"))</f>
        <v/>
      </c>
      <c r="G17" s="14" t="n"/>
      <c r="H17" s="22" t="n"/>
      <c r="I17" s="14" t="n"/>
      <c r="J17" s="14" t="n"/>
      <c r="K17" s="14" t="n"/>
      <c r="L17" s="14" t="n"/>
      <c r="M17" s="11">
        <f>IF(OR($F17="",$H17="",NOT(ISNUMBER($F17)),NOT(ISNUMBER($H17))),"",($H17-$F17)/$F17)</f>
        <v/>
      </c>
      <c r="N17" s="10">
        <f>IF(OR($E17="",$H17=""),"",$E17*$H17)</f>
        <v/>
      </c>
      <c r="O17" s="14" t="n"/>
    </row>
    <row r="18">
      <c r="A18" s="14" t="n"/>
      <c r="B18" s="5">
        <f>IF($A18="","",IFERROR(INDEX('Catálogo'!$D$2:$D$813,MATCH($A18,'Catálogo'!$A$2:$A$813,0)),"código no encontrado"))</f>
        <v/>
      </c>
      <c r="C18" s="5">
        <f>IF($A18="","",IFERROR(INDEX('Catálogo'!$E$2:$E$813,MATCH($A18,'Catálogo'!$A$2:$A$813,0)),"código no encontrado"))</f>
        <v/>
      </c>
      <c r="D18" s="5">
        <f>IF($A18="","",IFERROR(INDEX('Catálogo'!$H$2:$H$813,MATCH($A18,'Catálogo'!$A$2:$A$813,0)),"código no encontrado"))</f>
        <v/>
      </c>
      <c r="E18" s="15" t="n"/>
      <c r="F18" s="10">
        <f>IF($A18="","",IFERROR(INDEX('Catálogo'!$N$2:$N$813,MATCH($A18,'Catálogo'!$A$2:$A$813,0)),"código no encontrado"))</f>
        <v/>
      </c>
      <c r="G18" s="14" t="n"/>
      <c r="H18" s="22" t="n"/>
      <c r="I18" s="14" t="n"/>
      <c r="J18" s="14" t="n"/>
      <c r="K18" s="14" t="n"/>
      <c r="L18" s="14" t="n"/>
      <c r="M18" s="11">
        <f>IF(OR($F18="",$H18="",NOT(ISNUMBER($F18)),NOT(ISNUMBER($H18))),"",($H18-$F18)/$F18)</f>
        <v/>
      </c>
      <c r="N18" s="10">
        <f>IF(OR($E18="",$H18=""),"",$E18*$H18)</f>
        <v/>
      </c>
      <c r="O18" s="14" t="n"/>
    </row>
    <row r="19">
      <c r="A19" s="14" t="n"/>
      <c r="B19" s="5">
        <f>IF($A19="","",IFERROR(INDEX('Catálogo'!$D$2:$D$813,MATCH($A19,'Catálogo'!$A$2:$A$813,0)),"código no encontrado"))</f>
        <v/>
      </c>
      <c r="C19" s="5">
        <f>IF($A19="","",IFERROR(INDEX('Catálogo'!$E$2:$E$813,MATCH($A19,'Catálogo'!$A$2:$A$813,0)),"código no encontrado"))</f>
        <v/>
      </c>
      <c r="D19" s="5">
        <f>IF($A19="","",IFERROR(INDEX('Catálogo'!$H$2:$H$813,MATCH($A19,'Catálogo'!$A$2:$A$813,0)),"código no encontrado"))</f>
        <v/>
      </c>
      <c r="E19" s="15" t="n"/>
      <c r="F19" s="10">
        <f>IF($A19="","",IFERROR(INDEX('Catálogo'!$N$2:$N$813,MATCH($A19,'Catálogo'!$A$2:$A$813,0)),"código no encontrado"))</f>
        <v/>
      </c>
      <c r="G19" s="14" t="n"/>
      <c r="H19" s="22" t="n"/>
      <c r="I19" s="14" t="n"/>
      <c r="J19" s="14" t="n"/>
      <c r="K19" s="14" t="n"/>
      <c r="L19" s="14" t="n"/>
      <c r="M19" s="11">
        <f>IF(OR($F19="",$H19="",NOT(ISNUMBER($F19)),NOT(ISNUMBER($H19))),"",($H19-$F19)/$F19)</f>
        <v/>
      </c>
      <c r="N19" s="10">
        <f>IF(OR($E19="",$H19=""),"",$E19*$H19)</f>
        <v/>
      </c>
      <c r="O19" s="14" t="n"/>
    </row>
    <row r="20">
      <c r="A20" s="14" t="n"/>
      <c r="B20" s="5">
        <f>IF($A20="","",IFERROR(INDEX('Catálogo'!$D$2:$D$813,MATCH($A20,'Catálogo'!$A$2:$A$813,0)),"código no encontrado"))</f>
        <v/>
      </c>
      <c r="C20" s="5">
        <f>IF($A20="","",IFERROR(INDEX('Catálogo'!$E$2:$E$813,MATCH($A20,'Catálogo'!$A$2:$A$813,0)),"código no encontrado"))</f>
        <v/>
      </c>
      <c r="D20" s="5">
        <f>IF($A20="","",IFERROR(INDEX('Catálogo'!$H$2:$H$813,MATCH($A20,'Catálogo'!$A$2:$A$813,0)),"código no encontrado"))</f>
        <v/>
      </c>
      <c r="E20" s="15" t="n"/>
      <c r="F20" s="10">
        <f>IF($A20="","",IFERROR(INDEX('Catálogo'!$N$2:$N$813,MATCH($A20,'Catálogo'!$A$2:$A$813,0)),"código no encontrado"))</f>
        <v/>
      </c>
      <c r="G20" s="14" t="n"/>
      <c r="H20" s="22" t="n"/>
      <c r="I20" s="14" t="n"/>
      <c r="J20" s="14" t="n"/>
      <c r="K20" s="14" t="n"/>
      <c r="L20" s="14" t="n"/>
      <c r="M20" s="11">
        <f>IF(OR($F20="",$H20="",NOT(ISNUMBER($F20)),NOT(ISNUMBER($H20))),"",($H20-$F20)/$F20)</f>
        <v/>
      </c>
      <c r="N20" s="10">
        <f>IF(OR($E20="",$H20=""),"",$E20*$H20)</f>
        <v/>
      </c>
      <c r="O20" s="14" t="n"/>
    </row>
    <row r="21">
      <c r="A21" s="14" t="n"/>
      <c r="B21" s="5">
        <f>IF($A21="","",IFERROR(INDEX('Catálogo'!$D$2:$D$813,MATCH($A21,'Catálogo'!$A$2:$A$813,0)),"código no encontrado"))</f>
        <v/>
      </c>
      <c r="C21" s="5">
        <f>IF($A21="","",IFERROR(INDEX('Catálogo'!$E$2:$E$813,MATCH($A21,'Catálogo'!$A$2:$A$813,0)),"código no encontrado"))</f>
        <v/>
      </c>
      <c r="D21" s="5">
        <f>IF($A21="","",IFERROR(INDEX('Catálogo'!$H$2:$H$813,MATCH($A21,'Catálogo'!$A$2:$A$813,0)),"código no encontrado"))</f>
        <v/>
      </c>
      <c r="E21" s="15" t="n"/>
      <c r="F21" s="10">
        <f>IF($A21="","",IFERROR(INDEX('Catálogo'!$N$2:$N$813,MATCH($A21,'Catálogo'!$A$2:$A$813,0)),"código no encontrado"))</f>
        <v/>
      </c>
      <c r="G21" s="14" t="n"/>
      <c r="H21" s="22" t="n"/>
      <c r="I21" s="14" t="n"/>
      <c r="J21" s="14" t="n"/>
      <c r="K21" s="14" t="n"/>
      <c r="L21" s="14" t="n"/>
      <c r="M21" s="11">
        <f>IF(OR($F21="",$H21="",NOT(ISNUMBER($F21)),NOT(ISNUMBER($H21))),"",($H21-$F21)/$F21)</f>
        <v/>
      </c>
      <c r="N21" s="10">
        <f>IF(OR($E21="",$H21=""),"",$E21*$H21)</f>
        <v/>
      </c>
      <c r="O21" s="14" t="n"/>
    </row>
    <row r="22">
      <c r="A22" s="14" t="n"/>
      <c r="B22" s="5">
        <f>IF($A22="","",IFERROR(INDEX('Catálogo'!$D$2:$D$813,MATCH($A22,'Catálogo'!$A$2:$A$813,0)),"código no encontrado"))</f>
        <v/>
      </c>
      <c r="C22" s="5">
        <f>IF($A22="","",IFERROR(INDEX('Catálogo'!$E$2:$E$813,MATCH($A22,'Catálogo'!$A$2:$A$813,0)),"código no encontrado"))</f>
        <v/>
      </c>
      <c r="D22" s="5">
        <f>IF($A22="","",IFERROR(INDEX('Catálogo'!$H$2:$H$813,MATCH($A22,'Catálogo'!$A$2:$A$813,0)),"código no encontrado"))</f>
        <v/>
      </c>
      <c r="E22" s="15" t="n"/>
      <c r="F22" s="10">
        <f>IF($A22="","",IFERROR(INDEX('Catálogo'!$N$2:$N$813,MATCH($A22,'Catálogo'!$A$2:$A$813,0)),"código no encontrado"))</f>
        <v/>
      </c>
      <c r="G22" s="14" t="n"/>
      <c r="H22" s="22" t="n"/>
      <c r="I22" s="14" t="n"/>
      <c r="J22" s="14" t="n"/>
      <c r="K22" s="14" t="n"/>
      <c r="L22" s="14" t="n"/>
      <c r="M22" s="11">
        <f>IF(OR($F22="",$H22="",NOT(ISNUMBER($F22)),NOT(ISNUMBER($H22))),"",($H22-$F22)/$F22)</f>
        <v/>
      </c>
      <c r="N22" s="10">
        <f>IF(OR($E22="",$H22=""),"",$E22*$H22)</f>
        <v/>
      </c>
      <c r="O22" s="14" t="n"/>
    </row>
    <row r="23">
      <c r="A23" s="14" t="n"/>
      <c r="B23" s="5">
        <f>IF($A23="","",IFERROR(INDEX('Catálogo'!$D$2:$D$813,MATCH($A23,'Catálogo'!$A$2:$A$813,0)),"código no encontrado"))</f>
        <v/>
      </c>
      <c r="C23" s="5">
        <f>IF($A23="","",IFERROR(INDEX('Catálogo'!$E$2:$E$813,MATCH($A23,'Catálogo'!$A$2:$A$813,0)),"código no encontrado"))</f>
        <v/>
      </c>
      <c r="D23" s="5">
        <f>IF($A23="","",IFERROR(INDEX('Catálogo'!$H$2:$H$813,MATCH($A23,'Catálogo'!$A$2:$A$813,0)),"código no encontrado"))</f>
        <v/>
      </c>
      <c r="E23" s="15" t="n"/>
      <c r="F23" s="10">
        <f>IF($A23="","",IFERROR(INDEX('Catálogo'!$N$2:$N$813,MATCH($A23,'Catálogo'!$A$2:$A$813,0)),"código no encontrado"))</f>
        <v/>
      </c>
      <c r="G23" s="14" t="n"/>
      <c r="H23" s="22" t="n"/>
      <c r="I23" s="14" t="n"/>
      <c r="J23" s="14" t="n"/>
      <c r="K23" s="14" t="n"/>
      <c r="L23" s="14" t="n"/>
      <c r="M23" s="11">
        <f>IF(OR($F23="",$H23="",NOT(ISNUMBER($F23)),NOT(ISNUMBER($H23))),"",($H23-$F23)/$F23)</f>
        <v/>
      </c>
      <c r="N23" s="10">
        <f>IF(OR($E23="",$H23=""),"",$E23*$H23)</f>
        <v/>
      </c>
      <c r="O23" s="14" t="n"/>
    </row>
    <row r="24">
      <c r="A24" s="14" t="n"/>
      <c r="B24" s="5">
        <f>IF($A24="","",IFERROR(INDEX('Catálogo'!$D$2:$D$813,MATCH($A24,'Catálogo'!$A$2:$A$813,0)),"código no encontrado"))</f>
        <v/>
      </c>
      <c r="C24" s="5">
        <f>IF($A24="","",IFERROR(INDEX('Catálogo'!$E$2:$E$813,MATCH($A24,'Catálogo'!$A$2:$A$813,0)),"código no encontrado"))</f>
        <v/>
      </c>
      <c r="D24" s="5">
        <f>IF($A24="","",IFERROR(INDEX('Catálogo'!$H$2:$H$813,MATCH($A24,'Catálogo'!$A$2:$A$813,0)),"código no encontrado"))</f>
        <v/>
      </c>
      <c r="E24" s="15" t="n"/>
      <c r="F24" s="10">
        <f>IF($A24="","",IFERROR(INDEX('Catálogo'!$N$2:$N$813,MATCH($A24,'Catálogo'!$A$2:$A$813,0)),"código no encontrado"))</f>
        <v/>
      </c>
      <c r="G24" s="14" t="n"/>
      <c r="H24" s="22" t="n"/>
      <c r="I24" s="14" t="n"/>
      <c r="J24" s="14" t="n"/>
      <c r="K24" s="14" t="n"/>
      <c r="L24" s="14" t="n"/>
      <c r="M24" s="11">
        <f>IF(OR($F24="",$H24="",NOT(ISNUMBER($F24)),NOT(ISNUMBER($H24))),"",($H24-$F24)/$F24)</f>
        <v/>
      </c>
      <c r="N24" s="10">
        <f>IF(OR($E24="",$H24=""),"",$E24*$H24)</f>
        <v/>
      </c>
      <c r="O24" s="14" t="n"/>
    </row>
    <row r="25">
      <c r="A25" s="14" t="n"/>
      <c r="B25" s="5">
        <f>IF($A25="","",IFERROR(INDEX('Catálogo'!$D$2:$D$813,MATCH($A25,'Catálogo'!$A$2:$A$813,0)),"código no encontrado"))</f>
        <v/>
      </c>
      <c r="C25" s="5">
        <f>IF($A25="","",IFERROR(INDEX('Catálogo'!$E$2:$E$813,MATCH($A25,'Catálogo'!$A$2:$A$813,0)),"código no encontrado"))</f>
        <v/>
      </c>
      <c r="D25" s="5">
        <f>IF($A25="","",IFERROR(INDEX('Catálogo'!$H$2:$H$813,MATCH($A25,'Catálogo'!$A$2:$A$813,0)),"código no encontrado"))</f>
        <v/>
      </c>
      <c r="E25" s="15" t="n"/>
      <c r="F25" s="10">
        <f>IF($A25="","",IFERROR(INDEX('Catálogo'!$N$2:$N$813,MATCH($A25,'Catálogo'!$A$2:$A$813,0)),"código no encontrado"))</f>
        <v/>
      </c>
      <c r="G25" s="14" t="n"/>
      <c r="H25" s="22" t="n"/>
      <c r="I25" s="14" t="n"/>
      <c r="J25" s="14" t="n"/>
      <c r="K25" s="14" t="n"/>
      <c r="L25" s="14" t="n"/>
      <c r="M25" s="11">
        <f>IF(OR($F25="",$H25="",NOT(ISNUMBER($F25)),NOT(ISNUMBER($H25))),"",($H25-$F25)/$F25)</f>
        <v/>
      </c>
      <c r="N25" s="10">
        <f>IF(OR($E25="",$H25=""),"",$E25*$H25)</f>
        <v/>
      </c>
      <c r="O25" s="14" t="n"/>
    </row>
    <row r="26">
      <c r="A26" s="14" t="n"/>
      <c r="B26" s="5">
        <f>IF($A26="","",IFERROR(INDEX('Catálogo'!$D$2:$D$813,MATCH($A26,'Catálogo'!$A$2:$A$813,0)),"código no encontrado"))</f>
        <v/>
      </c>
      <c r="C26" s="5">
        <f>IF($A26="","",IFERROR(INDEX('Catálogo'!$E$2:$E$813,MATCH($A26,'Catálogo'!$A$2:$A$813,0)),"código no encontrado"))</f>
        <v/>
      </c>
      <c r="D26" s="5">
        <f>IF($A26="","",IFERROR(INDEX('Catálogo'!$H$2:$H$813,MATCH($A26,'Catálogo'!$A$2:$A$813,0)),"código no encontrado"))</f>
        <v/>
      </c>
      <c r="E26" s="15" t="n"/>
      <c r="F26" s="10">
        <f>IF($A26="","",IFERROR(INDEX('Catálogo'!$N$2:$N$813,MATCH($A26,'Catálogo'!$A$2:$A$813,0)),"código no encontrado"))</f>
        <v/>
      </c>
      <c r="G26" s="14" t="n"/>
      <c r="H26" s="22" t="n"/>
      <c r="I26" s="14" t="n"/>
      <c r="J26" s="14" t="n"/>
      <c r="K26" s="14" t="n"/>
      <c r="L26" s="14" t="n"/>
      <c r="M26" s="11">
        <f>IF(OR($F26="",$H26="",NOT(ISNUMBER($F26)),NOT(ISNUMBER($H26))),"",($H26-$F26)/$F26)</f>
        <v/>
      </c>
      <c r="N26" s="10">
        <f>IF(OR($E26="",$H26=""),"",$E26*$H26)</f>
        <v/>
      </c>
      <c r="O26" s="14" t="n"/>
    </row>
    <row r="27">
      <c r="A27" s="14" t="n"/>
      <c r="B27" s="5">
        <f>IF($A27="","",IFERROR(INDEX('Catálogo'!$D$2:$D$813,MATCH($A27,'Catálogo'!$A$2:$A$813,0)),"código no encontrado"))</f>
        <v/>
      </c>
      <c r="C27" s="5">
        <f>IF($A27="","",IFERROR(INDEX('Catálogo'!$E$2:$E$813,MATCH($A27,'Catálogo'!$A$2:$A$813,0)),"código no encontrado"))</f>
        <v/>
      </c>
      <c r="D27" s="5">
        <f>IF($A27="","",IFERROR(INDEX('Catálogo'!$H$2:$H$813,MATCH($A27,'Catálogo'!$A$2:$A$813,0)),"código no encontrado"))</f>
        <v/>
      </c>
      <c r="E27" s="15" t="n"/>
      <c r="F27" s="10">
        <f>IF($A27="","",IFERROR(INDEX('Catálogo'!$N$2:$N$813,MATCH($A27,'Catálogo'!$A$2:$A$813,0)),"código no encontrado"))</f>
        <v/>
      </c>
      <c r="G27" s="14" t="n"/>
      <c r="H27" s="22" t="n"/>
      <c r="I27" s="14" t="n"/>
      <c r="J27" s="14" t="n"/>
      <c r="K27" s="14" t="n"/>
      <c r="L27" s="14" t="n"/>
      <c r="M27" s="11">
        <f>IF(OR($F27="",$H27="",NOT(ISNUMBER($F27)),NOT(ISNUMBER($H27))),"",($H27-$F27)/$F27)</f>
        <v/>
      </c>
      <c r="N27" s="10">
        <f>IF(OR($E27="",$H27=""),"",$E27*$H27)</f>
        <v/>
      </c>
      <c r="O27" s="14" t="n"/>
    </row>
    <row r="28">
      <c r="A28" s="14" t="n"/>
      <c r="B28" s="5">
        <f>IF($A28="","",IFERROR(INDEX('Catálogo'!$D$2:$D$813,MATCH($A28,'Catálogo'!$A$2:$A$813,0)),"código no encontrado"))</f>
        <v/>
      </c>
      <c r="C28" s="5">
        <f>IF($A28="","",IFERROR(INDEX('Catálogo'!$E$2:$E$813,MATCH($A28,'Catálogo'!$A$2:$A$813,0)),"código no encontrado"))</f>
        <v/>
      </c>
      <c r="D28" s="5">
        <f>IF($A28="","",IFERROR(INDEX('Catálogo'!$H$2:$H$813,MATCH($A28,'Catálogo'!$A$2:$A$813,0)),"código no encontrado"))</f>
        <v/>
      </c>
      <c r="E28" s="15" t="n"/>
      <c r="F28" s="10">
        <f>IF($A28="","",IFERROR(INDEX('Catálogo'!$N$2:$N$813,MATCH($A28,'Catálogo'!$A$2:$A$813,0)),"código no encontrado"))</f>
        <v/>
      </c>
      <c r="G28" s="14" t="n"/>
      <c r="H28" s="22" t="n"/>
      <c r="I28" s="14" t="n"/>
      <c r="J28" s="14" t="n"/>
      <c r="K28" s="14" t="n"/>
      <c r="L28" s="14" t="n"/>
      <c r="M28" s="11">
        <f>IF(OR($F28="",$H28="",NOT(ISNUMBER($F28)),NOT(ISNUMBER($H28))),"",($H28-$F28)/$F28)</f>
        <v/>
      </c>
      <c r="N28" s="10">
        <f>IF(OR($E28="",$H28=""),"",$E28*$H28)</f>
        <v/>
      </c>
      <c r="O28" s="14" t="n"/>
    </row>
    <row r="29">
      <c r="A29" s="14" t="n"/>
      <c r="B29" s="5">
        <f>IF($A29="","",IFERROR(INDEX('Catálogo'!$D$2:$D$813,MATCH($A29,'Catálogo'!$A$2:$A$813,0)),"código no encontrado"))</f>
        <v/>
      </c>
      <c r="C29" s="5">
        <f>IF($A29="","",IFERROR(INDEX('Catálogo'!$E$2:$E$813,MATCH($A29,'Catálogo'!$A$2:$A$813,0)),"código no encontrado"))</f>
        <v/>
      </c>
      <c r="D29" s="5">
        <f>IF($A29="","",IFERROR(INDEX('Catálogo'!$H$2:$H$813,MATCH($A29,'Catálogo'!$A$2:$A$813,0)),"código no encontrado"))</f>
        <v/>
      </c>
      <c r="E29" s="15" t="n"/>
      <c r="F29" s="10">
        <f>IF($A29="","",IFERROR(INDEX('Catálogo'!$N$2:$N$813,MATCH($A29,'Catálogo'!$A$2:$A$813,0)),"código no encontrado"))</f>
        <v/>
      </c>
      <c r="G29" s="14" t="n"/>
      <c r="H29" s="22" t="n"/>
      <c r="I29" s="14" t="n"/>
      <c r="J29" s="14" t="n"/>
      <c r="K29" s="14" t="n"/>
      <c r="L29" s="14" t="n"/>
      <c r="M29" s="11">
        <f>IF(OR($F29="",$H29="",NOT(ISNUMBER($F29)),NOT(ISNUMBER($H29))),"",($H29-$F29)/$F29)</f>
        <v/>
      </c>
      <c r="N29" s="10">
        <f>IF(OR($E29="",$H29=""),"",$E29*$H29)</f>
        <v/>
      </c>
      <c r="O29" s="14" t="n"/>
    </row>
    <row r="30">
      <c r="A30" s="14" t="n"/>
      <c r="B30" s="5">
        <f>IF($A30="","",IFERROR(INDEX('Catálogo'!$D$2:$D$813,MATCH($A30,'Catálogo'!$A$2:$A$813,0)),"código no encontrado"))</f>
        <v/>
      </c>
      <c r="C30" s="5">
        <f>IF($A30="","",IFERROR(INDEX('Catálogo'!$E$2:$E$813,MATCH($A30,'Catálogo'!$A$2:$A$813,0)),"código no encontrado"))</f>
        <v/>
      </c>
      <c r="D30" s="5">
        <f>IF($A30="","",IFERROR(INDEX('Catálogo'!$H$2:$H$813,MATCH($A30,'Catálogo'!$A$2:$A$813,0)),"código no encontrado"))</f>
        <v/>
      </c>
      <c r="E30" s="15" t="n"/>
      <c r="F30" s="10">
        <f>IF($A30="","",IFERROR(INDEX('Catálogo'!$N$2:$N$813,MATCH($A30,'Catálogo'!$A$2:$A$813,0)),"código no encontrado"))</f>
        <v/>
      </c>
      <c r="G30" s="14" t="n"/>
      <c r="H30" s="22" t="n"/>
      <c r="I30" s="14" t="n"/>
      <c r="J30" s="14" t="n"/>
      <c r="K30" s="14" t="n"/>
      <c r="L30" s="14" t="n"/>
      <c r="M30" s="11">
        <f>IF(OR($F30="",$H30="",NOT(ISNUMBER($F30)),NOT(ISNUMBER($H30))),"",($H30-$F30)/$F30)</f>
        <v/>
      </c>
      <c r="N30" s="10">
        <f>IF(OR($E30="",$H30=""),"",$E30*$H30)</f>
        <v/>
      </c>
      <c r="O30" s="14" t="n"/>
    </row>
    <row r="31">
      <c r="A31" s="14" t="n"/>
      <c r="B31" s="5">
        <f>IF($A31="","",IFERROR(INDEX('Catálogo'!$D$2:$D$813,MATCH($A31,'Catálogo'!$A$2:$A$813,0)),"código no encontrado"))</f>
        <v/>
      </c>
      <c r="C31" s="5">
        <f>IF($A31="","",IFERROR(INDEX('Catálogo'!$E$2:$E$813,MATCH($A31,'Catálogo'!$A$2:$A$813,0)),"código no encontrado"))</f>
        <v/>
      </c>
      <c r="D31" s="5">
        <f>IF($A31="","",IFERROR(INDEX('Catálogo'!$H$2:$H$813,MATCH($A31,'Catálogo'!$A$2:$A$813,0)),"código no encontrado"))</f>
        <v/>
      </c>
      <c r="E31" s="15" t="n"/>
      <c r="F31" s="10">
        <f>IF($A31="","",IFERROR(INDEX('Catálogo'!$N$2:$N$813,MATCH($A31,'Catálogo'!$A$2:$A$813,0)),"código no encontrado"))</f>
        <v/>
      </c>
      <c r="G31" s="14" t="n"/>
      <c r="H31" s="22" t="n"/>
      <c r="I31" s="14" t="n"/>
      <c r="J31" s="14" t="n"/>
      <c r="K31" s="14" t="n"/>
      <c r="L31" s="14" t="n"/>
      <c r="M31" s="11">
        <f>IF(OR($F31="",$H31="",NOT(ISNUMBER($F31)),NOT(ISNUMBER($H31))),"",($H31-$F31)/$F31)</f>
        <v/>
      </c>
      <c r="N31" s="10">
        <f>IF(OR($E31="",$H31=""),"",$E31*$H31)</f>
        <v/>
      </c>
      <c r="O31" s="14" t="n"/>
    </row>
    <row r="32">
      <c r="A32" s="14" t="n"/>
      <c r="B32" s="5">
        <f>IF($A32="","",IFERROR(INDEX('Catálogo'!$D$2:$D$813,MATCH($A32,'Catálogo'!$A$2:$A$813,0)),"código no encontrado"))</f>
        <v/>
      </c>
      <c r="C32" s="5">
        <f>IF($A32="","",IFERROR(INDEX('Catálogo'!$E$2:$E$813,MATCH($A32,'Catálogo'!$A$2:$A$813,0)),"código no encontrado"))</f>
        <v/>
      </c>
      <c r="D32" s="5">
        <f>IF($A32="","",IFERROR(INDEX('Catálogo'!$H$2:$H$813,MATCH($A32,'Catálogo'!$A$2:$A$813,0)),"código no encontrado"))</f>
        <v/>
      </c>
      <c r="E32" s="15" t="n"/>
      <c r="F32" s="10">
        <f>IF($A32="","",IFERROR(INDEX('Catálogo'!$N$2:$N$813,MATCH($A32,'Catálogo'!$A$2:$A$813,0)),"código no encontrado"))</f>
        <v/>
      </c>
      <c r="G32" s="14" t="n"/>
      <c r="H32" s="22" t="n"/>
      <c r="I32" s="14" t="n"/>
      <c r="J32" s="14" t="n"/>
      <c r="K32" s="14" t="n"/>
      <c r="L32" s="14" t="n"/>
      <c r="M32" s="11">
        <f>IF(OR($F32="",$H32="",NOT(ISNUMBER($F32)),NOT(ISNUMBER($H32))),"",($H32-$F32)/$F32)</f>
        <v/>
      </c>
      <c r="N32" s="10">
        <f>IF(OR($E32="",$H32=""),"",$E32*$H32)</f>
        <v/>
      </c>
      <c r="O32" s="14" t="n"/>
    </row>
    <row r="33">
      <c r="A33" s="14" t="n"/>
      <c r="B33" s="5">
        <f>IF($A33="","",IFERROR(INDEX('Catálogo'!$D$2:$D$813,MATCH($A33,'Catálogo'!$A$2:$A$813,0)),"código no encontrado"))</f>
        <v/>
      </c>
      <c r="C33" s="5">
        <f>IF($A33="","",IFERROR(INDEX('Catálogo'!$E$2:$E$813,MATCH($A33,'Catálogo'!$A$2:$A$813,0)),"código no encontrado"))</f>
        <v/>
      </c>
      <c r="D33" s="5">
        <f>IF($A33="","",IFERROR(INDEX('Catálogo'!$H$2:$H$813,MATCH($A33,'Catálogo'!$A$2:$A$813,0)),"código no encontrado"))</f>
        <v/>
      </c>
      <c r="E33" s="15" t="n"/>
      <c r="F33" s="10">
        <f>IF($A33="","",IFERROR(INDEX('Catálogo'!$N$2:$N$813,MATCH($A33,'Catálogo'!$A$2:$A$813,0)),"código no encontrado"))</f>
        <v/>
      </c>
      <c r="G33" s="14" t="n"/>
      <c r="H33" s="22" t="n"/>
      <c r="I33" s="14" t="n"/>
      <c r="J33" s="14" t="n"/>
      <c r="K33" s="14" t="n"/>
      <c r="L33" s="14" t="n"/>
      <c r="M33" s="11">
        <f>IF(OR($F33="",$H33="",NOT(ISNUMBER($F33)),NOT(ISNUMBER($H33))),"",($H33-$F33)/$F33)</f>
        <v/>
      </c>
      <c r="N33" s="10">
        <f>IF(OR($E33="",$H33=""),"",$E33*$H33)</f>
        <v/>
      </c>
      <c r="O33" s="14" t="n"/>
    </row>
    <row r="34">
      <c r="A34" s="14" t="n"/>
      <c r="B34" s="5">
        <f>IF($A34="","",IFERROR(INDEX('Catálogo'!$D$2:$D$813,MATCH($A34,'Catálogo'!$A$2:$A$813,0)),"código no encontrado"))</f>
        <v/>
      </c>
      <c r="C34" s="5">
        <f>IF($A34="","",IFERROR(INDEX('Catálogo'!$E$2:$E$813,MATCH($A34,'Catálogo'!$A$2:$A$813,0)),"código no encontrado"))</f>
        <v/>
      </c>
      <c r="D34" s="5">
        <f>IF($A34="","",IFERROR(INDEX('Catálogo'!$H$2:$H$813,MATCH($A34,'Catálogo'!$A$2:$A$813,0)),"código no encontrado"))</f>
        <v/>
      </c>
      <c r="E34" s="15" t="n"/>
      <c r="F34" s="10">
        <f>IF($A34="","",IFERROR(INDEX('Catálogo'!$N$2:$N$813,MATCH($A34,'Catálogo'!$A$2:$A$813,0)),"código no encontrado"))</f>
        <v/>
      </c>
      <c r="G34" s="14" t="n"/>
      <c r="H34" s="22" t="n"/>
      <c r="I34" s="14" t="n"/>
      <c r="J34" s="14" t="n"/>
      <c r="K34" s="14" t="n"/>
      <c r="L34" s="14" t="n"/>
      <c r="M34" s="11">
        <f>IF(OR($F34="",$H34="",NOT(ISNUMBER($F34)),NOT(ISNUMBER($H34))),"",($H34-$F34)/$F34)</f>
        <v/>
      </c>
      <c r="N34" s="10">
        <f>IF(OR($E34="",$H34=""),"",$E34*$H34)</f>
        <v/>
      </c>
      <c r="O34" s="14" t="n"/>
    </row>
    <row r="35">
      <c r="A35" s="14" t="n"/>
      <c r="B35" s="5">
        <f>IF($A35="","",IFERROR(INDEX('Catálogo'!$D$2:$D$813,MATCH($A35,'Catálogo'!$A$2:$A$813,0)),"código no encontrado"))</f>
        <v/>
      </c>
      <c r="C35" s="5">
        <f>IF($A35="","",IFERROR(INDEX('Catálogo'!$E$2:$E$813,MATCH($A35,'Catálogo'!$A$2:$A$813,0)),"código no encontrado"))</f>
        <v/>
      </c>
      <c r="D35" s="5">
        <f>IF($A35="","",IFERROR(INDEX('Catálogo'!$H$2:$H$813,MATCH($A35,'Catálogo'!$A$2:$A$813,0)),"código no encontrado"))</f>
        <v/>
      </c>
      <c r="E35" s="15" t="n"/>
      <c r="F35" s="10">
        <f>IF($A35="","",IFERROR(INDEX('Catálogo'!$N$2:$N$813,MATCH($A35,'Catálogo'!$A$2:$A$813,0)),"código no encontrado"))</f>
        <v/>
      </c>
      <c r="G35" s="14" t="n"/>
      <c r="H35" s="22" t="n"/>
      <c r="I35" s="14" t="n"/>
      <c r="J35" s="14" t="n"/>
      <c r="K35" s="14" t="n"/>
      <c r="L35" s="14" t="n"/>
      <c r="M35" s="11">
        <f>IF(OR($F35="",$H35="",NOT(ISNUMBER($F35)),NOT(ISNUMBER($H35))),"",($H35-$F35)/$F35)</f>
        <v/>
      </c>
      <c r="N35" s="10">
        <f>IF(OR($E35="",$H35=""),"",$E35*$H35)</f>
        <v/>
      </c>
      <c r="O35" s="14" t="n"/>
    </row>
    <row r="36">
      <c r="A36" s="14" t="n"/>
      <c r="B36" s="5">
        <f>IF($A36="","",IFERROR(INDEX('Catálogo'!$D$2:$D$813,MATCH($A36,'Catálogo'!$A$2:$A$813,0)),"código no encontrado"))</f>
        <v/>
      </c>
      <c r="C36" s="5">
        <f>IF($A36="","",IFERROR(INDEX('Catálogo'!$E$2:$E$813,MATCH($A36,'Catálogo'!$A$2:$A$813,0)),"código no encontrado"))</f>
        <v/>
      </c>
      <c r="D36" s="5">
        <f>IF($A36="","",IFERROR(INDEX('Catálogo'!$H$2:$H$813,MATCH($A36,'Catálogo'!$A$2:$A$813,0)),"código no encontrado"))</f>
        <v/>
      </c>
      <c r="E36" s="15" t="n"/>
      <c r="F36" s="10">
        <f>IF($A36="","",IFERROR(INDEX('Catálogo'!$N$2:$N$813,MATCH($A36,'Catálogo'!$A$2:$A$813,0)),"código no encontrado"))</f>
        <v/>
      </c>
      <c r="G36" s="14" t="n"/>
      <c r="H36" s="22" t="n"/>
      <c r="I36" s="14" t="n"/>
      <c r="J36" s="14" t="n"/>
      <c r="K36" s="14" t="n"/>
      <c r="L36" s="14" t="n"/>
      <c r="M36" s="11">
        <f>IF(OR($F36="",$H36="",NOT(ISNUMBER($F36)),NOT(ISNUMBER($H36))),"",($H36-$F36)/$F36)</f>
        <v/>
      </c>
      <c r="N36" s="10">
        <f>IF(OR($E36="",$H36=""),"",$E36*$H36)</f>
        <v/>
      </c>
      <c r="O36" s="14" t="n"/>
    </row>
    <row r="37">
      <c r="A37" s="14" t="n"/>
      <c r="B37" s="5">
        <f>IF($A37="","",IFERROR(INDEX('Catálogo'!$D$2:$D$813,MATCH($A37,'Catálogo'!$A$2:$A$813,0)),"código no encontrado"))</f>
        <v/>
      </c>
      <c r="C37" s="5">
        <f>IF($A37="","",IFERROR(INDEX('Catálogo'!$E$2:$E$813,MATCH($A37,'Catálogo'!$A$2:$A$813,0)),"código no encontrado"))</f>
        <v/>
      </c>
      <c r="D37" s="5">
        <f>IF($A37="","",IFERROR(INDEX('Catálogo'!$H$2:$H$813,MATCH($A37,'Catálogo'!$A$2:$A$813,0)),"código no encontrado"))</f>
        <v/>
      </c>
      <c r="E37" s="15" t="n"/>
      <c r="F37" s="10">
        <f>IF($A37="","",IFERROR(INDEX('Catálogo'!$N$2:$N$813,MATCH($A37,'Catálogo'!$A$2:$A$813,0)),"código no encontrado"))</f>
        <v/>
      </c>
      <c r="G37" s="14" t="n"/>
      <c r="H37" s="22" t="n"/>
      <c r="I37" s="14" t="n"/>
      <c r="J37" s="14" t="n"/>
      <c r="K37" s="14" t="n"/>
      <c r="L37" s="14" t="n"/>
      <c r="M37" s="11">
        <f>IF(OR($F37="",$H37="",NOT(ISNUMBER($F37)),NOT(ISNUMBER($H37))),"",($H37-$F37)/$F37)</f>
        <v/>
      </c>
      <c r="N37" s="10">
        <f>IF(OR($E37="",$H37=""),"",$E37*$H37)</f>
        <v/>
      </c>
      <c r="O37" s="14" t="n"/>
    </row>
    <row r="38">
      <c r="A38" s="14" t="n"/>
      <c r="B38" s="5">
        <f>IF($A38="","",IFERROR(INDEX('Catálogo'!$D$2:$D$813,MATCH($A38,'Catálogo'!$A$2:$A$813,0)),"código no encontrado"))</f>
        <v/>
      </c>
      <c r="C38" s="5">
        <f>IF($A38="","",IFERROR(INDEX('Catálogo'!$E$2:$E$813,MATCH($A38,'Catálogo'!$A$2:$A$813,0)),"código no encontrado"))</f>
        <v/>
      </c>
      <c r="D38" s="5">
        <f>IF($A38="","",IFERROR(INDEX('Catálogo'!$H$2:$H$813,MATCH($A38,'Catálogo'!$A$2:$A$813,0)),"código no encontrado"))</f>
        <v/>
      </c>
      <c r="E38" s="15" t="n"/>
      <c r="F38" s="10">
        <f>IF($A38="","",IFERROR(INDEX('Catálogo'!$N$2:$N$813,MATCH($A38,'Catálogo'!$A$2:$A$813,0)),"código no encontrado"))</f>
        <v/>
      </c>
      <c r="G38" s="14" t="n"/>
      <c r="H38" s="22" t="n"/>
      <c r="I38" s="14" t="n"/>
      <c r="J38" s="14" t="n"/>
      <c r="K38" s="14" t="n"/>
      <c r="L38" s="14" t="n"/>
      <c r="M38" s="11">
        <f>IF(OR($F38="",$H38="",NOT(ISNUMBER($F38)),NOT(ISNUMBER($H38))),"",($H38-$F38)/$F38)</f>
        <v/>
      </c>
      <c r="N38" s="10">
        <f>IF(OR($E38="",$H38=""),"",$E38*$H38)</f>
        <v/>
      </c>
      <c r="O38" s="14" t="n"/>
    </row>
    <row r="39">
      <c r="A39" s="14" t="n"/>
      <c r="B39" s="5">
        <f>IF($A39="","",IFERROR(INDEX('Catálogo'!$D$2:$D$813,MATCH($A39,'Catálogo'!$A$2:$A$813,0)),"código no encontrado"))</f>
        <v/>
      </c>
      <c r="C39" s="5">
        <f>IF($A39="","",IFERROR(INDEX('Catálogo'!$E$2:$E$813,MATCH($A39,'Catálogo'!$A$2:$A$813,0)),"código no encontrado"))</f>
        <v/>
      </c>
      <c r="D39" s="5">
        <f>IF($A39="","",IFERROR(INDEX('Catálogo'!$H$2:$H$813,MATCH($A39,'Catálogo'!$A$2:$A$813,0)),"código no encontrado"))</f>
        <v/>
      </c>
      <c r="E39" s="15" t="n"/>
      <c r="F39" s="10">
        <f>IF($A39="","",IFERROR(INDEX('Catálogo'!$N$2:$N$813,MATCH($A39,'Catálogo'!$A$2:$A$813,0)),"código no encontrado"))</f>
        <v/>
      </c>
      <c r="G39" s="14" t="n"/>
      <c r="H39" s="22" t="n"/>
      <c r="I39" s="14" t="n"/>
      <c r="J39" s="14" t="n"/>
      <c r="K39" s="14" t="n"/>
      <c r="L39" s="14" t="n"/>
      <c r="M39" s="11">
        <f>IF(OR($F39="",$H39="",NOT(ISNUMBER($F39)),NOT(ISNUMBER($H39))),"",($H39-$F39)/$F39)</f>
        <v/>
      </c>
      <c r="N39" s="10">
        <f>IF(OR($E39="",$H39=""),"",$E39*$H39)</f>
        <v/>
      </c>
      <c r="O39" s="14" t="n"/>
    </row>
    <row r="40">
      <c r="A40" s="14" t="n"/>
      <c r="B40" s="5">
        <f>IF($A40="","",IFERROR(INDEX('Catálogo'!$D$2:$D$813,MATCH($A40,'Catálogo'!$A$2:$A$813,0)),"código no encontrado"))</f>
        <v/>
      </c>
      <c r="C40" s="5">
        <f>IF($A40="","",IFERROR(INDEX('Catálogo'!$E$2:$E$813,MATCH($A40,'Catálogo'!$A$2:$A$813,0)),"código no encontrado"))</f>
        <v/>
      </c>
      <c r="D40" s="5">
        <f>IF($A40="","",IFERROR(INDEX('Catálogo'!$H$2:$H$813,MATCH($A40,'Catálogo'!$A$2:$A$813,0)),"código no encontrado"))</f>
        <v/>
      </c>
      <c r="E40" s="15" t="n"/>
      <c r="F40" s="10">
        <f>IF($A40="","",IFERROR(INDEX('Catálogo'!$N$2:$N$813,MATCH($A40,'Catálogo'!$A$2:$A$813,0)),"código no encontrado"))</f>
        <v/>
      </c>
      <c r="G40" s="14" t="n"/>
      <c r="H40" s="22" t="n"/>
      <c r="I40" s="14" t="n"/>
      <c r="J40" s="14" t="n"/>
      <c r="K40" s="14" t="n"/>
      <c r="L40" s="14" t="n"/>
      <c r="M40" s="11">
        <f>IF(OR($F40="",$H40="",NOT(ISNUMBER($F40)),NOT(ISNUMBER($H40))),"",($H40-$F40)/$F40)</f>
        <v/>
      </c>
      <c r="N40" s="10">
        <f>IF(OR($E40="",$H40=""),"",$E40*$H40)</f>
        <v/>
      </c>
      <c r="O40" s="14" t="n"/>
    </row>
    <row r="41">
      <c r="A41" s="14" t="n"/>
      <c r="B41" s="5">
        <f>IF($A41="","",IFERROR(INDEX('Catálogo'!$D$2:$D$813,MATCH($A41,'Catálogo'!$A$2:$A$813,0)),"código no encontrado"))</f>
        <v/>
      </c>
      <c r="C41" s="5">
        <f>IF($A41="","",IFERROR(INDEX('Catálogo'!$E$2:$E$813,MATCH($A41,'Catálogo'!$A$2:$A$813,0)),"código no encontrado"))</f>
        <v/>
      </c>
      <c r="D41" s="5">
        <f>IF($A41="","",IFERROR(INDEX('Catálogo'!$H$2:$H$813,MATCH($A41,'Catálogo'!$A$2:$A$813,0)),"código no encontrado"))</f>
        <v/>
      </c>
      <c r="E41" s="15" t="n"/>
      <c r="F41" s="10">
        <f>IF($A41="","",IFERROR(INDEX('Catálogo'!$N$2:$N$813,MATCH($A41,'Catálogo'!$A$2:$A$813,0)),"código no encontrado"))</f>
        <v/>
      </c>
      <c r="G41" s="14" t="n"/>
      <c r="H41" s="22" t="n"/>
      <c r="I41" s="14" t="n"/>
      <c r="J41" s="14" t="n"/>
      <c r="K41" s="14" t="n"/>
      <c r="L41" s="14" t="n"/>
      <c r="M41" s="11">
        <f>IF(OR($F41="",$H41="",NOT(ISNUMBER($F41)),NOT(ISNUMBER($H41))),"",($H41-$F41)/$F41)</f>
        <v/>
      </c>
      <c r="N41" s="10">
        <f>IF(OR($E41="",$H41=""),"",$E41*$H41)</f>
        <v/>
      </c>
      <c r="O41" s="14" t="n"/>
    </row>
    <row r="42">
      <c r="A42" s="14" t="n"/>
      <c r="B42" s="5">
        <f>IF($A42="","",IFERROR(INDEX('Catálogo'!$D$2:$D$813,MATCH($A42,'Catálogo'!$A$2:$A$813,0)),"código no encontrado"))</f>
        <v/>
      </c>
      <c r="C42" s="5">
        <f>IF($A42="","",IFERROR(INDEX('Catálogo'!$E$2:$E$813,MATCH($A42,'Catálogo'!$A$2:$A$813,0)),"código no encontrado"))</f>
        <v/>
      </c>
      <c r="D42" s="5">
        <f>IF($A42="","",IFERROR(INDEX('Catálogo'!$H$2:$H$813,MATCH($A42,'Catálogo'!$A$2:$A$813,0)),"código no encontrado"))</f>
        <v/>
      </c>
      <c r="E42" s="15" t="n"/>
      <c r="F42" s="10">
        <f>IF($A42="","",IFERROR(INDEX('Catálogo'!$N$2:$N$813,MATCH($A42,'Catálogo'!$A$2:$A$813,0)),"código no encontrado"))</f>
        <v/>
      </c>
      <c r="G42" s="14" t="n"/>
      <c r="H42" s="22" t="n"/>
      <c r="I42" s="14" t="n"/>
      <c r="J42" s="14" t="n"/>
      <c r="K42" s="14" t="n"/>
      <c r="L42" s="14" t="n"/>
      <c r="M42" s="11">
        <f>IF(OR($F42="",$H42="",NOT(ISNUMBER($F42)),NOT(ISNUMBER($H42))),"",($H42-$F42)/$F42)</f>
        <v/>
      </c>
      <c r="N42" s="10">
        <f>IF(OR($E42="",$H42=""),"",$E42*$H42)</f>
        <v/>
      </c>
      <c r="O42" s="14" t="n"/>
    </row>
    <row r="43">
      <c r="A43" s="14" t="n"/>
      <c r="B43" s="5">
        <f>IF($A43="","",IFERROR(INDEX('Catálogo'!$D$2:$D$813,MATCH($A43,'Catálogo'!$A$2:$A$813,0)),"código no encontrado"))</f>
        <v/>
      </c>
      <c r="C43" s="5">
        <f>IF($A43="","",IFERROR(INDEX('Catálogo'!$E$2:$E$813,MATCH($A43,'Catálogo'!$A$2:$A$813,0)),"código no encontrado"))</f>
        <v/>
      </c>
      <c r="D43" s="5">
        <f>IF($A43="","",IFERROR(INDEX('Catálogo'!$H$2:$H$813,MATCH($A43,'Catálogo'!$A$2:$A$813,0)),"código no encontrado"))</f>
        <v/>
      </c>
      <c r="E43" s="15" t="n"/>
      <c r="F43" s="10">
        <f>IF($A43="","",IFERROR(INDEX('Catálogo'!$N$2:$N$813,MATCH($A43,'Catálogo'!$A$2:$A$813,0)),"código no encontrado"))</f>
        <v/>
      </c>
      <c r="G43" s="14" t="n"/>
      <c r="H43" s="22" t="n"/>
      <c r="I43" s="14" t="n"/>
      <c r="J43" s="14" t="n"/>
      <c r="K43" s="14" t="n"/>
      <c r="L43" s="14" t="n"/>
      <c r="M43" s="11">
        <f>IF(OR($F43="",$H43="",NOT(ISNUMBER($F43)),NOT(ISNUMBER($H43))),"",($H43-$F43)/$F43)</f>
        <v/>
      </c>
      <c r="N43" s="10">
        <f>IF(OR($E43="",$H43=""),"",$E43*$H43)</f>
        <v/>
      </c>
      <c r="O43" s="14" t="n"/>
    </row>
    <row r="44">
      <c r="A44" s="14" t="n"/>
      <c r="B44" s="5">
        <f>IF($A44="","",IFERROR(INDEX('Catálogo'!$D$2:$D$813,MATCH($A44,'Catálogo'!$A$2:$A$813,0)),"código no encontrado"))</f>
        <v/>
      </c>
      <c r="C44" s="5">
        <f>IF($A44="","",IFERROR(INDEX('Catálogo'!$E$2:$E$813,MATCH($A44,'Catálogo'!$A$2:$A$813,0)),"código no encontrado"))</f>
        <v/>
      </c>
      <c r="D44" s="5">
        <f>IF($A44="","",IFERROR(INDEX('Catálogo'!$H$2:$H$813,MATCH($A44,'Catálogo'!$A$2:$A$813,0)),"código no encontrado"))</f>
        <v/>
      </c>
      <c r="E44" s="15" t="n"/>
      <c r="F44" s="10">
        <f>IF($A44="","",IFERROR(INDEX('Catálogo'!$N$2:$N$813,MATCH($A44,'Catálogo'!$A$2:$A$813,0)),"código no encontrado"))</f>
        <v/>
      </c>
      <c r="G44" s="14" t="n"/>
      <c r="H44" s="22" t="n"/>
      <c r="I44" s="14" t="n"/>
      <c r="J44" s="14" t="n"/>
      <c r="K44" s="14" t="n"/>
      <c r="L44" s="14" t="n"/>
      <c r="M44" s="11">
        <f>IF(OR($F44="",$H44="",NOT(ISNUMBER($F44)),NOT(ISNUMBER($H44))),"",($H44-$F44)/$F44)</f>
        <v/>
      </c>
      <c r="N44" s="10">
        <f>IF(OR($E44="",$H44=""),"",$E44*$H44)</f>
        <v/>
      </c>
      <c r="O44" s="14" t="n"/>
    </row>
    <row r="45">
      <c r="A45" s="14" t="n"/>
      <c r="B45" s="5">
        <f>IF($A45="","",IFERROR(INDEX('Catálogo'!$D$2:$D$813,MATCH($A45,'Catálogo'!$A$2:$A$813,0)),"código no encontrado"))</f>
        <v/>
      </c>
      <c r="C45" s="5">
        <f>IF($A45="","",IFERROR(INDEX('Catálogo'!$E$2:$E$813,MATCH($A45,'Catálogo'!$A$2:$A$813,0)),"código no encontrado"))</f>
        <v/>
      </c>
      <c r="D45" s="5">
        <f>IF($A45="","",IFERROR(INDEX('Catálogo'!$H$2:$H$813,MATCH($A45,'Catálogo'!$A$2:$A$813,0)),"código no encontrado"))</f>
        <v/>
      </c>
      <c r="E45" s="15" t="n"/>
      <c r="F45" s="10">
        <f>IF($A45="","",IFERROR(INDEX('Catálogo'!$N$2:$N$813,MATCH($A45,'Catálogo'!$A$2:$A$813,0)),"código no encontrado"))</f>
        <v/>
      </c>
      <c r="G45" s="14" t="n"/>
      <c r="H45" s="22" t="n"/>
      <c r="I45" s="14" t="n"/>
      <c r="J45" s="14" t="n"/>
      <c r="K45" s="14" t="n"/>
      <c r="L45" s="14" t="n"/>
      <c r="M45" s="11">
        <f>IF(OR($F45="",$H45="",NOT(ISNUMBER($F45)),NOT(ISNUMBER($H45))),"",($H45-$F45)/$F45)</f>
        <v/>
      </c>
      <c r="N45" s="10">
        <f>IF(OR($E45="",$H45=""),"",$E45*$H45)</f>
        <v/>
      </c>
      <c r="O45" s="14" t="n"/>
    </row>
    <row r="46">
      <c r="A46" s="14" t="n"/>
      <c r="B46" s="5">
        <f>IF($A46="","",IFERROR(INDEX('Catálogo'!$D$2:$D$813,MATCH($A46,'Catálogo'!$A$2:$A$813,0)),"código no encontrado"))</f>
        <v/>
      </c>
      <c r="C46" s="5">
        <f>IF($A46="","",IFERROR(INDEX('Catálogo'!$E$2:$E$813,MATCH($A46,'Catálogo'!$A$2:$A$813,0)),"código no encontrado"))</f>
        <v/>
      </c>
      <c r="D46" s="5">
        <f>IF($A46="","",IFERROR(INDEX('Catálogo'!$H$2:$H$813,MATCH($A46,'Catálogo'!$A$2:$A$813,0)),"código no encontrado"))</f>
        <v/>
      </c>
      <c r="E46" s="15" t="n"/>
      <c r="F46" s="10">
        <f>IF($A46="","",IFERROR(INDEX('Catálogo'!$N$2:$N$813,MATCH($A46,'Catálogo'!$A$2:$A$813,0)),"código no encontrado"))</f>
        <v/>
      </c>
      <c r="G46" s="14" t="n"/>
      <c r="H46" s="22" t="n"/>
      <c r="I46" s="14" t="n"/>
      <c r="J46" s="14" t="n"/>
      <c r="K46" s="14" t="n"/>
      <c r="L46" s="14" t="n"/>
      <c r="M46" s="11">
        <f>IF(OR($F46="",$H46="",NOT(ISNUMBER($F46)),NOT(ISNUMBER($H46))),"",($H46-$F46)/$F46)</f>
        <v/>
      </c>
      <c r="N46" s="10">
        <f>IF(OR($E46="",$H46=""),"",$E46*$H46)</f>
        <v/>
      </c>
      <c r="O46" s="14" t="n"/>
    </row>
    <row r="47">
      <c r="A47" s="14" t="n"/>
      <c r="B47" s="5">
        <f>IF($A47="","",IFERROR(INDEX('Catálogo'!$D$2:$D$813,MATCH($A47,'Catálogo'!$A$2:$A$813,0)),"código no encontrado"))</f>
        <v/>
      </c>
      <c r="C47" s="5">
        <f>IF($A47="","",IFERROR(INDEX('Catálogo'!$E$2:$E$813,MATCH($A47,'Catálogo'!$A$2:$A$813,0)),"código no encontrado"))</f>
        <v/>
      </c>
      <c r="D47" s="5">
        <f>IF($A47="","",IFERROR(INDEX('Catálogo'!$H$2:$H$813,MATCH($A47,'Catálogo'!$A$2:$A$813,0)),"código no encontrado"))</f>
        <v/>
      </c>
      <c r="E47" s="15" t="n"/>
      <c r="F47" s="10">
        <f>IF($A47="","",IFERROR(INDEX('Catálogo'!$N$2:$N$813,MATCH($A47,'Catálogo'!$A$2:$A$813,0)),"código no encontrado"))</f>
        <v/>
      </c>
      <c r="G47" s="14" t="n"/>
      <c r="H47" s="22" t="n"/>
      <c r="I47" s="14" t="n"/>
      <c r="J47" s="14" t="n"/>
      <c r="K47" s="14" t="n"/>
      <c r="L47" s="14" t="n"/>
      <c r="M47" s="11">
        <f>IF(OR($F47="",$H47="",NOT(ISNUMBER($F47)),NOT(ISNUMBER($H47))),"",($H47-$F47)/$F47)</f>
        <v/>
      </c>
      <c r="N47" s="10">
        <f>IF(OR($E47="",$H47=""),"",$E47*$H47)</f>
        <v/>
      </c>
      <c r="O47" s="14" t="n"/>
    </row>
    <row r="48">
      <c r="A48" s="14" t="n"/>
      <c r="B48" s="5">
        <f>IF($A48="","",IFERROR(INDEX('Catálogo'!$D$2:$D$813,MATCH($A48,'Catálogo'!$A$2:$A$813,0)),"código no encontrado"))</f>
        <v/>
      </c>
      <c r="C48" s="5">
        <f>IF($A48="","",IFERROR(INDEX('Catálogo'!$E$2:$E$813,MATCH($A48,'Catálogo'!$A$2:$A$813,0)),"código no encontrado"))</f>
        <v/>
      </c>
      <c r="D48" s="5">
        <f>IF($A48="","",IFERROR(INDEX('Catálogo'!$H$2:$H$813,MATCH($A48,'Catálogo'!$A$2:$A$813,0)),"código no encontrado"))</f>
        <v/>
      </c>
      <c r="E48" s="15" t="n"/>
      <c r="F48" s="10">
        <f>IF($A48="","",IFERROR(INDEX('Catálogo'!$N$2:$N$813,MATCH($A48,'Catálogo'!$A$2:$A$813,0)),"código no encontrado"))</f>
        <v/>
      </c>
      <c r="G48" s="14" t="n"/>
      <c r="H48" s="22" t="n"/>
      <c r="I48" s="14" t="n"/>
      <c r="J48" s="14" t="n"/>
      <c r="K48" s="14" t="n"/>
      <c r="L48" s="14" t="n"/>
      <c r="M48" s="11">
        <f>IF(OR($F48="",$H48="",NOT(ISNUMBER($F48)),NOT(ISNUMBER($H48))),"",($H48-$F48)/$F48)</f>
        <v/>
      </c>
      <c r="N48" s="10">
        <f>IF(OR($E48="",$H48=""),"",$E48*$H48)</f>
        <v/>
      </c>
      <c r="O48" s="14" t="n"/>
    </row>
    <row r="49">
      <c r="A49" s="14" t="n"/>
      <c r="B49" s="5">
        <f>IF($A49="","",IFERROR(INDEX('Catálogo'!$D$2:$D$813,MATCH($A49,'Catálogo'!$A$2:$A$813,0)),"código no encontrado"))</f>
        <v/>
      </c>
      <c r="C49" s="5">
        <f>IF($A49="","",IFERROR(INDEX('Catálogo'!$E$2:$E$813,MATCH($A49,'Catálogo'!$A$2:$A$813,0)),"código no encontrado"))</f>
        <v/>
      </c>
      <c r="D49" s="5">
        <f>IF($A49="","",IFERROR(INDEX('Catálogo'!$H$2:$H$813,MATCH($A49,'Catálogo'!$A$2:$A$813,0)),"código no encontrado"))</f>
        <v/>
      </c>
      <c r="E49" s="15" t="n"/>
      <c r="F49" s="10">
        <f>IF($A49="","",IFERROR(INDEX('Catálogo'!$N$2:$N$813,MATCH($A49,'Catálogo'!$A$2:$A$813,0)),"código no encontrado"))</f>
        <v/>
      </c>
      <c r="G49" s="14" t="n"/>
      <c r="H49" s="22" t="n"/>
      <c r="I49" s="14" t="n"/>
      <c r="J49" s="14" t="n"/>
      <c r="K49" s="14" t="n"/>
      <c r="L49" s="14" t="n"/>
      <c r="M49" s="11">
        <f>IF(OR($F49="",$H49="",NOT(ISNUMBER($F49)),NOT(ISNUMBER($H49))),"",($H49-$F49)/$F49)</f>
        <v/>
      </c>
      <c r="N49" s="10">
        <f>IF(OR($E49="",$H49=""),"",$E49*$H49)</f>
        <v/>
      </c>
      <c r="O49" s="14" t="n"/>
    </row>
    <row r="50">
      <c r="A50" s="14" t="n"/>
      <c r="B50" s="5">
        <f>IF($A50="","",IFERROR(INDEX('Catálogo'!$D$2:$D$813,MATCH($A50,'Catálogo'!$A$2:$A$813,0)),"código no encontrado"))</f>
        <v/>
      </c>
      <c r="C50" s="5">
        <f>IF($A50="","",IFERROR(INDEX('Catálogo'!$E$2:$E$813,MATCH($A50,'Catálogo'!$A$2:$A$813,0)),"código no encontrado"))</f>
        <v/>
      </c>
      <c r="D50" s="5">
        <f>IF($A50="","",IFERROR(INDEX('Catálogo'!$H$2:$H$813,MATCH($A50,'Catálogo'!$A$2:$A$813,0)),"código no encontrado"))</f>
        <v/>
      </c>
      <c r="E50" s="15" t="n"/>
      <c r="F50" s="10">
        <f>IF($A50="","",IFERROR(INDEX('Catálogo'!$N$2:$N$813,MATCH($A50,'Catálogo'!$A$2:$A$813,0)),"código no encontrado"))</f>
        <v/>
      </c>
      <c r="G50" s="14" t="n"/>
      <c r="H50" s="22" t="n"/>
      <c r="I50" s="14" t="n"/>
      <c r="J50" s="14" t="n"/>
      <c r="K50" s="14" t="n"/>
      <c r="L50" s="14" t="n"/>
      <c r="M50" s="11">
        <f>IF(OR($F50="",$H50="",NOT(ISNUMBER($F50)),NOT(ISNUMBER($H50))),"",($H50-$F50)/$F50)</f>
        <v/>
      </c>
      <c r="N50" s="10">
        <f>IF(OR($E50="",$H50=""),"",$E50*$H50)</f>
        <v/>
      </c>
      <c r="O50" s="14" t="n"/>
    </row>
    <row r="51">
      <c r="A51" s="14" t="n"/>
      <c r="B51" s="5">
        <f>IF($A51="","",IFERROR(INDEX('Catálogo'!$D$2:$D$813,MATCH($A51,'Catálogo'!$A$2:$A$813,0)),"código no encontrado"))</f>
        <v/>
      </c>
      <c r="C51" s="5">
        <f>IF($A51="","",IFERROR(INDEX('Catálogo'!$E$2:$E$813,MATCH($A51,'Catálogo'!$A$2:$A$813,0)),"código no encontrado"))</f>
        <v/>
      </c>
      <c r="D51" s="5">
        <f>IF($A51="","",IFERROR(INDEX('Catálogo'!$H$2:$H$813,MATCH($A51,'Catálogo'!$A$2:$A$813,0)),"código no encontrado"))</f>
        <v/>
      </c>
      <c r="E51" s="15" t="n"/>
      <c r="F51" s="10">
        <f>IF($A51="","",IFERROR(INDEX('Catálogo'!$N$2:$N$813,MATCH($A51,'Catálogo'!$A$2:$A$813,0)),"código no encontrado"))</f>
        <v/>
      </c>
      <c r="G51" s="14" t="n"/>
      <c r="H51" s="22" t="n"/>
      <c r="I51" s="14" t="n"/>
      <c r="J51" s="14" t="n"/>
      <c r="K51" s="14" t="n"/>
      <c r="L51" s="14" t="n"/>
      <c r="M51" s="11">
        <f>IF(OR($F51="",$H51="",NOT(ISNUMBER($F51)),NOT(ISNUMBER($H51))),"",($H51-$F51)/$F51)</f>
        <v/>
      </c>
      <c r="N51" s="10">
        <f>IF(OR($E51="",$H51=""),"",$E51*$H51)</f>
        <v/>
      </c>
      <c r="O51" s="14" t="n"/>
    </row>
    <row r="52">
      <c r="A52" s="14" t="n"/>
      <c r="B52" s="5">
        <f>IF($A52="","",IFERROR(INDEX('Catálogo'!$D$2:$D$813,MATCH($A52,'Catálogo'!$A$2:$A$813,0)),"código no encontrado"))</f>
        <v/>
      </c>
      <c r="C52" s="5">
        <f>IF($A52="","",IFERROR(INDEX('Catálogo'!$E$2:$E$813,MATCH($A52,'Catálogo'!$A$2:$A$813,0)),"código no encontrado"))</f>
        <v/>
      </c>
      <c r="D52" s="5">
        <f>IF($A52="","",IFERROR(INDEX('Catálogo'!$H$2:$H$813,MATCH($A52,'Catálogo'!$A$2:$A$813,0)),"código no encontrado"))</f>
        <v/>
      </c>
      <c r="E52" s="15" t="n"/>
      <c r="F52" s="10">
        <f>IF($A52="","",IFERROR(INDEX('Catálogo'!$N$2:$N$813,MATCH($A52,'Catálogo'!$A$2:$A$813,0)),"código no encontrado"))</f>
        <v/>
      </c>
      <c r="G52" s="14" t="n"/>
      <c r="H52" s="22" t="n"/>
      <c r="I52" s="14" t="n"/>
      <c r="J52" s="14" t="n"/>
      <c r="K52" s="14" t="n"/>
      <c r="L52" s="14" t="n"/>
      <c r="M52" s="11">
        <f>IF(OR($F52="",$H52="",NOT(ISNUMBER($F52)),NOT(ISNUMBER($H52))),"",($H52-$F52)/$F52)</f>
        <v/>
      </c>
      <c r="N52" s="10">
        <f>IF(OR($E52="",$H52=""),"",$E52*$H52)</f>
        <v/>
      </c>
      <c r="O52" s="14" t="n"/>
    </row>
    <row r="53">
      <c r="A53" s="14" t="n"/>
      <c r="B53" s="5">
        <f>IF($A53="","",IFERROR(INDEX('Catálogo'!$D$2:$D$813,MATCH($A53,'Catálogo'!$A$2:$A$813,0)),"código no encontrado"))</f>
        <v/>
      </c>
      <c r="C53" s="5">
        <f>IF($A53="","",IFERROR(INDEX('Catálogo'!$E$2:$E$813,MATCH($A53,'Catálogo'!$A$2:$A$813,0)),"código no encontrado"))</f>
        <v/>
      </c>
      <c r="D53" s="5">
        <f>IF($A53="","",IFERROR(INDEX('Catálogo'!$H$2:$H$813,MATCH($A53,'Catálogo'!$A$2:$A$813,0)),"código no encontrado"))</f>
        <v/>
      </c>
      <c r="E53" s="15" t="n"/>
      <c r="F53" s="10">
        <f>IF($A53="","",IFERROR(INDEX('Catálogo'!$N$2:$N$813,MATCH($A53,'Catálogo'!$A$2:$A$813,0)),"código no encontrado"))</f>
        <v/>
      </c>
      <c r="G53" s="14" t="n"/>
      <c r="H53" s="22" t="n"/>
      <c r="I53" s="14" t="n"/>
      <c r="J53" s="14" t="n"/>
      <c r="K53" s="14" t="n"/>
      <c r="L53" s="14" t="n"/>
      <c r="M53" s="11">
        <f>IF(OR($F53="",$H53="",NOT(ISNUMBER($F53)),NOT(ISNUMBER($H53))),"",($H53-$F53)/$F53)</f>
        <v/>
      </c>
      <c r="N53" s="10">
        <f>IF(OR($E53="",$H53=""),"",$E53*$H53)</f>
        <v/>
      </c>
      <c r="O53" s="14" t="n"/>
    </row>
    <row r="54">
      <c r="A54" s="14" t="n"/>
      <c r="B54" s="5">
        <f>IF($A54="","",IFERROR(INDEX('Catálogo'!$D$2:$D$813,MATCH($A54,'Catálogo'!$A$2:$A$813,0)),"código no encontrado"))</f>
        <v/>
      </c>
      <c r="C54" s="5">
        <f>IF($A54="","",IFERROR(INDEX('Catálogo'!$E$2:$E$813,MATCH($A54,'Catálogo'!$A$2:$A$813,0)),"código no encontrado"))</f>
        <v/>
      </c>
      <c r="D54" s="5">
        <f>IF($A54="","",IFERROR(INDEX('Catálogo'!$H$2:$H$813,MATCH($A54,'Catálogo'!$A$2:$A$813,0)),"código no encontrado"))</f>
        <v/>
      </c>
      <c r="E54" s="15" t="n"/>
      <c r="F54" s="10">
        <f>IF($A54="","",IFERROR(INDEX('Catálogo'!$N$2:$N$813,MATCH($A54,'Catálogo'!$A$2:$A$813,0)),"código no encontrado"))</f>
        <v/>
      </c>
      <c r="G54" s="14" t="n"/>
      <c r="H54" s="22" t="n"/>
      <c r="I54" s="14" t="n"/>
      <c r="J54" s="14" t="n"/>
      <c r="K54" s="14" t="n"/>
      <c r="L54" s="14" t="n"/>
      <c r="M54" s="11">
        <f>IF(OR($F54="",$H54="",NOT(ISNUMBER($F54)),NOT(ISNUMBER($H54))),"",($H54-$F54)/$F54)</f>
        <v/>
      </c>
      <c r="N54" s="10">
        <f>IF(OR($E54="",$H54=""),"",$E54*$H54)</f>
        <v/>
      </c>
      <c r="O54" s="14" t="n"/>
    </row>
    <row r="55">
      <c r="A55" s="14" t="n"/>
      <c r="B55" s="5">
        <f>IF($A55="","",IFERROR(INDEX('Catálogo'!$D$2:$D$813,MATCH($A55,'Catálogo'!$A$2:$A$813,0)),"código no encontrado"))</f>
        <v/>
      </c>
      <c r="C55" s="5">
        <f>IF($A55="","",IFERROR(INDEX('Catálogo'!$E$2:$E$813,MATCH($A55,'Catálogo'!$A$2:$A$813,0)),"código no encontrado"))</f>
        <v/>
      </c>
      <c r="D55" s="5">
        <f>IF($A55="","",IFERROR(INDEX('Catálogo'!$H$2:$H$813,MATCH($A55,'Catálogo'!$A$2:$A$813,0)),"código no encontrado"))</f>
        <v/>
      </c>
      <c r="E55" s="15" t="n"/>
      <c r="F55" s="10">
        <f>IF($A55="","",IFERROR(INDEX('Catálogo'!$N$2:$N$813,MATCH($A55,'Catálogo'!$A$2:$A$813,0)),"código no encontrado"))</f>
        <v/>
      </c>
      <c r="G55" s="14" t="n"/>
      <c r="H55" s="22" t="n"/>
      <c r="I55" s="14" t="n"/>
      <c r="J55" s="14" t="n"/>
      <c r="K55" s="14" t="n"/>
      <c r="L55" s="14" t="n"/>
      <c r="M55" s="11">
        <f>IF(OR($F55="",$H55="",NOT(ISNUMBER($F55)),NOT(ISNUMBER($H55))),"",($H55-$F55)/$F55)</f>
        <v/>
      </c>
      <c r="N55" s="10">
        <f>IF(OR($E55="",$H55=""),"",$E55*$H55)</f>
        <v/>
      </c>
      <c r="O55" s="14" t="n"/>
    </row>
    <row r="56">
      <c r="A56" s="14" t="n"/>
      <c r="B56" s="5">
        <f>IF($A56="","",IFERROR(INDEX('Catálogo'!$D$2:$D$813,MATCH($A56,'Catálogo'!$A$2:$A$813,0)),"código no encontrado"))</f>
        <v/>
      </c>
      <c r="C56" s="5">
        <f>IF($A56="","",IFERROR(INDEX('Catálogo'!$E$2:$E$813,MATCH($A56,'Catálogo'!$A$2:$A$813,0)),"código no encontrado"))</f>
        <v/>
      </c>
      <c r="D56" s="5">
        <f>IF($A56="","",IFERROR(INDEX('Catálogo'!$H$2:$H$813,MATCH($A56,'Catálogo'!$A$2:$A$813,0)),"código no encontrado"))</f>
        <v/>
      </c>
      <c r="E56" s="15" t="n"/>
      <c r="F56" s="10">
        <f>IF($A56="","",IFERROR(INDEX('Catálogo'!$N$2:$N$813,MATCH($A56,'Catálogo'!$A$2:$A$813,0)),"código no encontrado"))</f>
        <v/>
      </c>
      <c r="G56" s="14" t="n"/>
      <c r="H56" s="22" t="n"/>
      <c r="I56" s="14" t="n"/>
      <c r="J56" s="14" t="n"/>
      <c r="K56" s="14" t="n"/>
      <c r="L56" s="14" t="n"/>
      <c r="M56" s="11">
        <f>IF(OR($F56="",$H56="",NOT(ISNUMBER($F56)),NOT(ISNUMBER($H56))),"",($H56-$F56)/$F56)</f>
        <v/>
      </c>
      <c r="N56" s="10">
        <f>IF(OR($E56="",$H56=""),"",$E56*$H56)</f>
        <v/>
      </c>
      <c r="O56" s="14" t="n"/>
    </row>
    <row r="57">
      <c r="A57" s="14" t="n"/>
      <c r="B57" s="5">
        <f>IF($A57="","",IFERROR(INDEX('Catálogo'!$D$2:$D$813,MATCH($A57,'Catálogo'!$A$2:$A$813,0)),"código no encontrado"))</f>
        <v/>
      </c>
      <c r="C57" s="5">
        <f>IF($A57="","",IFERROR(INDEX('Catálogo'!$E$2:$E$813,MATCH($A57,'Catálogo'!$A$2:$A$813,0)),"código no encontrado"))</f>
        <v/>
      </c>
      <c r="D57" s="5">
        <f>IF($A57="","",IFERROR(INDEX('Catálogo'!$H$2:$H$813,MATCH($A57,'Catálogo'!$A$2:$A$813,0)),"código no encontrado"))</f>
        <v/>
      </c>
      <c r="E57" s="15" t="n"/>
      <c r="F57" s="10">
        <f>IF($A57="","",IFERROR(INDEX('Catálogo'!$N$2:$N$813,MATCH($A57,'Catálogo'!$A$2:$A$813,0)),"código no encontrado"))</f>
        <v/>
      </c>
      <c r="G57" s="14" t="n"/>
      <c r="H57" s="22" t="n"/>
      <c r="I57" s="14" t="n"/>
      <c r="J57" s="14" t="n"/>
      <c r="K57" s="14" t="n"/>
      <c r="L57" s="14" t="n"/>
      <c r="M57" s="11">
        <f>IF(OR($F57="",$H57="",NOT(ISNUMBER($F57)),NOT(ISNUMBER($H57))),"",($H57-$F57)/$F57)</f>
        <v/>
      </c>
      <c r="N57" s="10">
        <f>IF(OR($E57="",$H57=""),"",$E57*$H57)</f>
        <v/>
      </c>
      <c r="O57" s="14" t="n"/>
    </row>
    <row r="58">
      <c r="A58" s="14" t="n"/>
      <c r="B58" s="5">
        <f>IF($A58="","",IFERROR(INDEX('Catálogo'!$D$2:$D$813,MATCH($A58,'Catálogo'!$A$2:$A$813,0)),"código no encontrado"))</f>
        <v/>
      </c>
      <c r="C58" s="5">
        <f>IF($A58="","",IFERROR(INDEX('Catálogo'!$E$2:$E$813,MATCH($A58,'Catálogo'!$A$2:$A$813,0)),"código no encontrado"))</f>
        <v/>
      </c>
      <c r="D58" s="5">
        <f>IF($A58="","",IFERROR(INDEX('Catálogo'!$H$2:$H$813,MATCH($A58,'Catálogo'!$A$2:$A$813,0)),"código no encontrado"))</f>
        <v/>
      </c>
      <c r="E58" s="15" t="n"/>
      <c r="F58" s="10">
        <f>IF($A58="","",IFERROR(INDEX('Catálogo'!$N$2:$N$813,MATCH($A58,'Catálogo'!$A$2:$A$813,0)),"código no encontrado"))</f>
        <v/>
      </c>
      <c r="G58" s="14" t="n"/>
      <c r="H58" s="22" t="n"/>
      <c r="I58" s="14" t="n"/>
      <c r="J58" s="14" t="n"/>
      <c r="K58" s="14" t="n"/>
      <c r="L58" s="14" t="n"/>
      <c r="M58" s="11">
        <f>IF(OR($F58="",$H58="",NOT(ISNUMBER($F58)),NOT(ISNUMBER($H58))),"",($H58-$F58)/$F58)</f>
        <v/>
      </c>
      <c r="N58" s="10">
        <f>IF(OR($E58="",$H58=""),"",$E58*$H58)</f>
        <v/>
      </c>
      <c r="O58" s="14" t="n"/>
    </row>
    <row r="59">
      <c r="A59" s="14" t="n"/>
      <c r="B59" s="5">
        <f>IF($A59="","",IFERROR(INDEX('Catálogo'!$D$2:$D$813,MATCH($A59,'Catálogo'!$A$2:$A$813,0)),"código no encontrado"))</f>
        <v/>
      </c>
      <c r="C59" s="5">
        <f>IF($A59="","",IFERROR(INDEX('Catálogo'!$E$2:$E$813,MATCH($A59,'Catálogo'!$A$2:$A$813,0)),"código no encontrado"))</f>
        <v/>
      </c>
      <c r="D59" s="5">
        <f>IF($A59="","",IFERROR(INDEX('Catálogo'!$H$2:$H$813,MATCH($A59,'Catálogo'!$A$2:$A$813,0)),"código no encontrado"))</f>
        <v/>
      </c>
      <c r="E59" s="15" t="n"/>
      <c r="F59" s="10">
        <f>IF($A59="","",IFERROR(INDEX('Catálogo'!$N$2:$N$813,MATCH($A59,'Catálogo'!$A$2:$A$813,0)),"código no encontrado"))</f>
        <v/>
      </c>
      <c r="G59" s="14" t="n"/>
      <c r="H59" s="22" t="n"/>
      <c r="I59" s="14" t="n"/>
      <c r="J59" s="14" t="n"/>
      <c r="K59" s="14" t="n"/>
      <c r="L59" s="14" t="n"/>
      <c r="M59" s="11">
        <f>IF(OR($F59="",$H59="",NOT(ISNUMBER($F59)),NOT(ISNUMBER($H59))),"",($H59-$F59)/$F59)</f>
        <v/>
      </c>
      <c r="N59" s="10">
        <f>IF(OR($E59="",$H59=""),"",$E59*$H59)</f>
        <v/>
      </c>
      <c r="O59" s="14" t="n"/>
    </row>
    <row r="60">
      <c r="A60" s="14" t="n"/>
      <c r="B60" s="5">
        <f>IF($A60="","",IFERROR(INDEX('Catálogo'!$D$2:$D$813,MATCH($A60,'Catálogo'!$A$2:$A$813,0)),"código no encontrado"))</f>
        <v/>
      </c>
      <c r="C60" s="5">
        <f>IF($A60="","",IFERROR(INDEX('Catálogo'!$E$2:$E$813,MATCH($A60,'Catálogo'!$A$2:$A$813,0)),"código no encontrado"))</f>
        <v/>
      </c>
      <c r="D60" s="5">
        <f>IF($A60="","",IFERROR(INDEX('Catálogo'!$H$2:$H$813,MATCH($A60,'Catálogo'!$A$2:$A$813,0)),"código no encontrado"))</f>
        <v/>
      </c>
      <c r="E60" s="15" t="n"/>
      <c r="F60" s="10">
        <f>IF($A60="","",IFERROR(INDEX('Catálogo'!$N$2:$N$813,MATCH($A60,'Catálogo'!$A$2:$A$813,0)),"código no encontrado"))</f>
        <v/>
      </c>
      <c r="G60" s="14" t="n"/>
      <c r="H60" s="22" t="n"/>
      <c r="I60" s="14" t="n"/>
      <c r="J60" s="14" t="n"/>
      <c r="K60" s="14" t="n"/>
      <c r="L60" s="14" t="n"/>
      <c r="M60" s="11">
        <f>IF(OR($F60="",$H60="",NOT(ISNUMBER($F60)),NOT(ISNUMBER($H60))),"",($H60-$F60)/$F60)</f>
        <v/>
      </c>
      <c r="N60" s="10">
        <f>IF(OR($E60="",$H60=""),"",$E60*$H60)</f>
        <v/>
      </c>
      <c r="O60" s="14" t="n"/>
    </row>
    <row r="61">
      <c r="A61" s="14" t="n"/>
      <c r="B61" s="5">
        <f>IF($A61="","",IFERROR(INDEX('Catálogo'!$D$2:$D$813,MATCH($A61,'Catálogo'!$A$2:$A$813,0)),"código no encontrado"))</f>
        <v/>
      </c>
      <c r="C61" s="5">
        <f>IF($A61="","",IFERROR(INDEX('Catálogo'!$E$2:$E$813,MATCH($A61,'Catálogo'!$A$2:$A$813,0)),"código no encontrado"))</f>
        <v/>
      </c>
      <c r="D61" s="5">
        <f>IF($A61="","",IFERROR(INDEX('Catálogo'!$H$2:$H$813,MATCH($A61,'Catálogo'!$A$2:$A$813,0)),"código no encontrado"))</f>
        <v/>
      </c>
      <c r="E61" s="15" t="n"/>
      <c r="F61" s="10">
        <f>IF($A61="","",IFERROR(INDEX('Catálogo'!$N$2:$N$813,MATCH($A61,'Catálogo'!$A$2:$A$813,0)),"código no encontrado"))</f>
        <v/>
      </c>
      <c r="G61" s="14" t="n"/>
      <c r="H61" s="22" t="n"/>
      <c r="I61" s="14" t="n"/>
      <c r="J61" s="14" t="n"/>
      <c r="K61" s="14" t="n"/>
      <c r="L61" s="14" t="n"/>
      <c r="M61" s="11">
        <f>IF(OR($F61="",$H61="",NOT(ISNUMBER($F61)),NOT(ISNUMBER($H61))),"",($H61-$F61)/$F61)</f>
        <v/>
      </c>
      <c r="N61" s="10">
        <f>IF(OR($E61="",$H61=""),"",$E61*$H61)</f>
        <v/>
      </c>
      <c r="O61" s="14" t="n"/>
    </row>
    <row r="62">
      <c r="A62" s="14" t="n"/>
      <c r="B62" s="5">
        <f>IF($A62="","",IFERROR(INDEX('Catálogo'!$D$2:$D$813,MATCH($A62,'Catálogo'!$A$2:$A$813,0)),"código no encontrado"))</f>
        <v/>
      </c>
      <c r="C62" s="5">
        <f>IF($A62="","",IFERROR(INDEX('Catálogo'!$E$2:$E$813,MATCH($A62,'Catálogo'!$A$2:$A$813,0)),"código no encontrado"))</f>
        <v/>
      </c>
      <c r="D62" s="5">
        <f>IF($A62="","",IFERROR(INDEX('Catálogo'!$H$2:$H$813,MATCH($A62,'Catálogo'!$A$2:$A$813,0)),"código no encontrado"))</f>
        <v/>
      </c>
      <c r="E62" s="15" t="n"/>
      <c r="F62" s="10">
        <f>IF($A62="","",IFERROR(INDEX('Catálogo'!$N$2:$N$813,MATCH($A62,'Catálogo'!$A$2:$A$813,0)),"código no encontrado"))</f>
        <v/>
      </c>
      <c r="G62" s="14" t="n"/>
      <c r="H62" s="22" t="n"/>
      <c r="I62" s="14" t="n"/>
      <c r="J62" s="14" t="n"/>
      <c r="K62" s="14" t="n"/>
      <c r="L62" s="14" t="n"/>
      <c r="M62" s="11">
        <f>IF(OR($F62="",$H62="",NOT(ISNUMBER($F62)),NOT(ISNUMBER($H62))),"",($H62-$F62)/$F62)</f>
        <v/>
      </c>
      <c r="N62" s="10">
        <f>IF(OR($E62="",$H62=""),"",$E62*$H62)</f>
        <v/>
      </c>
      <c r="O62" s="14" t="n"/>
    </row>
    <row r="63">
      <c r="A63" s="14" t="n"/>
      <c r="B63" s="5">
        <f>IF($A63="","",IFERROR(INDEX('Catálogo'!$D$2:$D$813,MATCH($A63,'Catálogo'!$A$2:$A$813,0)),"código no encontrado"))</f>
        <v/>
      </c>
      <c r="C63" s="5">
        <f>IF($A63="","",IFERROR(INDEX('Catálogo'!$E$2:$E$813,MATCH($A63,'Catálogo'!$A$2:$A$813,0)),"código no encontrado"))</f>
        <v/>
      </c>
      <c r="D63" s="5">
        <f>IF($A63="","",IFERROR(INDEX('Catálogo'!$H$2:$H$813,MATCH($A63,'Catálogo'!$A$2:$A$813,0)),"código no encontrado"))</f>
        <v/>
      </c>
      <c r="E63" s="15" t="n"/>
      <c r="F63" s="10">
        <f>IF($A63="","",IFERROR(INDEX('Catálogo'!$N$2:$N$813,MATCH($A63,'Catálogo'!$A$2:$A$813,0)),"código no encontrado"))</f>
        <v/>
      </c>
      <c r="G63" s="14" t="n"/>
      <c r="H63" s="22" t="n"/>
      <c r="I63" s="14" t="n"/>
      <c r="J63" s="14" t="n"/>
      <c r="K63" s="14" t="n"/>
      <c r="L63" s="14" t="n"/>
      <c r="M63" s="11">
        <f>IF(OR($F63="",$H63="",NOT(ISNUMBER($F63)),NOT(ISNUMBER($H63))),"",($H63-$F63)/$F63)</f>
        <v/>
      </c>
      <c r="N63" s="10">
        <f>IF(OR($E63="",$H63=""),"",$E63*$H63)</f>
        <v/>
      </c>
      <c r="O63" s="14" t="n"/>
    </row>
    <row r="64">
      <c r="A64" s="14" t="n"/>
      <c r="B64" s="5">
        <f>IF($A64="","",IFERROR(INDEX('Catálogo'!$D$2:$D$813,MATCH($A64,'Catálogo'!$A$2:$A$813,0)),"código no encontrado"))</f>
        <v/>
      </c>
      <c r="C64" s="5">
        <f>IF($A64="","",IFERROR(INDEX('Catálogo'!$E$2:$E$813,MATCH($A64,'Catálogo'!$A$2:$A$813,0)),"código no encontrado"))</f>
        <v/>
      </c>
      <c r="D64" s="5">
        <f>IF($A64="","",IFERROR(INDEX('Catálogo'!$H$2:$H$813,MATCH($A64,'Catálogo'!$A$2:$A$813,0)),"código no encontrado"))</f>
        <v/>
      </c>
      <c r="E64" s="15" t="n"/>
      <c r="F64" s="10">
        <f>IF($A64="","",IFERROR(INDEX('Catálogo'!$N$2:$N$813,MATCH($A64,'Catálogo'!$A$2:$A$813,0)),"código no encontrado"))</f>
        <v/>
      </c>
      <c r="G64" s="14" t="n"/>
      <c r="H64" s="22" t="n"/>
      <c r="I64" s="14" t="n"/>
      <c r="J64" s="14" t="n"/>
      <c r="K64" s="14" t="n"/>
      <c r="L64" s="14" t="n"/>
      <c r="M64" s="11">
        <f>IF(OR($F64="",$H64="",NOT(ISNUMBER($F64)),NOT(ISNUMBER($H64))),"",($H64-$F64)/$F64)</f>
        <v/>
      </c>
      <c r="N64" s="10">
        <f>IF(OR($E64="",$H64=""),"",$E64*$H64)</f>
        <v/>
      </c>
      <c r="O64" s="14" t="n"/>
    </row>
    <row r="65">
      <c r="A65" s="14" t="n"/>
      <c r="B65" s="5">
        <f>IF($A65="","",IFERROR(INDEX('Catálogo'!$D$2:$D$813,MATCH($A65,'Catálogo'!$A$2:$A$813,0)),"código no encontrado"))</f>
        <v/>
      </c>
      <c r="C65" s="5">
        <f>IF($A65="","",IFERROR(INDEX('Catálogo'!$E$2:$E$813,MATCH($A65,'Catálogo'!$A$2:$A$813,0)),"código no encontrado"))</f>
        <v/>
      </c>
      <c r="D65" s="5">
        <f>IF($A65="","",IFERROR(INDEX('Catálogo'!$H$2:$H$813,MATCH($A65,'Catálogo'!$A$2:$A$813,0)),"código no encontrado"))</f>
        <v/>
      </c>
      <c r="E65" s="15" t="n"/>
      <c r="F65" s="10">
        <f>IF($A65="","",IFERROR(INDEX('Catálogo'!$N$2:$N$813,MATCH($A65,'Catálogo'!$A$2:$A$813,0)),"código no encontrado"))</f>
        <v/>
      </c>
      <c r="G65" s="14" t="n"/>
      <c r="H65" s="22" t="n"/>
      <c r="I65" s="14" t="n"/>
      <c r="J65" s="14" t="n"/>
      <c r="K65" s="14" t="n"/>
      <c r="L65" s="14" t="n"/>
      <c r="M65" s="11">
        <f>IF(OR($F65="",$H65="",NOT(ISNUMBER($F65)),NOT(ISNUMBER($H65))),"",($H65-$F65)/$F65)</f>
        <v/>
      </c>
      <c r="N65" s="10">
        <f>IF(OR($E65="",$H65=""),"",$E65*$H65)</f>
        <v/>
      </c>
      <c r="O65" s="14" t="n"/>
    </row>
    <row r="66">
      <c r="A66" s="14" t="n"/>
      <c r="B66" s="5">
        <f>IF($A66="","",IFERROR(INDEX('Catálogo'!$D$2:$D$813,MATCH($A66,'Catálogo'!$A$2:$A$813,0)),"código no encontrado"))</f>
        <v/>
      </c>
      <c r="C66" s="5">
        <f>IF($A66="","",IFERROR(INDEX('Catálogo'!$E$2:$E$813,MATCH($A66,'Catálogo'!$A$2:$A$813,0)),"código no encontrado"))</f>
        <v/>
      </c>
      <c r="D66" s="5">
        <f>IF($A66="","",IFERROR(INDEX('Catálogo'!$H$2:$H$813,MATCH($A66,'Catálogo'!$A$2:$A$813,0)),"código no encontrado"))</f>
        <v/>
      </c>
      <c r="E66" s="15" t="n"/>
      <c r="F66" s="10">
        <f>IF($A66="","",IFERROR(INDEX('Catálogo'!$N$2:$N$813,MATCH($A66,'Catálogo'!$A$2:$A$813,0)),"código no encontrado"))</f>
        <v/>
      </c>
      <c r="G66" s="14" t="n"/>
      <c r="H66" s="22" t="n"/>
      <c r="I66" s="14" t="n"/>
      <c r="J66" s="14" t="n"/>
      <c r="K66" s="14" t="n"/>
      <c r="L66" s="14" t="n"/>
      <c r="M66" s="11">
        <f>IF(OR($F66="",$H66="",NOT(ISNUMBER($F66)),NOT(ISNUMBER($H66))),"",($H66-$F66)/$F66)</f>
        <v/>
      </c>
      <c r="N66" s="10">
        <f>IF(OR($E66="",$H66=""),"",$E66*$H66)</f>
        <v/>
      </c>
      <c r="O66" s="14" t="n"/>
    </row>
    <row r="67">
      <c r="A67" s="14" t="n"/>
      <c r="B67" s="5">
        <f>IF($A67="","",IFERROR(INDEX('Catálogo'!$D$2:$D$813,MATCH($A67,'Catálogo'!$A$2:$A$813,0)),"código no encontrado"))</f>
        <v/>
      </c>
      <c r="C67" s="5">
        <f>IF($A67="","",IFERROR(INDEX('Catálogo'!$E$2:$E$813,MATCH($A67,'Catálogo'!$A$2:$A$813,0)),"código no encontrado"))</f>
        <v/>
      </c>
      <c r="D67" s="5">
        <f>IF($A67="","",IFERROR(INDEX('Catálogo'!$H$2:$H$813,MATCH($A67,'Catálogo'!$A$2:$A$813,0)),"código no encontrado"))</f>
        <v/>
      </c>
      <c r="E67" s="15" t="n"/>
      <c r="F67" s="10">
        <f>IF($A67="","",IFERROR(INDEX('Catálogo'!$N$2:$N$813,MATCH($A67,'Catálogo'!$A$2:$A$813,0)),"código no encontrado"))</f>
        <v/>
      </c>
      <c r="G67" s="14" t="n"/>
      <c r="H67" s="22" t="n"/>
      <c r="I67" s="14" t="n"/>
      <c r="J67" s="14" t="n"/>
      <c r="K67" s="14" t="n"/>
      <c r="L67" s="14" t="n"/>
      <c r="M67" s="11">
        <f>IF(OR($F67="",$H67="",NOT(ISNUMBER($F67)),NOT(ISNUMBER($H67))),"",($H67-$F67)/$F67)</f>
        <v/>
      </c>
      <c r="N67" s="10">
        <f>IF(OR($E67="",$H67=""),"",$E67*$H67)</f>
        <v/>
      </c>
      <c r="O67" s="14" t="n"/>
    </row>
    <row r="68">
      <c r="A68" s="14" t="n"/>
      <c r="B68" s="5">
        <f>IF($A68="","",IFERROR(INDEX('Catálogo'!$D$2:$D$813,MATCH($A68,'Catálogo'!$A$2:$A$813,0)),"código no encontrado"))</f>
        <v/>
      </c>
      <c r="C68" s="5">
        <f>IF($A68="","",IFERROR(INDEX('Catálogo'!$E$2:$E$813,MATCH($A68,'Catálogo'!$A$2:$A$813,0)),"código no encontrado"))</f>
        <v/>
      </c>
      <c r="D68" s="5">
        <f>IF($A68="","",IFERROR(INDEX('Catálogo'!$H$2:$H$813,MATCH($A68,'Catálogo'!$A$2:$A$813,0)),"código no encontrado"))</f>
        <v/>
      </c>
      <c r="E68" s="15" t="n"/>
      <c r="F68" s="10">
        <f>IF($A68="","",IFERROR(INDEX('Catálogo'!$N$2:$N$813,MATCH($A68,'Catálogo'!$A$2:$A$813,0)),"código no encontrado"))</f>
        <v/>
      </c>
      <c r="G68" s="14" t="n"/>
      <c r="H68" s="22" t="n"/>
      <c r="I68" s="14" t="n"/>
      <c r="J68" s="14" t="n"/>
      <c r="K68" s="14" t="n"/>
      <c r="L68" s="14" t="n"/>
      <c r="M68" s="11">
        <f>IF(OR($F68="",$H68="",NOT(ISNUMBER($F68)),NOT(ISNUMBER($H68))),"",($H68-$F68)/$F68)</f>
        <v/>
      </c>
      <c r="N68" s="10">
        <f>IF(OR($E68="",$H68=""),"",$E68*$H68)</f>
        <v/>
      </c>
      <c r="O68" s="14" t="n"/>
    </row>
    <row r="69">
      <c r="A69" s="14" t="n"/>
      <c r="B69" s="5">
        <f>IF($A69="","",IFERROR(INDEX('Catálogo'!$D$2:$D$813,MATCH($A69,'Catálogo'!$A$2:$A$813,0)),"código no encontrado"))</f>
        <v/>
      </c>
      <c r="C69" s="5">
        <f>IF($A69="","",IFERROR(INDEX('Catálogo'!$E$2:$E$813,MATCH($A69,'Catálogo'!$A$2:$A$813,0)),"código no encontrado"))</f>
        <v/>
      </c>
      <c r="D69" s="5">
        <f>IF($A69="","",IFERROR(INDEX('Catálogo'!$H$2:$H$813,MATCH($A69,'Catálogo'!$A$2:$A$813,0)),"código no encontrado"))</f>
        <v/>
      </c>
      <c r="E69" s="15" t="n"/>
      <c r="F69" s="10">
        <f>IF($A69="","",IFERROR(INDEX('Catálogo'!$N$2:$N$813,MATCH($A69,'Catálogo'!$A$2:$A$813,0)),"código no encontrado"))</f>
        <v/>
      </c>
      <c r="G69" s="14" t="n"/>
      <c r="H69" s="22" t="n"/>
      <c r="I69" s="14" t="n"/>
      <c r="J69" s="14" t="n"/>
      <c r="K69" s="14" t="n"/>
      <c r="L69" s="14" t="n"/>
      <c r="M69" s="11">
        <f>IF(OR($F69="",$H69="",NOT(ISNUMBER($F69)),NOT(ISNUMBER($H69))),"",($H69-$F69)/$F69)</f>
        <v/>
      </c>
      <c r="N69" s="10">
        <f>IF(OR($E69="",$H69=""),"",$E69*$H69)</f>
        <v/>
      </c>
      <c r="O69" s="14" t="n"/>
    </row>
    <row r="70">
      <c r="A70" s="14" t="n"/>
      <c r="B70" s="5">
        <f>IF($A70="","",IFERROR(INDEX('Catálogo'!$D$2:$D$813,MATCH($A70,'Catálogo'!$A$2:$A$813,0)),"código no encontrado"))</f>
        <v/>
      </c>
      <c r="C70" s="5">
        <f>IF($A70="","",IFERROR(INDEX('Catálogo'!$E$2:$E$813,MATCH($A70,'Catálogo'!$A$2:$A$813,0)),"código no encontrado"))</f>
        <v/>
      </c>
      <c r="D70" s="5">
        <f>IF($A70="","",IFERROR(INDEX('Catálogo'!$H$2:$H$813,MATCH($A70,'Catálogo'!$A$2:$A$813,0)),"código no encontrado"))</f>
        <v/>
      </c>
      <c r="E70" s="15" t="n"/>
      <c r="F70" s="10">
        <f>IF($A70="","",IFERROR(INDEX('Catálogo'!$N$2:$N$813,MATCH($A70,'Catálogo'!$A$2:$A$813,0)),"código no encontrado"))</f>
        <v/>
      </c>
      <c r="G70" s="14" t="n"/>
      <c r="H70" s="22" t="n"/>
      <c r="I70" s="14" t="n"/>
      <c r="J70" s="14" t="n"/>
      <c r="K70" s="14" t="n"/>
      <c r="L70" s="14" t="n"/>
      <c r="M70" s="11">
        <f>IF(OR($F70="",$H70="",NOT(ISNUMBER($F70)),NOT(ISNUMBER($H70))),"",($H70-$F70)/$F70)</f>
        <v/>
      </c>
      <c r="N70" s="10">
        <f>IF(OR($E70="",$H70=""),"",$E70*$H70)</f>
        <v/>
      </c>
      <c r="O70" s="14" t="n"/>
    </row>
    <row r="71">
      <c r="A71" s="14" t="n"/>
      <c r="B71" s="5">
        <f>IF($A71="","",IFERROR(INDEX('Catálogo'!$D$2:$D$813,MATCH($A71,'Catálogo'!$A$2:$A$813,0)),"código no encontrado"))</f>
        <v/>
      </c>
      <c r="C71" s="5">
        <f>IF($A71="","",IFERROR(INDEX('Catálogo'!$E$2:$E$813,MATCH($A71,'Catálogo'!$A$2:$A$813,0)),"código no encontrado"))</f>
        <v/>
      </c>
      <c r="D71" s="5">
        <f>IF($A71="","",IFERROR(INDEX('Catálogo'!$H$2:$H$813,MATCH($A71,'Catálogo'!$A$2:$A$813,0)),"código no encontrado"))</f>
        <v/>
      </c>
      <c r="E71" s="15" t="n"/>
      <c r="F71" s="10">
        <f>IF($A71="","",IFERROR(INDEX('Catálogo'!$N$2:$N$813,MATCH($A71,'Catálogo'!$A$2:$A$813,0)),"código no encontrado"))</f>
        <v/>
      </c>
      <c r="G71" s="14" t="n"/>
      <c r="H71" s="22" t="n"/>
      <c r="I71" s="14" t="n"/>
      <c r="J71" s="14" t="n"/>
      <c r="K71" s="14" t="n"/>
      <c r="L71" s="14" t="n"/>
      <c r="M71" s="11">
        <f>IF(OR($F71="",$H71="",NOT(ISNUMBER($F71)),NOT(ISNUMBER($H71))),"",($H71-$F71)/$F71)</f>
        <v/>
      </c>
      <c r="N71" s="10">
        <f>IF(OR($E71="",$H71=""),"",$E71*$H71)</f>
        <v/>
      </c>
      <c r="O71" s="14" t="n"/>
    </row>
    <row r="72">
      <c r="A72" s="14" t="n"/>
      <c r="B72" s="5">
        <f>IF($A72="","",IFERROR(INDEX('Catálogo'!$D$2:$D$813,MATCH($A72,'Catálogo'!$A$2:$A$813,0)),"código no encontrado"))</f>
        <v/>
      </c>
      <c r="C72" s="5">
        <f>IF($A72="","",IFERROR(INDEX('Catálogo'!$E$2:$E$813,MATCH($A72,'Catálogo'!$A$2:$A$813,0)),"código no encontrado"))</f>
        <v/>
      </c>
      <c r="D72" s="5">
        <f>IF($A72="","",IFERROR(INDEX('Catálogo'!$H$2:$H$813,MATCH($A72,'Catálogo'!$A$2:$A$813,0)),"código no encontrado"))</f>
        <v/>
      </c>
      <c r="E72" s="15" t="n"/>
      <c r="F72" s="10">
        <f>IF($A72="","",IFERROR(INDEX('Catálogo'!$N$2:$N$813,MATCH($A72,'Catálogo'!$A$2:$A$813,0)),"código no encontrado"))</f>
        <v/>
      </c>
      <c r="G72" s="14" t="n"/>
      <c r="H72" s="22" t="n"/>
      <c r="I72" s="14" t="n"/>
      <c r="J72" s="14" t="n"/>
      <c r="K72" s="14" t="n"/>
      <c r="L72" s="14" t="n"/>
      <c r="M72" s="11">
        <f>IF(OR($F72="",$H72="",NOT(ISNUMBER($F72)),NOT(ISNUMBER($H72))),"",($H72-$F72)/$F72)</f>
        <v/>
      </c>
      <c r="N72" s="10">
        <f>IF(OR($E72="",$H72=""),"",$E72*$H72)</f>
        <v/>
      </c>
      <c r="O72" s="14" t="n"/>
    </row>
    <row r="73">
      <c r="A73" s="14" t="n"/>
      <c r="B73" s="5">
        <f>IF($A73="","",IFERROR(INDEX('Catálogo'!$D$2:$D$813,MATCH($A73,'Catálogo'!$A$2:$A$813,0)),"código no encontrado"))</f>
        <v/>
      </c>
      <c r="C73" s="5">
        <f>IF($A73="","",IFERROR(INDEX('Catálogo'!$E$2:$E$813,MATCH($A73,'Catálogo'!$A$2:$A$813,0)),"código no encontrado"))</f>
        <v/>
      </c>
      <c r="D73" s="5">
        <f>IF($A73="","",IFERROR(INDEX('Catálogo'!$H$2:$H$813,MATCH($A73,'Catálogo'!$A$2:$A$813,0)),"código no encontrado"))</f>
        <v/>
      </c>
      <c r="E73" s="15" t="n"/>
      <c r="F73" s="10">
        <f>IF($A73="","",IFERROR(INDEX('Catálogo'!$N$2:$N$813,MATCH($A73,'Catálogo'!$A$2:$A$813,0)),"código no encontrado"))</f>
        <v/>
      </c>
      <c r="G73" s="14" t="n"/>
      <c r="H73" s="22" t="n"/>
      <c r="I73" s="14" t="n"/>
      <c r="J73" s="14" t="n"/>
      <c r="K73" s="14" t="n"/>
      <c r="L73" s="14" t="n"/>
      <c r="M73" s="11">
        <f>IF(OR($F73="",$H73="",NOT(ISNUMBER($F73)),NOT(ISNUMBER($H73))),"",($H73-$F73)/$F73)</f>
        <v/>
      </c>
      <c r="N73" s="10">
        <f>IF(OR($E73="",$H73=""),"",$E73*$H73)</f>
        <v/>
      </c>
      <c r="O73" s="14" t="n"/>
    </row>
    <row r="74">
      <c r="A74" s="14" t="n"/>
      <c r="B74" s="5">
        <f>IF($A74="","",IFERROR(INDEX('Catálogo'!$D$2:$D$813,MATCH($A74,'Catálogo'!$A$2:$A$813,0)),"código no encontrado"))</f>
        <v/>
      </c>
      <c r="C74" s="5">
        <f>IF($A74="","",IFERROR(INDEX('Catálogo'!$E$2:$E$813,MATCH($A74,'Catálogo'!$A$2:$A$813,0)),"código no encontrado"))</f>
        <v/>
      </c>
      <c r="D74" s="5">
        <f>IF($A74="","",IFERROR(INDEX('Catálogo'!$H$2:$H$813,MATCH($A74,'Catálogo'!$A$2:$A$813,0)),"código no encontrado"))</f>
        <v/>
      </c>
      <c r="E74" s="15" t="n"/>
      <c r="F74" s="10">
        <f>IF($A74="","",IFERROR(INDEX('Catálogo'!$N$2:$N$813,MATCH($A74,'Catálogo'!$A$2:$A$813,0)),"código no encontrado"))</f>
        <v/>
      </c>
      <c r="G74" s="14" t="n"/>
      <c r="H74" s="22" t="n"/>
      <c r="I74" s="14" t="n"/>
      <c r="J74" s="14" t="n"/>
      <c r="K74" s="14" t="n"/>
      <c r="L74" s="14" t="n"/>
      <c r="M74" s="11">
        <f>IF(OR($F74="",$H74="",NOT(ISNUMBER($F74)),NOT(ISNUMBER($H74))),"",($H74-$F74)/$F74)</f>
        <v/>
      </c>
      <c r="N74" s="10">
        <f>IF(OR($E74="",$H74=""),"",$E74*$H74)</f>
        <v/>
      </c>
      <c r="O74" s="14" t="n"/>
    </row>
    <row r="75">
      <c r="A75" s="14" t="n"/>
      <c r="B75" s="5">
        <f>IF($A75="","",IFERROR(INDEX('Catálogo'!$D$2:$D$813,MATCH($A75,'Catálogo'!$A$2:$A$813,0)),"código no encontrado"))</f>
        <v/>
      </c>
      <c r="C75" s="5">
        <f>IF($A75="","",IFERROR(INDEX('Catálogo'!$E$2:$E$813,MATCH($A75,'Catálogo'!$A$2:$A$813,0)),"código no encontrado"))</f>
        <v/>
      </c>
      <c r="D75" s="5">
        <f>IF($A75="","",IFERROR(INDEX('Catálogo'!$H$2:$H$813,MATCH($A75,'Catálogo'!$A$2:$A$813,0)),"código no encontrado"))</f>
        <v/>
      </c>
      <c r="E75" s="15" t="n"/>
      <c r="F75" s="10">
        <f>IF($A75="","",IFERROR(INDEX('Catálogo'!$N$2:$N$813,MATCH($A75,'Catálogo'!$A$2:$A$813,0)),"código no encontrado"))</f>
        <v/>
      </c>
      <c r="G75" s="14" t="n"/>
      <c r="H75" s="22" t="n"/>
      <c r="I75" s="14" t="n"/>
      <c r="J75" s="14" t="n"/>
      <c r="K75" s="14" t="n"/>
      <c r="L75" s="14" t="n"/>
      <c r="M75" s="11">
        <f>IF(OR($F75="",$H75="",NOT(ISNUMBER($F75)),NOT(ISNUMBER($H75))),"",($H75-$F75)/$F75)</f>
        <v/>
      </c>
      <c r="N75" s="10">
        <f>IF(OR($E75="",$H75=""),"",$E75*$H75)</f>
        <v/>
      </c>
      <c r="O75" s="14" t="n"/>
    </row>
    <row r="76">
      <c r="A76" s="14" t="n"/>
      <c r="B76" s="5">
        <f>IF($A76="","",IFERROR(INDEX('Catálogo'!$D$2:$D$813,MATCH($A76,'Catálogo'!$A$2:$A$813,0)),"código no encontrado"))</f>
        <v/>
      </c>
      <c r="C76" s="5">
        <f>IF($A76="","",IFERROR(INDEX('Catálogo'!$E$2:$E$813,MATCH($A76,'Catálogo'!$A$2:$A$813,0)),"código no encontrado"))</f>
        <v/>
      </c>
      <c r="D76" s="5">
        <f>IF($A76="","",IFERROR(INDEX('Catálogo'!$H$2:$H$813,MATCH($A76,'Catálogo'!$A$2:$A$813,0)),"código no encontrado"))</f>
        <v/>
      </c>
      <c r="E76" s="15" t="n"/>
      <c r="F76" s="10">
        <f>IF($A76="","",IFERROR(INDEX('Catálogo'!$N$2:$N$813,MATCH($A76,'Catálogo'!$A$2:$A$813,0)),"código no encontrado"))</f>
        <v/>
      </c>
      <c r="G76" s="14" t="n"/>
      <c r="H76" s="22" t="n"/>
      <c r="I76" s="14" t="n"/>
      <c r="J76" s="14" t="n"/>
      <c r="K76" s="14" t="n"/>
      <c r="L76" s="14" t="n"/>
      <c r="M76" s="11">
        <f>IF(OR($F76="",$H76="",NOT(ISNUMBER($F76)),NOT(ISNUMBER($H76))),"",($H76-$F76)/$F76)</f>
        <v/>
      </c>
      <c r="N76" s="10">
        <f>IF(OR($E76="",$H76=""),"",$E76*$H76)</f>
        <v/>
      </c>
      <c r="O76" s="14" t="n"/>
    </row>
    <row r="77">
      <c r="A77" s="14" t="n"/>
      <c r="B77" s="5">
        <f>IF($A77="","",IFERROR(INDEX('Catálogo'!$D$2:$D$813,MATCH($A77,'Catálogo'!$A$2:$A$813,0)),"código no encontrado"))</f>
        <v/>
      </c>
      <c r="C77" s="5">
        <f>IF($A77="","",IFERROR(INDEX('Catálogo'!$E$2:$E$813,MATCH($A77,'Catálogo'!$A$2:$A$813,0)),"código no encontrado"))</f>
        <v/>
      </c>
      <c r="D77" s="5">
        <f>IF($A77="","",IFERROR(INDEX('Catálogo'!$H$2:$H$813,MATCH($A77,'Catálogo'!$A$2:$A$813,0)),"código no encontrado"))</f>
        <v/>
      </c>
      <c r="E77" s="15" t="n"/>
      <c r="F77" s="10">
        <f>IF($A77="","",IFERROR(INDEX('Catálogo'!$N$2:$N$813,MATCH($A77,'Catálogo'!$A$2:$A$813,0)),"código no encontrado"))</f>
        <v/>
      </c>
      <c r="G77" s="14" t="n"/>
      <c r="H77" s="22" t="n"/>
      <c r="I77" s="14" t="n"/>
      <c r="J77" s="14" t="n"/>
      <c r="K77" s="14" t="n"/>
      <c r="L77" s="14" t="n"/>
      <c r="M77" s="11">
        <f>IF(OR($F77="",$H77="",NOT(ISNUMBER($F77)),NOT(ISNUMBER($H77))),"",($H77-$F77)/$F77)</f>
        <v/>
      </c>
      <c r="N77" s="10">
        <f>IF(OR($E77="",$H77=""),"",$E77*$H77)</f>
        <v/>
      </c>
      <c r="O77" s="14" t="n"/>
    </row>
    <row r="78">
      <c r="A78" s="14" t="n"/>
      <c r="B78" s="5">
        <f>IF($A78="","",IFERROR(INDEX('Catálogo'!$D$2:$D$813,MATCH($A78,'Catálogo'!$A$2:$A$813,0)),"código no encontrado"))</f>
        <v/>
      </c>
      <c r="C78" s="5">
        <f>IF($A78="","",IFERROR(INDEX('Catálogo'!$E$2:$E$813,MATCH($A78,'Catálogo'!$A$2:$A$813,0)),"código no encontrado"))</f>
        <v/>
      </c>
      <c r="D78" s="5">
        <f>IF($A78="","",IFERROR(INDEX('Catálogo'!$H$2:$H$813,MATCH($A78,'Catálogo'!$A$2:$A$813,0)),"código no encontrado"))</f>
        <v/>
      </c>
      <c r="E78" s="15" t="n"/>
      <c r="F78" s="10">
        <f>IF($A78="","",IFERROR(INDEX('Catálogo'!$N$2:$N$813,MATCH($A78,'Catálogo'!$A$2:$A$813,0)),"código no encontrado"))</f>
        <v/>
      </c>
      <c r="G78" s="14" t="n"/>
      <c r="H78" s="22" t="n"/>
      <c r="I78" s="14" t="n"/>
      <c r="J78" s="14" t="n"/>
      <c r="K78" s="14" t="n"/>
      <c r="L78" s="14" t="n"/>
      <c r="M78" s="11">
        <f>IF(OR($F78="",$H78="",NOT(ISNUMBER($F78)),NOT(ISNUMBER($H78))),"",($H78-$F78)/$F78)</f>
        <v/>
      </c>
      <c r="N78" s="10">
        <f>IF(OR($E78="",$H78=""),"",$E78*$H78)</f>
        <v/>
      </c>
      <c r="O78" s="14" t="n"/>
    </row>
    <row r="79">
      <c r="A79" s="14" t="n"/>
      <c r="B79" s="5">
        <f>IF($A79="","",IFERROR(INDEX('Catálogo'!$D$2:$D$813,MATCH($A79,'Catálogo'!$A$2:$A$813,0)),"código no encontrado"))</f>
        <v/>
      </c>
      <c r="C79" s="5">
        <f>IF($A79="","",IFERROR(INDEX('Catálogo'!$E$2:$E$813,MATCH($A79,'Catálogo'!$A$2:$A$813,0)),"código no encontrado"))</f>
        <v/>
      </c>
      <c r="D79" s="5">
        <f>IF($A79="","",IFERROR(INDEX('Catálogo'!$H$2:$H$813,MATCH($A79,'Catálogo'!$A$2:$A$813,0)),"código no encontrado"))</f>
        <v/>
      </c>
      <c r="E79" s="15" t="n"/>
      <c r="F79" s="10">
        <f>IF($A79="","",IFERROR(INDEX('Catálogo'!$N$2:$N$813,MATCH($A79,'Catálogo'!$A$2:$A$813,0)),"código no encontrado"))</f>
        <v/>
      </c>
      <c r="G79" s="14" t="n"/>
      <c r="H79" s="22" t="n"/>
      <c r="I79" s="14" t="n"/>
      <c r="J79" s="14" t="n"/>
      <c r="K79" s="14" t="n"/>
      <c r="L79" s="14" t="n"/>
      <c r="M79" s="11">
        <f>IF(OR($F79="",$H79="",NOT(ISNUMBER($F79)),NOT(ISNUMBER($H79))),"",($H79-$F79)/$F79)</f>
        <v/>
      </c>
      <c r="N79" s="10">
        <f>IF(OR($E79="",$H79=""),"",$E79*$H79)</f>
        <v/>
      </c>
      <c r="O79" s="14" t="n"/>
    </row>
    <row r="80">
      <c r="A80" s="14" t="n"/>
      <c r="B80" s="5">
        <f>IF($A80="","",IFERROR(INDEX('Catálogo'!$D$2:$D$813,MATCH($A80,'Catálogo'!$A$2:$A$813,0)),"código no encontrado"))</f>
        <v/>
      </c>
      <c r="C80" s="5">
        <f>IF($A80="","",IFERROR(INDEX('Catálogo'!$E$2:$E$813,MATCH($A80,'Catálogo'!$A$2:$A$813,0)),"código no encontrado"))</f>
        <v/>
      </c>
      <c r="D80" s="5">
        <f>IF($A80="","",IFERROR(INDEX('Catálogo'!$H$2:$H$813,MATCH($A80,'Catálogo'!$A$2:$A$813,0)),"código no encontrado"))</f>
        <v/>
      </c>
      <c r="E80" s="15" t="n"/>
      <c r="F80" s="10">
        <f>IF($A80="","",IFERROR(INDEX('Catálogo'!$N$2:$N$813,MATCH($A80,'Catálogo'!$A$2:$A$813,0)),"código no encontrado"))</f>
        <v/>
      </c>
      <c r="G80" s="14" t="n"/>
      <c r="H80" s="22" t="n"/>
      <c r="I80" s="14" t="n"/>
      <c r="J80" s="14" t="n"/>
      <c r="K80" s="14" t="n"/>
      <c r="L80" s="14" t="n"/>
      <c r="M80" s="11">
        <f>IF(OR($F80="",$H80="",NOT(ISNUMBER($F80)),NOT(ISNUMBER($H80))),"",($H80-$F80)/$F80)</f>
        <v/>
      </c>
      <c r="N80" s="10">
        <f>IF(OR($E80="",$H80=""),"",$E80*$H80)</f>
        <v/>
      </c>
      <c r="O80" s="14" t="n"/>
    </row>
    <row r="81">
      <c r="A81" s="14" t="n"/>
      <c r="B81" s="5">
        <f>IF($A81="","",IFERROR(INDEX('Catálogo'!$D$2:$D$813,MATCH($A81,'Catálogo'!$A$2:$A$813,0)),"código no encontrado"))</f>
        <v/>
      </c>
      <c r="C81" s="5">
        <f>IF($A81="","",IFERROR(INDEX('Catálogo'!$E$2:$E$813,MATCH($A81,'Catálogo'!$A$2:$A$813,0)),"código no encontrado"))</f>
        <v/>
      </c>
      <c r="D81" s="5">
        <f>IF($A81="","",IFERROR(INDEX('Catálogo'!$H$2:$H$813,MATCH($A81,'Catálogo'!$A$2:$A$813,0)),"código no encontrado"))</f>
        <v/>
      </c>
      <c r="E81" s="15" t="n"/>
      <c r="F81" s="10">
        <f>IF($A81="","",IFERROR(INDEX('Catálogo'!$N$2:$N$813,MATCH($A81,'Catálogo'!$A$2:$A$813,0)),"código no encontrado"))</f>
        <v/>
      </c>
      <c r="G81" s="14" t="n"/>
      <c r="H81" s="22" t="n"/>
      <c r="I81" s="14" t="n"/>
      <c r="J81" s="14" t="n"/>
      <c r="K81" s="14" t="n"/>
      <c r="L81" s="14" t="n"/>
      <c r="M81" s="11">
        <f>IF(OR($F81="",$H81="",NOT(ISNUMBER($F81)),NOT(ISNUMBER($H81))),"",($H81-$F81)/$F81)</f>
        <v/>
      </c>
      <c r="N81" s="10">
        <f>IF(OR($E81="",$H81=""),"",$E81*$H81)</f>
        <v/>
      </c>
      <c r="O81" s="14" t="n"/>
    </row>
    <row r="82">
      <c r="A82" s="14" t="n"/>
      <c r="B82" s="5">
        <f>IF($A82="","",IFERROR(INDEX('Catálogo'!$D$2:$D$813,MATCH($A82,'Catálogo'!$A$2:$A$813,0)),"código no encontrado"))</f>
        <v/>
      </c>
      <c r="C82" s="5">
        <f>IF($A82="","",IFERROR(INDEX('Catálogo'!$E$2:$E$813,MATCH($A82,'Catálogo'!$A$2:$A$813,0)),"código no encontrado"))</f>
        <v/>
      </c>
      <c r="D82" s="5">
        <f>IF($A82="","",IFERROR(INDEX('Catálogo'!$H$2:$H$813,MATCH($A82,'Catálogo'!$A$2:$A$813,0)),"código no encontrado"))</f>
        <v/>
      </c>
      <c r="E82" s="15" t="n"/>
      <c r="F82" s="10">
        <f>IF($A82="","",IFERROR(INDEX('Catálogo'!$N$2:$N$813,MATCH($A82,'Catálogo'!$A$2:$A$813,0)),"código no encontrado"))</f>
        <v/>
      </c>
      <c r="G82" s="14" t="n"/>
      <c r="H82" s="22" t="n"/>
      <c r="I82" s="14" t="n"/>
      <c r="J82" s="14" t="n"/>
      <c r="K82" s="14" t="n"/>
      <c r="L82" s="14" t="n"/>
      <c r="M82" s="11">
        <f>IF(OR($F82="",$H82="",NOT(ISNUMBER($F82)),NOT(ISNUMBER($H82))),"",($H82-$F82)/$F82)</f>
        <v/>
      </c>
      <c r="N82" s="10">
        <f>IF(OR($E82="",$H82=""),"",$E82*$H82)</f>
        <v/>
      </c>
      <c r="O82" s="14" t="n"/>
    </row>
    <row r="83">
      <c r="A83" s="14" t="n"/>
      <c r="B83" s="5">
        <f>IF($A83="","",IFERROR(INDEX('Catálogo'!$D$2:$D$813,MATCH($A83,'Catálogo'!$A$2:$A$813,0)),"código no encontrado"))</f>
        <v/>
      </c>
      <c r="C83" s="5">
        <f>IF($A83="","",IFERROR(INDEX('Catálogo'!$E$2:$E$813,MATCH($A83,'Catálogo'!$A$2:$A$813,0)),"código no encontrado"))</f>
        <v/>
      </c>
      <c r="D83" s="5">
        <f>IF($A83="","",IFERROR(INDEX('Catálogo'!$H$2:$H$813,MATCH($A83,'Catálogo'!$A$2:$A$813,0)),"código no encontrado"))</f>
        <v/>
      </c>
      <c r="E83" s="15" t="n"/>
      <c r="F83" s="10">
        <f>IF($A83="","",IFERROR(INDEX('Catálogo'!$N$2:$N$813,MATCH($A83,'Catálogo'!$A$2:$A$813,0)),"código no encontrado"))</f>
        <v/>
      </c>
      <c r="G83" s="14" t="n"/>
      <c r="H83" s="22" t="n"/>
      <c r="I83" s="14" t="n"/>
      <c r="J83" s="14" t="n"/>
      <c r="K83" s="14" t="n"/>
      <c r="L83" s="14" t="n"/>
      <c r="M83" s="11">
        <f>IF(OR($F83="",$H83="",NOT(ISNUMBER($F83)),NOT(ISNUMBER($H83))),"",($H83-$F83)/$F83)</f>
        <v/>
      </c>
      <c r="N83" s="10">
        <f>IF(OR($E83="",$H83=""),"",$E83*$H83)</f>
        <v/>
      </c>
      <c r="O83" s="14" t="n"/>
    </row>
    <row r="84">
      <c r="A84" s="14" t="n"/>
      <c r="B84" s="5">
        <f>IF($A84="","",IFERROR(INDEX('Catálogo'!$D$2:$D$813,MATCH($A84,'Catálogo'!$A$2:$A$813,0)),"código no encontrado"))</f>
        <v/>
      </c>
      <c r="C84" s="5">
        <f>IF($A84="","",IFERROR(INDEX('Catálogo'!$E$2:$E$813,MATCH($A84,'Catálogo'!$A$2:$A$813,0)),"código no encontrado"))</f>
        <v/>
      </c>
      <c r="D84" s="5">
        <f>IF($A84="","",IFERROR(INDEX('Catálogo'!$H$2:$H$813,MATCH($A84,'Catálogo'!$A$2:$A$813,0)),"código no encontrado"))</f>
        <v/>
      </c>
      <c r="E84" s="15" t="n"/>
      <c r="F84" s="10">
        <f>IF($A84="","",IFERROR(INDEX('Catálogo'!$N$2:$N$813,MATCH($A84,'Catálogo'!$A$2:$A$813,0)),"código no encontrado"))</f>
        <v/>
      </c>
      <c r="G84" s="14" t="n"/>
      <c r="H84" s="22" t="n"/>
      <c r="I84" s="14" t="n"/>
      <c r="J84" s="14" t="n"/>
      <c r="K84" s="14" t="n"/>
      <c r="L84" s="14" t="n"/>
      <c r="M84" s="11">
        <f>IF(OR($F84="",$H84="",NOT(ISNUMBER($F84)),NOT(ISNUMBER($H84))),"",($H84-$F84)/$F84)</f>
        <v/>
      </c>
      <c r="N84" s="10">
        <f>IF(OR($E84="",$H84=""),"",$E84*$H84)</f>
        <v/>
      </c>
      <c r="O84" s="14" t="n"/>
    </row>
    <row r="85">
      <c r="A85" s="14" t="n"/>
      <c r="B85" s="5">
        <f>IF($A85="","",IFERROR(INDEX('Catálogo'!$D$2:$D$813,MATCH($A85,'Catálogo'!$A$2:$A$813,0)),"código no encontrado"))</f>
        <v/>
      </c>
      <c r="C85" s="5">
        <f>IF($A85="","",IFERROR(INDEX('Catálogo'!$E$2:$E$813,MATCH($A85,'Catálogo'!$A$2:$A$813,0)),"código no encontrado"))</f>
        <v/>
      </c>
      <c r="D85" s="5">
        <f>IF($A85="","",IFERROR(INDEX('Catálogo'!$H$2:$H$813,MATCH($A85,'Catálogo'!$A$2:$A$813,0)),"código no encontrado"))</f>
        <v/>
      </c>
      <c r="E85" s="15" t="n"/>
      <c r="F85" s="10">
        <f>IF($A85="","",IFERROR(INDEX('Catálogo'!$N$2:$N$813,MATCH($A85,'Catálogo'!$A$2:$A$813,0)),"código no encontrado"))</f>
        <v/>
      </c>
      <c r="G85" s="14" t="n"/>
      <c r="H85" s="22" t="n"/>
      <c r="I85" s="14" t="n"/>
      <c r="J85" s="14" t="n"/>
      <c r="K85" s="14" t="n"/>
      <c r="L85" s="14" t="n"/>
      <c r="M85" s="11">
        <f>IF(OR($F85="",$H85="",NOT(ISNUMBER($F85)),NOT(ISNUMBER($H85))),"",($H85-$F85)/$F85)</f>
        <v/>
      </c>
      <c r="N85" s="10">
        <f>IF(OR($E85="",$H85=""),"",$E85*$H85)</f>
        <v/>
      </c>
      <c r="O85" s="14" t="n"/>
    </row>
    <row r="86">
      <c r="A86" s="14" t="n"/>
      <c r="B86" s="5">
        <f>IF($A86="","",IFERROR(INDEX('Catálogo'!$D$2:$D$813,MATCH($A86,'Catálogo'!$A$2:$A$813,0)),"código no encontrado"))</f>
        <v/>
      </c>
      <c r="C86" s="5">
        <f>IF($A86="","",IFERROR(INDEX('Catálogo'!$E$2:$E$813,MATCH($A86,'Catálogo'!$A$2:$A$813,0)),"código no encontrado"))</f>
        <v/>
      </c>
      <c r="D86" s="5">
        <f>IF($A86="","",IFERROR(INDEX('Catálogo'!$H$2:$H$813,MATCH($A86,'Catálogo'!$A$2:$A$813,0)),"código no encontrado"))</f>
        <v/>
      </c>
      <c r="E86" s="15" t="n"/>
      <c r="F86" s="10">
        <f>IF($A86="","",IFERROR(INDEX('Catálogo'!$N$2:$N$813,MATCH($A86,'Catálogo'!$A$2:$A$813,0)),"código no encontrado"))</f>
        <v/>
      </c>
      <c r="G86" s="14" t="n"/>
      <c r="H86" s="22" t="n"/>
      <c r="I86" s="14" t="n"/>
      <c r="J86" s="14" t="n"/>
      <c r="K86" s="14" t="n"/>
      <c r="L86" s="14" t="n"/>
      <c r="M86" s="11">
        <f>IF(OR($F86="",$H86="",NOT(ISNUMBER($F86)),NOT(ISNUMBER($H86))),"",($H86-$F86)/$F86)</f>
        <v/>
      </c>
      <c r="N86" s="10">
        <f>IF(OR($E86="",$H86=""),"",$E86*$H86)</f>
        <v/>
      </c>
      <c r="O86" s="14" t="n"/>
    </row>
    <row r="87">
      <c r="A87" s="14" t="n"/>
      <c r="B87" s="5">
        <f>IF($A87="","",IFERROR(INDEX('Catálogo'!$D$2:$D$813,MATCH($A87,'Catálogo'!$A$2:$A$813,0)),"código no encontrado"))</f>
        <v/>
      </c>
      <c r="C87" s="5">
        <f>IF($A87="","",IFERROR(INDEX('Catálogo'!$E$2:$E$813,MATCH($A87,'Catálogo'!$A$2:$A$813,0)),"código no encontrado"))</f>
        <v/>
      </c>
      <c r="D87" s="5">
        <f>IF($A87="","",IFERROR(INDEX('Catálogo'!$H$2:$H$813,MATCH($A87,'Catálogo'!$A$2:$A$813,0)),"código no encontrado"))</f>
        <v/>
      </c>
      <c r="E87" s="15" t="n"/>
      <c r="F87" s="10">
        <f>IF($A87="","",IFERROR(INDEX('Catálogo'!$N$2:$N$813,MATCH($A87,'Catálogo'!$A$2:$A$813,0)),"código no encontrado"))</f>
        <v/>
      </c>
      <c r="G87" s="14" t="n"/>
      <c r="H87" s="22" t="n"/>
      <c r="I87" s="14" t="n"/>
      <c r="J87" s="14" t="n"/>
      <c r="K87" s="14" t="n"/>
      <c r="L87" s="14" t="n"/>
      <c r="M87" s="11">
        <f>IF(OR($F87="",$H87="",NOT(ISNUMBER($F87)),NOT(ISNUMBER($H87))),"",($H87-$F87)/$F87)</f>
        <v/>
      </c>
      <c r="N87" s="10">
        <f>IF(OR($E87="",$H87=""),"",$E87*$H87)</f>
        <v/>
      </c>
      <c r="O87" s="14" t="n"/>
    </row>
    <row r="88">
      <c r="A88" s="14" t="n"/>
      <c r="B88" s="5">
        <f>IF($A88="","",IFERROR(INDEX('Catálogo'!$D$2:$D$813,MATCH($A88,'Catálogo'!$A$2:$A$813,0)),"código no encontrado"))</f>
        <v/>
      </c>
      <c r="C88" s="5">
        <f>IF($A88="","",IFERROR(INDEX('Catálogo'!$E$2:$E$813,MATCH($A88,'Catálogo'!$A$2:$A$813,0)),"código no encontrado"))</f>
        <v/>
      </c>
      <c r="D88" s="5">
        <f>IF($A88="","",IFERROR(INDEX('Catálogo'!$H$2:$H$813,MATCH($A88,'Catálogo'!$A$2:$A$813,0)),"código no encontrado"))</f>
        <v/>
      </c>
      <c r="E88" s="15" t="n"/>
      <c r="F88" s="10">
        <f>IF($A88="","",IFERROR(INDEX('Catálogo'!$N$2:$N$813,MATCH($A88,'Catálogo'!$A$2:$A$813,0)),"código no encontrado"))</f>
        <v/>
      </c>
      <c r="G88" s="14" t="n"/>
      <c r="H88" s="22" t="n"/>
      <c r="I88" s="14" t="n"/>
      <c r="J88" s="14" t="n"/>
      <c r="K88" s="14" t="n"/>
      <c r="L88" s="14" t="n"/>
      <c r="M88" s="11">
        <f>IF(OR($F88="",$H88="",NOT(ISNUMBER($F88)),NOT(ISNUMBER($H88))),"",($H88-$F88)/$F88)</f>
        <v/>
      </c>
      <c r="N88" s="10">
        <f>IF(OR($E88="",$H88=""),"",$E88*$H88)</f>
        <v/>
      </c>
      <c r="O88" s="14" t="n"/>
    </row>
    <row r="89">
      <c r="A89" s="14" t="n"/>
      <c r="B89" s="5">
        <f>IF($A89="","",IFERROR(INDEX('Catálogo'!$D$2:$D$813,MATCH($A89,'Catálogo'!$A$2:$A$813,0)),"código no encontrado"))</f>
        <v/>
      </c>
      <c r="C89" s="5">
        <f>IF($A89="","",IFERROR(INDEX('Catálogo'!$E$2:$E$813,MATCH($A89,'Catálogo'!$A$2:$A$813,0)),"código no encontrado"))</f>
        <v/>
      </c>
      <c r="D89" s="5">
        <f>IF($A89="","",IFERROR(INDEX('Catálogo'!$H$2:$H$813,MATCH($A89,'Catálogo'!$A$2:$A$813,0)),"código no encontrado"))</f>
        <v/>
      </c>
      <c r="E89" s="15" t="n"/>
      <c r="F89" s="10">
        <f>IF($A89="","",IFERROR(INDEX('Catálogo'!$N$2:$N$813,MATCH($A89,'Catálogo'!$A$2:$A$813,0)),"código no encontrado"))</f>
        <v/>
      </c>
      <c r="G89" s="14" t="n"/>
      <c r="H89" s="22" t="n"/>
      <c r="I89" s="14" t="n"/>
      <c r="J89" s="14" t="n"/>
      <c r="K89" s="14" t="n"/>
      <c r="L89" s="14" t="n"/>
      <c r="M89" s="11">
        <f>IF(OR($F89="",$H89="",NOT(ISNUMBER($F89)),NOT(ISNUMBER($H89))),"",($H89-$F89)/$F89)</f>
        <v/>
      </c>
      <c r="N89" s="10">
        <f>IF(OR($E89="",$H89=""),"",$E89*$H89)</f>
        <v/>
      </c>
      <c r="O89" s="14" t="n"/>
    </row>
    <row r="90">
      <c r="A90" s="14" t="n"/>
      <c r="B90" s="5">
        <f>IF($A90="","",IFERROR(INDEX('Catálogo'!$D$2:$D$813,MATCH($A90,'Catálogo'!$A$2:$A$813,0)),"código no encontrado"))</f>
        <v/>
      </c>
      <c r="C90" s="5">
        <f>IF($A90="","",IFERROR(INDEX('Catálogo'!$E$2:$E$813,MATCH($A90,'Catálogo'!$A$2:$A$813,0)),"código no encontrado"))</f>
        <v/>
      </c>
      <c r="D90" s="5">
        <f>IF($A90="","",IFERROR(INDEX('Catálogo'!$H$2:$H$813,MATCH($A90,'Catálogo'!$A$2:$A$813,0)),"código no encontrado"))</f>
        <v/>
      </c>
      <c r="E90" s="15" t="n"/>
      <c r="F90" s="10">
        <f>IF($A90="","",IFERROR(INDEX('Catálogo'!$N$2:$N$813,MATCH($A90,'Catálogo'!$A$2:$A$813,0)),"código no encontrado"))</f>
        <v/>
      </c>
      <c r="G90" s="14" t="n"/>
      <c r="H90" s="22" t="n"/>
      <c r="I90" s="14" t="n"/>
      <c r="J90" s="14" t="n"/>
      <c r="K90" s="14" t="n"/>
      <c r="L90" s="14" t="n"/>
      <c r="M90" s="11">
        <f>IF(OR($F90="",$H90="",NOT(ISNUMBER($F90)),NOT(ISNUMBER($H90))),"",($H90-$F90)/$F90)</f>
        <v/>
      </c>
      <c r="N90" s="10">
        <f>IF(OR($E90="",$H90=""),"",$E90*$H90)</f>
        <v/>
      </c>
      <c r="O90" s="14" t="n"/>
    </row>
    <row r="91">
      <c r="A91" s="14" t="n"/>
      <c r="B91" s="5">
        <f>IF($A91="","",IFERROR(INDEX('Catálogo'!$D$2:$D$813,MATCH($A91,'Catálogo'!$A$2:$A$813,0)),"código no encontrado"))</f>
        <v/>
      </c>
      <c r="C91" s="5">
        <f>IF($A91="","",IFERROR(INDEX('Catálogo'!$E$2:$E$813,MATCH($A91,'Catálogo'!$A$2:$A$813,0)),"código no encontrado"))</f>
        <v/>
      </c>
      <c r="D91" s="5">
        <f>IF($A91="","",IFERROR(INDEX('Catálogo'!$H$2:$H$813,MATCH($A91,'Catálogo'!$A$2:$A$813,0)),"código no encontrado"))</f>
        <v/>
      </c>
      <c r="E91" s="15" t="n"/>
      <c r="F91" s="10">
        <f>IF($A91="","",IFERROR(INDEX('Catálogo'!$N$2:$N$813,MATCH($A91,'Catálogo'!$A$2:$A$813,0)),"código no encontrado"))</f>
        <v/>
      </c>
      <c r="G91" s="14" t="n"/>
      <c r="H91" s="22" t="n"/>
      <c r="I91" s="14" t="n"/>
      <c r="J91" s="14" t="n"/>
      <c r="K91" s="14" t="n"/>
      <c r="L91" s="14" t="n"/>
      <c r="M91" s="11">
        <f>IF(OR($F91="",$H91="",NOT(ISNUMBER($F91)),NOT(ISNUMBER($H91))),"",($H91-$F91)/$F91)</f>
        <v/>
      </c>
      <c r="N91" s="10">
        <f>IF(OR($E91="",$H91=""),"",$E91*$H91)</f>
        <v/>
      </c>
      <c r="O91" s="14" t="n"/>
    </row>
    <row r="92">
      <c r="A92" s="14" t="n"/>
      <c r="B92" s="5">
        <f>IF($A92="","",IFERROR(INDEX('Catálogo'!$D$2:$D$813,MATCH($A92,'Catálogo'!$A$2:$A$813,0)),"código no encontrado"))</f>
        <v/>
      </c>
      <c r="C92" s="5">
        <f>IF($A92="","",IFERROR(INDEX('Catálogo'!$E$2:$E$813,MATCH($A92,'Catálogo'!$A$2:$A$813,0)),"código no encontrado"))</f>
        <v/>
      </c>
      <c r="D92" s="5">
        <f>IF($A92="","",IFERROR(INDEX('Catálogo'!$H$2:$H$813,MATCH($A92,'Catálogo'!$A$2:$A$813,0)),"código no encontrado"))</f>
        <v/>
      </c>
      <c r="E92" s="15" t="n"/>
      <c r="F92" s="10">
        <f>IF($A92="","",IFERROR(INDEX('Catálogo'!$N$2:$N$813,MATCH($A92,'Catálogo'!$A$2:$A$813,0)),"código no encontrado"))</f>
        <v/>
      </c>
      <c r="G92" s="14" t="n"/>
      <c r="H92" s="22" t="n"/>
      <c r="I92" s="14" t="n"/>
      <c r="J92" s="14" t="n"/>
      <c r="K92" s="14" t="n"/>
      <c r="L92" s="14" t="n"/>
      <c r="M92" s="11">
        <f>IF(OR($F92="",$H92="",NOT(ISNUMBER($F92)),NOT(ISNUMBER($H92))),"",($H92-$F92)/$F92)</f>
        <v/>
      </c>
      <c r="N92" s="10">
        <f>IF(OR($E92="",$H92=""),"",$E92*$H92)</f>
        <v/>
      </c>
      <c r="O92" s="14" t="n"/>
    </row>
    <row r="93">
      <c r="A93" s="14" t="n"/>
      <c r="B93" s="5">
        <f>IF($A93="","",IFERROR(INDEX('Catálogo'!$D$2:$D$813,MATCH($A93,'Catálogo'!$A$2:$A$813,0)),"código no encontrado"))</f>
        <v/>
      </c>
      <c r="C93" s="5">
        <f>IF($A93="","",IFERROR(INDEX('Catálogo'!$E$2:$E$813,MATCH($A93,'Catálogo'!$A$2:$A$813,0)),"código no encontrado"))</f>
        <v/>
      </c>
      <c r="D93" s="5">
        <f>IF($A93="","",IFERROR(INDEX('Catálogo'!$H$2:$H$813,MATCH($A93,'Catálogo'!$A$2:$A$813,0)),"código no encontrado"))</f>
        <v/>
      </c>
      <c r="E93" s="15" t="n"/>
      <c r="F93" s="10">
        <f>IF($A93="","",IFERROR(INDEX('Catálogo'!$N$2:$N$813,MATCH($A93,'Catálogo'!$A$2:$A$813,0)),"código no encontrado"))</f>
        <v/>
      </c>
      <c r="G93" s="14" t="n"/>
      <c r="H93" s="22" t="n"/>
      <c r="I93" s="14" t="n"/>
      <c r="J93" s="14" t="n"/>
      <c r="K93" s="14" t="n"/>
      <c r="L93" s="14" t="n"/>
      <c r="M93" s="11">
        <f>IF(OR($F93="",$H93="",NOT(ISNUMBER($F93)),NOT(ISNUMBER($H93))),"",($H93-$F93)/$F93)</f>
        <v/>
      </c>
      <c r="N93" s="10">
        <f>IF(OR($E93="",$H93=""),"",$E93*$H93)</f>
        <v/>
      </c>
      <c r="O93" s="14" t="n"/>
    </row>
    <row r="94">
      <c r="A94" s="14" t="n"/>
      <c r="B94" s="5">
        <f>IF($A94="","",IFERROR(INDEX('Catálogo'!$D$2:$D$813,MATCH($A94,'Catálogo'!$A$2:$A$813,0)),"código no encontrado"))</f>
        <v/>
      </c>
      <c r="C94" s="5">
        <f>IF($A94="","",IFERROR(INDEX('Catálogo'!$E$2:$E$813,MATCH($A94,'Catálogo'!$A$2:$A$813,0)),"código no encontrado"))</f>
        <v/>
      </c>
      <c r="D94" s="5">
        <f>IF($A94="","",IFERROR(INDEX('Catálogo'!$H$2:$H$813,MATCH($A94,'Catálogo'!$A$2:$A$813,0)),"código no encontrado"))</f>
        <v/>
      </c>
      <c r="E94" s="15" t="n"/>
      <c r="F94" s="10">
        <f>IF($A94="","",IFERROR(INDEX('Catálogo'!$N$2:$N$813,MATCH($A94,'Catálogo'!$A$2:$A$813,0)),"código no encontrado"))</f>
        <v/>
      </c>
      <c r="G94" s="14" t="n"/>
      <c r="H94" s="22" t="n"/>
      <c r="I94" s="14" t="n"/>
      <c r="J94" s="14" t="n"/>
      <c r="K94" s="14" t="n"/>
      <c r="L94" s="14" t="n"/>
      <c r="M94" s="11">
        <f>IF(OR($F94="",$H94="",NOT(ISNUMBER($F94)),NOT(ISNUMBER($H94))),"",($H94-$F94)/$F94)</f>
        <v/>
      </c>
      <c r="N94" s="10">
        <f>IF(OR($E94="",$H94=""),"",$E94*$H94)</f>
        <v/>
      </c>
      <c r="O94" s="14" t="n"/>
    </row>
    <row r="95">
      <c r="A95" s="14" t="n"/>
      <c r="B95" s="5">
        <f>IF($A95="","",IFERROR(INDEX('Catálogo'!$D$2:$D$813,MATCH($A95,'Catálogo'!$A$2:$A$813,0)),"código no encontrado"))</f>
        <v/>
      </c>
      <c r="C95" s="5">
        <f>IF($A95="","",IFERROR(INDEX('Catálogo'!$E$2:$E$813,MATCH($A95,'Catálogo'!$A$2:$A$813,0)),"código no encontrado"))</f>
        <v/>
      </c>
      <c r="D95" s="5">
        <f>IF($A95="","",IFERROR(INDEX('Catálogo'!$H$2:$H$813,MATCH($A95,'Catálogo'!$A$2:$A$813,0)),"código no encontrado"))</f>
        <v/>
      </c>
      <c r="E95" s="15" t="n"/>
      <c r="F95" s="10">
        <f>IF($A95="","",IFERROR(INDEX('Catálogo'!$N$2:$N$813,MATCH($A95,'Catálogo'!$A$2:$A$813,0)),"código no encontrado"))</f>
        <v/>
      </c>
      <c r="G95" s="14" t="n"/>
      <c r="H95" s="22" t="n"/>
      <c r="I95" s="14" t="n"/>
      <c r="J95" s="14" t="n"/>
      <c r="K95" s="14" t="n"/>
      <c r="L95" s="14" t="n"/>
      <c r="M95" s="11">
        <f>IF(OR($F95="",$H95="",NOT(ISNUMBER($F95)),NOT(ISNUMBER($H95))),"",($H95-$F95)/$F95)</f>
        <v/>
      </c>
      <c r="N95" s="10">
        <f>IF(OR($E95="",$H95=""),"",$E95*$H95)</f>
        <v/>
      </c>
      <c r="O95" s="14" t="n"/>
    </row>
    <row r="96">
      <c r="A96" s="14" t="n"/>
      <c r="B96" s="5">
        <f>IF($A96="","",IFERROR(INDEX('Catálogo'!$D$2:$D$813,MATCH($A96,'Catálogo'!$A$2:$A$813,0)),"código no encontrado"))</f>
        <v/>
      </c>
      <c r="C96" s="5">
        <f>IF($A96="","",IFERROR(INDEX('Catálogo'!$E$2:$E$813,MATCH($A96,'Catálogo'!$A$2:$A$813,0)),"código no encontrado"))</f>
        <v/>
      </c>
      <c r="D96" s="5">
        <f>IF($A96="","",IFERROR(INDEX('Catálogo'!$H$2:$H$813,MATCH($A96,'Catálogo'!$A$2:$A$813,0)),"código no encontrado"))</f>
        <v/>
      </c>
      <c r="E96" s="15" t="n"/>
      <c r="F96" s="10">
        <f>IF($A96="","",IFERROR(INDEX('Catálogo'!$N$2:$N$813,MATCH($A96,'Catálogo'!$A$2:$A$813,0)),"código no encontrado"))</f>
        <v/>
      </c>
      <c r="G96" s="14" t="n"/>
      <c r="H96" s="22" t="n"/>
      <c r="I96" s="14" t="n"/>
      <c r="J96" s="14" t="n"/>
      <c r="K96" s="14" t="n"/>
      <c r="L96" s="14" t="n"/>
      <c r="M96" s="11">
        <f>IF(OR($F96="",$H96="",NOT(ISNUMBER($F96)),NOT(ISNUMBER($H96))),"",($H96-$F96)/$F96)</f>
        <v/>
      </c>
      <c r="N96" s="10">
        <f>IF(OR($E96="",$H96=""),"",$E96*$H96)</f>
        <v/>
      </c>
      <c r="O96" s="14" t="n"/>
    </row>
    <row r="97">
      <c r="A97" s="14" t="n"/>
      <c r="B97" s="5">
        <f>IF($A97="","",IFERROR(INDEX('Catálogo'!$D$2:$D$813,MATCH($A97,'Catálogo'!$A$2:$A$813,0)),"código no encontrado"))</f>
        <v/>
      </c>
      <c r="C97" s="5">
        <f>IF($A97="","",IFERROR(INDEX('Catálogo'!$E$2:$E$813,MATCH($A97,'Catálogo'!$A$2:$A$813,0)),"código no encontrado"))</f>
        <v/>
      </c>
      <c r="D97" s="5">
        <f>IF($A97="","",IFERROR(INDEX('Catálogo'!$H$2:$H$813,MATCH($A97,'Catálogo'!$A$2:$A$813,0)),"código no encontrado"))</f>
        <v/>
      </c>
      <c r="E97" s="15" t="n"/>
      <c r="F97" s="10">
        <f>IF($A97="","",IFERROR(INDEX('Catálogo'!$N$2:$N$813,MATCH($A97,'Catálogo'!$A$2:$A$813,0)),"código no encontrado"))</f>
        <v/>
      </c>
      <c r="G97" s="14" t="n"/>
      <c r="H97" s="22" t="n"/>
      <c r="I97" s="14" t="n"/>
      <c r="J97" s="14" t="n"/>
      <c r="K97" s="14" t="n"/>
      <c r="L97" s="14" t="n"/>
      <c r="M97" s="11">
        <f>IF(OR($F97="",$H97="",NOT(ISNUMBER($F97)),NOT(ISNUMBER($H97))),"",($H97-$F97)/$F97)</f>
        <v/>
      </c>
      <c r="N97" s="10">
        <f>IF(OR($E97="",$H97=""),"",$E97*$H97)</f>
        <v/>
      </c>
      <c r="O97" s="14" t="n"/>
    </row>
    <row r="98">
      <c r="A98" s="14" t="n"/>
      <c r="B98" s="5">
        <f>IF($A98="","",IFERROR(INDEX('Catálogo'!$D$2:$D$813,MATCH($A98,'Catálogo'!$A$2:$A$813,0)),"código no encontrado"))</f>
        <v/>
      </c>
      <c r="C98" s="5">
        <f>IF($A98="","",IFERROR(INDEX('Catálogo'!$E$2:$E$813,MATCH($A98,'Catálogo'!$A$2:$A$813,0)),"código no encontrado"))</f>
        <v/>
      </c>
      <c r="D98" s="5">
        <f>IF($A98="","",IFERROR(INDEX('Catálogo'!$H$2:$H$813,MATCH($A98,'Catálogo'!$A$2:$A$813,0)),"código no encontrado"))</f>
        <v/>
      </c>
      <c r="E98" s="15" t="n"/>
      <c r="F98" s="10">
        <f>IF($A98="","",IFERROR(INDEX('Catálogo'!$N$2:$N$813,MATCH($A98,'Catálogo'!$A$2:$A$813,0)),"código no encontrado"))</f>
        <v/>
      </c>
      <c r="G98" s="14" t="n"/>
      <c r="H98" s="22" t="n"/>
      <c r="I98" s="14" t="n"/>
      <c r="J98" s="14" t="n"/>
      <c r="K98" s="14" t="n"/>
      <c r="L98" s="14" t="n"/>
      <c r="M98" s="11">
        <f>IF(OR($F98="",$H98="",NOT(ISNUMBER($F98)),NOT(ISNUMBER($H98))),"",($H98-$F98)/$F98)</f>
        <v/>
      </c>
      <c r="N98" s="10">
        <f>IF(OR($E98="",$H98=""),"",$E98*$H98)</f>
        <v/>
      </c>
      <c r="O98" s="14" t="n"/>
    </row>
    <row r="99">
      <c r="A99" s="14" t="n"/>
      <c r="B99" s="5">
        <f>IF($A99="","",IFERROR(INDEX('Catálogo'!$D$2:$D$813,MATCH($A99,'Catálogo'!$A$2:$A$813,0)),"código no encontrado"))</f>
        <v/>
      </c>
      <c r="C99" s="5">
        <f>IF($A99="","",IFERROR(INDEX('Catálogo'!$E$2:$E$813,MATCH($A99,'Catálogo'!$A$2:$A$813,0)),"código no encontrado"))</f>
        <v/>
      </c>
      <c r="D99" s="5">
        <f>IF($A99="","",IFERROR(INDEX('Catálogo'!$H$2:$H$813,MATCH($A99,'Catálogo'!$A$2:$A$813,0)),"código no encontrado"))</f>
        <v/>
      </c>
      <c r="E99" s="15" t="n"/>
      <c r="F99" s="10">
        <f>IF($A99="","",IFERROR(INDEX('Catálogo'!$N$2:$N$813,MATCH($A99,'Catálogo'!$A$2:$A$813,0)),"código no encontrado"))</f>
        <v/>
      </c>
      <c r="G99" s="14" t="n"/>
      <c r="H99" s="22" t="n"/>
      <c r="I99" s="14" t="n"/>
      <c r="J99" s="14" t="n"/>
      <c r="K99" s="14" t="n"/>
      <c r="L99" s="14" t="n"/>
      <c r="M99" s="11">
        <f>IF(OR($F99="",$H99="",NOT(ISNUMBER($F99)),NOT(ISNUMBER($H99))),"",($H99-$F99)/$F99)</f>
        <v/>
      </c>
      <c r="N99" s="10">
        <f>IF(OR($E99="",$H99=""),"",$E99*$H99)</f>
        <v/>
      </c>
      <c r="O99" s="14" t="n"/>
    </row>
    <row r="100">
      <c r="A100" s="14" t="n"/>
      <c r="B100" s="5">
        <f>IF($A100="","",IFERROR(INDEX('Catálogo'!$D$2:$D$813,MATCH($A100,'Catálogo'!$A$2:$A$813,0)),"código no encontrado"))</f>
        <v/>
      </c>
      <c r="C100" s="5">
        <f>IF($A100="","",IFERROR(INDEX('Catálogo'!$E$2:$E$813,MATCH($A100,'Catálogo'!$A$2:$A$813,0)),"código no encontrado"))</f>
        <v/>
      </c>
      <c r="D100" s="5">
        <f>IF($A100="","",IFERROR(INDEX('Catálogo'!$H$2:$H$813,MATCH($A100,'Catálogo'!$A$2:$A$813,0)),"código no encontrado"))</f>
        <v/>
      </c>
      <c r="E100" s="15" t="n"/>
      <c r="F100" s="10">
        <f>IF($A100="","",IFERROR(INDEX('Catálogo'!$N$2:$N$813,MATCH($A100,'Catálogo'!$A$2:$A$813,0)),"código no encontrado"))</f>
        <v/>
      </c>
      <c r="G100" s="14" t="n"/>
      <c r="H100" s="22" t="n"/>
      <c r="I100" s="14" t="n"/>
      <c r="J100" s="14" t="n"/>
      <c r="K100" s="14" t="n"/>
      <c r="L100" s="14" t="n"/>
      <c r="M100" s="11">
        <f>IF(OR($F100="",$H100="",NOT(ISNUMBER($F100)),NOT(ISNUMBER($H100))),"",($H100-$F100)/$F100)</f>
        <v/>
      </c>
      <c r="N100" s="10">
        <f>IF(OR($E100="",$H100=""),"",$E100*$H100)</f>
        <v/>
      </c>
      <c r="O100" s="14" t="n"/>
    </row>
    <row r="101">
      <c r="A101" s="14" t="n"/>
      <c r="B101" s="5">
        <f>IF($A101="","",IFERROR(INDEX('Catálogo'!$D$2:$D$813,MATCH($A101,'Catálogo'!$A$2:$A$813,0)),"código no encontrado"))</f>
        <v/>
      </c>
      <c r="C101" s="5">
        <f>IF($A101="","",IFERROR(INDEX('Catálogo'!$E$2:$E$813,MATCH($A101,'Catálogo'!$A$2:$A$813,0)),"código no encontrado"))</f>
        <v/>
      </c>
      <c r="D101" s="5">
        <f>IF($A101="","",IFERROR(INDEX('Catálogo'!$H$2:$H$813,MATCH($A101,'Catálogo'!$A$2:$A$813,0)),"código no encontrado"))</f>
        <v/>
      </c>
      <c r="E101" s="15" t="n"/>
      <c r="F101" s="10">
        <f>IF($A101="","",IFERROR(INDEX('Catálogo'!$N$2:$N$813,MATCH($A101,'Catálogo'!$A$2:$A$813,0)),"código no encontrado"))</f>
        <v/>
      </c>
      <c r="G101" s="14" t="n"/>
      <c r="H101" s="22" t="n"/>
      <c r="I101" s="14" t="n"/>
      <c r="J101" s="14" t="n"/>
      <c r="K101" s="14" t="n"/>
      <c r="L101" s="14" t="n"/>
      <c r="M101" s="11">
        <f>IF(OR($F101="",$H101="",NOT(ISNUMBER($F101)),NOT(ISNUMBER($H101))),"",($H101-$F101)/$F101)</f>
        <v/>
      </c>
      <c r="N101" s="10">
        <f>IF(OR($E101="",$H101=""),"",$E101*$H101)</f>
        <v/>
      </c>
      <c r="O101" s="14" t="n"/>
    </row>
    <row r="102">
      <c r="A102" s="14" t="n"/>
      <c r="B102" s="5">
        <f>IF($A102="","",IFERROR(INDEX('Catálogo'!$D$2:$D$813,MATCH($A102,'Catálogo'!$A$2:$A$813,0)),"código no encontrado"))</f>
        <v/>
      </c>
      <c r="C102" s="5">
        <f>IF($A102="","",IFERROR(INDEX('Catálogo'!$E$2:$E$813,MATCH($A102,'Catálogo'!$A$2:$A$813,0)),"código no encontrado"))</f>
        <v/>
      </c>
      <c r="D102" s="5">
        <f>IF($A102="","",IFERROR(INDEX('Catálogo'!$H$2:$H$813,MATCH($A102,'Catálogo'!$A$2:$A$813,0)),"código no encontrado"))</f>
        <v/>
      </c>
      <c r="E102" s="15" t="n"/>
      <c r="F102" s="10">
        <f>IF($A102="","",IFERROR(INDEX('Catálogo'!$N$2:$N$813,MATCH($A102,'Catálogo'!$A$2:$A$813,0)),"código no encontrado"))</f>
        <v/>
      </c>
      <c r="G102" s="14" t="n"/>
      <c r="H102" s="22" t="n"/>
      <c r="I102" s="14" t="n"/>
      <c r="J102" s="14" t="n"/>
      <c r="K102" s="14" t="n"/>
      <c r="L102" s="14" t="n"/>
      <c r="M102" s="11">
        <f>IF(OR($F102="",$H102="",NOT(ISNUMBER($F102)),NOT(ISNUMBER($H102))),"",($H102-$F102)/$F102)</f>
        <v/>
      </c>
      <c r="N102" s="10">
        <f>IF(OR($E102="",$H102=""),"",$E102*$H102)</f>
        <v/>
      </c>
      <c r="O102" s="14" t="n"/>
    </row>
    <row r="103">
      <c r="A103" s="14" t="n"/>
      <c r="B103" s="5">
        <f>IF($A103="","",IFERROR(INDEX('Catálogo'!$D$2:$D$813,MATCH($A103,'Catálogo'!$A$2:$A$813,0)),"código no encontrado"))</f>
        <v/>
      </c>
      <c r="C103" s="5">
        <f>IF($A103="","",IFERROR(INDEX('Catálogo'!$E$2:$E$813,MATCH($A103,'Catálogo'!$A$2:$A$813,0)),"código no encontrado"))</f>
        <v/>
      </c>
      <c r="D103" s="5">
        <f>IF($A103="","",IFERROR(INDEX('Catálogo'!$H$2:$H$813,MATCH($A103,'Catálogo'!$A$2:$A$813,0)),"código no encontrado"))</f>
        <v/>
      </c>
      <c r="E103" s="15" t="n"/>
      <c r="F103" s="10">
        <f>IF($A103="","",IFERROR(INDEX('Catálogo'!$N$2:$N$813,MATCH($A103,'Catálogo'!$A$2:$A$813,0)),"código no encontrado"))</f>
        <v/>
      </c>
      <c r="G103" s="14" t="n"/>
      <c r="H103" s="22" t="n"/>
      <c r="I103" s="14" t="n"/>
      <c r="J103" s="14" t="n"/>
      <c r="K103" s="14" t="n"/>
      <c r="L103" s="14" t="n"/>
      <c r="M103" s="11">
        <f>IF(OR($F103="",$H103="",NOT(ISNUMBER($F103)),NOT(ISNUMBER($H103))),"",($H103-$F103)/$F103)</f>
        <v/>
      </c>
      <c r="N103" s="10">
        <f>IF(OR($E103="",$H103=""),"",$E103*$H103)</f>
        <v/>
      </c>
      <c r="O103" s="14" t="n"/>
    </row>
    <row r="104">
      <c r="A104" s="14" t="n"/>
      <c r="B104" s="5">
        <f>IF($A104="","",IFERROR(INDEX('Catálogo'!$D$2:$D$813,MATCH($A104,'Catálogo'!$A$2:$A$813,0)),"código no encontrado"))</f>
        <v/>
      </c>
      <c r="C104" s="5">
        <f>IF($A104="","",IFERROR(INDEX('Catálogo'!$E$2:$E$813,MATCH($A104,'Catálogo'!$A$2:$A$813,0)),"código no encontrado"))</f>
        <v/>
      </c>
      <c r="D104" s="5">
        <f>IF($A104="","",IFERROR(INDEX('Catálogo'!$H$2:$H$813,MATCH($A104,'Catálogo'!$A$2:$A$813,0)),"código no encontrado"))</f>
        <v/>
      </c>
      <c r="E104" s="15" t="n"/>
      <c r="F104" s="10">
        <f>IF($A104="","",IFERROR(INDEX('Catálogo'!$N$2:$N$813,MATCH($A104,'Catálogo'!$A$2:$A$813,0)),"código no encontrado"))</f>
        <v/>
      </c>
      <c r="G104" s="14" t="n"/>
      <c r="H104" s="22" t="n"/>
      <c r="I104" s="14" t="n"/>
      <c r="J104" s="14" t="n"/>
      <c r="K104" s="14" t="n"/>
      <c r="L104" s="14" t="n"/>
      <c r="M104" s="11">
        <f>IF(OR($F104="",$H104="",NOT(ISNUMBER($F104)),NOT(ISNUMBER($H104))),"",($H104-$F104)/$F104)</f>
        <v/>
      </c>
      <c r="N104" s="10">
        <f>IF(OR($E104="",$H104=""),"",$E104*$H104)</f>
        <v/>
      </c>
      <c r="O104" s="14" t="n"/>
    </row>
    <row r="105">
      <c r="A105" s="14" t="n"/>
      <c r="B105" s="5">
        <f>IF($A105="","",IFERROR(INDEX('Catálogo'!$D$2:$D$813,MATCH($A105,'Catálogo'!$A$2:$A$813,0)),"código no encontrado"))</f>
        <v/>
      </c>
      <c r="C105" s="5">
        <f>IF($A105="","",IFERROR(INDEX('Catálogo'!$E$2:$E$813,MATCH($A105,'Catálogo'!$A$2:$A$813,0)),"código no encontrado"))</f>
        <v/>
      </c>
      <c r="D105" s="5">
        <f>IF($A105="","",IFERROR(INDEX('Catálogo'!$H$2:$H$813,MATCH($A105,'Catálogo'!$A$2:$A$813,0)),"código no encontrado"))</f>
        <v/>
      </c>
      <c r="E105" s="15" t="n"/>
      <c r="F105" s="10">
        <f>IF($A105="","",IFERROR(INDEX('Catálogo'!$N$2:$N$813,MATCH($A105,'Catálogo'!$A$2:$A$813,0)),"código no encontrado"))</f>
        <v/>
      </c>
      <c r="G105" s="14" t="n"/>
      <c r="H105" s="22" t="n"/>
      <c r="I105" s="14" t="n"/>
      <c r="J105" s="14" t="n"/>
      <c r="K105" s="14" t="n"/>
      <c r="L105" s="14" t="n"/>
      <c r="M105" s="11">
        <f>IF(OR($F105="",$H105="",NOT(ISNUMBER($F105)),NOT(ISNUMBER($H105))),"",($H105-$F105)/$F105)</f>
        <v/>
      </c>
      <c r="N105" s="10">
        <f>IF(OR($E105="",$H105=""),"",$E105*$H105)</f>
        <v/>
      </c>
      <c r="O105" s="14" t="n"/>
    </row>
    <row r="106">
      <c r="A106" s="14" t="n"/>
      <c r="B106" s="5">
        <f>IF($A106="","",IFERROR(INDEX('Catálogo'!$D$2:$D$813,MATCH($A106,'Catálogo'!$A$2:$A$813,0)),"código no encontrado"))</f>
        <v/>
      </c>
      <c r="C106" s="5">
        <f>IF($A106="","",IFERROR(INDEX('Catálogo'!$E$2:$E$813,MATCH($A106,'Catálogo'!$A$2:$A$813,0)),"código no encontrado"))</f>
        <v/>
      </c>
      <c r="D106" s="5">
        <f>IF($A106="","",IFERROR(INDEX('Catálogo'!$H$2:$H$813,MATCH($A106,'Catálogo'!$A$2:$A$813,0)),"código no encontrado"))</f>
        <v/>
      </c>
      <c r="E106" s="15" t="n"/>
      <c r="F106" s="10">
        <f>IF($A106="","",IFERROR(INDEX('Catálogo'!$N$2:$N$813,MATCH($A106,'Catálogo'!$A$2:$A$813,0)),"código no encontrado"))</f>
        <v/>
      </c>
      <c r="G106" s="14" t="n"/>
      <c r="H106" s="22" t="n"/>
      <c r="I106" s="14" t="n"/>
      <c r="J106" s="14" t="n"/>
      <c r="K106" s="14" t="n"/>
      <c r="L106" s="14" t="n"/>
      <c r="M106" s="11">
        <f>IF(OR($F106="",$H106="",NOT(ISNUMBER($F106)),NOT(ISNUMBER($H106))),"",($H106-$F106)/$F106)</f>
        <v/>
      </c>
      <c r="N106" s="10">
        <f>IF(OR($E106="",$H106=""),"",$E106*$H106)</f>
        <v/>
      </c>
      <c r="O106" s="14" t="n"/>
    </row>
    <row r="107">
      <c r="A107" s="14" t="n"/>
      <c r="B107" s="5">
        <f>IF($A107="","",IFERROR(INDEX('Catálogo'!$D$2:$D$813,MATCH($A107,'Catálogo'!$A$2:$A$813,0)),"código no encontrado"))</f>
        <v/>
      </c>
      <c r="C107" s="5">
        <f>IF($A107="","",IFERROR(INDEX('Catálogo'!$E$2:$E$813,MATCH($A107,'Catálogo'!$A$2:$A$813,0)),"código no encontrado"))</f>
        <v/>
      </c>
      <c r="D107" s="5">
        <f>IF($A107="","",IFERROR(INDEX('Catálogo'!$H$2:$H$813,MATCH($A107,'Catálogo'!$A$2:$A$813,0)),"código no encontrado"))</f>
        <v/>
      </c>
      <c r="E107" s="15" t="n"/>
      <c r="F107" s="10">
        <f>IF($A107="","",IFERROR(INDEX('Catálogo'!$N$2:$N$813,MATCH($A107,'Catálogo'!$A$2:$A$813,0)),"código no encontrado"))</f>
        <v/>
      </c>
      <c r="G107" s="14" t="n"/>
      <c r="H107" s="22" t="n"/>
      <c r="I107" s="14" t="n"/>
      <c r="J107" s="14" t="n"/>
      <c r="K107" s="14" t="n"/>
      <c r="L107" s="14" t="n"/>
      <c r="M107" s="11">
        <f>IF(OR($F107="",$H107="",NOT(ISNUMBER($F107)),NOT(ISNUMBER($H107))),"",($H107-$F107)/$F107)</f>
        <v/>
      </c>
      <c r="N107" s="10">
        <f>IF(OR($E107="",$H107=""),"",$E107*$H107)</f>
        <v/>
      </c>
      <c r="O107" s="14" t="n"/>
    </row>
    <row r="108">
      <c r="A108" s="14" t="n"/>
      <c r="B108" s="5">
        <f>IF($A108="","",IFERROR(INDEX('Catálogo'!$D$2:$D$813,MATCH($A108,'Catálogo'!$A$2:$A$813,0)),"código no encontrado"))</f>
        <v/>
      </c>
      <c r="C108" s="5">
        <f>IF($A108="","",IFERROR(INDEX('Catálogo'!$E$2:$E$813,MATCH($A108,'Catálogo'!$A$2:$A$813,0)),"código no encontrado"))</f>
        <v/>
      </c>
      <c r="D108" s="5">
        <f>IF($A108="","",IFERROR(INDEX('Catálogo'!$H$2:$H$813,MATCH($A108,'Catálogo'!$A$2:$A$813,0)),"código no encontrado"))</f>
        <v/>
      </c>
      <c r="E108" s="15" t="n"/>
      <c r="F108" s="10">
        <f>IF($A108="","",IFERROR(INDEX('Catálogo'!$N$2:$N$813,MATCH($A108,'Catálogo'!$A$2:$A$813,0)),"código no encontrado"))</f>
        <v/>
      </c>
      <c r="G108" s="14" t="n"/>
      <c r="H108" s="22" t="n"/>
      <c r="I108" s="14" t="n"/>
      <c r="J108" s="14" t="n"/>
      <c r="K108" s="14" t="n"/>
      <c r="L108" s="14" t="n"/>
      <c r="M108" s="11">
        <f>IF(OR($F108="",$H108="",NOT(ISNUMBER($F108)),NOT(ISNUMBER($H108))),"",($H108-$F108)/$F108)</f>
        <v/>
      </c>
      <c r="N108" s="10">
        <f>IF(OR($E108="",$H108=""),"",$E108*$H108)</f>
        <v/>
      </c>
      <c r="O108" s="14" t="n"/>
    </row>
    <row r="109">
      <c r="A109" s="14" t="n"/>
      <c r="B109" s="5">
        <f>IF($A109="","",IFERROR(INDEX('Catálogo'!$D$2:$D$813,MATCH($A109,'Catálogo'!$A$2:$A$813,0)),"código no encontrado"))</f>
        <v/>
      </c>
      <c r="C109" s="5">
        <f>IF($A109="","",IFERROR(INDEX('Catálogo'!$E$2:$E$813,MATCH($A109,'Catálogo'!$A$2:$A$813,0)),"código no encontrado"))</f>
        <v/>
      </c>
      <c r="D109" s="5">
        <f>IF($A109="","",IFERROR(INDEX('Catálogo'!$H$2:$H$813,MATCH($A109,'Catálogo'!$A$2:$A$813,0)),"código no encontrado"))</f>
        <v/>
      </c>
      <c r="E109" s="15" t="n"/>
      <c r="F109" s="10">
        <f>IF($A109="","",IFERROR(INDEX('Catálogo'!$N$2:$N$813,MATCH($A109,'Catálogo'!$A$2:$A$813,0)),"código no encontrado"))</f>
        <v/>
      </c>
      <c r="G109" s="14" t="n"/>
      <c r="H109" s="22" t="n"/>
      <c r="I109" s="14" t="n"/>
      <c r="J109" s="14" t="n"/>
      <c r="K109" s="14" t="n"/>
      <c r="L109" s="14" t="n"/>
      <c r="M109" s="11">
        <f>IF(OR($F109="",$H109="",NOT(ISNUMBER($F109)),NOT(ISNUMBER($H109))),"",($H109-$F109)/$F109)</f>
        <v/>
      </c>
      <c r="N109" s="10">
        <f>IF(OR($E109="",$H109=""),"",$E109*$H109)</f>
        <v/>
      </c>
      <c r="O109" s="14" t="n"/>
    </row>
    <row r="110">
      <c r="A110" s="14" t="n"/>
      <c r="B110" s="5">
        <f>IF($A110="","",IFERROR(INDEX('Catálogo'!$D$2:$D$813,MATCH($A110,'Catálogo'!$A$2:$A$813,0)),"código no encontrado"))</f>
        <v/>
      </c>
      <c r="C110" s="5">
        <f>IF($A110="","",IFERROR(INDEX('Catálogo'!$E$2:$E$813,MATCH($A110,'Catálogo'!$A$2:$A$813,0)),"código no encontrado"))</f>
        <v/>
      </c>
      <c r="D110" s="5">
        <f>IF($A110="","",IFERROR(INDEX('Catálogo'!$H$2:$H$813,MATCH($A110,'Catálogo'!$A$2:$A$813,0)),"código no encontrado"))</f>
        <v/>
      </c>
      <c r="E110" s="15" t="n"/>
      <c r="F110" s="10">
        <f>IF($A110="","",IFERROR(INDEX('Catálogo'!$N$2:$N$813,MATCH($A110,'Catálogo'!$A$2:$A$813,0)),"código no encontrado"))</f>
        <v/>
      </c>
      <c r="G110" s="14" t="n"/>
      <c r="H110" s="22" t="n"/>
      <c r="I110" s="14" t="n"/>
      <c r="J110" s="14" t="n"/>
      <c r="K110" s="14" t="n"/>
      <c r="L110" s="14" t="n"/>
      <c r="M110" s="11">
        <f>IF(OR($F110="",$H110="",NOT(ISNUMBER($F110)),NOT(ISNUMBER($H110))),"",($H110-$F110)/$F110)</f>
        <v/>
      </c>
      <c r="N110" s="10">
        <f>IF(OR($E110="",$H110=""),"",$E110*$H110)</f>
        <v/>
      </c>
      <c r="O110" s="14" t="n"/>
    </row>
    <row r="111">
      <c r="A111" s="14" t="n"/>
      <c r="B111" s="5">
        <f>IF($A111="","",IFERROR(INDEX('Catálogo'!$D$2:$D$813,MATCH($A111,'Catálogo'!$A$2:$A$813,0)),"código no encontrado"))</f>
        <v/>
      </c>
      <c r="C111" s="5">
        <f>IF($A111="","",IFERROR(INDEX('Catálogo'!$E$2:$E$813,MATCH($A111,'Catálogo'!$A$2:$A$813,0)),"código no encontrado"))</f>
        <v/>
      </c>
      <c r="D111" s="5">
        <f>IF($A111="","",IFERROR(INDEX('Catálogo'!$H$2:$H$813,MATCH($A111,'Catálogo'!$A$2:$A$813,0)),"código no encontrado"))</f>
        <v/>
      </c>
      <c r="E111" s="15" t="n"/>
      <c r="F111" s="10">
        <f>IF($A111="","",IFERROR(INDEX('Catálogo'!$N$2:$N$813,MATCH($A111,'Catálogo'!$A$2:$A$813,0)),"código no encontrado"))</f>
        <v/>
      </c>
      <c r="G111" s="14" t="n"/>
      <c r="H111" s="22" t="n"/>
      <c r="I111" s="14" t="n"/>
      <c r="J111" s="14" t="n"/>
      <c r="K111" s="14" t="n"/>
      <c r="L111" s="14" t="n"/>
      <c r="M111" s="11">
        <f>IF(OR($F111="",$H111="",NOT(ISNUMBER($F111)),NOT(ISNUMBER($H111))),"",($H111-$F111)/$F111)</f>
        <v/>
      </c>
      <c r="N111" s="10">
        <f>IF(OR($E111="",$H111=""),"",$E111*$H111)</f>
        <v/>
      </c>
      <c r="O111" s="14" t="n"/>
    </row>
    <row r="112">
      <c r="A112" s="14" t="n"/>
      <c r="B112" s="5">
        <f>IF($A112="","",IFERROR(INDEX('Catálogo'!$D$2:$D$813,MATCH($A112,'Catálogo'!$A$2:$A$813,0)),"código no encontrado"))</f>
        <v/>
      </c>
      <c r="C112" s="5">
        <f>IF($A112="","",IFERROR(INDEX('Catálogo'!$E$2:$E$813,MATCH($A112,'Catálogo'!$A$2:$A$813,0)),"código no encontrado"))</f>
        <v/>
      </c>
      <c r="D112" s="5">
        <f>IF($A112="","",IFERROR(INDEX('Catálogo'!$H$2:$H$813,MATCH($A112,'Catálogo'!$A$2:$A$813,0)),"código no encontrado"))</f>
        <v/>
      </c>
      <c r="E112" s="15" t="n"/>
      <c r="F112" s="10">
        <f>IF($A112="","",IFERROR(INDEX('Catálogo'!$N$2:$N$813,MATCH($A112,'Catálogo'!$A$2:$A$813,0)),"código no encontrado"))</f>
        <v/>
      </c>
      <c r="G112" s="14" t="n"/>
      <c r="H112" s="22" t="n"/>
      <c r="I112" s="14" t="n"/>
      <c r="J112" s="14" t="n"/>
      <c r="K112" s="14" t="n"/>
      <c r="L112" s="14" t="n"/>
      <c r="M112" s="11">
        <f>IF(OR($F112="",$H112="",NOT(ISNUMBER($F112)),NOT(ISNUMBER($H112))),"",($H112-$F112)/$F112)</f>
        <v/>
      </c>
      <c r="N112" s="10">
        <f>IF(OR($E112="",$H112=""),"",$E112*$H112)</f>
        <v/>
      </c>
      <c r="O112" s="14" t="n"/>
    </row>
    <row r="113">
      <c r="A113" s="14" t="n"/>
      <c r="B113" s="5">
        <f>IF($A113="","",IFERROR(INDEX('Catálogo'!$D$2:$D$813,MATCH($A113,'Catálogo'!$A$2:$A$813,0)),"código no encontrado"))</f>
        <v/>
      </c>
      <c r="C113" s="5">
        <f>IF($A113="","",IFERROR(INDEX('Catálogo'!$E$2:$E$813,MATCH($A113,'Catálogo'!$A$2:$A$813,0)),"código no encontrado"))</f>
        <v/>
      </c>
      <c r="D113" s="5">
        <f>IF($A113="","",IFERROR(INDEX('Catálogo'!$H$2:$H$813,MATCH($A113,'Catálogo'!$A$2:$A$813,0)),"código no encontrado"))</f>
        <v/>
      </c>
      <c r="E113" s="15" t="n"/>
      <c r="F113" s="10">
        <f>IF($A113="","",IFERROR(INDEX('Catálogo'!$N$2:$N$813,MATCH($A113,'Catálogo'!$A$2:$A$813,0)),"código no encontrado"))</f>
        <v/>
      </c>
      <c r="G113" s="14" t="n"/>
      <c r="H113" s="22" t="n"/>
      <c r="I113" s="14" t="n"/>
      <c r="J113" s="14" t="n"/>
      <c r="K113" s="14" t="n"/>
      <c r="L113" s="14" t="n"/>
      <c r="M113" s="11">
        <f>IF(OR($F113="",$H113="",NOT(ISNUMBER($F113)),NOT(ISNUMBER($H113))),"",($H113-$F113)/$F113)</f>
        <v/>
      </c>
      <c r="N113" s="10">
        <f>IF(OR($E113="",$H113=""),"",$E113*$H113)</f>
        <v/>
      </c>
      <c r="O113" s="14" t="n"/>
    </row>
    <row r="114">
      <c r="A114" s="14" t="n"/>
      <c r="B114" s="5">
        <f>IF($A114="","",IFERROR(INDEX('Catálogo'!$D$2:$D$813,MATCH($A114,'Catálogo'!$A$2:$A$813,0)),"código no encontrado"))</f>
        <v/>
      </c>
      <c r="C114" s="5">
        <f>IF($A114="","",IFERROR(INDEX('Catálogo'!$E$2:$E$813,MATCH($A114,'Catálogo'!$A$2:$A$813,0)),"código no encontrado"))</f>
        <v/>
      </c>
      <c r="D114" s="5">
        <f>IF($A114="","",IFERROR(INDEX('Catálogo'!$H$2:$H$813,MATCH($A114,'Catálogo'!$A$2:$A$813,0)),"código no encontrado"))</f>
        <v/>
      </c>
      <c r="E114" s="15" t="n"/>
      <c r="F114" s="10">
        <f>IF($A114="","",IFERROR(INDEX('Catálogo'!$N$2:$N$813,MATCH($A114,'Catálogo'!$A$2:$A$813,0)),"código no encontrado"))</f>
        <v/>
      </c>
      <c r="G114" s="14" t="n"/>
      <c r="H114" s="22" t="n"/>
      <c r="I114" s="14" t="n"/>
      <c r="J114" s="14" t="n"/>
      <c r="K114" s="14" t="n"/>
      <c r="L114" s="14" t="n"/>
      <c r="M114" s="11">
        <f>IF(OR($F114="",$H114="",NOT(ISNUMBER($F114)),NOT(ISNUMBER($H114))),"",($H114-$F114)/$F114)</f>
        <v/>
      </c>
      <c r="N114" s="10">
        <f>IF(OR($E114="",$H114=""),"",$E114*$H114)</f>
        <v/>
      </c>
      <c r="O114" s="14" t="n"/>
    </row>
    <row r="115">
      <c r="A115" s="14" t="n"/>
      <c r="B115" s="5">
        <f>IF($A115="","",IFERROR(INDEX('Catálogo'!$D$2:$D$813,MATCH($A115,'Catálogo'!$A$2:$A$813,0)),"código no encontrado"))</f>
        <v/>
      </c>
      <c r="C115" s="5">
        <f>IF($A115="","",IFERROR(INDEX('Catálogo'!$E$2:$E$813,MATCH($A115,'Catálogo'!$A$2:$A$813,0)),"código no encontrado"))</f>
        <v/>
      </c>
      <c r="D115" s="5">
        <f>IF($A115="","",IFERROR(INDEX('Catálogo'!$H$2:$H$813,MATCH($A115,'Catálogo'!$A$2:$A$813,0)),"código no encontrado"))</f>
        <v/>
      </c>
      <c r="E115" s="15" t="n"/>
      <c r="F115" s="10">
        <f>IF($A115="","",IFERROR(INDEX('Catálogo'!$N$2:$N$813,MATCH($A115,'Catálogo'!$A$2:$A$813,0)),"código no encontrado"))</f>
        <v/>
      </c>
      <c r="G115" s="14" t="n"/>
      <c r="H115" s="22" t="n"/>
      <c r="I115" s="14" t="n"/>
      <c r="J115" s="14" t="n"/>
      <c r="K115" s="14" t="n"/>
      <c r="L115" s="14" t="n"/>
      <c r="M115" s="11">
        <f>IF(OR($F115="",$H115="",NOT(ISNUMBER($F115)),NOT(ISNUMBER($H115))),"",($H115-$F115)/$F115)</f>
        <v/>
      </c>
      <c r="N115" s="10">
        <f>IF(OR($E115="",$H115=""),"",$E115*$H115)</f>
        <v/>
      </c>
      <c r="O115" s="14" t="n"/>
    </row>
    <row r="116">
      <c r="A116" s="14" t="n"/>
      <c r="B116" s="5">
        <f>IF($A116="","",IFERROR(INDEX('Catálogo'!$D$2:$D$813,MATCH($A116,'Catálogo'!$A$2:$A$813,0)),"código no encontrado"))</f>
        <v/>
      </c>
      <c r="C116" s="5">
        <f>IF($A116="","",IFERROR(INDEX('Catálogo'!$E$2:$E$813,MATCH($A116,'Catálogo'!$A$2:$A$813,0)),"código no encontrado"))</f>
        <v/>
      </c>
      <c r="D116" s="5">
        <f>IF($A116="","",IFERROR(INDEX('Catálogo'!$H$2:$H$813,MATCH($A116,'Catálogo'!$A$2:$A$813,0)),"código no encontrado"))</f>
        <v/>
      </c>
      <c r="E116" s="15" t="n"/>
      <c r="F116" s="10">
        <f>IF($A116="","",IFERROR(INDEX('Catálogo'!$N$2:$N$813,MATCH($A116,'Catálogo'!$A$2:$A$813,0)),"código no encontrado"))</f>
        <v/>
      </c>
      <c r="G116" s="14" t="n"/>
      <c r="H116" s="22" t="n"/>
      <c r="I116" s="14" t="n"/>
      <c r="J116" s="14" t="n"/>
      <c r="K116" s="14" t="n"/>
      <c r="L116" s="14" t="n"/>
      <c r="M116" s="11">
        <f>IF(OR($F116="",$H116="",NOT(ISNUMBER($F116)),NOT(ISNUMBER($H116))),"",($H116-$F116)/$F116)</f>
        <v/>
      </c>
      <c r="N116" s="10">
        <f>IF(OR($E116="",$H116=""),"",$E116*$H116)</f>
        <v/>
      </c>
      <c r="O116" s="14" t="n"/>
    </row>
    <row r="117">
      <c r="A117" s="14" t="n"/>
      <c r="B117" s="5">
        <f>IF($A117="","",IFERROR(INDEX('Catálogo'!$D$2:$D$813,MATCH($A117,'Catálogo'!$A$2:$A$813,0)),"código no encontrado"))</f>
        <v/>
      </c>
      <c r="C117" s="5">
        <f>IF($A117="","",IFERROR(INDEX('Catálogo'!$E$2:$E$813,MATCH($A117,'Catálogo'!$A$2:$A$813,0)),"código no encontrado"))</f>
        <v/>
      </c>
      <c r="D117" s="5">
        <f>IF($A117="","",IFERROR(INDEX('Catálogo'!$H$2:$H$813,MATCH($A117,'Catálogo'!$A$2:$A$813,0)),"código no encontrado"))</f>
        <v/>
      </c>
      <c r="E117" s="15" t="n"/>
      <c r="F117" s="10">
        <f>IF($A117="","",IFERROR(INDEX('Catálogo'!$N$2:$N$813,MATCH($A117,'Catálogo'!$A$2:$A$813,0)),"código no encontrado"))</f>
        <v/>
      </c>
      <c r="G117" s="14" t="n"/>
      <c r="H117" s="22" t="n"/>
      <c r="I117" s="14" t="n"/>
      <c r="J117" s="14" t="n"/>
      <c r="K117" s="14" t="n"/>
      <c r="L117" s="14" t="n"/>
      <c r="M117" s="11">
        <f>IF(OR($F117="",$H117="",NOT(ISNUMBER($F117)),NOT(ISNUMBER($H117))),"",($H117-$F117)/$F117)</f>
        <v/>
      </c>
      <c r="N117" s="10">
        <f>IF(OR($E117="",$H117=""),"",$E117*$H117)</f>
        <v/>
      </c>
      <c r="O117" s="14" t="n"/>
    </row>
    <row r="118">
      <c r="A118" s="14" t="n"/>
      <c r="B118" s="5">
        <f>IF($A118="","",IFERROR(INDEX('Catálogo'!$D$2:$D$813,MATCH($A118,'Catálogo'!$A$2:$A$813,0)),"código no encontrado"))</f>
        <v/>
      </c>
      <c r="C118" s="5">
        <f>IF($A118="","",IFERROR(INDEX('Catálogo'!$E$2:$E$813,MATCH($A118,'Catálogo'!$A$2:$A$813,0)),"código no encontrado"))</f>
        <v/>
      </c>
      <c r="D118" s="5">
        <f>IF($A118="","",IFERROR(INDEX('Catálogo'!$H$2:$H$813,MATCH($A118,'Catálogo'!$A$2:$A$813,0)),"código no encontrado"))</f>
        <v/>
      </c>
      <c r="E118" s="15" t="n"/>
      <c r="F118" s="10">
        <f>IF($A118="","",IFERROR(INDEX('Catálogo'!$N$2:$N$813,MATCH($A118,'Catálogo'!$A$2:$A$813,0)),"código no encontrado"))</f>
        <v/>
      </c>
      <c r="G118" s="14" t="n"/>
      <c r="H118" s="22" t="n"/>
      <c r="I118" s="14" t="n"/>
      <c r="J118" s="14" t="n"/>
      <c r="K118" s="14" t="n"/>
      <c r="L118" s="14" t="n"/>
      <c r="M118" s="11">
        <f>IF(OR($F118="",$H118="",NOT(ISNUMBER($F118)),NOT(ISNUMBER($H118))),"",($H118-$F118)/$F118)</f>
        <v/>
      </c>
      <c r="N118" s="10">
        <f>IF(OR($E118="",$H118=""),"",$E118*$H118)</f>
        <v/>
      </c>
      <c r="O118" s="14" t="n"/>
    </row>
    <row r="119">
      <c r="A119" s="14" t="n"/>
      <c r="B119" s="5">
        <f>IF($A119="","",IFERROR(INDEX('Catálogo'!$D$2:$D$813,MATCH($A119,'Catálogo'!$A$2:$A$813,0)),"código no encontrado"))</f>
        <v/>
      </c>
      <c r="C119" s="5">
        <f>IF($A119="","",IFERROR(INDEX('Catálogo'!$E$2:$E$813,MATCH($A119,'Catálogo'!$A$2:$A$813,0)),"código no encontrado"))</f>
        <v/>
      </c>
      <c r="D119" s="5">
        <f>IF($A119="","",IFERROR(INDEX('Catálogo'!$H$2:$H$813,MATCH($A119,'Catálogo'!$A$2:$A$813,0)),"código no encontrado"))</f>
        <v/>
      </c>
      <c r="E119" s="15" t="n"/>
      <c r="F119" s="10">
        <f>IF($A119="","",IFERROR(INDEX('Catálogo'!$N$2:$N$813,MATCH($A119,'Catálogo'!$A$2:$A$813,0)),"código no encontrado"))</f>
        <v/>
      </c>
      <c r="G119" s="14" t="n"/>
      <c r="H119" s="22" t="n"/>
      <c r="I119" s="14" t="n"/>
      <c r="J119" s="14" t="n"/>
      <c r="K119" s="14" t="n"/>
      <c r="L119" s="14" t="n"/>
      <c r="M119" s="11">
        <f>IF(OR($F119="",$H119="",NOT(ISNUMBER($F119)),NOT(ISNUMBER($H119))),"",($H119-$F119)/$F119)</f>
        <v/>
      </c>
      <c r="N119" s="10">
        <f>IF(OR($E119="",$H119=""),"",$E119*$H119)</f>
        <v/>
      </c>
      <c r="O119" s="14" t="n"/>
    </row>
    <row r="120">
      <c r="A120" s="14" t="n"/>
      <c r="B120" s="5">
        <f>IF($A120="","",IFERROR(INDEX('Catálogo'!$D$2:$D$813,MATCH($A120,'Catálogo'!$A$2:$A$813,0)),"código no encontrado"))</f>
        <v/>
      </c>
      <c r="C120" s="5">
        <f>IF($A120="","",IFERROR(INDEX('Catálogo'!$E$2:$E$813,MATCH($A120,'Catálogo'!$A$2:$A$813,0)),"código no encontrado"))</f>
        <v/>
      </c>
      <c r="D120" s="5">
        <f>IF($A120="","",IFERROR(INDEX('Catálogo'!$H$2:$H$813,MATCH($A120,'Catálogo'!$A$2:$A$813,0)),"código no encontrado"))</f>
        <v/>
      </c>
      <c r="E120" s="15" t="n"/>
      <c r="F120" s="10">
        <f>IF($A120="","",IFERROR(INDEX('Catálogo'!$N$2:$N$813,MATCH($A120,'Catálogo'!$A$2:$A$813,0)),"código no encontrado"))</f>
        <v/>
      </c>
      <c r="G120" s="14" t="n"/>
      <c r="H120" s="22" t="n"/>
      <c r="I120" s="14" t="n"/>
      <c r="J120" s="14" t="n"/>
      <c r="K120" s="14" t="n"/>
      <c r="L120" s="14" t="n"/>
      <c r="M120" s="11">
        <f>IF(OR($F120="",$H120="",NOT(ISNUMBER($F120)),NOT(ISNUMBER($H120))),"",($H120-$F120)/$F120)</f>
        <v/>
      </c>
      <c r="N120" s="10">
        <f>IF(OR($E120="",$H120=""),"",$E120*$H120)</f>
        <v/>
      </c>
      <c r="O120" s="14" t="n"/>
    </row>
    <row r="121">
      <c r="A121" s="14" t="n"/>
      <c r="B121" s="5">
        <f>IF($A121="","",IFERROR(INDEX('Catálogo'!$D$2:$D$813,MATCH($A121,'Catálogo'!$A$2:$A$813,0)),"código no encontrado"))</f>
        <v/>
      </c>
      <c r="C121" s="5">
        <f>IF($A121="","",IFERROR(INDEX('Catálogo'!$E$2:$E$813,MATCH($A121,'Catálogo'!$A$2:$A$813,0)),"código no encontrado"))</f>
        <v/>
      </c>
      <c r="D121" s="5">
        <f>IF($A121="","",IFERROR(INDEX('Catálogo'!$H$2:$H$813,MATCH($A121,'Catálogo'!$A$2:$A$813,0)),"código no encontrado"))</f>
        <v/>
      </c>
      <c r="E121" s="15" t="n"/>
      <c r="F121" s="10">
        <f>IF($A121="","",IFERROR(INDEX('Catálogo'!$N$2:$N$813,MATCH($A121,'Catálogo'!$A$2:$A$813,0)),"código no encontrado"))</f>
        <v/>
      </c>
      <c r="G121" s="14" t="n"/>
      <c r="H121" s="22" t="n"/>
      <c r="I121" s="14" t="n"/>
      <c r="J121" s="14" t="n"/>
      <c r="K121" s="14" t="n"/>
      <c r="L121" s="14" t="n"/>
      <c r="M121" s="11">
        <f>IF(OR($F121="",$H121="",NOT(ISNUMBER($F121)),NOT(ISNUMBER($H121))),"",($H121-$F121)/$F121)</f>
        <v/>
      </c>
      <c r="N121" s="10">
        <f>IF(OR($E121="",$H121=""),"",$E121*$H121)</f>
        <v/>
      </c>
      <c r="O121" s="14" t="n"/>
    </row>
    <row r="122">
      <c r="A122" s="14" t="n"/>
      <c r="B122" s="5">
        <f>IF($A122="","",IFERROR(INDEX('Catálogo'!$D$2:$D$813,MATCH($A122,'Catálogo'!$A$2:$A$813,0)),"código no encontrado"))</f>
        <v/>
      </c>
      <c r="C122" s="5">
        <f>IF($A122="","",IFERROR(INDEX('Catálogo'!$E$2:$E$813,MATCH($A122,'Catálogo'!$A$2:$A$813,0)),"código no encontrado"))</f>
        <v/>
      </c>
      <c r="D122" s="5">
        <f>IF($A122="","",IFERROR(INDEX('Catálogo'!$H$2:$H$813,MATCH($A122,'Catálogo'!$A$2:$A$813,0)),"código no encontrado"))</f>
        <v/>
      </c>
      <c r="E122" s="15" t="n"/>
      <c r="F122" s="10">
        <f>IF($A122="","",IFERROR(INDEX('Catálogo'!$N$2:$N$813,MATCH($A122,'Catálogo'!$A$2:$A$813,0)),"código no encontrado"))</f>
        <v/>
      </c>
      <c r="G122" s="14" t="n"/>
      <c r="H122" s="22" t="n"/>
      <c r="I122" s="14" t="n"/>
      <c r="J122" s="14" t="n"/>
      <c r="K122" s="14" t="n"/>
      <c r="L122" s="14" t="n"/>
      <c r="M122" s="11">
        <f>IF(OR($F122="",$H122="",NOT(ISNUMBER($F122)),NOT(ISNUMBER($H122))),"",($H122-$F122)/$F122)</f>
        <v/>
      </c>
      <c r="N122" s="10">
        <f>IF(OR($E122="",$H122=""),"",$E122*$H122)</f>
        <v/>
      </c>
      <c r="O122" s="14" t="n"/>
    </row>
    <row r="123">
      <c r="A123" s="14" t="n"/>
      <c r="B123" s="5">
        <f>IF($A123="","",IFERROR(INDEX('Catálogo'!$D$2:$D$813,MATCH($A123,'Catálogo'!$A$2:$A$813,0)),"código no encontrado"))</f>
        <v/>
      </c>
      <c r="C123" s="5">
        <f>IF($A123="","",IFERROR(INDEX('Catálogo'!$E$2:$E$813,MATCH($A123,'Catálogo'!$A$2:$A$813,0)),"código no encontrado"))</f>
        <v/>
      </c>
      <c r="D123" s="5">
        <f>IF($A123="","",IFERROR(INDEX('Catálogo'!$H$2:$H$813,MATCH($A123,'Catálogo'!$A$2:$A$813,0)),"código no encontrado"))</f>
        <v/>
      </c>
      <c r="E123" s="15" t="n"/>
      <c r="F123" s="10">
        <f>IF($A123="","",IFERROR(INDEX('Catálogo'!$N$2:$N$813,MATCH($A123,'Catálogo'!$A$2:$A$813,0)),"código no encontrado"))</f>
        <v/>
      </c>
      <c r="G123" s="14" t="n"/>
      <c r="H123" s="22" t="n"/>
      <c r="I123" s="14" t="n"/>
      <c r="J123" s="14" t="n"/>
      <c r="K123" s="14" t="n"/>
      <c r="L123" s="14" t="n"/>
      <c r="M123" s="11">
        <f>IF(OR($F123="",$H123="",NOT(ISNUMBER($F123)),NOT(ISNUMBER($H123))),"",($H123-$F123)/$F123)</f>
        <v/>
      </c>
      <c r="N123" s="10">
        <f>IF(OR($E123="",$H123=""),"",$E123*$H123)</f>
        <v/>
      </c>
      <c r="O123" s="14" t="n"/>
    </row>
    <row r="124">
      <c r="A124" s="14" t="n"/>
      <c r="B124" s="5">
        <f>IF($A124="","",IFERROR(INDEX('Catálogo'!$D$2:$D$813,MATCH($A124,'Catálogo'!$A$2:$A$813,0)),"código no encontrado"))</f>
        <v/>
      </c>
      <c r="C124" s="5">
        <f>IF($A124="","",IFERROR(INDEX('Catálogo'!$E$2:$E$813,MATCH($A124,'Catálogo'!$A$2:$A$813,0)),"código no encontrado"))</f>
        <v/>
      </c>
      <c r="D124" s="5">
        <f>IF($A124="","",IFERROR(INDEX('Catálogo'!$H$2:$H$813,MATCH($A124,'Catálogo'!$A$2:$A$813,0)),"código no encontrado"))</f>
        <v/>
      </c>
      <c r="E124" s="15" t="n"/>
      <c r="F124" s="10">
        <f>IF($A124="","",IFERROR(INDEX('Catálogo'!$N$2:$N$813,MATCH($A124,'Catálogo'!$A$2:$A$813,0)),"código no encontrado"))</f>
        <v/>
      </c>
      <c r="G124" s="14" t="n"/>
      <c r="H124" s="22" t="n"/>
      <c r="I124" s="14" t="n"/>
      <c r="J124" s="14" t="n"/>
      <c r="K124" s="14" t="n"/>
      <c r="L124" s="14" t="n"/>
      <c r="M124" s="11">
        <f>IF(OR($F124="",$H124="",NOT(ISNUMBER($F124)),NOT(ISNUMBER($H124))),"",($H124-$F124)/$F124)</f>
        <v/>
      </c>
      <c r="N124" s="10">
        <f>IF(OR($E124="",$H124=""),"",$E124*$H124)</f>
        <v/>
      </c>
      <c r="O124" s="14" t="n"/>
    </row>
    <row r="125">
      <c r="A125" s="14" t="n"/>
      <c r="B125" s="5">
        <f>IF($A125="","",IFERROR(INDEX('Catálogo'!$D$2:$D$813,MATCH($A125,'Catálogo'!$A$2:$A$813,0)),"código no encontrado"))</f>
        <v/>
      </c>
      <c r="C125" s="5">
        <f>IF($A125="","",IFERROR(INDEX('Catálogo'!$E$2:$E$813,MATCH($A125,'Catálogo'!$A$2:$A$813,0)),"código no encontrado"))</f>
        <v/>
      </c>
      <c r="D125" s="5">
        <f>IF($A125="","",IFERROR(INDEX('Catálogo'!$H$2:$H$813,MATCH($A125,'Catálogo'!$A$2:$A$813,0)),"código no encontrado"))</f>
        <v/>
      </c>
      <c r="E125" s="15" t="n"/>
      <c r="F125" s="10">
        <f>IF($A125="","",IFERROR(INDEX('Catálogo'!$N$2:$N$813,MATCH($A125,'Catálogo'!$A$2:$A$813,0)),"código no encontrado"))</f>
        <v/>
      </c>
      <c r="G125" s="14" t="n"/>
      <c r="H125" s="22" t="n"/>
      <c r="I125" s="14" t="n"/>
      <c r="J125" s="14" t="n"/>
      <c r="K125" s="14" t="n"/>
      <c r="L125" s="14" t="n"/>
      <c r="M125" s="11">
        <f>IF(OR($F125="",$H125="",NOT(ISNUMBER($F125)),NOT(ISNUMBER($H125))),"",($H125-$F125)/$F125)</f>
        <v/>
      </c>
      <c r="N125" s="10">
        <f>IF(OR($E125="",$H125=""),"",$E125*$H125)</f>
        <v/>
      </c>
      <c r="O125" s="14" t="n"/>
    </row>
    <row r="126">
      <c r="A126" s="14" t="n"/>
      <c r="B126" s="5">
        <f>IF($A126="","",IFERROR(INDEX('Catálogo'!$D$2:$D$813,MATCH($A126,'Catálogo'!$A$2:$A$813,0)),"código no encontrado"))</f>
        <v/>
      </c>
      <c r="C126" s="5">
        <f>IF($A126="","",IFERROR(INDEX('Catálogo'!$E$2:$E$813,MATCH($A126,'Catálogo'!$A$2:$A$813,0)),"código no encontrado"))</f>
        <v/>
      </c>
      <c r="D126" s="5">
        <f>IF($A126="","",IFERROR(INDEX('Catálogo'!$H$2:$H$813,MATCH($A126,'Catálogo'!$A$2:$A$813,0)),"código no encontrado"))</f>
        <v/>
      </c>
      <c r="E126" s="15" t="n"/>
      <c r="F126" s="10">
        <f>IF($A126="","",IFERROR(INDEX('Catálogo'!$N$2:$N$813,MATCH($A126,'Catálogo'!$A$2:$A$813,0)),"código no encontrado"))</f>
        <v/>
      </c>
      <c r="G126" s="14" t="n"/>
      <c r="H126" s="22" t="n"/>
      <c r="I126" s="14" t="n"/>
      <c r="J126" s="14" t="n"/>
      <c r="K126" s="14" t="n"/>
      <c r="L126" s="14" t="n"/>
      <c r="M126" s="11">
        <f>IF(OR($F126="",$H126="",NOT(ISNUMBER($F126)),NOT(ISNUMBER($H126))),"",($H126-$F126)/$F126)</f>
        <v/>
      </c>
      <c r="N126" s="10">
        <f>IF(OR($E126="",$H126=""),"",$E126*$H126)</f>
        <v/>
      </c>
      <c r="O126" s="14" t="n"/>
    </row>
    <row r="127">
      <c r="A127" s="14" t="n"/>
      <c r="B127" s="5">
        <f>IF($A127="","",IFERROR(INDEX('Catálogo'!$D$2:$D$813,MATCH($A127,'Catálogo'!$A$2:$A$813,0)),"código no encontrado"))</f>
        <v/>
      </c>
      <c r="C127" s="5">
        <f>IF($A127="","",IFERROR(INDEX('Catálogo'!$E$2:$E$813,MATCH($A127,'Catálogo'!$A$2:$A$813,0)),"código no encontrado"))</f>
        <v/>
      </c>
      <c r="D127" s="5">
        <f>IF($A127="","",IFERROR(INDEX('Catálogo'!$H$2:$H$813,MATCH($A127,'Catálogo'!$A$2:$A$813,0)),"código no encontrado"))</f>
        <v/>
      </c>
      <c r="E127" s="15" t="n"/>
      <c r="F127" s="10">
        <f>IF($A127="","",IFERROR(INDEX('Catálogo'!$N$2:$N$813,MATCH($A127,'Catálogo'!$A$2:$A$813,0)),"código no encontrado"))</f>
        <v/>
      </c>
      <c r="G127" s="14" t="n"/>
      <c r="H127" s="22" t="n"/>
      <c r="I127" s="14" t="n"/>
      <c r="J127" s="14" t="n"/>
      <c r="K127" s="14" t="n"/>
      <c r="L127" s="14" t="n"/>
      <c r="M127" s="11">
        <f>IF(OR($F127="",$H127="",NOT(ISNUMBER($F127)),NOT(ISNUMBER($H127))),"",($H127-$F127)/$F127)</f>
        <v/>
      </c>
      <c r="N127" s="10">
        <f>IF(OR($E127="",$H127=""),"",$E127*$H127)</f>
        <v/>
      </c>
      <c r="O127" s="14" t="n"/>
    </row>
    <row r="128">
      <c r="A128" s="14" t="n"/>
      <c r="B128" s="5">
        <f>IF($A128="","",IFERROR(INDEX('Catálogo'!$D$2:$D$813,MATCH($A128,'Catálogo'!$A$2:$A$813,0)),"código no encontrado"))</f>
        <v/>
      </c>
      <c r="C128" s="5">
        <f>IF($A128="","",IFERROR(INDEX('Catálogo'!$E$2:$E$813,MATCH($A128,'Catálogo'!$A$2:$A$813,0)),"código no encontrado"))</f>
        <v/>
      </c>
      <c r="D128" s="5">
        <f>IF($A128="","",IFERROR(INDEX('Catálogo'!$H$2:$H$813,MATCH($A128,'Catálogo'!$A$2:$A$813,0)),"código no encontrado"))</f>
        <v/>
      </c>
      <c r="E128" s="15" t="n"/>
      <c r="F128" s="10">
        <f>IF($A128="","",IFERROR(INDEX('Catálogo'!$N$2:$N$813,MATCH($A128,'Catálogo'!$A$2:$A$813,0)),"código no encontrado"))</f>
        <v/>
      </c>
      <c r="G128" s="14" t="n"/>
      <c r="H128" s="22" t="n"/>
      <c r="I128" s="14" t="n"/>
      <c r="J128" s="14" t="n"/>
      <c r="K128" s="14" t="n"/>
      <c r="L128" s="14" t="n"/>
      <c r="M128" s="11">
        <f>IF(OR($F128="",$H128="",NOT(ISNUMBER($F128)),NOT(ISNUMBER($H128))),"",($H128-$F128)/$F128)</f>
        <v/>
      </c>
      <c r="N128" s="10">
        <f>IF(OR($E128="",$H128=""),"",$E128*$H128)</f>
        <v/>
      </c>
      <c r="O128" s="14" t="n"/>
    </row>
    <row r="129">
      <c r="A129" s="14" t="n"/>
      <c r="B129" s="5">
        <f>IF($A129="","",IFERROR(INDEX('Catálogo'!$D$2:$D$813,MATCH($A129,'Catálogo'!$A$2:$A$813,0)),"código no encontrado"))</f>
        <v/>
      </c>
      <c r="C129" s="5">
        <f>IF($A129="","",IFERROR(INDEX('Catálogo'!$E$2:$E$813,MATCH($A129,'Catálogo'!$A$2:$A$813,0)),"código no encontrado"))</f>
        <v/>
      </c>
      <c r="D129" s="5">
        <f>IF($A129="","",IFERROR(INDEX('Catálogo'!$H$2:$H$813,MATCH($A129,'Catálogo'!$A$2:$A$813,0)),"código no encontrado"))</f>
        <v/>
      </c>
      <c r="E129" s="15" t="n"/>
      <c r="F129" s="10">
        <f>IF($A129="","",IFERROR(INDEX('Catálogo'!$N$2:$N$813,MATCH($A129,'Catálogo'!$A$2:$A$813,0)),"código no encontrado"))</f>
        <v/>
      </c>
      <c r="G129" s="14" t="n"/>
      <c r="H129" s="22" t="n"/>
      <c r="I129" s="14" t="n"/>
      <c r="J129" s="14" t="n"/>
      <c r="K129" s="14" t="n"/>
      <c r="L129" s="14" t="n"/>
      <c r="M129" s="11">
        <f>IF(OR($F129="",$H129="",NOT(ISNUMBER($F129)),NOT(ISNUMBER($H129))),"",($H129-$F129)/$F129)</f>
        <v/>
      </c>
      <c r="N129" s="10">
        <f>IF(OR($E129="",$H129=""),"",$E129*$H129)</f>
        <v/>
      </c>
      <c r="O129" s="14" t="n"/>
    </row>
    <row r="130">
      <c r="A130" s="14" t="n"/>
      <c r="B130" s="5">
        <f>IF($A130="","",IFERROR(INDEX('Catálogo'!$D$2:$D$813,MATCH($A130,'Catálogo'!$A$2:$A$813,0)),"código no encontrado"))</f>
        <v/>
      </c>
      <c r="C130" s="5">
        <f>IF($A130="","",IFERROR(INDEX('Catálogo'!$E$2:$E$813,MATCH($A130,'Catálogo'!$A$2:$A$813,0)),"código no encontrado"))</f>
        <v/>
      </c>
      <c r="D130" s="5">
        <f>IF($A130="","",IFERROR(INDEX('Catálogo'!$H$2:$H$813,MATCH($A130,'Catálogo'!$A$2:$A$813,0)),"código no encontrado"))</f>
        <v/>
      </c>
      <c r="E130" s="15" t="n"/>
      <c r="F130" s="10">
        <f>IF($A130="","",IFERROR(INDEX('Catálogo'!$N$2:$N$813,MATCH($A130,'Catálogo'!$A$2:$A$813,0)),"código no encontrado"))</f>
        <v/>
      </c>
      <c r="G130" s="14" t="n"/>
      <c r="H130" s="22" t="n"/>
      <c r="I130" s="14" t="n"/>
      <c r="J130" s="14" t="n"/>
      <c r="K130" s="14" t="n"/>
      <c r="L130" s="14" t="n"/>
      <c r="M130" s="11">
        <f>IF(OR($F130="",$H130="",NOT(ISNUMBER($F130)),NOT(ISNUMBER($H130))),"",($H130-$F130)/$F130)</f>
        <v/>
      </c>
      <c r="N130" s="10">
        <f>IF(OR($E130="",$H130=""),"",$E130*$H130)</f>
        <v/>
      </c>
      <c r="O130" s="14" t="n"/>
    </row>
    <row r="131">
      <c r="A131" s="14" t="n"/>
      <c r="B131" s="5">
        <f>IF($A131="","",IFERROR(INDEX('Catálogo'!$D$2:$D$813,MATCH($A131,'Catálogo'!$A$2:$A$813,0)),"código no encontrado"))</f>
        <v/>
      </c>
      <c r="C131" s="5">
        <f>IF($A131="","",IFERROR(INDEX('Catálogo'!$E$2:$E$813,MATCH($A131,'Catálogo'!$A$2:$A$813,0)),"código no encontrado"))</f>
        <v/>
      </c>
      <c r="D131" s="5">
        <f>IF($A131="","",IFERROR(INDEX('Catálogo'!$H$2:$H$813,MATCH($A131,'Catálogo'!$A$2:$A$813,0)),"código no encontrado"))</f>
        <v/>
      </c>
      <c r="E131" s="15" t="n"/>
      <c r="F131" s="10">
        <f>IF($A131="","",IFERROR(INDEX('Catálogo'!$N$2:$N$813,MATCH($A131,'Catálogo'!$A$2:$A$813,0)),"código no encontrado"))</f>
        <v/>
      </c>
      <c r="G131" s="14" t="n"/>
      <c r="H131" s="22" t="n"/>
      <c r="I131" s="14" t="n"/>
      <c r="J131" s="14" t="n"/>
      <c r="K131" s="14" t="n"/>
      <c r="L131" s="14" t="n"/>
      <c r="M131" s="11">
        <f>IF(OR($F131="",$H131="",NOT(ISNUMBER($F131)),NOT(ISNUMBER($H131))),"",($H131-$F131)/$F131)</f>
        <v/>
      </c>
      <c r="N131" s="10">
        <f>IF(OR($E131="",$H131=""),"",$E131*$H131)</f>
        <v/>
      </c>
      <c r="O131" s="14" t="n"/>
    </row>
    <row r="132">
      <c r="A132" s="14" t="n"/>
      <c r="B132" s="5">
        <f>IF($A132="","",IFERROR(INDEX('Catálogo'!$D$2:$D$813,MATCH($A132,'Catálogo'!$A$2:$A$813,0)),"código no encontrado"))</f>
        <v/>
      </c>
      <c r="C132" s="5">
        <f>IF($A132="","",IFERROR(INDEX('Catálogo'!$E$2:$E$813,MATCH($A132,'Catálogo'!$A$2:$A$813,0)),"código no encontrado"))</f>
        <v/>
      </c>
      <c r="D132" s="5">
        <f>IF($A132="","",IFERROR(INDEX('Catálogo'!$H$2:$H$813,MATCH($A132,'Catálogo'!$A$2:$A$813,0)),"código no encontrado"))</f>
        <v/>
      </c>
      <c r="E132" s="15" t="n"/>
      <c r="F132" s="10">
        <f>IF($A132="","",IFERROR(INDEX('Catálogo'!$N$2:$N$813,MATCH($A132,'Catálogo'!$A$2:$A$813,0)),"código no encontrado"))</f>
        <v/>
      </c>
      <c r="G132" s="14" t="n"/>
      <c r="H132" s="22" t="n"/>
      <c r="I132" s="14" t="n"/>
      <c r="J132" s="14" t="n"/>
      <c r="K132" s="14" t="n"/>
      <c r="L132" s="14" t="n"/>
      <c r="M132" s="11">
        <f>IF(OR($F132="",$H132="",NOT(ISNUMBER($F132)),NOT(ISNUMBER($H132))),"",($H132-$F132)/$F132)</f>
        <v/>
      </c>
      <c r="N132" s="10">
        <f>IF(OR($E132="",$H132=""),"",$E132*$H132)</f>
        <v/>
      </c>
      <c r="O132" s="14" t="n"/>
    </row>
    <row r="133">
      <c r="A133" s="14" t="n"/>
      <c r="B133" s="5">
        <f>IF($A133="","",IFERROR(INDEX('Catálogo'!$D$2:$D$813,MATCH($A133,'Catálogo'!$A$2:$A$813,0)),"código no encontrado"))</f>
        <v/>
      </c>
      <c r="C133" s="5">
        <f>IF($A133="","",IFERROR(INDEX('Catálogo'!$E$2:$E$813,MATCH($A133,'Catálogo'!$A$2:$A$813,0)),"código no encontrado"))</f>
        <v/>
      </c>
      <c r="D133" s="5">
        <f>IF($A133="","",IFERROR(INDEX('Catálogo'!$H$2:$H$813,MATCH($A133,'Catálogo'!$A$2:$A$813,0)),"código no encontrado"))</f>
        <v/>
      </c>
      <c r="E133" s="15" t="n"/>
      <c r="F133" s="10">
        <f>IF($A133="","",IFERROR(INDEX('Catálogo'!$N$2:$N$813,MATCH($A133,'Catálogo'!$A$2:$A$813,0)),"código no encontrado"))</f>
        <v/>
      </c>
      <c r="G133" s="14" t="n"/>
      <c r="H133" s="22" t="n"/>
      <c r="I133" s="14" t="n"/>
      <c r="J133" s="14" t="n"/>
      <c r="K133" s="14" t="n"/>
      <c r="L133" s="14" t="n"/>
      <c r="M133" s="11">
        <f>IF(OR($F133="",$H133="",NOT(ISNUMBER($F133)),NOT(ISNUMBER($H133))),"",($H133-$F133)/$F133)</f>
        <v/>
      </c>
      <c r="N133" s="10">
        <f>IF(OR($E133="",$H133=""),"",$E133*$H133)</f>
        <v/>
      </c>
      <c r="O133" s="14" t="n"/>
    </row>
    <row r="134">
      <c r="A134" s="14" t="n"/>
      <c r="B134" s="5">
        <f>IF($A134="","",IFERROR(INDEX('Catálogo'!$D$2:$D$813,MATCH($A134,'Catálogo'!$A$2:$A$813,0)),"código no encontrado"))</f>
        <v/>
      </c>
      <c r="C134" s="5">
        <f>IF($A134="","",IFERROR(INDEX('Catálogo'!$E$2:$E$813,MATCH($A134,'Catálogo'!$A$2:$A$813,0)),"código no encontrado"))</f>
        <v/>
      </c>
      <c r="D134" s="5">
        <f>IF($A134="","",IFERROR(INDEX('Catálogo'!$H$2:$H$813,MATCH($A134,'Catálogo'!$A$2:$A$813,0)),"código no encontrado"))</f>
        <v/>
      </c>
      <c r="E134" s="15" t="n"/>
      <c r="F134" s="10">
        <f>IF($A134="","",IFERROR(INDEX('Catálogo'!$N$2:$N$813,MATCH($A134,'Catálogo'!$A$2:$A$813,0)),"código no encontrado"))</f>
        <v/>
      </c>
      <c r="G134" s="14" t="n"/>
      <c r="H134" s="22" t="n"/>
      <c r="I134" s="14" t="n"/>
      <c r="J134" s="14" t="n"/>
      <c r="K134" s="14" t="n"/>
      <c r="L134" s="14" t="n"/>
      <c r="M134" s="11">
        <f>IF(OR($F134="",$H134="",NOT(ISNUMBER($F134)),NOT(ISNUMBER($H134))),"",($H134-$F134)/$F134)</f>
        <v/>
      </c>
      <c r="N134" s="10">
        <f>IF(OR($E134="",$H134=""),"",$E134*$H134)</f>
        <v/>
      </c>
      <c r="O134" s="14" t="n"/>
    </row>
    <row r="135">
      <c r="A135" s="14" t="n"/>
      <c r="B135" s="5">
        <f>IF($A135="","",IFERROR(INDEX('Catálogo'!$D$2:$D$813,MATCH($A135,'Catálogo'!$A$2:$A$813,0)),"código no encontrado"))</f>
        <v/>
      </c>
      <c r="C135" s="5">
        <f>IF($A135="","",IFERROR(INDEX('Catálogo'!$E$2:$E$813,MATCH($A135,'Catálogo'!$A$2:$A$813,0)),"código no encontrado"))</f>
        <v/>
      </c>
      <c r="D135" s="5">
        <f>IF($A135="","",IFERROR(INDEX('Catálogo'!$H$2:$H$813,MATCH($A135,'Catálogo'!$A$2:$A$813,0)),"código no encontrado"))</f>
        <v/>
      </c>
      <c r="E135" s="15" t="n"/>
      <c r="F135" s="10">
        <f>IF($A135="","",IFERROR(INDEX('Catálogo'!$N$2:$N$813,MATCH($A135,'Catálogo'!$A$2:$A$813,0)),"código no encontrado"))</f>
        <v/>
      </c>
      <c r="G135" s="14" t="n"/>
      <c r="H135" s="22" t="n"/>
      <c r="I135" s="14" t="n"/>
      <c r="J135" s="14" t="n"/>
      <c r="K135" s="14" t="n"/>
      <c r="L135" s="14" t="n"/>
      <c r="M135" s="11">
        <f>IF(OR($F135="",$H135="",NOT(ISNUMBER($F135)),NOT(ISNUMBER($H135))),"",($H135-$F135)/$F135)</f>
        <v/>
      </c>
      <c r="N135" s="10">
        <f>IF(OR($E135="",$H135=""),"",$E135*$H135)</f>
        <v/>
      </c>
      <c r="O135" s="14" t="n"/>
    </row>
    <row r="136">
      <c r="A136" s="14" t="n"/>
      <c r="B136" s="5">
        <f>IF($A136="","",IFERROR(INDEX('Catálogo'!$D$2:$D$813,MATCH($A136,'Catálogo'!$A$2:$A$813,0)),"código no encontrado"))</f>
        <v/>
      </c>
      <c r="C136" s="5">
        <f>IF($A136="","",IFERROR(INDEX('Catálogo'!$E$2:$E$813,MATCH($A136,'Catálogo'!$A$2:$A$813,0)),"código no encontrado"))</f>
        <v/>
      </c>
      <c r="D136" s="5">
        <f>IF($A136="","",IFERROR(INDEX('Catálogo'!$H$2:$H$813,MATCH($A136,'Catálogo'!$A$2:$A$813,0)),"código no encontrado"))</f>
        <v/>
      </c>
      <c r="E136" s="15" t="n"/>
      <c r="F136" s="10">
        <f>IF($A136="","",IFERROR(INDEX('Catálogo'!$N$2:$N$813,MATCH($A136,'Catálogo'!$A$2:$A$813,0)),"código no encontrado"))</f>
        <v/>
      </c>
      <c r="G136" s="14" t="n"/>
      <c r="H136" s="22" t="n"/>
      <c r="I136" s="14" t="n"/>
      <c r="J136" s="14" t="n"/>
      <c r="K136" s="14" t="n"/>
      <c r="L136" s="14" t="n"/>
      <c r="M136" s="11">
        <f>IF(OR($F136="",$H136="",NOT(ISNUMBER($F136)),NOT(ISNUMBER($H136))),"",($H136-$F136)/$F136)</f>
        <v/>
      </c>
      <c r="N136" s="10">
        <f>IF(OR($E136="",$H136=""),"",$E136*$H136)</f>
        <v/>
      </c>
      <c r="O136" s="14" t="n"/>
    </row>
    <row r="137">
      <c r="A137" s="14" t="n"/>
      <c r="B137" s="5">
        <f>IF($A137="","",IFERROR(INDEX('Catálogo'!$D$2:$D$813,MATCH($A137,'Catálogo'!$A$2:$A$813,0)),"código no encontrado"))</f>
        <v/>
      </c>
      <c r="C137" s="5">
        <f>IF($A137="","",IFERROR(INDEX('Catálogo'!$E$2:$E$813,MATCH($A137,'Catálogo'!$A$2:$A$813,0)),"código no encontrado"))</f>
        <v/>
      </c>
      <c r="D137" s="5">
        <f>IF($A137="","",IFERROR(INDEX('Catálogo'!$H$2:$H$813,MATCH($A137,'Catálogo'!$A$2:$A$813,0)),"código no encontrado"))</f>
        <v/>
      </c>
      <c r="E137" s="15" t="n"/>
      <c r="F137" s="10">
        <f>IF($A137="","",IFERROR(INDEX('Catálogo'!$N$2:$N$813,MATCH($A137,'Catálogo'!$A$2:$A$813,0)),"código no encontrado"))</f>
        <v/>
      </c>
      <c r="G137" s="14" t="n"/>
      <c r="H137" s="22" t="n"/>
      <c r="I137" s="14" t="n"/>
      <c r="J137" s="14" t="n"/>
      <c r="K137" s="14" t="n"/>
      <c r="L137" s="14" t="n"/>
      <c r="M137" s="11">
        <f>IF(OR($F137="",$H137="",NOT(ISNUMBER($F137)),NOT(ISNUMBER($H137))),"",($H137-$F137)/$F137)</f>
        <v/>
      </c>
      <c r="N137" s="10">
        <f>IF(OR($E137="",$H137=""),"",$E137*$H137)</f>
        <v/>
      </c>
      <c r="O137" s="14" t="n"/>
    </row>
    <row r="138">
      <c r="A138" s="14" t="n"/>
      <c r="B138" s="5">
        <f>IF($A138="","",IFERROR(INDEX('Catálogo'!$D$2:$D$813,MATCH($A138,'Catálogo'!$A$2:$A$813,0)),"código no encontrado"))</f>
        <v/>
      </c>
      <c r="C138" s="5">
        <f>IF($A138="","",IFERROR(INDEX('Catálogo'!$E$2:$E$813,MATCH($A138,'Catálogo'!$A$2:$A$813,0)),"código no encontrado"))</f>
        <v/>
      </c>
      <c r="D138" s="5">
        <f>IF($A138="","",IFERROR(INDEX('Catálogo'!$H$2:$H$813,MATCH($A138,'Catálogo'!$A$2:$A$813,0)),"código no encontrado"))</f>
        <v/>
      </c>
      <c r="E138" s="15" t="n"/>
      <c r="F138" s="10">
        <f>IF($A138="","",IFERROR(INDEX('Catálogo'!$N$2:$N$813,MATCH($A138,'Catálogo'!$A$2:$A$813,0)),"código no encontrado"))</f>
        <v/>
      </c>
      <c r="G138" s="14" t="n"/>
      <c r="H138" s="22" t="n"/>
      <c r="I138" s="14" t="n"/>
      <c r="J138" s="14" t="n"/>
      <c r="K138" s="14" t="n"/>
      <c r="L138" s="14" t="n"/>
      <c r="M138" s="11">
        <f>IF(OR($F138="",$H138="",NOT(ISNUMBER($F138)),NOT(ISNUMBER($H138))),"",($H138-$F138)/$F138)</f>
        <v/>
      </c>
      <c r="N138" s="10">
        <f>IF(OR($E138="",$H138=""),"",$E138*$H138)</f>
        <v/>
      </c>
      <c r="O138" s="14" t="n"/>
    </row>
    <row r="139">
      <c r="A139" s="14" t="n"/>
      <c r="B139" s="5">
        <f>IF($A139="","",IFERROR(INDEX('Catálogo'!$D$2:$D$813,MATCH($A139,'Catálogo'!$A$2:$A$813,0)),"código no encontrado"))</f>
        <v/>
      </c>
      <c r="C139" s="5">
        <f>IF($A139="","",IFERROR(INDEX('Catálogo'!$E$2:$E$813,MATCH($A139,'Catálogo'!$A$2:$A$813,0)),"código no encontrado"))</f>
        <v/>
      </c>
      <c r="D139" s="5">
        <f>IF($A139="","",IFERROR(INDEX('Catálogo'!$H$2:$H$813,MATCH($A139,'Catálogo'!$A$2:$A$813,0)),"código no encontrado"))</f>
        <v/>
      </c>
      <c r="E139" s="15" t="n"/>
      <c r="F139" s="10">
        <f>IF($A139="","",IFERROR(INDEX('Catálogo'!$N$2:$N$813,MATCH($A139,'Catálogo'!$A$2:$A$813,0)),"código no encontrado"))</f>
        <v/>
      </c>
      <c r="G139" s="14" t="n"/>
      <c r="H139" s="22" t="n"/>
      <c r="I139" s="14" t="n"/>
      <c r="J139" s="14" t="n"/>
      <c r="K139" s="14" t="n"/>
      <c r="L139" s="14" t="n"/>
      <c r="M139" s="11">
        <f>IF(OR($F139="",$H139="",NOT(ISNUMBER($F139)),NOT(ISNUMBER($H139))),"",($H139-$F139)/$F139)</f>
        <v/>
      </c>
      <c r="N139" s="10">
        <f>IF(OR($E139="",$H139=""),"",$E139*$H139)</f>
        <v/>
      </c>
      <c r="O139" s="14" t="n"/>
    </row>
    <row r="140">
      <c r="A140" s="14" t="n"/>
      <c r="B140" s="5">
        <f>IF($A140="","",IFERROR(INDEX('Catálogo'!$D$2:$D$813,MATCH($A140,'Catálogo'!$A$2:$A$813,0)),"código no encontrado"))</f>
        <v/>
      </c>
      <c r="C140" s="5">
        <f>IF($A140="","",IFERROR(INDEX('Catálogo'!$E$2:$E$813,MATCH($A140,'Catálogo'!$A$2:$A$813,0)),"código no encontrado"))</f>
        <v/>
      </c>
      <c r="D140" s="5">
        <f>IF($A140="","",IFERROR(INDEX('Catálogo'!$H$2:$H$813,MATCH($A140,'Catálogo'!$A$2:$A$813,0)),"código no encontrado"))</f>
        <v/>
      </c>
      <c r="E140" s="15" t="n"/>
      <c r="F140" s="10">
        <f>IF($A140="","",IFERROR(INDEX('Catálogo'!$N$2:$N$813,MATCH($A140,'Catálogo'!$A$2:$A$813,0)),"código no encontrado"))</f>
        <v/>
      </c>
      <c r="G140" s="14" t="n"/>
      <c r="H140" s="22" t="n"/>
      <c r="I140" s="14" t="n"/>
      <c r="J140" s="14" t="n"/>
      <c r="K140" s="14" t="n"/>
      <c r="L140" s="14" t="n"/>
      <c r="M140" s="11">
        <f>IF(OR($F140="",$H140="",NOT(ISNUMBER($F140)),NOT(ISNUMBER($H140))),"",($H140-$F140)/$F140)</f>
        <v/>
      </c>
      <c r="N140" s="10">
        <f>IF(OR($E140="",$H140=""),"",$E140*$H140)</f>
        <v/>
      </c>
      <c r="O140" s="14" t="n"/>
    </row>
    <row r="141">
      <c r="A141" s="14" t="n"/>
      <c r="B141" s="5">
        <f>IF($A141="","",IFERROR(INDEX('Catálogo'!$D$2:$D$813,MATCH($A141,'Catálogo'!$A$2:$A$813,0)),"código no encontrado"))</f>
        <v/>
      </c>
      <c r="C141" s="5">
        <f>IF($A141="","",IFERROR(INDEX('Catálogo'!$E$2:$E$813,MATCH($A141,'Catálogo'!$A$2:$A$813,0)),"código no encontrado"))</f>
        <v/>
      </c>
      <c r="D141" s="5">
        <f>IF($A141="","",IFERROR(INDEX('Catálogo'!$H$2:$H$813,MATCH($A141,'Catálogo'!$A$2:$A$813,0)),"código no encontrado"))</f>
        <v/>
      </c>
      <c r="E141" s="15" t="n"/>
      <c r="F141" s="10">
        <f>IF($A141="","",IFERROR(INDEX('Catálogo'!$N$2:$N$813,MATCH($A141,'Catálogo'!$A$2:$A$813,0)),"código no encontrado"))</f>
        <v/>
      </c>
      <c r="G141" s="14" t="n"/>
      <c r="H141" s="22" t="n"/>
      <c r="I141" s="14" t="n"/>
      <c r="J141" s="14" t="n"/>
      <c r="K141" s="14" t="n"/>
      <c r="L141" s="14" t="n"/>
      <c r="M141" s="11">
        <f>IF(OR($F141="",$H141="",NOT(ISNUMBER($F141)),NOT(ISNUMBER($H141))),"",($H141-$F141)/$F141)</f>
        <v/>
      </c>
      <c r="N141" s="10">
        <f>IF(OR($E141="",$H141=""),"",$E141*$H141)</f>
        <v/>
      </c>
      <c r="O141" s="14" t="n"/>
    </row>
    <row r="142">
      <c r="A142" s="14" t="n"/>
      <c r="B142" s="5">
        <f>IF($A142="","",IFERROR(INDEX('Catálogo'!$D$2:$D$813,MATCH($A142,'Catálogo'!$A$2:$A$813,0)),"código no encontrado"))</f>
        <v/>
      </c>
      <c r="C142" s="5">
        <f>IF($A142="","",IFERROR(INDEX('Catálogo'!$E$2:$E$813,MATCH($A142,'Catálogo'!$A$2:$A$813,0)),"código no encontrado"))</f>
        <v/>
      </c>
      <c r="D142" s="5">
        <f>IF($A142="","",IFERROR(INDEX('Catálogo'!$H$2:$H$813,MATCH($A142,'Catálogo'!$A$2:$A$813,0)),"código no encontrado"))</f>
        <v/>
      </c>
      <c r="E142" s="15" t="n"/>
      <c r="F142" s="10">
        <f>IF($A142="","",IFERROR(INDEX('Catálogo'!$N$2:$N$813,MATCH($A142,'Catálogo'!$A$2:$A$813,0)),"código no encontrado"))</f>
        <v/>
      </c>
      <c r="G142" s="14" t="n"/>
      <c r="H142" s="22" t="n"/>
      <c r="I142" s="14" t="n"/>
      <c r="J142" s="14" t="n"/>
      <c r="K142" s="14" t="n"/>
      <c r="L142" s="14" t="n"/>
      <c r="M142" s="11">
        <f>IF(OR($F142="",$H142="",NOT(ISNUMBER($F142)),NOT(ISNUMBER($H142))),"",($H142-$F142)/$F142)</f>
        <v/>
      </c>
      <c r="N142" s="10">
        <f>IF(OR($E142="",$H142=""),"",$E142*$H142)</f>
        <v/>
      </c>
      <c r="O142" s="14" t="n"/>
    </row>
    <row r="143">
      <c r="A143" s="14" t="n"/>
      <c r="B143" s="5">
        <f>IF($A143="","",IFERROR(INDEX('Catálogo'!$D$2:$D$813,MATCH($A143,'Catálogo'!$A$2:$A$813,0)),"código no encontrado"))</f>
        <v/>
      </c>
      <c r="C143" s="5">
        <f>IF($A143="","",IFERROR(INDEX('Catálogo'!$E$2:$E$813,MATCH($A143,'Catálogo'!$A$2:$A$813,0)),"código no encontrado"))</f>
        <v/>
      </c>
      <c r="D143" s="5">
        <f>IF($A143="","",IFERROR(INDEX('Catálogo'!$H$2:$H$813,MATCH($A143,'Catálogo'!$A$2:$A$813,0)),"código no encontrado"))</f>
        <v/>
      </c>
      <c r="E143" s="15" t="n"/>
      <c r="F143" s="10">
        <f>IF($A143="","",IFERROR(INDEX('Catálogo'!$N$2:$N$813,MATCH($A143,'Catálogo'!$A$2:$A$813,0)),"código no encontrado"))</f>
        <v/>
      </c>
      <c r="G143" s="14" t="n"/>
      <c r="H143" s="22" t="n"/>
      <c r="I143" s="14" t="n"/>
      <c r="J143" s="14" t="n"/>
      <c r="K143" s="14" t="n"/>
      <c r="L143" s="14" t="n"/>
      <c r="M143" s="11">
        <f>IF(OR($F143="",$H143="",NOT(ISNUMBER($F143)),NOT(ISNUMBER($H143))),"",($H143-$F143)/$F143)</f>
        <v/>
      </c>
      <c r="N143" s="10">
        <f>IF(OR($E143="",$H143=""),"",$E143*$H143)</f>
        <v/>
      </c>
      <c r="O143" s="14" t="n"/>
    </row>
    <row r="144">
      <c r="A144" s="14" t="n"/>
      <c r="B144" s="5">
        <f>IF($A144="","",IFERROR(INDEX('Catálogo'!$D$2:$D$813,MATCH($A144,'Catálogo'!$A$2:$A$813,0)),"código no encontrado"))</f>
        <v/>
      </c>
      <c r="C144" s="5">
        <f>IF($A144="","",IFERROR(INDEX('Catálogo'!$E$2:$E$813,MATCH($A144,'Catálogo'!$A$2:$A$813,0)),"código no encontrado"))</f>
        <v/>
      </c>
      <c r="D144" s="5">
        <f>IF($A144="","",IFERROR(INDEX('Catálogo'!$H$2:$H$813,MATCH($A144,'Catálogo'!$A$2:$A$813,0)),"código no encontrado"))</f>
        <v/>
      </c>
      <c r="E144" s="15" t="n"/>
      <c r="F144" s="10">
        <f>IF($A144="","",IFERROR(INDEX('Catálogo'!$N$2:$N$813,MATCH($A144,'Catálogo'!$A$2:$A$813,0)),"código no encontrado"))</f>
        <v/>
      </c>
      <c r="G144" s="14" t="n"/>
      <c r="H144" s="22" t="n"/>
      <c r="I144" s="14" t="n"/>
      <c r="J144" s="14" t="n"/>
      <c r="K144" s="14" t="n"/>
      <c r="L144" s="14" t="n"/>
      <c r="M144" s="11">
        <f>IF(OR($F144="",$H144="",NOT(ISNUMBER($F144)),NOT(ISNUMBER($H144))),"",($H144-$F144)/$F144)</f>
        <v/>
      </c>
      <c r="N144" s="10">
        <f>IF(OR($E144="",$H144=""),"",$E144*$H144)</f>
        <v/>
      </c>
      <c r="O144" s="14" t="n"/>
    </row>
    <row r="145">
      <c r="A145" s="14" t="n"/>
      <c r="B145" s="5">
        <f>IF($A145="","",IFERROR(INDEX('Catálogo'!$D$2:$D$813,MATCH($A145,'Catálogo'!$A$2:$A$813,0)),"código no encontrado"))</f>
        <v/>
      </c>
      <c r="C145" s="5">
        <f>IF($A145="","",IFERROR(INDEX('Catálogo'!$E$2:$E$813,MATCH($A145,'Catálogo'!$A$2:$A$813,0)),"código no encontrado"))</f>
        <v/>
      </c>
      <c r="D145" s="5">
        <f>IF($A145="","",IFERROR(INDEX('Catálogo'!$H$2:$H$813,MATCH($A145,'Catálogo'!$A$2:$A$813,0)),"código no encontrado"))</f>
        <v/>
      </c>
      <c r="E145" s="15" t="n"/>
      <c r="F145" s="10">
        <f>IF($A145="","",IFERROR(INDEX('Catálogo'!$N$2:$N$813,MATCH($A145,'Catálogo'!$A$2:$A$813,0)),"código no encontrado"))</f>
        <v/>
      </c>
      <c r="G145" s="14" t="n"/>
      <c r="H145" s="22" t="n"/>
      <c r="I145" s="14" t="n"/>
      <c r="J145" s="14" t="n"/>
      <c r="K145" s="14" t="n"/>
      <c r="L145" s="14" t="n"/>
      <c r="M145" s="11">
        <f>IF(OR($F145="",$H145="",NOT(ISNUMBER($F145)),NOT(ISNUMBER($H145))),"",($H145-$F145)/$F145)</f>
        <v/>
      </c>
      <c r="N145" s="10">
        <f>IF(OR($E145="",$H145=""),"",$E145*$H145)</f>
        <v/>
      </c>
      <c r="O145" s="14" t="n"/>
    </row>
    <row r="146">
      <c r="A146" s="14" t="n"/>
      <c r="B146" s="5">
        <f>IF($A146="","",IFERROR(INDEX('Catálogo'!$D$2:$D$813,MATCH($A146,'Catálogo'!$A$2:$A$813,0)),"código no encontrado"))</f>
        <v/>
      </c>
      <c r="C146" s="5">
        <f>IF($A146="","",IFERROR(INDEX('Catálogo'!$E$2:$E$813,MATCH($A146,'Catálogo'!$A$2:$A$813,0)),"código no encontrado"))</f>
        <v/>
      </c>
      <c r="D146" s="5">
        <f>IF($A146="","",IFERROR(INDEX('Catálogo'!$H$2:$H$813,MATCH($A146,'Catálogo'!$A$2:$A$813,0)),"código no encontrado"))</f>
        <v/>
      </c>
      <c r="E146" s="15" t="n"/>
      <c r="F146" s="10">
        <f>IF($A146="","",IFERROR(INDEX('Catálogo'!$N$2:$N$813,MATCH($A146,'Catálogo'!$A$2:$A$813,0)),"código no encontrado"))</f>
        <v/>
      </c>
      <c r="G146" s="14" t="n"/>
      <c r="H146" s="22" t="n"/>
      <c r="I146" s="14" t="n"/>
      <c r="J146" s="14" t="n"/>
      <c r="K146" s="14" t="n"/>
      <c r="L146" s="14" t="n"/>
      <c r="M146" s="11">
        <f>IF(OR($F146="",$H146="",NOT(ISNUMBER($F146)),NOT(ISNUMBER($H146))),"",($H146-$F146)/$F146)</f>
        <v/>
      </c>
      <c r="N146" s="10">
        <f>IF(OR($E146="",$H146=""),"",$E146*$H146)</f>
        <v/>
      </c>
      <c r="O146" s="14" t="n"/>
    </row>
    <row r="147">
      <c r="A147" s="14" t="n"/>
      <c r="B147" s="5">
        <f>IF($A147="","",IFERROR(INDEX('Catálogo'!$D$2:$D$813,MATCH($A147,'Catálogo'!$A$2:$A$813,0)),"código no encontrado"))</f>
        <v/>
      </c>
      <c r="C147" s="5">
        <f>IF($A147="","",IFERROR(INDEX('Catálogo'!$E$2:$E$813,MATCH($A147,'Catálogo'!$A$2:$A$813,0)),"código no encontrado"))</f>
        <v/>
      </c>
      <c r="D147" s="5">
        <f>IF($A147="","",IFERROR(INDEX('Catálogo'!$H$2:$H$813,MATCH($A147,'Catálogo'!$A$2:$A$813,0)),"código no encontrado"))</f>
        <v/>
      </c>
      <c r="E147" s="15" t="n"/>
      <c r="F147" s="10">
        <f>IF($A147="","",IFERROR(INDEX('Catálogo'!$N$2:$N$813,MATCH($A147,'Catálogo'!$A$2:$A$813,0)),"código no encontrado"))</f>
        <v/>
      </c>
      <c r="G147" s="14" t="n"/>
      <c r="H147" s="22" t="n"/>
      <c r="I147" s="14" t="n"/>
      <c r="J147" s="14" t="n"/>
      <c r="K147" s="14" t="n"/>
      <c r="L147" s="14" t="n"/>
      <c r="M147" s="11">
        <f>IF(OR($F147="",$H147="",NOT(ISNUMBER($F147)),NOT(ISNUMBER($H147))),"",($H147-$F147)/$F147)</f>
        <v/>
      </c>
      <c r="N147" s="10">
        <f>IF(OR($E147="",$H147=""),"",$E147*$H147)</f>
        <v/>
      </c>
      <c r="O147" s="14" t="n"/>
    </row>
    <row r="148">
      <c r="A148" s="14" t="n"/>
      <c r="B148" s="5">
        <f>IF($A148="","",IFERROR(INDEX('Catálogo'!$D$2:$D$813,MATCH($A148,'Catálogo'!$A$2:$A$813,0)),"código no encontrado"))</f>
        <v/>
      </c>
      <c r="C148" s="5">
        <f>IF($A148="","",IFERROR(INDEX('Catálogo'!$E$2:$E$813,MATCH($A148,'Catálogo'!$A$2:$A$813,0)),"código no encontrado"))</f>
        <v/>
      </c>
      <c r="D148" s="5">
        <f>IF($A148="","",IFERROR(INDEX('Catálogo'!$H$2:$H$813,MATCH($A148,'Catálogo'!$A$2:$A$813,0)),"código no encontrado"))</f>
        <v/>
      </c>
      <c r="E148" s="15" t="n"/>
      <c r="F148" s="10">
        <f>IF($A148="","",IFERROR(INDEX('Catálogo'!$N$2:$N$813,MATCH($A148,'Catálogo'!$A$2:$A$813,0)),"código no encontrado"))</f>
        <v/>
      </c>
      <c r="G148" s="14" t="n"/>
      <c r="H148" s="22" t="n"/>
      <c r="I148" s="14" t="n"/>
      <c r="J148" s="14" t="n"/>
      <c r="K148" s="14" t="n"/>
      <c r="L148" s="14" t="n"/>
      <c r="M148" s="11">
        <f>IF(OR($F148="",$H148="",NOT(ISNUMBER($F148)),NOT(ISNUMBER($H148))),"",($H148-$F148)/$F148)</f>
        <v/>
      </c>
      <c r="N148" s="10">
        <f>IF(OR($E148="",$H148=""),"",$E148*$H148)</f>
        <v/>
      </c>
      <c r="O148" s="14" t="n"/>
    </row>
    <row r="149">
      <c r="A149" s="14" t="n"/>
      <c r="B149" s="5">
        <f>IF($A149="","",IFERROR(INDEX('Catálogo'!$D$2:$D$813,MATCH($A149,'Catálogo'!$A$2:$A$813,0)),"código no encontrado"))</f>
        <v/>
      </c>
      <c r="C149" s="5">
        <f>IF($A149="","",IFERROR(INDEX('Catálogo'!$E$2:$E$813,MATCH($A149,'Catálogo'!$A$2:$A$813,0)),"código no encontrado"))</f>
        <v/>
      </c>
      <c r="D149" s="5">
        <f>IF($A149="","",IFERROR(INDEX('Catálogo'!$H$2:$H$813,MATCH($A149,'Catálogo'!$A$2:$A$813,0)),"código no encontrado"))</f>
        <v/>
      </c>
      <c r="E149" s="15" t="n"/>
      <c r="F149" s="10">
        <f>IF($A149="","",IFERROR(INDEX('Catálogo'!$N$2:$N$813,MATCH($A149,'Catálogo'!$A$2:$A$813,0)),"código no encontrado"))</f>
        <v/>
      </c>
      <c r="G149" s="14" t="n"/>
      <c r="H149" s="22" t="n"/>
      <c r="I149" s="14" t="n"/>
      <c r="J149" s="14" t="n"/>
      <c r="K149" s="14" t="n"/>
      <c r="L149" s="14" t="n"/>
      <c r="M149" s="11">
        <f>IF(OR($F149="",$H149="",NOT(ISNUMBER($F149)),NOT(ISNUMBER($H149))),"",($H149-$F149)/$F149)</f>
        <v/>
      </c>
      <c r="N149" s="10">
        <f>IF(OR($E149="",$H149=""),"",$E149*$H149)</f>
        <v/>
      </c>
      <c r="O149" s="14" t="n"/>
    </row>
    <row r="150">
      <c r="A150" s="14" t="n"/>
      <c r="B150" s="5">
        <f>IF($A150="","",IFERROR(INDEX('Catálogo'!$D$2:$D$813,MATCH($A150,'Catálogo'!$A$2:$A$813,0)),"código no encontrado"))</f>
        <v/>
      </c>
      <c r="C150" s="5">
        <f>IF($A150="","",IFERROR(INDEX('Catálogo'!$E$2:$E$813,MATCH($A150,'Catálogo'!$A$2:$A$813,0)),"código no encontrado"))</f>
        <v/>
      </c>
      <c r="D150" s="5">
        <f>IF($A150="","",IFERROR(INDEX('Catálogo'!$H$2:$H$813,MATCH($A150,'Catálogo'!$A$2:$A$813,0)),"código no encontrado"))</f>
        <v/>
      </c>
      <c r="E150" s="15" t="n"/>
      <c r="F150" s="10">
        <f>IF($A150="","",IFERROR(INDEX('Catálogo'!$N$2:$N$813,MATCH($A150,'Catálogo'!$A$2:$A$813,0)),"código no encontrado"))</f>
        <v/>
      </c>
      <c r="G150" s="14" t="n"/>
      <c r="H150" s="22" t="n"/>
      <c r="I150" s="14" t="n"/>
      <c r="J150" s="14" t="n"/>
      <c r="K150" s="14" t="n"/>
      <c r="L150" s="14" t="n"/>
      <c r="M150" s="11">
        <f>IF(OR($F150="",$H150="",NOT(ISNUMBER($F150)),NOT(ISNUMBER($H150))),"",($H150-$F150)/$F150)</f>
        <v/>
      </c>
      <c r="N150" s="10">
        <f>IF(OR($E150="",$H150=""),"",$E150*$H150)</f>
        <v/>
      </c>
      <c r="O150" s="14" t="n"/>
    </row>
    <row r="151">
      <c r="A151" s="14" t="n"/>
      <c r="B151" s="5">
        <f>IF($A151="","",IFERROR(INDEX('Catálogo'!$D$2:$D$813,MATCH($A151,'Catálogo'!$A$2:$A$813,0)),"código no encontrado"))</f>
        <v/>
      </c>
      <c r="C151" s="5">
        <f>IF($A151="","",IFERROR(INDEX('Catálogo'!$E$2:$E$813,MATCH($A151,'Catálogo'!$A$2:$A$813,0)),"código no encontrado"))</f>
        <v/>
      </c>
      <c r="D151" s="5">
        <f>IF($A151="","",IFERROR(INDEX('Catálogo'!$H$2:$H$813,MATCH($A151,'Catálogo'!$A$2:$A$813,0)),"código no encontrado"))</f>
        <v/>
      </c>
      <c r="E151" s="15" t="n"/>
      <c r="F151" s="10">
        <f>IF($A151="","",IFERROR(INDEX('Catálogo'!$N$2:$N$813,MATCH($A151,'Catálogo'!$A$2:$A$813,0)),"código no encontrado"))</f>
        <v/>
      </c>
      <c r="G151" s="14" t="n"/>
      <c r="H151" s="22" t="n"/>
      <c r="I151" s="14" t="n"/>
      <c r="J151" s="14" t="n"/>
      <c r="K151" s="14" t="n"/>
      <c r="L151" s="14" t="n"/>
      <c r="M151" s="11">
        <f>IF(OR($F151="",$H151="",NOT(ISNUMBER($F151)),NOT(ISNUMBER($H151))),"",($H151-$F151)/$F151)</f>
        <v/>
      </c>
      <c r="N151" s="10">
        <f>IF(OR($E151="",$H151=""),"",$E151*$H151)</f>
        <v/>
      </c>
      <c r="O151" s="14" t="n"/>
    </row>
    <row r="152">
      <c r="A152" s="14" t="n"/>
      <c r="B152" s="5">
        <f>IF($A152="","",IFERROR(INDEX('Catálogo'!$D$2:$D$813,MATCH($A152,'Catálogo'!$A$2:$A$813,0)),"código no encontrado"))</f>
        <v/>
      </c>
      <c r="C152" s="5">
        <f>IF($A152="","",IFERROR(INDEX('Catálogo'!$E$2:$E$813,MATCH($A152,'Catálogo'!$A$2:$A$813,0)),"código no encontrado"))</f>
        <v/>
      </c>
      <c r="D152" s="5">
        <f>IF($A152="","",IFERROR(INDEX('Catálogo'!$H$2:$H$813,MATCH($A152,'Catálogo'!$A$2:$A$813,0)),"código no encontrado"))</f>
        <v/>
      </c>
      <c r="E152" s="15" t="n"/>
      <c r="F152" s="10">
        <f>IF($A152="","",IFERROR(INDEX('Catálogo'!$N$2:$N$813,MATCH($A152,'Catálogo'!$A$2:$A$813,0)),"código no encontrado"))</f>
        <v/>
      </c>
      <c r="G152" s="14" t="n"/>
      <c r="H152" s="22" t="n"/>
      <c r="I152" s="14" t="n"/>
      <c r="J152" s="14" t="n"/>
      <c r="K152" s="14" t="n"/>
      <c r="L152" s="14" t="n"/>
      <c r="M152" s="11">
        <f>IF(OR($F152="",$H152="",NOT(ISNUMBER($F152)),NOT(ISNUMBER($H152))),"",($H152-$F152)/$F152)</f>
        <v/>
      </c>
      <c r="N152" s="10">
        <f>IF(OR($E152="",$H152=""),"",$E152*$H152)</f>
        <v/>
      </c>
      <c r="O152" s="14" t="n"/>
    </row>
    <row r="153">
      <c r="A153" s="14" t="n"/>
      <c r="B153" s="5">
        <f>IF($A153="","",IFERROR(INDEX('Catálogo'!$D$2:$D$813,MATCH($A153,'Catálogo'!$A$2:$A$813,0)),"código no encontrado"))</f>
        <v/>
      </c>
      <c r="C153" s="5">
        <f>IF($A153="","",IFERROR(INDEX('Catálogo'!$E$2:$E$813,MATCH($A153,'Catálogo'!$A$2:$A$813,0)),"código no encontrado"))</f>
        <v/>
      </c>
      <c r="D153" s="5">
        <f>IF($A153="","",IFERROR(INDEX('Catálogo'!$H$2:$H$813,MATCH($A153,'Catálogo'!$A$2:$A$813,0)),"código no encontrado"))</f>
        <v/>
      </c>
      <c r="E153" s="15" t="n"/>
      <c r="F153" s="10">
        <f>IF($A153="","",IFERROR(INDEX('Catálogo'!$N$2:$N$813,MATCH($A153,'Catálogo'!$A$2:$A$813,0)),"código no encontrado"))</f>
        <v/>
      </c>
      <c r="G153" s="14" t="n"/>
      <c r="H153" s="22" t="n"/>
      <c r="I153" s="14" t="n"/>
      <c r="J153" s="14" t="n"/>
      <c r="K153" s="14" t="n"/>
      <c r="L153" s="14" t="n"/>
      <c r="M153" s="11">
        <f>IF(OR($F153="",$H153="",NOT(ISNUMBER($F153)),NOT(ISNUMBER($H153))),"",($H153-$F153)/$F153)</f>
        <v/>
      </c>
      <c r="N153" s="10">
        <f>IF(OR($E153="",$H153=""),"",$E153*$H153)</f>
        <v/>
      </c>
      <c r="O153" s="14" t="n"/>
    </row>
    <row r="154">
      <c r="A154" s="14" t="n"/>
      <c r="B154" s="5">
        <f>IF($A154="","",IFERROR(INDEX('Catálogo'!$D$2:$D$813,MATCH($A154,'Catálogo'!$A$2:$A$813,0)),"código no encontrado"))</f>
        <v/>
      </c>
      <c r="C154" s="5">
        <f>IF($A154="","",IFERROR(INDEX('Catálogo'!$E$2:$E$813,MATCH($A154,'Catálogo'!$A$2:$A$813,0)),"código no encontrado"))</f>
        <v/>
      </c>
      <c r="D154" s="5">
        <f>IF($A154="","",IFERROR(INDEX('Catálogo'!$H$2:$H$813,MATCH($A154,'Catálogo'!$A$2:$A$813,0)),"código no encontrado"))</f>
        <v/>
      </c>
      <c r="E154" s="15" t="n"/>
      <c r="F154" s="10">
        <f>IF($A154="","",IFERROR(INDEX('Catálogo'!$N$2:$N$813,MATCH($A154,'Catálogo'!$A$2:$A$813,0)),"código no encontrado"))</f>
        <v/>
      </c>
      <c r="G154" s="14" t="n"/>
      <c r="H154" s="22" t="n"/>
      <c r="I154" s="14" t="n"/>
      <c r="J154" s="14" t="n"/>
      <c r="K154" s="14" t="n"/>
      <c r="L154" s="14" t="n"/>
      <c r="M154" s="11">
        <f>IF(OR($F154="",$H154="",NOT(ISNUMBER($F154)),NOT(ISNUMBER($H154))),"",($H154-$F154)/$F154)</f>
        <v/>
      </c>
      <c r="N154" s="10">
        <f>IF(OR($E154="",$H154=""),"",$E154*$H154)</f>
        <v/>
      </c>
      <c r="O154" s="14" t="n"/>
    </row>
    <row r="155">
      <c r="A155" s="14" t="n"/>
      <c r="B155" s="5">
        <f>IF($A155="","",IFERROR(INDEX('Catálogo'!$D$2:$D$813,MATCH($A155,'Catálogo'!$A$2:$A$813,0)),"código no encontrado"))</f>
        <v/>
      </c>
      <c r="C155" s="5">
        <f>IF($A155="","",IFERROR(INDEX('Catálogo'!$E$2:$E$813,MATCH($A155,'Catálogo'!$A$2:$A$813,0)),"código no encontrado"))</f>
        <v/>
      </c>
      <c r="D155" s="5">
        <f>IF($A155="","",IFERROR(INDEX('Catálogo'!$H$2:$H$813,MATCH($A155,'Catálogo'!$A$2:$A$813,0)),"código no encontrado"))</f>
        <v/>
      </c>
      <c r="E155" s="15" t="n"/>
      <c r="F155" s="10">
        <f>IF($A155="","",IFERROR(INDEX('Catálogo'!$N$2:$N$813,MATCH($A155,'Catálogo'!$A$2:$A$813,0)),"código no encontrado"))</f>
        <v/>
      </c>
      <c r="G155" s="14" t="n"/>
      <c r="H155" s="22" t="n"/>
      <c r="I155" s="14" t="n"/>
      <c r="J155" s="14" t="n"/>
      <c r="K155" s="14" t="n"/>
      <c r="L155" s="14" t="n"/>
      <c r="M155" s="11">
        <f>IF(OR($F155="",$H155="",NOT(ISNUMBER($F155)),NOT(ISNUMBER($H155))),"",($H155-$F155)/$F155)</f>
        <v/>
      </c>
      <c r="N155" s="10">
        <f>IF(OR($E155="",$H155=""),"",$E155*$H155)</f>
        <v/>
      </c>
      <c r="O155" s="14" t="n"/>
    </row>
    <row r="156">
      <c r="A156" s="14" t="n"/>
      <c r="B156" s="5">
        <f>IF($A156="","",IFERROR(INDEX('Catálogo'!$D$2:$D$813,MATCH($A156,'Catálogo'!$A$2:$A$813,0)),"código no encontrado"))</f>
        <v/>
      </c>
      <c r="C156" s="5">
        <f>IF($A156="","",IFERROR(INDEX('Catálogo'!$E$2:$E$813,MATCH($A156,'Catálogo'!$A$2:$A$813,0)),"código no encontrado"))</f>
        <v/>
      </c>
      <c r="D156" s="5">
        <f>IF($A156="","",IFERROR(INDEX('Catálogo'!$H$2:$H$813,MATCH($A156,'Catálogo'!$A$2:$A$813,0)),"código no encontrado"))</f>
        <v/>
      </c>
      <c r="E156" s="15" t="n"/>
      <c r="F156" s="10">
        <f>IF($A156="","",IFERROR(INDEX('Catálogo'!$N$2:$N$813,MATCH($A156,'Catálogo'!$A$2:$A$813,0)),"código no encontrado"))</f>
        <v/>
      </c>
      <c r="G156" s="14" t="n"/>
      <c r="H156" s="22" t="n"/>
      <c r="I156" s="14" t="n"/>
      <c r="J156" s="14" t="n"/>
      <c r="K156" s="14" t="n"/>
      <c r="L156" s="14" t="n"/>
      <c r="M156" s="11">
        <f>IF(OR($F156="",$H156="",NOT(ISNUMBER($F156)),NOT(ISNUMBER($H156))),"",($H156-$F156)/$F156)</f>
        <v/>
      </c>
      <c r="N156" s="10">
        <f>IF(OR($E156="",$H156=""),"",$E156*$H156)</f>
        <v/>
      </c>
      <c r="O156" s="14" t="n"/>
    </row>
    <row r="157">
      <c r="A157" s="14" t="n"/>
      <c r="B157" s="5">
        <f>IF($A157="","",IFERROR(INDEX('Catálogo'!$D$2:$D$813,MATCH($A157,'Catálogo'!$A$2:$A$813,0)),"código no encontrado"))</f>
        <v/>
      </c>
      <c r="C157" s="5">
        <f>IF($A157="","",IFERROR(INDEX('Catálogo'!$E$2:$E$813,MATCH($A157,'Catálogo'!$A$2:$A$813,0)),"código no encontrado"))</f>
        <v/>
      </c>
      <c r="D157" s="5">
        <f>IF($A157="","",IFERROR(INDEX('Catálogo'!$H$2:$H$813,MATCH($A157,'Catálogo'!$A$2:$A$813,0)),"código no encontrado"))</f>
        <v/>
      </c>
      <c r="E157" s="15" t="n"/>
      <c r="F157" s="10">
        <f>IF($A157="","",IFERROR(INDEX('Catálogo'!$N$2:$N$813,MATCH($A157,'Catálogo'!$A$2:$A$813,0)),"código no encontrado"))</f>
        <v/>
      </c>
      <c r="G157" s="14" t="n"/>
      <c r="H157" s="22" t="n"/>
      <c r="I157" s="14" t="n"/>
      <c r="J157" s="14" t="n"/>
      <c r="K157" s="14" t="n"/>
      <c r="L157" s="14" t="n"/>
      <c r="M157" s="11">
        <f>IF(OR($F157="",$H157="",NOT(ISNUMBER($F157)),NOT(ISNUMBER($H157))),"",($H157-$F157)/$F157)</f>
        <v/>
      </c>
      <c r="N157" s="10">
        <f>IF(OR($E157="",$H157=""),"",$E157*$H157)</f>
        <v/>
      </c>
      <c r="O157" s="14" t="n"/>
    </row>
    <row r="158">
      <c r="A158" s="14" t="n"/>
      <c r="B158" s="5">
        <f>IF($A158="","",IFERROR(INDEX('Catálogo'!$D$2:$D$813,MATCH($A158,'Catálogo'!$A$2:$A$813,0)),"código no encontrado"))</f>
        <v/>
      </c>
      <c r="C158" s="5">
        <f>IF($A158="","",IFERROR(INDEX('Catálogo'!$E$2:$E$813,MATCH($A158,'Catálogo'!$A$2:$A$813,0)),"código no encontrado"))</f>
        <v/>
      </c>
      <c r="D158" s="5">
        <f>IF($A158="","",IFERROR(INDEX('Catálogo'!$H$2:$H$813,MATCH($A158,'Catálogo'!$A$2:$A$813,0)),"código no encontrado"))</f>
        <v/>
      </c>
      <c r="E158" s="15" t="n"/>
      <c r="F158" s="10">
        <f>IF($A158="","",IFERROR(INDEX('Catálogo'!$N$2:$N$813,MATCH($A158,'Catálogo'!$A$2:$A$813,0)),"código no encontrado"))</f>
        <v/>
      </c>
      <c r="G158" s="14" t="n"/>
      <c r="H158" s="22" t="n"/>
      <c r="I158" s="14" t="n"/>
      <c r="J158" s="14" t="n"/>
      <c r="K158" s="14" t="n"/>
      <c r="L158" s="14" t="n"/>
      <c r="M158" s="11">
        <f>IF(OR($F158="",$H158="",NOT(ISNUMBER($F158)),NOT(ISNUMBER($H158))),"",($H158-$F158)/$F158)</f>
        <v/>
      </c>
      <c r="N158" s="10">
        <f>IF(OR($E158="",$H158=""),"",$E158*$H158)</f>
        <v/>
      </c>
      <c r="O158" s="14" t="n"/>
    </row>
    <row r="159">
      <c r="A159" s="14" t="n"/>
      <c r="B159" s="5">
        <f>IF($A159="","",IFERROR(INDEX('Catálogo'!$D$2:$D$813,MATCH($A159,'Catálogo'!$A$2:$A$813,0)),"código no encontrado"))</f>
        <v/>
      </c>
      <c r="C159" s="5">
        <f>IF($A159="","",IFERROR(INDEX('Catálogo'!$E$2:$E$813,MATCH($A159,'Catálogo'!$A$2:$A$813,0)),"código no encontrado"))</f>
        <v/>
      </c>
      <c r="D159" s="5">
        <f>IF($A159="","",IFERROR(INDEX('Catálogo'!$H$2:$H$813,MATCH($A159,'Catálogo'!$A$2:$A$813,0)),"código no encontrado"))</f>
        <v/>
      </c>
      <c r="E159" s="15" t="n"/>
      <c r="F159" s="10">
        <f>IF($A159="","",IFERROR(INDEX('Catálogo'!$N$2:$N$813,MATCH($A159,'Catálogo'!$A$2:$A$813,0)),"código no encontrado"))</f>
        <v/>
      </c>
      <c r="G159" s="14" t="n"/>
      <c r="H159" s="22" t="n"/>
      <c r="I159" s="14" t="n"/>
      <c r="J159" s="14" t="n"/>
      <c r="K159" s="14" t="n"/>
      <c r="L159" s="14" t="n"/>
      <c r="M159" s="11">
        <f>IF(OR($F159="",$H159="",NOT(ISNUMBER($F159)),NOT(ISNUMBER($H159))),"",($H159-$F159)/$F159)</f>
        <v/>
      </c>
      <c r="N159" s="10">
        <f>IF(OR($E159="",$H159=""),"",$E159*$H159)</f>
        <v/>
      </c>
      <c r="O159" s="14" t="n"/>
    </row>
    <row r="160">
      <c r="A160" s="14" t="n"/>
      <c r="B160" s="5">
        <f>IF($A160="","",IFERROR(INDEX('Catálogo'!$D$2:$D$813,MATCH($A160,'Catálogo'!$A$2:$A$813,0)),"código no encontrado"))</f>
        <v/>
      </c>
      <c r="C160" s="5">
        <f>IF($A160="","",IFERROR(INDEX('Catálogo'!$E$2:$E$813,MATCH($A160,'Catálogo'!$A$2:$A$813,0)),"código no encontrado"))</f>
        <v/>
      </c>
      <c r="D160" s="5">
        <f>IF($A160="","",IFERROR(INDEX('Catálogo'!$H$2:$H$813,MATCH($A160,'Catálogo'!$A$2:$A$813,0)),"código no encontrado"))</f>
        <v/>
      </c>
      <c r="E160" s="15" t="n"/>
      <c r="F160" s="10">
        <f>IF($A160="","",IFERROR(INDEX('Catálogo'!$N$2:$N$813,MATCH($A160,'Catálogo'!$A$2:$A$813,0)),"código no encontrado"))</f>
        <v/>
      </c>
      <c r="G160" s="14" t="n"/>
      <c r="H160" s="22" t="n"/>
      <c r="I160" s="14" t="n"/>
      <c r="J160" s="14" t="n"/>
      <c r="K160" s="14" t="n"/>
      <c r="L160" s="14" t="n"/>
      <c r="M160" s="11">
        <f>IF(OR($F160="",$H160="",NOT(ISNUMBER($F160)),NOT(ISNUMBER($H160))),"",($H160-$F160)/$F160)</f>
        <v/>
      </c>
      <c r="N160" s="10">
        <f>IF(OR($E160="",$H160=""),"",$E160*$H160)</f>
        <v/>
      </c>
      <c r="O160" s="14" t="n"/>
    </row>
    <row r="161">
      <c r="A161" s="14" t="n"/>
      <c r="B161" s="5">
        <f>IF($A161="","",IFERROR(INDEX('Catálogo'!$D$2:$D$813,MATCH($A161,'Catálogo'!$A$2:$A$813,0)),"código no encontrado"))</f>
        <v/>
      </c>
      <c r="C161" s="5">
        <f>IF($A161="","",IFERROR(INDEX('Catálogo'!$E$2:$E$813,MATCH($A161,'Catálogo'!$A$2:$A$813,0)),"código no encontrado"))</f>
        <v/>
      </c>
      <c r="D161" s="5">
        <f>IF($A161="","",IFERROR(INDEX('Catálogo'!$H$2:$H$813,MATCH($A161,'Catálogo'!$A$2:$A$813,0)),"código no encontrado"))</f>
        <v/>
      </c>
      <c r="E161" s="15" t="n"/>
      <c r="F161" s="10">
        <f>IF($A161="","",IFERROR(INDEX('Catálogo'!$N$2:$N$813,MATCH($A161,'Catálogo'!$A$2:$A$813,0)),"código no encontrado"))</f>
        <v/>
      </c>
      <c r="G161" s="14" t="n"/>
      <c r="H161" s="22" t="n"/>
      <c r="I161" s="14" t="n"/>
      <c r="J161" s="14" t="n"/>
      <c r="K161" s="14" t="n"/>
      <c r="L161" s="14" t="n"/>
      <c r="M161" s="11">
        <f>IF(OR($F161="",$H161="",NOT(ISNUMBER($F161)),NOT(ISNUMBER($H161))),"",($H161-$F161)/$F161)</f>
        <v/>
      </c>
      <c r="N161" s="10">
        <f>IF(OR($E161="",$H161=""),"",$E161*$H161)</f>
        <v/>
      </c>
      <c r="O161" s="14" t="n"/>
    </row>
    <row r="162">
      <c r="A162" s="14" t="n"/>
      <c r="B162" s="5">
        <f>IF($A162="","",IFERROR(INDEX('Catálogo'!$D$2:$D$813,MATCH($A162,'Catálogo'!$A$2:$A$813,0)),"código no encontrado"))</f>
        <v/>
      </c>
      <c r="C162" s="5">
        <f>IF($A162="","",IFERROR(INDEX('Catálogo'!$E$2:$E$813,MATCH($A162,'Catálogo'!$A$2:$A$813,0)),"código no encontrado"))</f>
        <v/>
      </c>
      <c r="D162" s="5">
        <f>IF($A162="","",IFERROR(INDEX('Catálogo'!$H$2:$H$813,MATCH($A162,'Catálogo'!$A$2:$A$813,0)),"código no encontrado"))</f>
        <v/>
      </c>
      <c r="E162" s="15" t="n"/>
      <c r="F162" s="10">
        <f>IF($A162="","",IFERROR(INDEX('Catálogo'!$N$2:$N$813,MATCH($A162,'Catálogo'!$A$2:$A$813,0)),"código no encontrado"))</f>
        <v/>
      </c>
      <c r="G162" s="14" t="n"/>
      <c r="H162" s="22" t="n"/>
      <c r="I162" s="14" t="n"/>
      <c r="J162" s="14" t="n"/>
      <c r="K162" s="14" t="n"/>
      <c r="L162" s="14" t="n"/>
      <c r="M162" s="11">
        <f>IF(OR($F162="",$H162="",NOT(ISNUMBER($F162)),NOT(ISNUMBER($H162))),"",($H162-$F162)/$F162)</f>
        <v/>
      </c>
      <c r="N162" s="10">
        <f>IF(OR($E162="",$H162=""),"",$E162*$H162)</f>
        <v/>
      </c>
      <c r="O162" s="14" t="n"/>
    </row>
    <row r="163">
      <c r="A163" s="14" t="n"/>
      <c r="B163" s="5">
        <f>IF($A163="","",IFERROR(INDEX('Catálogo'!$D$2:$D$813,MATCH($A163,'Catálogo'!$A$2:$A$813,0)),"código no encontrado"))</f>
        <v/>
      </c>
      <c r="C163" s="5">
        <f>IF($A163="","",IFERROR(INDEX('Catálogo'!$E$2:$E$813,MATCH($A163,'Catálogo'!$A$2:$A$813,0)),"código no encontrado"))</f>
        <v/>
      </c>
      <c r="D163" s="5">
        <f>IF($A163="","",IFERROR(INDEX('Catálogo'!$H$2:$H$813,MATCH($A163,'Catálogo'!$A$2:$A$813,0)),"código no encontrado"))</f>
        <v/>
      </c>
      <c r="E163" s="15" t="n"/>
      <c r="F163" s="10">
        <f>IF($A163="","",IFERROR(INDEX('Catálogo'!$N$2:$N$813,MATCH($A163,'Catálogo'!$A$2:$A$813,0)),"código no encontrado"))</f>
        <v/>
      </c>
      <c r="G163" s="14" t="n"/>
      <c r="H163" s="22" t="n"/>
      <c r="I163" s="14" t="n"/>
      <c r="J163" s="14" t="n"/>
      <c r="K163" s="14" t="n"/>
      <c r="L163" s="14" t="n"/>
      <c r="M163" s="11">
        <f>IF(OR($F163="",$H163="",NOT(ISNUMBER($F163)),NOT(ISNUMBER($H163))),"",($H163-$F163)/$F163)</f>
        <v/>
      </c>
      <c r="N163" s="10">
        <f>IF(OR($E163="",$H163=""),"",$E163*$H163)</f>
        <v/>
      </c>
      <c r="O163" s="14" t="n"/>
    </row>
    <row r="164">
      <c r="A164" s="14" t="n"/>
      <c r="B164" s="5">
        <f>IF($A164="","",IFERROR(INDEX('Catálogo'!$D$2:$D$813,MATCH($A164,'Catálogo'!$A$2:$A$813,0)),"código no encontrado"))</f>
        <v/>
      </c>
      <c r="C164" s="5">
        <f>IF($A164="","",IFERROR(INDEX('Catálogo'!$E$2:$E$813,MATCH($A164,'Catálogo'!$A$2:$A$813,0)),"código no encontrado"))</f>
        <v/>
      </c>
      <c r="D164" s="5">
        <f>IF($A164="","",IFERROR(INDEX('Catálogo'!$H$2:$H$813,MATCH($A164,'Catálogo'!$A$2:$A$813,0)),"código no encontrado"))</f>
        <v/>
      </c>
      <c r="E164" s="15" t="n"/>
      <c r="F164" s="10">
        <f>IF($A164="","",IFERROR(INDEX('Catálogo'!$N$2:$N$813,MATCH($A164,'Catálogo'!$A$2:$A$813,0)),"código no encontrado"))</f>
        <v/>
      </c>
      <c r="G164" s="14" t="n"/>
      <c r="H164" s="22" t="n"/>
      <c r="I164" s="14" t="n"/>
      <c r="J164" s="14" t="n"/>
      <c r="K164" s="14" t="n"/>
      <c r="L164" s="14" t="n"/>
      <c r="M164" s="11">
        <f>IF(OR($F164="",$H164="",NOT(ISNUMBER($F164)),NOT(ISNUMBER($H164))),"",($H164-$F164)/$F164)</f>
        <v/>
      </c>
      <c r="N164" s="10">
        <f>IF(OR($E164="",$H164=""),"",$E164*$H164)</f>
        <v/>
      </c>
      <c r="O164" s="14" t="n"/>
    </row>
    <row r="165">
      <c r="A165" s="14" t="n"/>
      <c r="B165" s="5">
        <f>IF($A165="","",IFERROR(INDEX('Catálogo'!$D$2:$D$813,MATCH($A165,'Catálogo'!$A$2:$A$813,0)),"código no encontrado"))</f>
        <v/>
      </c>
      <c r="C165" s="5">
        <f>IF($A165="","",IFERROR(INDEX('Catálogo'!$E$2:$E$813,MATCH($A165,'Catálogo'!$A$2:$A$813,0)),"código no encontrado"))</f>
        <v/>
      </c>
      <c r="D165" s="5">
        <f>IF($A165="","",IFERROR(INDEX('Catálogo'!$H$2:$H$813,MATCH($A165,'Catálogo'!$A$2:$A$813,0)),"código no encontrado"))</f>
        <v/>
      </c>
      <c r="E165" s="15" t="n"/>
      <c r="F165" s="10">
        <f>IF($A165="","",IFERROR(INDEX('Catálogo'!$N$2:$N$813,MATCH($A165,'Catálogo'!$A$2:$A$813,0)),"código no encontrado"))</f>
        <v/>
      </c>
      <c r="G165" s="14" t="n"/>
      <c r="H165" s="22" t="n"/>
      <c r="I165" s="14" t="n"/>
      <c r="J165" s="14" t="n"/>
      <c r="K165" s="14" t="n"/>
      <c r="L165" s="14" t="n"/>
      <c r="M165" s="11">
        <f>IF(OR($F165="",$H165="",NOT(ISNUMBER($F165)),NOT(ISNUMBER($H165))),"",($H165-$F165)/$F165)</f>
        <v/>
      </c>
      <c r="N165" s="10">
        <f>IF(OR($E165="",$H165=""),"",$E165*$H165)</f>
        <v/>
      </c>
      <c r="O165" s="14" t="n"/>
    </row>
    <row r="166">
      <c r="A166" s="14" t="n"/>
      <c r="B166" s="5">
        <f>IF($A166="","",IFERROR(INDEX('Catálogo'!$D$2:$D$813,MATCH($A166,'Catálogo'!$A$2:$A$813,0)),"código no encontrado"))</f>
        <v/>
      </c>
      <c r="C166" s="5">
        <f>IF($A166="","",IFERROR(INDEX('Catálogo'!$E$2:$E$813,MATCH($A166,'Catálogo'!$A$2:$A$813,0)),"código no encontrado"))</f>
        <v/>
      </c>
      <c r="D166" s="5">
        <f>IF($A166="","",IFERROR(INDEX('Catálogo'!$H$2:$H$813,MATCH($A166,'Catálogo'!$A$2:$A$813,0)),"código no encontrado"))</f>
        <v/>
      </c>
      <c r="E166" s="15" t="n"/>
      <c r="F166" s="10">
        <f>IF($A166="","",IFERROR(INDEX('Catálogo'!$N$2:$N$813,MATCH($A166,'Catálogo'!$A$2:$A$813,0)),"código no encontrado"))</f>
        <v/>
      </c>
      <c r="G166" s="14" t="n"/>
      <c r="H166" s="22" t="n"/>
      <c r="I166" s="14" t="n"/>
      <c r="J166" s="14" t="n"/>
      <c r="K166" s="14" t="n"/>
      <c r="L166" s="14" t="n"/>
      <c r="M166" s="11">
        <f>IF(OR($F166="",$H166="",NOT(ISNUMBER($F166)),NOT(ISNUMBER($H166))),"",($H166-$F166)/$F166)</f>
        <v/>
      </c>
      <c r="N166" s="10">
        <f>IF(OR($E166="",$H166=""),"",$E166*$H166)</f>
        <v/>
      </c>
      <c r="O166" s="14" t="n"/>
    </row>
    <row r="167">
      <c r="A167" s="14" t="n"/>
      <c r="B167" s="5">
        <f>IF($A167="","",IFERROR(INDEX('Catálogo'!$D$2:$D$813,MATCH($A167,'Catálogo'!$A$2:$A$813,0)),"código no encontrado"))</f>
        <v/>
      </c>
      <c r="C167" s="5">
        <f>IF($A167="","",IFERROR(INDEX('Catálogo'!$E$2:$E$813,MATCH($A167,'Catálogo'!$A$2:$A$813,0)),"código no encontrado"))</f>
        <v/>
      </c>
      <c r="D167" s="5">
        <f>IF($A167="","",IFERROR(INDEX('Catálogo'!$H$2:$H$813,MATCH($A167,'Catálogo'!$A$2:$A$813,0)),"código no encontrado"))</f>
        <v/>
      </c>
      <c r="E167" s="15" t="n"/>
      <c r="F167" s="10">
        <f>IF($A167="","",IFERROR(INDEX('Catálogo'!$N$2:$N$813,MATCH($A167,'Catálogo'!$A$2:$A$813,0)),"código no encontrado"))</f>
        <v/>
      </c>
      <c r="G167" s="14" t="n"/>
      <c r="H167" s="22" t="n"/>
      <c r="I167" s="14" t="n"/>
      <c r="J167" s="14" t="n"/>
      <c r="K167" s="14" t="n"/>
      <c r="L167" s="14" t="n"/>
      <c r="M167" s="11">
        <f>IF(OR($F167="",$H167="",NOT(ISNUMBER($F167)),NOT(ISNUMBER($H167))),"",($H167-$F167)/$F167)</f>
        <v/>
      </c>
      <c r="N167" s="10">
        <f>IF(OR($E167="",$H167=""),"",$E167*$H167)</f>
        <v/>
      </c>
      <c r="O167" s="14" t="n"/>
    </row>
    <row r="168">
      <c r="A168" s="14" t="n"/>
      <c r="B168" s="5">
        <f>IF($A168="","",IFERROR(INDEX('Catálogo'!$D$2:$D$813,MATCH($A168,'Catálogo'!$A$2:$A$813,0)),"código no encontrado"))</f>
        <v/>
      </c>
      <c r="C168" s="5">
        <f>IF($A168="","",IFERROR(INDEX('Catálogo'!$E$2:$E$813,MATCH($A168,'Catálogo'!$A$2:$A$813,0)),"código no encontrado"))</f>
        <v/>
      </c>
      <c r="D168" s="5">
        <f>IF($A168="","",IFERROR(INDEX('Catálogo'!$H$2:$H$813,MATCH($A168,'Catálogo'!$A$2:$A$813,0)),"código no encontrado"))</f>
        <v/>
      </c>
      <c r="E168" s="15" t="n"/>
      <c r="F168" s="10">
        <f>IF($A168="","",IFERROR(INDEX('Catálogo'!$N$2:$N$813,MATCH($A168,'Catálogo'!$A$2:$A$813,0)),"código no encontrado"))</f>
        <v/>
      </c>
      <c r="G168" s="14" t="n"/>
      <c r="H168" s="22" t="n"/>
      <c r="I168" s="14" t="n"/>
      <c r="J168" s="14" t="n"/>
      <c r="K168" s="14" t="n"/>
      <c r="L168" s="14" t="n"/>
      <c r="M168" s="11">
        <f>IF(OR($F168="",$H168="",NOT(ISNUMBER($F168)),NOT(ISNUMBER($H168))),"",($H168-$F168)/$F168)</f>
        <v/>
      </c>
      <c r="N168" s="10">
        <f>IF(OR($E168="",$H168=""),"",$E168*$H168)</f>
        <v/>
      </c>
      <c r="O168" s="14" t="n"/>
    </row>
    <row r="169">
      <c r="A169" s="14" t="n"/>
      <c r="B169" s="5">
        <f>IF($A169="","",IFERROR(INDEX('Catálogo'!$D$2:$D$813,MATCH($A169,'Catálogo'!$A$2:$A$813,0)),"código no encontrado"))</f>
        <v/>
      </c>
      <c r="C169" s="5">
        <f>IF($A169="","",IFERROR(INDEX('Catálogo'!$E$2:$E$813,MATCH($A169,'Catálogo'!$A$2:$A$813,0)),"código no encontrado"))</f>
        <v/>
      </c>
      <c r="D169" s="5">
        <f>IF($A169="","",IFERROR(INDEX('Catálogo'!$H$2:$H$813,MATCH($A169,'Catálogo'!$A$2:$A$813,0)),"código no encontrado"))</f>
        <v/>
      </c>
      <c r="E169" s="15" t="n"/>
      <c r="F169" s="10">
        <f>IF($A169="","",IFERROR(INDEX('Catálogo'!$N$2:$N$813,MATCH($A169,'Catálogo'!$A$2:$A$813,0)),"código no encontrado"))</f>
        <v/>
      </c>
      <c r="G169" s="14" t="n"/>
      <c r="H169" s="22" t="n"/>
      <c r="I169" s="14" t="n"/>
      <c r="J169" s="14" t="n"/>
      <c r="K169" s="14" t="n"/>
      <c r="L169" s="14" t="n"/>
      <c r="M169" s="11">
        <f>IF(OR($F169="",$H169="",NOT(ISNUMBER($F169)),NOT(ISNUMBER($H169))),"",($H169-$F169)/$F169)</f>
        <v/>
      </c>
      <c r="N169" s="10">
        <f>IF(OR($E169="",$H169=""),"",$E169*$H169)</f>
        <v/>
      </c>
      <c r="O169" s="14" t="n"/>
    </row>
    <row r="170">
      <c r="A170" s="14" t="n"/>
      <c r="B170" s="5">
        <f>IF($A170="","",IFERROR(INDEX('Catálogo'!$D$2:$D$813,MATCH($A170,'Catálogo'!$A$2:$A$813,0)),"código no encontrado"))</f>
        <v/>
      </c>
      <c r="C170" s="5">
        <f>IF($A170="","",IFERROR(INDEX('Catálogo'!$E$2:$E$813,MATCH($A170,'Catálogo'!$A$2:$A$813,0)),"código no encontrado"))</f>
        <v/>
      </c>
      <c r="D170" s="5">
        <f>IF($A170="","",IFERROR(INDEX('Catálogo'!$H$2:$H$813,MATCH($A170,'Catálogo'!$A$2:$A$813,0)),"código no encontrado"))</f>
        <v/>
      </c>
      <c r="E170" s="15" t="n"/>
      <c r="F170" s="10">
        <f>IF($A170="","",IFERROR(INDEX('Catálogo'!$N$2:$N$813,MATCH($A170,'Catálogo'!$A$2:$A$813,0)),"código no encontrado"))</f>
        <v/>
      </c>
      <c r="G170" s="14" t="n"/>
      <c r="H170" s="22" t="n"/>
      <c r="I170" s="14" t="n"/>
      <c r="J170" s="14" t="n"/>
      <c r="K170" s="14" t="n"/>
      <c r="L170" s="14" t="n"/>
      <c r="M170" s="11">
        <f>IF(OR($F170="",$H170="",NOT(ISNUMBER($F170)),NOT(ISNUMBER($H170))),"",($H170-$F170)/$F170)</f>
        <v/>
      </c>
      <c r="N170" s="10">
        <f>IF(OR($E170="",$H170=""),"",$E170*$H170)</f>
        <v/>
      </c>
      <c r="O170" s="14" t="n"/>
    </row>
    <row r="171">
      <c r="A171" s="14" t="n"/>
      <c r="B171" s="5">
        <f>IF($A171="","",IFERROR(INDEX('Catálogo'!$D$2:$D$813,MATCH($A171,'Catálogo'!$A$2:$A$813,0)),"código no encontrado"))</f>
        <v/>
      </c>
      <c r="C171" s="5">
        <f>IF($A171="","",IFERROR(INDEX('Catálogo'!$E$2:$E$813,MATCH($A171,'Catálogo'!$A$2:$A$813,0)),"código no encontrado"))</f>
        <v/>
      </c>
      <c r="D171" s="5">
        <f>IF($A171="","",IFERROR(INDEX('Catálogo'!$H$2:$H$813,MATCH($A171,'Catálogo'!$A$2:$A$813,0)),"código no encontrado"))</f>
        <v/>
      </c>
      <c r="E171" s="15" t="n"/>
      <c r="F171" s="10">
        <f>IF($A171="","",IFERROR(INDEX('Catálogo'!$N$2:$N$813,MATCH($A171,'Catálogo'!$A$2:$A$813,0)),"código no encontrado"))</f>
        <v/>
      </c>
      <c r="G171" s="14" t="n"/>
      <c r="H171" s="22" t="n"/>
      <c r="I171" s="14" t="n"/>
      <c r="J171" s="14" t="n"/>
      <c r="K171" s="14" t="n"/>
      <c r="L171" s="14" t="n"/>
      <c r="M171" s="11">
        <f>IF(OR($F171="",$H171="",NOT(ISNUMBER($F171)),NOT(ISNUMBER($H171))),"",($H171-$F171)/$F171)</f>
        <v/>
      </c>
      <c r="N171" s="10">
        <f>IF(OR($E171="",$H171=""),"",$E171*$H171)</f>
        <v/>
      </c>
      <c r="O171" s="14" t="n"/>
    </row>
    <row r="172">
      <c r="A172" s="14" t="n"/>
      <c r="B172" s="5">
        <f>IF($A172="","",IFERROR(INDEX('Catálogo'!$D$2:$D$813,MATCH($A172,'Catálogo'!$A$2:$A$813,0)),"código no encontrado"))</f>
        <v/>
      </c>
      <c r="C172" s="5">
        <f>IF($A172="","",IFERROR(INDEX('Catálogo'!$E$2:$E$813,MATCH($A172,'Catálogo'!$A$2:$A$813,0)),"código no encontrado"))</f>
        <v/>
      </c>
      <c r="D172" s="5">
        <f>IF($A172="","",IFERROR(INDEX('Catálogo'!$H$2:$H$813,MATCH($A172,'Catálogo'!$A$2:$A$813,0)),"código no encontrado"))</f>
        <v/>
      </c>
      <c r="E172" s="15" t="n"/>
      <c r="F172" s="10">
        <f>IF($A172="","",IFERROR(INDEX('Catálogo'!$N$2:$N$813,MATCH($A172,'Catálogo'!$A$2:$A$813,0)),"código no encontrado"))</f>
        <v/>
      </c>
      <c r="G172" s="14" t="n"/>
      <c r="H172" s="22" t="n"/>
      <c r="I172" s="14" t="n"/>
      <c r="J172" s="14" t="n"/>
      <c r="K172" s="14" t="n"/>
      <c r="L172" s="14" t="n"/>
      <c r="M172" s="11">
        <f>IF(OR($F172="",$H172="",NOT(ISNUMBER($F172)),NOT(ISNUMBER($H172))),"",($H172-$F172)/$F172)</f>
        <v/>
      </c>
      <c r="N172" s="10">
        <f>IF(OR($E172="",$H172=""),"",$E172*$H172)</f>
        <v/>
      </c>
      <c r="O172" s="14" t="n"/>
    </row>
    <row r="173">
      <c r="A173" s="14" t="n"/>
      <c r="B173" s="5">
        <f>IF($A173="","",IFERROR(INDEX('Catálogo'!$D$2:$D$813,MATCH($A173,'Catálogo'!$A$2:$A$813,0)),"código no encontrado"))</f>
        <v/>
      </c>
      <c r="C173" s="5">
        <f>IF($A173="","",IFERROR(INDEX('Catálogo'!$E$2:$E$813,MATCH($A173,'Catálogo'!$A$2:$A$813,0)),"código no encontrado"))</f>
        <v/>
      </c>
      <c r="D173" s="5">
        <f>IF($A173="","",IFERROR(INDEX('Catálogo'!$H$2:$H$813,MATCH($A173,'Catálogo'!$A$2:$A$813,0)),"código no encontrado"))</f>
        <v/>
      </c>
      <c r="E173" s="15" t="n"/>
      <c r="F173" s="10">
        <f>IF($A173="","",IFERROR(INDEX('Catálogo'!$N$2:$N$813,MATCH($A173,'Catálogo'!$A$2:$A$813,0)),"código no encontrado"))</f>
        <v/>
      </c>
      <c r="G173" s="14" t="n"/>
      <c r="H173" s="22" t="n"/>
      <c r="I173" s="14" t="n"/>
      <c r="J173" s="14" t="n"/>
      <c r="K173" s="14" t="n"/>
      <c r="L173" s="14" t="n"/>
      <c r="M173" s="11">
        <f>IF(OR($F173="",$H173="",NOT(ISNUMBER($F173)),NOT(ISNUMBER($H173))),"",($H173-$F173)/$F173)</f>
        <v/>
      </c>
      <c r="N173" s="10">
        <f>IF(OR($E173="",$H173=""),"",$E173*$H173)</f>
        <v/>
      </c>
      <c r="O173" s="14" t="n"/>
    </row>
    <row r="174">
      <c r="A174" s="14" t="n"/>
      <c r="B174" s="5">
        <f>IF($A174="","",IFERROR(INDEX('Catálogo'!$D$2:$D$813,MATCH($A174,'Catálogo'!$A$2:$A$813,0)),"código no encontrado"))</f>
        <v/>
      </c>
      <c r="C174" s="5">
        <f>IF($A174="","",IFERROR(INDEX('Catálogo'!$E$2:$E$813,MATCH($A174,'Catálogo'!$A$2:$A$813,0)),"código no encontrado"))</f>
        <v/>
      </c>
      <c r="D174" s="5">
        <f>IF($A174="","",IFERROR(INDEX('Catálogo'!$H$2:$H$813,MATCH($A174,'Catálogo'!$A$2:$A$813,0)),"código no encontrado"))</f>
        <v/>
      </c>
      <c r="E174" s="15" t="n"/>
      <c r="F174" s="10">
        <f>IF($A174="","",IFERROR(INDEX('Catálogo'!$N$2:$N$813,MATCH($A174,'Catálogo'!$A$2:$A$813,0)),"código no encontrado"))</f>
        <v/>
      </c>
      <c r="G174" s="14" t="n"/>
      <c r="H174" s="22" t="n"/>
      <c r="I174" s="14" t="n"/>
      <c r="J174" s="14" t="n"/>
      <c r="K174" s="14" t="n"/>
      <c r="L174" s="14" t="n"/>
      <c r="M174" s="11">
        <f>IF(OR($F174="",$H174="",NOT(ISNUMBER($F174)),NOT(ISNUMBER($H174))),"",($H174-$F174)/$F174)</f>
        <v/>
      </c>
      <c r="N174" s="10">
        <f>IF(OR($E174="",$H174=""),"",$E174*$H174)</f>
        <v/>
      </c>
      <c r="O174" s="14" t="n"/>
    </row>
    <row r="175">
      <c r="A175" s="14" t="n"/>
      <c r="B175" s="5">
        <f>IF($A175="","",IFERROR(INDEX('Catálogo'!$D$2:$D$813,MATCH($A175,'Catálogo'!$A$2:$A$813,0)),"código no encontrado"))</f>
        <v/>
      </c>
      <c r="C175" s="5">
        <f>IF($A175="","",IFERROR(INDEX('Catálogo'!$E$2:$E$813,MATCH($A175,'Catálogo'!$A$2:$A$813,0)),"código no encontrado"))</f>
        <v/>
      </c>
      <c r="D175" s="5">
        <f>IF($A175="","",IFERROR(INDEX('Catálogo'!$H$2:$H$813,MATCH($A175,'Catálogo'!$A$2:$A$813,0)),"código no encontrado"))</f>
        <v/>
      </c>
      <c r="E175" s="15" t="n"/>
      <c r="F175" s="10">
        <f>IF($A175="","",IFERROR(INDEX('Catálogo'!$N$2:$N$813,MATCH($A175,'Catálogo'!$A$2:$A$813,0)),"código no encontrado"))</f>
        <v/>
      </c>
      <c r="G175" s="14" t="n"/>
      <c r="H175" s="22" t="n"/>
      <c r="I175" s="14" t="n"/>
      <c r="J175" s="14" t="n"/>
      <c r="K175" s="14" t="n"/>
      <c r="L175" s="14" t="n"/>
      <c r="M175" s="11">
        <f>IF(OR($F175="",$H175="",NOT(ISNUMBER($F175)),NOT(ISNUMBER($H175))),"",($H175-$F175)/$F175)</f>
        <v/>
      </c>
      <c r="N175" s="10">
        <f>IF(OR($E175="",$H175=""),"",$E175*$H175)</f>
        <v/>
      </c>
      <c r="O175" s="14" t="n"/>
    </row>
    <row r="176">
      <c r="A176" s="14" t="n"/>
      <c r="B176" s="5">
        <f>IF($A176="","",IFERROR(INDEX('Catálogo'!$D$2:$D$813,MATCH($A176,'Catálogo'!$A$2:$A$813,0)),"código no encontrado"))</f>
        <v/>
      </c>
      <c r="C176" s="5">
        <f>IF($A176="","",IFERROR(INDEX('Catálogo'!$E$2:$E$813,MATCH($A176,'Catálogo'!$A$2:$A$813,0)),"código no encontrado"))</f>
        <v/>
      </c>
      <c r="D176" s="5">
        <f>IF($A176="","",IFERROR(INDEX('Catálogo'!$H$2:$H$813,MATCH($A176,'Catálogo'!$A$2:$A$813,0)),"código no encontrado"))</f>
        <v/>
      </c>
      <c r="E176" s="15" t="n"/>
      <c r="F176" s="10">
        <f>IF($A176="","",IFERROR(INDEX('Catálogo'!$N$2:$N$813,MATCH($A176,'Catálogo'!$A$2:$A$813,0)),"código no encontrado"))</f>
        <v/>
      </c>
      <c r="G176" s="14" t="n"/>
      <c r="H176" s="22" t="n"/>
      <c r="I176" s="14" t="n"/>
      <c r="J176" s="14" t="n"/>
      <c r="K176" s="14" t="n"/>
      <c r="L176" s="14" t="n"/>
      <c r="M176" s="11">
        <f>IF(OR($F176="",$H176="",NOT(ISNUMBER($F176)),NOT(ISNUMBER($H176))),"",($H176-$F176)/$F176)</f>
        <v/>
      </c>
      <c r="N176" s="10">
        <f>IF(OR($E176="",$H176=""),"",$E176*$H176)</f>
        <v/>
      </c>
      <c r="O176" s="14" t="n"/>
    </row>
    <row r="177">
      <c r="A177" s="14" t="n"/>
      <c r="B177" s="5">
        <f>IF($A177="","",IFERROR(INDEX('Catálogo'!$D$2:$D$813,MATCH($A177,'Catálogo'!$A$2:$A$813,0)),"código no encontrado"))</f>
        <v/>
      </c>
      <c r="C177" s="5">
        <f>IF($A177="","",IFERROR(INDEX('Catálogo'!$E$2:$E$813,MATCH($A177,'Catálogo'!$A$2:$A$813,0)),"código no encontrado"))</f>
        <v/>
      </c>
      <c r="D177" s="5">
        <f>IF($A177="","",IFERROR(INDEX('Catálogo'!$H$2:$H$813,MATCH($A177,'Catálogo'!$A$2:$A$813,0)),"código no encontrado"))</f>
        <v/>
      </c>
      <c r="E177" s="15" t="n"/>
      <c r="F177" s="10">
        <f>IF($A177="","",IFERROR(INDEX('Catálogo'!$N$2:$N$813,MATCH($A177,'Catálogo'!$A$2:$A$813,0)),"código no encontrado"))</f>
        <v/>
      </c>
      <c r="G177" s="14" t="n"/>
      <c r="H177" s="22" t="n"/>
      <c r="I177" s="14" t="n"/>
      <c r="J177" s="14" t="n"/>
      <c r="K177" s="14" t="n"/>
      <c r="L177" s="14" t="n"/>
      <c r="M177" s="11">
        <f>IF(OR($F177="",$H177="",NOT(ISNUMBER($F177)),NOT(ISNUMBER($H177))),"",($H177-$F177)/$F177)</f>
        <v/>
      </c>
      <c r="N177" s="10">
        <f>IF(OR($E177="",$H177=""),"",$E177*$H177)</f>
        <v/>
      </c>
      <c r="O177" s="14" t="n"/>
    </row>
    <row r="178">
      <c r="A178" s="14" t="n"/>
      <c r="B178" s="5">
        <f>IF($A178="","",IFERROR(INDEX('Catálogo'!$D$2:$D$813,MATCH($A178,'Catálogo'!$A$2:$A$813,0)),"código no encontrado"))</f>
        <v/>
      </c>
      <c r="C178" s="5">
        <f>IF($A178="","",IFERROR(INDEX('Catálogo'!$E$2:$E$813,MATCH($A178,'Catálogo'!$A$2:$A$813,0)),"código no encontrado"))</f>
        <v/>
      </c>
      <c r="D178" s="5">
        <f>IF($A178="","",IFERROR(INDEX('Catálogo'!$H$2:$H$813,MATCH($A178,'Catálogo'!$A$2:$A$813,0)),"código no encontrado"))</f>
        <v/>
      </c>
      <c r="E178" s="15" t="n"/>
      <c r="F178" s="10">
        <f>IF($A178="","",IFERROR(INDEX('Catálogo'!$N$2:$N$813,MATCH($A178,'Catálogo'!$A$2:$A$813,0)),"código no encontrado"))</f>
        <v/>
      </c>
      <c r="G178" s="14" t="n"/>
      <c r="H178" s="22" t="n"/>
      <c r="I178" s="14" t="n"/>
      <c r="J178" s="14" t="n"/>
      <c r="K178" s="14" t="n"/>
      <c r="L178" s="14" t="n"/>
      <c r="M178" s="11">
        <f>IF(OR($F178="",$H178="",NOT(ISNUMBER($F178)),NOT(ISNUMBER($H178))),"",($H178-$F178)/$F178)</f>
        <v/>
      </c>
      <c r="N178" s="10">
        <f>IF(OR($E178="",$H178=""),"",$E178*$H178)</f>
        <v/>
      </c>
      <c r="O178" s="14" t="n"/>
    </row>
    <row r="179">
      <c r="A179" s="14" t="n"/>
      <c r="B179" s="5">
        <f>IF($A179="","",IFERROR(INDEX('Catálogo'!$D$2:$D$813,MATCH($A179,'Catálogo'!$A$2:$A$813,0)),"código no encontrado"))</f>
        <v/>
      </c>
      <c r="C179" s="5">
        <f>IF($A179="","",IFERROR(INDEX('Catálogo'!$E$2:$E$813,MATCH($A179,'Catálogo'!$A$2:$A$813,0)),"código no encontrado"))</f>
        <v/>
      </c>
      <c r="D179" s="5">
        <f>IF($A179="","",IFERROR(INDEX('Catálogo'!$H$2:$H$813,MATCH($A179,'Catálogo'!$A$2:$A$813,0)),"código no encontrado"))</f>
        <v/>
      </c>
      <c r="E179" s="15" t="n"/>
      <c r="F179" s="10">
        <f>IF($A179="","",IFERROR(INDEX('Catálogo'!$N$2:$N$813,MATCH($A179,'Catálogo'!$A$2:$A$813,0)),"código no encontrado"))</f>
        <v/>
      </c>
      <c r="G179" s="14" t="n"/>
      <c r="H179" s="22" t="n"/>
      <c r="I179" s="14" t="n"/>
      <c r="J179" s="14" t="n"/>
      <c r="K179" s="14" t="n"/>
      <c r="L179" s="14" t="n"/>
      <c r="M179" s="11">
        <f>IF(OR($F179="",$H179="",NOT(ISNUMBER($F179)),NOT(ISNUMBER($H179))),"",($H179-$F179)/$F179)</f>
        <v/>
      </c>
      <c r="N179" s="10">
        <f>IF(OR($E179="",$H179=""),"",$E179*$H179)</f>
        <v/>
      </c>
      <c r="O179" s="14" t="n"/>
    </row>
    <row r="180">
      <c r="A180" s="14" t="n"/>
      <c r="B180" s="5">
        <f>IF($A180="","",IFERROR(INDEX('Catálogo'!$D$2:$D$813,MATCH($A180,'Catálogo'!$A$2:$A$813,0)),"código no encontrado"))</f>
        <v/>
      </c>
      <c r="C180" s="5">
        <f>IF($A180="","",IFERROR(INDEX('Catálogo'!$E$2:$E$813,MATCH($A180,'Catálogo'!$A$2:$A$813,0)),"código no encontrado"))</f>
        <v/>
      </c>
      <c r="D180" s="5">
        <f>IF($A180="","",IFERROR(INDEX('Catálogo'!$H$2:$H$813,MATCH($A180,'Catálogo'!$A$2:$A$813,0)),"código no encontrado"))</f>
        <v/>
      </c>
      <c r="E180" s="15" t="n"/>
      <c r="F180" s="10">
        <f>IF($A180="","",IFERROR(INDEX('Catálogo'!$N$2:$N$813,MATCH($A180,'Catálogo'!$A$2:$A$813,0)),"código no encontrado"))</f>
        <v/>
      </c>
      <c r="G180" s="14" t="n"/>
      <c r="H180" s="22" t="n"/>
      <c r="I180" s="14" t="n"/>
      <c r="J180" s="14" t="n"/>
      <c r="K180" s="14" t="n"/>
      <c r="L180" s="14" t="n"/>
      <c r="M180" s="11">
        <f>IF(OR($F180="",$H180="",NOT(ISNUMBER($F180)),NOT(ISNUMBER($H180))),"",($H180-$F180)/$F180)</f>
        <v/>
      </c>
      <c r="N180" s="10">
        <f>IF(OR($E180="",$H180=""),"",$E180*$H180)</f>
        <v/>
      </c>
      <c r="O180" s="14" t="n"/>
    </row>
    <row r="181">
      <c r="A181" s="14" t="n"/>
      <c r="B181" s="5">
        <f>IF($A181="","",IFERROR(INDEX('Catálogo'!$D$2:$D$813,MATCH($A181,'Catálogo'!$A$2:$A$813,0)),"código no encontrado"))</f>
        <v/>
      </c>
      <c r="C181" s="5">
        <f>IF($A181="","",IFERROR(INDEX('Catálogo'!$E$2:$E$813,MATCH($A181,'Catálogo'!$A$2:$A$813,0)),"código no encontrado"))</f>
        <v/>
      </c>
      <c r="D181" s="5">
        <f>IF($A181="","",IFERROR(INDEX('Catálogo'!$H$2:$H$813,MATCH($A181,'Catálogo'!$A$2:$A$813,0)),"código no encontrado"))</f>
        <v/>
      </c>
      <c r="E181" s="15" t="n"/>
      <c r="F181" s="10">
        <f>IF($A181="","",IFERROR(INDEX('Catálogo'!$N$2:$N$813,MATCH($A181,'Catálogo'!$A$2:$A$813,0)),"código no encontrado"))</f>
        <v/>
      </c>
      <c r="G181" s="14" t="n"/>
      <c r="H181" s="22" t="n"/>
      <c r="I181" s="14" t="n"/>
      <c r="J181" s="14" t="n"/>
      <c r="K181" s="14" t="n"/>
      <c r="L181" s="14" t="n"/>
      <c r="M181" s="11">
        <f>IF(OR($F181="",$H181="",NOT(ISNUMBER($F181)),NOT(ISNUMBER($H181))),"",($H181-$F181)/$F181)</f>
        <v/>
      </c>
      <c r="N181" s="10">
        <f>IF(OR($E181="",$H181=""),"",$E181*$H181)</f>
        <v/>
      </c>
      <c r="O181" s="14" t="n"/>
    </row>
    <row r="182">
      <c r="A182" s="14" t="n"/>
      <c r="B182" s="5">
        <f>IF($A182="","",IFERROR(INDEX('Catálogo'!$D$2:$D$813,MATCH($A182,'Catálogo'!$A$2:$A$813,0)),"código no encontrado"))</f>
        <v/>
      </c>
      <c r="C182" s="5">
        <f>IF($A182="","",IFERROR(INDEX('Catálogo'!$E$2:$E$813,MATCH($A182,'Catálogo'!$A$2:$A$813,0)),"código no encontrado"))</f>
        <v/>
      </c>
      <c r="D182" s="5">
        <f>IF($A182="","",IFERROR(INDEX('Catálogo'!$H$2:$H$813,MATCH($A182,'Catálogo'!$A$2:$A$813,0)),"código no encontrado"))</f>
        <v/>
      </c>
      <c r="E182" s="15" t="n"/>
      <c r="F182" s="10">
        <f>IF($A182="","",IFERROR(INDEX('Catálogo'!$N$2:$N$813,MATCH($A182,'Catálogo'!$A$2:$A$813,0)),"código no encontrado"))</f>
        <v/>
      </c>
      <c r="G182" s="14" t="n"/>
      <c r="H182" s="22" t="n"/>
      <c r="I182" s="14" t="n"/>
      <c r="J182" s="14" t="n"/>
      <c r="K182" s="14" t="n"/>
      <c r="L182" s="14" t="n"/>
      <c r="M182" s="11">
        <f>IF(OR($F182="",$H182="",NOT(ISNUMBER($F182)),NOT(ISNUMBER($H182))),"",($H182-$F182)/$F182)</f>
        <v/>
      </c>
      <c r="N182" s="10">
        <f>IF(OR($E182="",$H182=""),"",$E182*$H182)</f>
        <v/>
      </c>
      <c r="O182" s="14" t="n"/>
    </row>
    <row r="183">
      <c r="A183" s="14" t="n"/>
      <c r="B183" s="5">
        <f>IF($A183="","",IFERROR(INDEX('Catálogo'!$D$2:$D$813,MATCH($A183,'Catálogo'!$A$2:$A$813,0)),"código no encontrado"))</f>
        <v/>
      </c>
      <c r="C183" s="5">
        <f>IF($A183="","",IFERROR(INDEX('Catálogo'!$E$2:$E$813,MATCH($A183,'Catálogo'!$A$2:$A$813,0)),"código no encontrado"))</f>
        <v/>
      </c>
      <c r="D183" s="5">
        <f>IF($A183="","",IFERROR(INDEX('Catálogo'!$H$2:$H$813,MATCH($A183,'Catálogo'!$A$2:$A$813,0)),"código no encontrado"))</f>
        <v/>
      </c>
      <c r="E183" s="15" t="n"/>
      <c r="F183" s="10">
        <f>IF($A183="","",IFERROR(INDEX('Catálogo'!$N$2:$N$813,MATCH($A183,'Catálogo'!$A$2:$A$813,0)),"código no encontrado"))</f>
        <v/>
      </c>
      <c r="G183" s="14" t="n"/>
      <c r="H183" s="22" t="n"/>
      <c r="I183" s="14" t="n"/>
      <c r="J183" s="14" t="n"/>
      <c r="K183" s="14" t="n"/>
      <c r="L183" s="14" t="n"/>
      <c r="M183" s="11">
        <f>IF(OR($F183="",$H183="",NOT(ISNUMBER($F183)),NOT(ISNUMBER($H183))),"",($H183-$F183)/$F183)</f>
        <v/>
      </c>
      <c r="N183" s="10">
        <f>IF(OR($E183="",$H183=""),"",$E183*$H183)</f>
        <v/>
      </c>
      <c r="O183" s="14" t="n"/>
    </row>
    <row r="184">
      <c r="A184" s="14" t="n"/>
      <c r="B184" s="5">
        <f>IF($A184="","",IFERROR(INDEX('Catálogo'!$D$2:$D$813,MATCH($A184,'Catálogo'!$A$2:$A$813,0)),"código no encontrado"))</f>
        <v/>
      </c>
      <c r="C184" s="5">
        <f>IF($A184="","",IFERROR(INDEX('Catálogo'!$E$2:$E$813,MATCH($A184,'Catálogo'!$A$2:$A$813,0)),"código no encontrado"))</f>
        <v/>
      </c>
      <c r="D184" s="5">
        <f>IF($A184="","",IFERROR(INDEX('Catálogo'!$H$2:$H$813,MATCH($A184,'Catálogo'!$A$2:$A$813,0)),"código no encontrado"))</f>
        <v/>
      </c>
      <c r="E184" s="15" t="n"/>
      <c r="F184" s="10">
        <f>IF($A184="","",IFERROR(INDEX('Catálogo'!$N$2:$N$813,MATCH($A184,'Catálogo'!$A$2:$A$813,0)),"código no encontrado"))</f>
        <v/>
      </c>
      <c r="G184" s="14" t="n"/>
      <c r="H184" s="22" t="n"/>
      <c r="I184" s="14" t="n"/>
      <c r="J184" s="14" t="n"/>
      <c r="K184" s="14" t="n"/>
      <c r="L184" s="14" t="n"/>
      <c r="M184" s="11">
        <f>IF(OR($F184="",$H184="",NOT(ISNUMBER($F184)),NOT(ISNUMBER($H184))),"",($H184-$F184)/$F184)</f>
        <v/>
      </c>
      <c r="N184" s="10">
        <f>IF(OR($E184="",$H184=""),"",$E184*$H184)</f>
        <v/>
      </c>
      <c r="O184" s="14" t="n"/>
    </row>
    <row r="185">
      <c r="A185" s="14" t="n"/>
      <c r="B185" s="5">
        <f>IF($A185="","",IFERROR(INDEX('Catálogo'!$D$2:$D$813,MATCH($A185,'Catálogo'!$A$2:$A$813,0)),"código no encontrado"))</f>
        <v/>
      </c>
      <c r="C185" s="5">
        <f>IF($A185="","",IFERROR(INDEX('Catálogo'!$E$2:$E$813,MATCH($A185,'Catálogo'!$A$2:$A$813,0)),"código no encontrado"))</f>
        <v/>
      </c>
      <c r="D185" s="5">
        <f>IF($A185="","",IFERROR(INDEX('Catálogo'!$H$2:$H$813,MATCH($A185,'Catálogo'!$A$2:$A$813,0)),"código no encontrado"))</f>
        <v/>
      </c>
      <c r="E185" s="15" t="n"/>
      <c r="F185" s="10">
        <f>IF($A185="","",IFERROR(INDEX('Catálogo'!$N$2:$N$813,MATCH($A185,'Catálogo'!$A$2:$A$813,0)),"código no encontrado"))</f>
        <v/>
      </c>
      <c r="G185" s="14" t="n"/>
      <c r="H185" s="22" t="n"/>
      <c r="I185" s="14" t="n"/>
      <c r="J185" s="14" t="n"/>
      <c r="K185" s="14" t="n"/>
      <c r="L185" s="14" t="n"/>
      <c r="M185" s="11">
        <f>IF(OR($F185="",$H185="",NOT(ISNUMBER($F185)),NOT(ISNUMBER($H185))),"",($H185-$F185)/$F185)</f>
        <v/>
      </c>
      <c r="N185" s="10">
        <f>IF(OR($E185="",$H185=""),"",$E185*$H185)</f>
        <v/>
      </c>
      <c r="O185" s="14" t="n"/>
    </row>
    <row r="186">
      <c r="A186" s="14" t="n"/>
      <c r="B186" s="5">
        <f>IF($A186="","",IFERROR(INDEX('Catálogo'!$D$2:$D$813,MATCH($A186,'Catálogo'!$A$2:$A$813,0)),"código no encontrado"))</f>
        <v/>
      </c>
      <c r="C186" s="5">
        <f>IF($A186="","",IFERROR(INDEX('Catálogo'!$E$2:$E$813,MATCH($A186,'Catálogo'!$A$2:$A$813,0)),"código no encontrado"))</f>
        <v/>
      </c>
      <c r="D186" s="5">
        <f>IF($A186="","",IFERROR(INDEX('Catálogo'!$H$2:$H$813,MATCH($A186,'Catálogo'!$A$2:$A$813,0)),"código no encontrado"))</f>
        <v/>
      </c>
      <c r="E186" s="15" t="n"/>
      <c r="F186" s="10">
        <f>IF($A186="","",IFERROR(INDEX('Catálogo'!$N$2:$N$813,MATCH($A186,'Catálogo'!$A$2:$A$813,0)),"código no encontrado"))</f>
        <v/>
      </c>
      <c r="G186" s="14" t="n"/>
      <c r="H186" s="22" t="n"/>
      <c r="I186" s="14" t="n"/>
      <c r="J186" s="14" t="n"/>
      <c r="K186" s="14" t="n"/>
      <c r="L186" s="14" t="n"/>
      <c r="M186" s="11">
        <f>IF(OR($F186="",$H186="",NOT(ISNUMBER($F186)),NOT(ISNUMBER($H186))),"",($H186-$F186)/$F186)</f>
        <v/>
      </c>
      <c r="N186" s="10">
        <f>IF(OR($E186="",$H186=""),"",$E186*$H186)</f>
        <v/>
      </c>
      <c r="O186" s="14" t="n"/>
    </row>
    <row r="187">
      <c r="A187" s="14" t="n"/>
      <c r="B187" s="5">
        <f>IF($A187="","",IFERROR(INDEX('Catálogo'!$D$2:$D$813,MATCH($A187,'Catálogo'!$A$2:$A$813,0)),"código no encontrado"))</f>
        <v/>
      </c>
      <c r="C187" s="5">
        <f>IF($A187="","",IFERROR(INDEX('Catálogo'!$E$2:$E$813,MATCH($A187,'Catálogo'!$A$2:$A$813,0)),"código no encontrado"))</f>
        <v/>
      </c>
      <c r="D187" s="5">
        <f>IF($A187="","",IFERROR(INDEX('Catálogo'!$H$2:$H$813,MATCH($A187,'Catálogo'!$A$2:$A$813,0)),"código no encontrado"))</f>
        <v/>
      </c>
      <c r="E187" s="15" t="n"/>
      <c r="F187" s="10">
        <f>IF($A187="","",IFERROR(INDEX('Catálogo'!$N$2:$N$813,MATCH($A187,'Catálogo'!$A$2:$A$813,0)),"código no encontrado"))</f>
        <v/>
      </c>
      <c r="G187" s="14" t="n"/>
      <c r="H187" s="22" t="n"/>
      <c r="I187" s="14" t="n"/>
      <c r="J187" s="14" t="n"/>
      <c r="K187" s="14" t="n"/>
      <c r="L187" s="14" t="n"/>
      <c r="M187" s="11">
        <f>IF(OR($F187="",$H187="",NOT(ISNUMBER($F187)),NOT(ISNUMBER($H187))),"",($H187-$F187)/$F187)</f>
        <v/>
      </c>
      <c r="N187" s="10">
        <f>IF(OR($E187="",$H187=""),"",$E187*$H187)</f>
        <v/>
      </c>
      <c r="O187" s="14" t="n"/>
    </row>
    <row r="188">
      <c r="A188" s="14" t="n"/>
      <c r="B188" s="5">
        <f>IF($A188="","",IFERROR(INDEX('Catálogo'!$D$2:$D$813,MATCH($A188,'Catálogo'!$A$2:$A$813,0)),"código no encontrado"))</f>
        <v/>
      </c>
      <c r="C188" s="5">
        <f>IF($A188="","",IFERROR(INDEX('Catálogo'!$E$2:$E$813,MATCH($A188,'Catálogo'!$A$2:$A$813,0)),"código no encontrado"))</f>
        <v/>
      </c>
      <c r="D188" s="5">
        <f>IF($A188="","",IFERROR(INDEX('Catálogo'!$H$2:$H$813,MATCH($A188,'Catálogo'!$A$2:$A$813,0)),"código no encontrado"))</f>
        <v/>
      </c>
      <c r="E188" s="15" t="n"/>
      <c r="F188" s="10">
        <f>IF($A188="","",IFERROR(INDEX('Catálogo'!$N$2:$N$813,MATCH($A188,'Catálogo'!$A$2:$A$813,0)),"código no encontrado"))</f>
        <v/>
      </c>
      <c r="G188" s="14" t="n"/>
      <c r="H188" s="22" t="n"/>
      <c r="I188" s="14" t="n"/>
      <c r="J188" s="14" t="n"/>
      <c r="K188" s="14" t="n"/>
      <c r="L188" s="14" t="n"/>
      <c r="M188" s="11">
        <f>IF(OR($F188="",$H188="",NOT(ISNUMBER($F188)),NOT(ISNUMBER($H188))),"",($H188-$F188)/$F188)</f>
        <v/>
      </c>
      <c r="N188" s="10">
        <f>IF(OR($E188="",$H188=""),"",$E188*$H188)</f>
        <v/>
      </c>
      <c r="O188" s="14" t="n"/>
    </row>
    <row r="189">
      <c r="A189" s="14" t="n"/>
      <c r="B189" s="5">
        <f>IF($A189="","",IFERROR(INDEX('Catálogo'!$D$2:$D$813,MATCH($A189,'Catálogo'!$A$2:$A$813,0)),"código no encontrado"))</f>
        <v/>
      </c>
      <c r="C189" s="5">
        <f>IF($A189="","",IFERROR(INDEX('Catálogo'!$E$2:$E$813,MATCH($A189,'Catálogo'!$A$2:$A$813,0)),"código no encontrado"))</f>
        <v/>
      </c>
      <c r="D189" s="5">
        <f>IF($A189="","",IFERROR(INDEX('Catálogo'!$H$2:$H$813,MATCH($A189,'Catálogo'!$A$2:$A$813,0)),"código no encontrado"))</f>
        <v/>
      </c>
      <c r="E189" s="15" t="n"/>
      <c r="F189" s="10">
        <f>IF($A189="","",IFERROR(INDEX('Catálogo'!$N$2:$N$813,MATCH($A189,'Catálogo'!$A$2:$A$813,0)),"código no encontrado"))</f>
        <v/>
      </c>
      <c r="G189" s="14" t="n"/>
      <c r="H189" s="22" t="n"/>
      <c r="I189" s="14" t="n"/>
      <c r="J189" s="14" t="n"/>
      <c r="K189" s="14" t="n"/>
      <c r="L189" s="14" t="n"/>
      <c r="M189" s="11">
        <f>IF(OR($F189="",$H189="",NOT(ISNUMBER($F189)),NOT(ISNUMBER($H189))),"",($H189-$F189)/$F189)</f>
        <v/>
      </c>
      <c r="N189" s="10">
        <f>IF(OR($E189="",$H189=""),"",$E189*$H189)</f>
        <v/>
      </c>
      <c r="O189" s="14" t="n"/>
    </row>
    <row r="190">
      <c r="A190" s="14" t="n"/>
      <c r="B190" s="5">
        <f>IF($A190="","",IFERROR(INDEX('Catálogo'!$D$2:$D$813,MATCH($A190,'Catálogo'!$A$2:$A$813,0)),"código no encontrado"))</f>
        <v/>
      </c>
      <c r="C190" s="5">
        <f>IF($A190="","",IFERROR(INDEX('Catálogo'!$E$2:$E$813,MATCH($A190,'Catálogo'!$A$2:$A$813,0)),"código no encontrado"))</f>
        <v/>
      </c>
      <c r="D190" s="5">
        <f>IF($A190="","",IFERROR(INDEX('Catálogo'!$H$2:$H$813,MATCH($A190,'Catálogo'!$A$2:$A$813,0)),"código no encontrado"))</f>
        <v/>
      </c>
      <c r="E190" s="15" t="n"/>
      <c r="F190" s="10">
        <f>IF($A190="","",IFERROR(INDEX('Catálogo'!$N$2:$N$813,MATCH($A190,'Catálogo'!$A$2:$A$813,0)),"código no encontrado"))</f>
        <v/>
      </c>
      <c r="G190" s="14" t="n"/>
      <c r="H190" s="22" t="n"/>
      <c r="I190" s="14" t="n"/>
      <c r="J190" s="14" t="n"/>
      <c r="K190" s="14" t="n"/>
      <c r="L190" s="14" t="n"/>
      <c r="M190" s="11">
        <f>IF(OR($F190="",$H190="",NOT(ISNUMBER($F190)),NOT(ISNUMBER($H190))),"",($H190-$F190)/$F190)</f>
        <v/>
      </c>
      <c r="N190" s="10">
        <f>IF(OR($E190="",$H190=""),"",$E190*$H190)</f>
        <v/>
      </c>
      <c r="O190" s="14" t="n"/>
    </row>
    <row r="191">
      <c r="A191" s="14" t="n"/>
      <c r="B191" s="5">
        <f>IF($A191="","",IFERROR(INDEX('Catálogo'!$D$2:$D$813,MATCH($A191,'Catálogo'!$A$2:$A$813,0)),"código no encontrado"))</f>
        <v/>
      </c>
      <c r="C191" s="5">
        <f>IF($A191="","",IFERROR(INDEX('Catálogo'!$E$2:$E$813,MATCH($A191,'Catálogo'!$A$2:$A$813,0)),"código no encontrado"))</f>
        <v/>
      </c>
      <c r="D191" s="5">
        <f>IF($A191="","",IFERROR(INDEX('Catálogo'!$H$2:$H$813,MATCH($A191,'Catálogo'!$A$2:$A$813,0)),"código no encontrado"))</f>
        <v/>
      </c>
      <c r="E191" s="15" t="n"/>
      <c r="F191" s="10">
        <f>IF($A191="","",IFERROR(INDEX('Catálogo'!$N$2:$N$813,MATCH($A191,'Catálogo'!$A$2:$A$813,0)),"código no encontrado"))</f>
        <v/>
      </c>
      <c r="G191" s="14" t="n"/>
      <c r="H191" s="22" t="n"/>
      <c r="I191" s="14" t="n"/>
      <c r="J191" s="14" t="n"/>
      <c r="K191" s="14" t="n"/>
      <c r="L191" s="14" t="n"/>
      <c r="M191" s="11">
        <f>IF(OR($F191="",$H191="",NOT(ISNUMBER($F191)),NOT(ISNUMBER($H191))),"",($H191-$F191)/$F191)</f>
        <v/>
      </c>
      <c r="N191" s="10">
        <f>IF(OR($E191="",$H191=""),"",$E191*$H191)</f>
        <v/>
      </c>
      <c r="O191" s="14" t="n"/>
    </row>
    <row r="192">
      <c r="A192" s="14" t="n"/>
      <c r="B192" s="5">
        <f>IF($A192="","",IFERROR(INDEX('Catálogo'!$D$2:$D$813,MATCH($A192,'Catálogo'!$A$2:$A$813,0)),"código no encontrado"))</f>
        <v/>
      </c>
      <c r="C192" s="5">
        <f>IF($A192="","",IFERROR(INDEX('Catálogo'!$E$2:$E$813,MATCH($A192,'Catálogo'!$A$2:$A$813,0)),"código no encontrado"))</f>
        <v/>
      </c>
      <c r="D192" s="5">
        <f>IF($A192="","",IFERROR(INDEX('Catálogo'!$H$2:$H$813,MATCH($A192,'Catálogo'!$A$2:$A$813,0)),"código no encontrado"))</f>
        <v/>
      </c>
      <c r="E192" s="15" t="n"/>
      <c r="F192" s="10">
        <f>IF($A192="","",IFERROR(INDEX('Catálogo'!$N$2:$N$813,MATCH($A192,'Catálogo'!$A$2:$A$813,0)),"código no encontrado"))</f>
        <v/>
      </c>
      <c r="G192" s="14" t="n"/>
      <c r="H192" s="22" t="n"/>
      <c r="I192" s="14" t="n"/>
      <c r="J192" s="14" t="n"/>
      <c r="K192" s="14" t="n"/>
      <c r="L192" s="14" t="n"/>
      <c r="M192" s="11">
        <f>IF(OR($F192="",$H192="",NOT(ISNUMBER($F192)),NOT(ISNUMBER($H192))),"",($H192-$F192)/$F192)</f>
        <v/>
      </c>
      <c r="N192" s="10">
        <f>IF(OR($E192="",$H192=""),"",$E192*$H192)</f>
        <v/>
      </c>
      <c r="O192" s="14" t="n"/>
    </row>
    <row r="193">
      <c r="A193" s="14" t="n"/>
      <c r="B193" s="5">
        <f>IF($A193="","",IFERROR(INDEX('Catálogo'!$D$2:$D$813,MATCH($A193,'Catálogo'!$A$2:$A$813,0)),"código no encontrado"))</f>
        <v/>
      </c>
      <c r="C193" s="5">
        <f>IF($A193="","",IFERROR(INDEX('Catálogo'!$E$2:$E$813,MATCH($A193,'Catálogo'!$A$2:$A$813,0)),"código no encontrado"))</f>
        <v/>
      </c>
      <c r="D193" s="5">
        <f>IF($A193="","",IFERROR(INDEX('Catálogo'!$H$2:$H$813,MATCH($A193,'Catálogo'!$A$2:$A$813,0)),"código no encontrado"))</f>
        <v/>
      </c>
      <c r="E193" s="15" t="n"/>
      <c r="F193" s="10">
        <f>IF($A193="","",IFERROR(INDEX('Catálogo'!$N$2:$N$813,MATCH($A193,'Catálogo'!$A$2:$A$813,0)),"código no encontrado"))</f>
        <v/>
      </c>
      <c r="G193" s="14" t="n"/>
      <c r="H193" s="22" t="n"/>
      <c r="I193" s="14" t="n"/>
      <c r="J193" s="14" t="n"/>
      <c r="K193" s="14" t="n"/>
      <c r="L193" s="14" t="n"/>
      <c r="M193" s="11">
        <f>IF(OR($F193="",$H193="",NOT(ISNUMBER($F193)),NOT(ISNUMBER($H193))),"",($H193-$F193)/$F193)</f>
        <v/>
      </c>
      <c r="N193" s="10">
        <f>IF(OR($E193="",$H193=""),"",$E193*$H193)</f>
        <v/>
      </c>
      <c r="O193" s="14" t="n"/>
    </row>
    <row r="194">
      <c r="A194" s="14" t="n"/>
      <c r="B194" s="5">
        <f>IF($A194="","",IFERROR(INDEX('Catálogo'!$D$2:$D$813,MATCH($A194,'Catálogo'!$A$2:$A$813,0)),"código no encontrado"))</f>
        <v/>
      </c>
      <c r="C194" s="5">
        <f>IF($A194="","",IFERROR(INDEX('Catálogo'!$E$2:$E$813,MATCH($A194,'Catálogo'!$A$2:$A$813,0)),"código no encontrado"))</f>
        <v/>
      </c>
      <c r="D194" s="5">
        <f>IF($A194="","",IFERROR(INDEX('Catálogo'!$H$2:$H$813,MATCH($A194,'Catálogo'!$A$2:$A$813,0)),"código no encontrado"))</f>
        <v/>
      </c>
      <c r="E194" s="15" t="n"/>
      <c r="F194" s="10">
        <f>IF($A194="","",IFERROR(INDEX('Catálogo'!$N$2:$N$813,MATCH($A194,'Catálogo'!$A$2:$A$813,0)),"código no encontrado"))</f>
        <v/>
      </c>
      <c r="G194" s="14" t="n"/>
      <c r="H194" s="22" t="n"/>
      <c r="I194" s="14" t="n"/>
      <c r="J194" s="14" t="n"/>
      <c r="K194" s="14" t="n"/>
      <c r="L194" s="14" t="n"/>
      <c r="M194" s="11">
        <f>IF(OR($F194="",$H194="",NOT(ISNUMBER($F194)),NOT(ISNUMBER($H194))),"",($H194-$F194)/$F194)</f>
        <v/>
      </c>
      <c r="N194" s="10">
        <f>IF(OR($E194="",$H194=""),"",$E194*$H194)</f>
        <v/>
      </c>
      <c r="O194" s="14" t="n"/>
    </row>
    <row r="195">
      <c r="A195" s="14" t="n"/>
      <c r="B195" s="5">
        <f>IF($A195="","",IFERROR(INDEX('Catálogo'!$D$2:$D$813,MATCH($A195,'Catálogo'!$A$2:$A$813,0)),"código no encontrado"))</f>
        <v/>
      </c>
      <c r="C195" s="5">
        <f>IF($A195="","",IFERROR(INDEX('Catálogo'!$E$2:$E$813,MATCH($A195,'Catálogo'!$A$2:$A$813,0)),"código no encontrado"))</f>
        <v/>
      </c>
      <c r="D195" s="5">
        <f>IF($A195="","",IFERROR(INDEX('Catálogo'!$H$2:$H$813,MATCH($A195,'Catálogo'!$A$2:$A$813,0)),"código no encontrado"))</f>
        <v/>
      </c>
      <c r="E195" s="15" t="n"/>
      <c r="F195" s="10">
        <f>IF($A195="","",IFERROR(INDEX('Catálogo'!$N$2:$N$813,MATCH($A195,'Catálogo'!$A$2:$A$813,0)),"código no encontrado"))</f>
        <v/>
      </c>
      <c r="G195" s="14" t="n"/>
      <c r="H195" s="22" t="n"/>
      <c r="I195" s="14" t="n"/>
      <c r="J195" s="14" t="n"/>
      <c r="K195" s="14" t="n"/>
      <c r="L195" s="14" t="n"/>
      <c r="M195" s="11">
        <f>IF(OR($F195="",$H195="",NOT(ISNUMBER($F195)),NOT(ISNUMBER($H195))),"",($H195-$F195)/$F195)</f>
        <v/>
      </c>
      <c r="N195" s="10">
        <f>IF(OR($E195="",$H195=""),"",$E195*$H195)</f>
        <v/>
      </c>
      <c r="O195" s="14" t="n"/>
    </row>
    <row r="196">
      <c r="A196" s="14" t="n"/>
      <c r="B196" s="5">
        <f>IF($A196="","",IFERROR(INDEX('Catálogo'!$D$2:$D$813,MATCH($A196,'Catálogo'!$A$2:$A$813,0)),"código no encontrado"))</f>
        <v/>
      </c>
      <c r="C196" s="5">
        <f>IF($A196="","",IFERROR(INDEX('Catálogo'!$E$2:$E$813,MATCH($A196,'Catálogo'!$A$2:$A$813,0)),"código no encontrado"))</f>
        <v/>
      </c>
      <c r="D196" s="5">
        <f>IF($A196="","",IFERROR(INDEX('Catálogo'!$H$2:$H$813,MATCH($A196,'Catálogo'!$A$2:$A$813,0)),"código no encontrado"))</f>
        <v/>
      </c>
      <c r="E196" s="15" t="n"/>
      <c r="F196" s="10">
        <f>IF($A196="","",IFERROR(INDEX('Catálogo'!$N$2:$N$813,MATCH($A196,'Catálogo'!$A$2:$A$813,0)),"código no encontrado"))</f>
        <v/>
      </c>
      <c r="G196" s="14" t="n"/>
      <c r="H196" s="22" t="n"/>
      <c r="I196" s="14" t="n"/>
      <c r="J196" s="14" t="n"/>
      <c r="K196" s="14" t="n"/>
      <c r="L196" s="14" t="n"/>
      <c r="M196" s="11">
        <f>IF(OR($F196="",$H196="",NOT(ISNUMBER($F196)),NOT(ISNUMBER($H196))),"",($H196-$F196)/$F196)</f>
        <v/>
      </c>
      <c r="N196" s="10">
        <f>IF(OR($E196="",$H196=""),"",$E196*$H196)</f>
        <v/>
      </c>
      <c r="O196" s="14" t="n"/>
    </row>
    <row r="197">
      <c r="A197" s="14" t="n"/>
      <c r="B197" s="5">
        <f>IF($A197="","",IFERROR(INDEX('Catálogo'!$D$2:$D$813,MATCH($A197,'Catálogo'!$A$2:$A$813,0)),"código no encontrado"))</f>
        <v/>
      </c>
      <c r="C197" s="5">
        <f>IF($A197="","",IFERROR(INDEX('Catálogo'!$E$2:$E$813,MATCH($A197,'Catálogo'!$A$2:$A$813,0)),"código no encontrado"))</f>
        <v/>
      </c>
      <c r="D197" s="5">
        <f>IF($A197="","",IFERROR(INDEX('Catálogo'!$H$2:$H$813,MATCH($A197,'Catálogo'!$A$2:$A$813,0)),"código no encontrado"))</f>
        <v/>
      </c>
      <c r="E197" s="15" t="n"/>
      <c r="F197" s="10">
        <f>IF($A197="","",IFERROR(INDEX('Catálogo'!$N$2:$N$813,MATCH($A197,'Catálogo'!$A$2:$A$813,0)),"código no encontrado"))</f>
        <v/>
      </c>
      <c r="G197" s="14" t="n"/>
      <c r="H197" s="22" t="n"/>
      <c r="I197" s="14" t="n"/>
      <c r="J197" s="14" t="n"/>
      <c r="K197" s="14" t="n"/>
      <c r="L197" s="14" t="n"/>
      <c r="M197" s="11">
        <f>IF(OR($F197="",$H197="",NOT(ISNUMBER($F197)),NOT(ISNUMBER($H197))),"",($H197-$F197)/$F197)</f>
        <v/>
      </c>
      <c r="N197" s="10">
        <f>IF(OR($E197="",$H197=""),"",$E197*$H197)</f>
        <v/>
      </c>
      <c r="O197" s="14" t="n"/>
    </row>
    <row r="198">
      <c r="A198" s="14" t="n"/>
      <c r="B198" s="5">
        <f>IF($A198="","",IFERROR(INDEX('Catálogo'!$D$2:$D$813,MATCH($A198,'Catálogo'!$A$2:$A$813,0)),"código no encontrado"))</f>
        <v/>
      </c>
      <c r="C198" s="5">
        <f>IF($A198="","",IFERROR(INDEX('Catálogo'!$E$2:$E$813,MATCH($A198,'Catálogo'!$A$2:$A$813,0)),"código no encontrado"))</f>
        <v/>
      </c>
      <c r="D198" s="5">
        <f>IF($A198="","",IFERROR(INDEX('Catálogo'!$H$2:$H$813,MATCH($A198,'Catálogo'!$A$2:$A$813,0)),"código no encontrado"))</f>
        <v/>
      </c>
      <c r="E198" s="15" t="n"/>
      <c r="F198" s="10">
        <f>IF($A198="","",IFERROR(INDEX('Catálogo'!$N$2:$N$813,MATCH($A198,'Catálogo'!$A$2:$A$813,0)),"código no encontrado"))</f>
        <v/>
      </c>
      <c r="G198" s="14" t="n"/>
      <c r="H198" s="22" t="n"/>
      <c r="I198" s="14" t="n"/>
      <c r="J198" s="14" t="n"/>
      <c r="K198" s="14" t="n"/>
      <c r="L198" s="14" t="n"/>
      <c r="M198" s="11">
        <f>IF(OR($F198="",$H198="",NOT(ISNUMBER($F198)),NOT(ISNUMBER($H198))),"",($H198-$F198)/$F198)</f>
        <v/>
      </c>
      <c r="N198" s="10">
        <f>IF(OR($E198="",$H198=""),"",$E198*$H198)</f>
        <v/>
      </c>
      <c r="O198" s="14" t="n"/>
    </row>
    <row r="199">
      <c r="A199" s="14" t="n"/>
      <c r="B199" s="5">
        <f>IF($A199="","",IFERROR(INDEX('Catálogo'!$D$2:$D$813,MATCH($A199,'Catálogo'!$A$2:$A$813,0)),"código no encontrado"))</f>
        <v/>
      </c>
      <c r="C199" s="5">
        <f>IF($A199="","",IFERROR(INDEX('Catálogo'!$E$2:$E$813,MATCH($A199,'Catálogo'!$A$2:$A$813,0)),"código no encontrado"))</f>
        <v/>
      </c>
      <c r="D199" s="5">
        <f>IF($A199="","",IFERROR(INDEX('Catálogo'!$H$2:$H$813,MATCH($A199,'Catálogo'!$A$2:$A$813,0)),"código no encontrado"))</f>
        <v/>
      </c>
      <c r="E199" s="15" t="n"/>
      <c r="F199" s="10">
        <f>IF($A199="","",IFERROR(INDEX('Catálogo'!$N$2:$N$813,MATCH($A199,'Catálogo'!$A$2:$A$813,0)),"código no encontrado"))</f>
        <v/>
      </c>
      <c r="G199" s="14" t="n"/>
      <c r="H199" s="22" t="n"/>
      <c r="I199" s="14" t="n"/>
      <c r="J199" s="14" t="n"/>
      <c r="K199" s="14" t="n"/>
      <c r="L199" s="14" t="n"/>
      <c r="M199" s="11">
        <f>IF(OR($F199="",$H199="",NOT(ISNUMBER($F199)),NOT(ISNUMBER($H199))),"",($H199-$F199)/$F199)</f>
        <v/>
      </c>
      <c r="N199" s="10">
        <f>IF(OR($E199="",$H199=""),"",$E199*$H199)</f>
        <v/>
      </c>
      <c r="O199" s="14" t="n"/>
    </row>
    <row r="200">
      <c r="A200" s="14" t="n"/>
      <c r="B200" s="5">
        <f>IF($A200="","",IFERROR(INDEX('Catálogo'!$D$2:$D$813,MATCH($A200,'Catálogo'!$A$2:$A$813,0)),"código no encontrado"))</f>
        <v/>
      </c>
      <c r="C200" s="5">
        <f>IF($A200="","",IFERROR(INDEX('Catálogo'!$E$2:$E$813,MATCH($A200,'Catálogo'!$A$2:$A$813,0)),"código no encontrado"))</f>
        <v/>
      </c>
      <c r="D200" s="5">
        <f>IF($A200="","",IFERROR(INDEX('Catálogo'!$H$2:$H$813,MATCH($A200,'Catálogo'!$A$2:$A$813,0)),"código no encontrado"))</f>
        <v/>
      </c>
      <c r="E200" s="15" t="n"/>
      <c r="F200" s="10">
        <f>IF($A200="","",IFERROR(INDEX('Catálogo'!$N$2:$N$813,MATCH($A200,'Catálogo'!$A$2:$A$813,0)),"código no encontrado"))</f>
        <v/>
      </c>
      <c r="G200" s="14" t="n"/>
      <c r="H200" s="22" t="n"/>
      <c r="I200" s="14" t="n"/>
      <c r="J200" s="14" t="n"/>
      <c r="K200" s="14" t="n"/>
      <c r="L200" s="14" t="n"/>
      <c r="M200" s="11">
        <f>IF(OR($F200="",$H200="",NOT(ISNUMBER($F200)),NOT(ISNUMBER($H200))),"",($H200-$F200)/$F200)</f>
        <v/>
      </c>
      <c r="N200" s="10">
        <f>IF(OR($E200="",$H200=""),"",$E200*$H200)</f>
        <v/>
      </c>
      <c r="O200" s="14" t="n"/>
    </row>
    <row r="201">
      <c r="A201" s="14" t="n"/>
      <c r="B201" s="5">
        <f>IF($A201="","",IFERROR(INDEX('Catálogo'!$D$2:$D$813,MATCH($A201,'Catálogo'!$A$2:$A$813,0)),"código no encontrado"))</f>
        <v/>
      </c>
      <c r="C201" s="5">
        <f>IF($A201="","",IFERROR(INDEX('Catálogo'!$E$2:$E$813,MATCH($A201,'Catálogo'!$A$2:$A$813,0)),"código no encontrado"))</f>
        <v/>
      </c>
      <c r="D201" s="5">
        <f>IF($A201="","",IFERROR(INDEX('Catálogo'!$H$2:$H$813,MATCH($A201,'Catálogo'!$A$2:$A$813,0)),"código no encontrado"))</f>
        <v/>
      </c>
      <c r="E201" s="15" t="n"/>
      <c r="F201" s="10">
        <f>IF($A201="","",IFERROR(INDEX('Catálogo'!$N$2:$N$813,MATCH($A201,'Catálogo'!$A$2:$A$813,0)),"código no encontrado"))</f>
        <v/>
      </c>
      <c r="G201" s="14" t="n"/>
      <c r="H201" s="22" t="n"/>
      <c r="I201" s="14" t="n"/>
      <c r="J201" s="14" t="n"/>
      <c r="K201" s="14" t="n"/>
      <c r="L201" s="14" t="n"/>
      <c r="M201" s="11">
        <f>IF(OR($F201="",$H201="",NOT(ISNUMBER($F201)),NOT(ISNUMBER($H201))),"",($H201-$F201)/$F201)</f>
        <v/>
      </c>
      <c r="N201" s="10">
        <f>IF(OR($E201="",$H201=""),"",$E201*$H201)</f>
        <v/>
      </c>
      <c r="O201" s="14" t="n"/>
    </row>
    <row r="202">
      <c r="A202" s="14" t="n"/>
      <c r="B202" s="5">
        <f>IF($A202="","",IFERROR(INDEX('Catálogo'!$D$2:$D$813,MATCH($A202,'Catálogo'!$A$2:$A$813,0)),"código no encontrado"))</f>
        <v/>
      </c>
      <c r="C202" s="5">
        <f>IF($A202="","",IFERROR(INDEX('Catálogo'!$E$2:$E$813,MATCH($A202,'Catálogo'!$A$2:$A$813,0)),"código no encontrado"))</f>
        <v/>
      </c>
      <c r="D202" s="5">
        <f>IF($A202="","",IFERROR(INDEX('Catálogo'!$H$2:$H$813,MATCH($A202,'Catálogo'!$A$2:$A$813,0)),"código no encontrado"))</f>
        <v/>
      </c>
      <c r="E202" s="15" t="n"/>
      <c r="F202" s="10">
        <f>IF($A202="","",IFERROR(INDEX('Catálogo'!$N$2:$N$813,MATCH($A202,'Catálogo'!$A$2:$A$813,0)),"código no encontrado"))</f>
        <v/>
      </c>
      <c r="G202" s="14" t="n"/>
      <c r="H202" s="22" t="n"/>
      <c r="I202" s="14" t="n"/>
      <c r="J202" s="14" t="n"/>
      <c r="K202" s="14" t="n"/>
      <c r="L202" s="14" t="n"/>
      <c r="M202" s="11">
        <f>IF(OR($F202="",$H202="",NOT(ISNUMBER($F202)),NOT(ISNUMBER($H202))),"",($H202-$F202)/$F202)</f>
        <v/>
      </c>
      <c r="N202" s="10">
        <f>IF(OR($E202="",$H202=""),"",$E202*$H202)</f>
        <v/>
      </c>
      <c r="O202" s="14" t="n"/>
    </row>
    <row r="203">
      <c r="A203" s="14" t="n"/>
      <c r="B203" s="5">
        <f>IF($A203="","",IFERROR(INDEX('Catálogo'!$D$2:$D$813,MATCH($A203,'Catálogo'!$A$2:$A$813,0)),"código no encontrado"))</f>
        <v/>
      </c>
      <c r="C203" s="5">
        <f>IF($A203="","",IFERROR(INDEX('Catálogo'!$E$2:$E$813,MATCH($A203,'Catálogo'!$A$2:$A$813,0)),"código no encontrado"))</f>
        <v/>
      </c>
      <c r="D203" s="5">
        <f>IF($A203="","",IFERROR(INDEX('Catálogo'!$H$2:$H$813,MATCH($A203,'Catálogo'!$A$2:$A$813,0)),"código no encontrado"))</f>
        <v/>
      </c>
      <c r="E203" s="15" t="n"/>
      <c r="F203" s="10">
        <f>IF($A203="","",IFERROR(INDEX('Catálogo'!$N$2:$N$813,MATCH($A203,'Catálogo'!$A$2:$A$813,0)),"código no encontrado"))</f>
        <v/>
      </c>
      <c r="G203" s="14" t="n"/>
      <c r="H203" s="22" t="n"/>
      <c r="I203" s="14" t="n"/>
      <c r="J203" s="14" t="n"/>
      <c r="K203" s="14" t="n"/>
      <c r="L203" s="14" t="n"/>
      <c r="M203" s="11">
        <f>IF(OR($F203="",$H203="",NOT(ISNUMBER($F203)),NOT(ISNUMBER($H203))),"",($H203-$F203)/$F203)</f>
        <v/>
      </c>
      <c r="N203" s="10">
        <f>IF(OR($E203="",$H203=""),"",$E203*$H203)</f>
        <v/>
      </c>
      <c r="O203" s="14" t="n"/>
    </row>
    <row r="204">
      <c r="A204" s="14" t="n"/>
      <c r="B204" s="5">
        <f>IF($A204="","",IFERROR(INDEX('Catálogo'!$D$2:$D$813,MATCH($A204,'Catálogo'!$A$2:$A$813,0)),"código no encontrado"))</f>
        <v/>
      </c>
      <c r="C204" s="5">
        <f>IF($A204="","",IFERROR(INDEX('Catálogo'!$E$2:$E$813,MATCH($A204,'Catálogo'!$A$2:$A$813,0)),"código no encontrado"))</f>
        <v/>
      </c>
      <c r="D204" s="5">
        <f>IF($A204="","",IFERROR(INDEX('Catálogo'!$H$2:$H$813,MATCH($A204,'Catálogo'!$A$2:$A$813,0)),"código no encontrado"))</f>
        <v/>
      </c>
      <c r="E204" s="15" t="n"/>
      <c r="F204" s="10">
        <f>IF($A204="","",IFERROR(INDEX('Catálogo'!$N$2:$N$813,MATCH($A204,'Catálogo'!$A$2:$A$813,0)),"código no encontrado"))</f>
        <v/>
      </c>
      <c r="G204" s="14" t="n"/>
      <c r="H204" s="22" t="n"/>
      <c r="I204" s="14" t="n"/>
      <c r="J204" s="14" t="n"/>
      <c r="K204" s="14" t="n"/>
      <c r="L204" s="14" t="n"/>
      <c r="M204" s="11">
        <f>IF(OR($F204="",$H204="",NOT(ISNUMBER($F204)),NOT(ISNUMBER($H204))),"",($H204-$F204)/$F204)</f>
        <v/>
      </c>
      <c r="N204" s="10">
        <f>IF(OR($E204="",$H204=""),"",$E204*$H204)</f>
        <v/>
      </c>
      <c r="O204" s="14" t="n"/>
    </row>
    <row r="205">
      <c r="A205" s="14" t="n"/>
      <c r="B205" s="5">
        <f>IF($A205="","",IFERROR(INDEX('Catálogo'!$D$2:$D$813,MATCH($A205,'Catálogo'!$A$2:$A$813,0)),"código no encontrado"))</f>
        <v/>
      </c>
      <c r="C205" s="5">
        <f>IF($A205="","",IFERROR(INDEX('Catálogo'!$E$2:$E$813,MATCH($A205,'Catálogo'!$A$2:$A$813,0)),"código no encontrado"))</f>
        <v/>
      </c>
      <c r="D205" s="5">
        <f>IF($A205="","",IFERROR(INDEX('Catálogo'!$H$2:$H$813,MATCH($A205,'Catálogo'!$A$2:$A$813,0)),"código no encontrado"))</f>
        <v/>
      </c>
      <c r="E205" s="15" t="n"/>
      <c r="F205" s="10">
        <f>IF($A205="","",IFERROR(INDEX('Catálogo'!$N$2:$N$813,MATCH($A205,'Catálogo'!$A$2:$A$813,0)),"código no encontrado"))</f>
        <v/>
      </c>
      <c r="G205" s="14" t="n"/>
      <c r="H205" s="22" t="n"/>
      <c r="I205" s="14" t="n"/>
      <c r="J205" s="14" t="n"/>
      <c r="K205" s="14" t="n"/>
      <c r="L205" s="14" t="n"/>
      <c r="M205" s="11">
        <f>IF(OR($F205="",$H205="",NOT(ISNUMBER($F205)),NOT(ISNUMBER($H205))),"",($H205-$F205)/$F205)</f>
        <v/>
      </c>
      <c r="N205" s="10">
        <f>IF(OR($E205="",$H205=""),"",$E205*$H205)</f>
        <v/>
      </c>
      <c r="O205" s="14" t="n"/>
    </row>
    <row r="206">
      <c r="A206" s="14" t="n"/>
      <c r="B206" s="5">
        <f>IF($A206="","",IFERROR(INDEX('Catálogo'!$D$2:$D$813,MATCH($A206,'Catálogo'!$A$2:$A$813,0)),"código no encontrado"))</f>
        <v/>
      </c>
      <c r="C206" s="5">
        <f>IF($A206="","",IFERROR(INDEX('Catálogo'!$E$2:$E$813,MATCH($A206,'Catálogo'!$A$2:$A$813,0)),"código no encontrado"))</f>
        <v/>
      </c>
      <c r="D206" s="5">
        <f>IF($A206="","",IFERROR(INDEX('Catálogo'!$H$2:$H$813,MATCH($A206,'Catálogo'!$A$2:$A$813,0)),"código no encontrado"))</f>
        <v/>
      </c>
      <c r="E206" s="15" t="n"/>
      <c r="F206" s="10">
        <f>IF($A206="","",IFERROR(INDEX('Catálogo'!$N$2:$N$813,MATCH($A206,'Catálogo'!$A$2:$A$813,0)),"código no encontrado"))</f>
        <v/>
      </c>
      <c r="G206" s="14" t="n"/>
      <c r="H206" s="22" t="n"/>
      <c r="I206" s="14" t="n"/>
      <c r="J206" s="14" t="n"/>
      <c r="K206" s="14" t="n"/>
      <c r="L206" s="14" t="n"/>
      <c r="M206" s="11">
        <f>IF(OR($F206="",$H206="",NOT(ISNUMBER($F206)),NOT(ISNUMBER($H206))),"",($H206-$F206)/$F206)</f>
        <v/>
      </c>
      <c r="N206" s="10">
        <f>IF(OR($E206="",$H206=""),"",$E206*$H206)</f>
        <v/>
      </c>
      <c r="O206" s="14" t="n"/>
    </row>
    <row r="207">
      <c r="A207" s="14" t="n"/>
      <c r="B207" s="5">
        <f>IF($A207="","",IFERROR(INDEX('Catálogo'!$D$2:$D$813,MATCH($A207,'Catálogo'!$A$2:$A$813,0)),"código no encontrado"))</f>
        <v/>
      </c>
      <c r="C207" s="5">
        <f>IF($A207="","",IFERROR(INDEX('Catálogo'!$E$2:$E$813,MATCH($A207,'Catálogo'!$A$2:$A$813,0)),"código no encontrado"))</f>
        <v/>
      </c>
      <c r="D207" s="5">
        <f>IF($A207="","",IFERROR(INDEX('Catálogo'!$H$2:$H$813,MATCH($A207,'Catálogo'!$A$2:$A$813,0)),"código no encontrado"))</f>
        <v/>
      </c>
      <c r="E207" s="15" t="n"/>
      <c r="F207" s="10">
        <f>IF($A207="","",IFERROR(INDEX('Catálogo'!$N$2:$N$813,MATCH($A207,'Catálogo'!$A$2:$A$813,0)),"código no encontrado"))</f>
        <v/>
      </c>
      <c r="G207" s="14" t="n"/>
      <c r="H207" s="22" t="n"/>
      <c r="I207" s="14" t="n"/>
      <c r="J207" s="14" t="n"/>
      <c r="K207" s="14" t="n"/>
      <c r="L207" s="14" t="n"/>
      <c r="M207" s="11">
        <f>IF(OR($F207="",$H207="",NOT(ISNUMBER($F207)),NOT(ISNUMBER($H207))),"",($H207-$F207)/$F207)</f>
        <v/>
      </c>
      <c r="N207" s="10">
        <f>IF(OR($E207="",$H207=""),"",$E207*$H207)</f>
        <v/>
      </c>
      <c r="O207" s="14" t="n"/>
    </row>
    <row r="208">
      <c r="A208" s="14" t="n"/>
      <c r="B208" s="5">
        <f>IF($A208="","",IFERROR(INDEX('Catálogo'!$D$2:$D$813,MATCH($A208,'Catálogo'!$A$2:$A$813,0)),"código no encontrado"))</f>
        <v/>
      </c>
      <c r="C208" s="5">
        <f>IF($A208="","",IFERROR(INDEX('Catálogo'!$E$2:$E$813,MATCH($A208,'Catálogo'!$A$2:$A$813,0)),"código no encontrado"))</f>
        <v/>
      </c>
      <c r="D208" s="5">
        <f>IF($A208="","",IFERROR(INDEX('Catálogo'!$H$2:$H$813,MATCH($A208,'Catálogo'!$A$2:$A$813,0)),"código no encontrado"))</f>
        <v/>
      </c>
      <c r="E208" s="15" t="n"/>
      <c r="F208" s="10">
        <f>IF($A208="","",IFERROR(INDEX('Catálogo'!$N$2:$N$813,MATCH($A208,'Catálogo'!$A$2:$A$813,0)),"código no encontrado"))</f>
        <v/>
      </c>
      <c r="G208" s="14" t="n"/>
      <c r="H208" s="22" t="n"/>
      <c r="I208" s="14" t="n"/>
      <c r="J208" s="14" t="n"/>
      <c r="K208" s="14" t="n"/>
      <c r="L208" s="14" t="n"/>
      <c r="M208" s="11">
        <f>IF(OR($F208="",$H208="",NOT(ISNUMBER($F208)),NOT(ISNUMBER($H208))),"",($H208-$F208)/$F208)</f>
        <v/>
      </c>
      <c r="N208" s="10">
        <f>IF(OR($E208="",$H208=""),"",$E208*$H208)</f>
        <v/>
      </c>
      <c r="O208" s="14" t="n"/>
    </row>
    <row r="210">
      <c r="A210" s="3" t="inlineStr">
        <is>
          <t>Total ofertado</t>
        </is>
      </c>
      <c r="N210" s="19">
        <f>SUM(N9:N208)</f>
        <v/>
      </c>
    </row>
    <row r="212">
      <c r="A212" s="13" t="inlineStr">
        <is>
          <t>La columna «Diferencia vs. referencia» compara la oferta con el precio de referencia del mercado: en negativo, la oferta está por debajo. Sirve para ver de un vistazo dónde vale la pena negociar y dónde la oferta ya es buena.</t>
        </is>
      </c>
    </row>
    <row r="213"/>
  </sheetData>
  <mergeCells count="5">
    <mergeCell ref="C4:F4"/>
    <mergeCell ref="C6:F6"/>
    <mergeCell ref="A210:M210"/>
    <mergeCell ref="A212:O213"/>
    <mergeCell ref="C5:F5"/>
  </mergeCells>
  <dataValidations count="1">
    <dataValidation sqref="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showDropDown="0" showInputMessage="0" showErrorMessage="0" allowBlank="1" type="list">
      <formula1>"Sí,No"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83"/>
  <sheetViews>
    <sheetView workbookViewId="0">
      <pane ySplit="1" topLeftCell="A2" activePane="bottomLeft" state="frozen"/>
      <selection pane="bottomLeft" activeCell="A1" sqref="A1"/>
    </sheetView>
  </sheetViews>
  <sheetFormatPr baseColWidth="8" defaultRowHeight="15"/>
  <cols>
    <col width="30" customWidth="1" min="1" max="1"/>
    <col width="16" customWidth="1" min="2" max="2"/>
    <col width="14" customWidth="1" min="3" max="3"/>
    <col width="13" customWidth="1" min="4" max="4"/>
    <col width="13" customWidth="1" min="5" max="5"/>
    <col width="12" customWidth="1" min="6" max="6"/>
    <col width="26" customWidth="1" min="7" max="7"/>
    <col width="60" customWidth="1" min="8" max="8"/>
    <col width="26" customWidth="1" min="9" max="9"/>
    <col width="16" customWidth="1" min="10" max="10"/>
    <col width="16" customWidth="1" min="11" max="11"/>
    <col width="26" customWidth="1" min="12" max="12"/>
    <col width="50" customWidth="1" min="13" max="13"/>
  </cols>
  <sheetData>
    <row r="1" ht="30" customHeight="1">
      <c r="A1" s="6" t="inlineStr">
        <is>
          <t>Proveedor</t>
        </is>
      </c>
      <c r="B1" s="6" t="inlineStr">
        <is>
          <t>Tipo</t>
        </is>
      </c>
      <c r="C1" s="6" t="inlineStr">
        <is>
          <t>Canal</t>
        </is>
      </c>
      <c r="D1" s="6" t="inlineStr">
        <is>
          <t>Vende al público</t>
        </is>
      </c>
      <c r="E1" s="6" t="inlineStr">
        <is>
          <t>Publica precios</t>
        </is>
      </c>
      <c r="F1" s="6" t="inlineStr">
        <is>
          <t>Cotizaciones cargadas</t>
        </is>
      </c>
      <c r="G1" s="6" t="inlineStr">
        <is>
          <t>Zonas</t>
        </is>
      </c>
      <c r="H1" s="6" t="inlineStr">
        <is>
          <t>Categorías que cubre</t>
        </is>
      </c>
      <c r="I1" s="6" t="inlineStr">
        <is>
          <t>Web</t>
        </is>
      </c>
      <c r="J1" s="6" t="inlineStr">
        <is>
          <t>Teléfono</t>
        </is>
      </c>
      <c r="K1" s="6" t="inlineStr">
        <is>
          <t>WhatsApp</t>
        </is>
      </c>
      <c r="L1" s="6" t="inlineStr">
        <is>
          <t>Correo</t>
        </is>
      </c>
      <c r="M1" s="6" t="inlineStr">
        <is>
          <t>Nota</t>
        </is>
      </c>
    </row>
    <row r="2">
      <c r="A2" s="7" t="inlineStr">
        <is>
          <t>Ferretería Ochoa (8A)</t>
        </is>
      </c>
      <c r="B2" s="7" t="inlineStr">
        <is>
          <t>cadena</t>
        </is>
      </c>
      <c r="C2" s="7" t="inlineStr">
        <is>
          <t>detallista</t>
        </is>
      </c>
      <c r="D2" s="7" t="inlineStr">
        <is>
          <t>Sí</t>
        </is>
      </c>
      <c r="E2" s="7" t="inlineStr">
        <is>
          <t>Sí</t>
        </is>
      </c>
      <c r="F2" s="8" t="n">
        <v>1272</v>
      </c>
      <c r="G2" s="5" t="inlineStr">
        <is>
          <t>Gran Santo Domingo, Santiago / Cibao</t>
        </is>
      </c>
      <c r="H2" s="5" t="inlineStr">
        <is>
          <t>Cemento, morteros y aditivos, Acero de refuerzo y metales, Madera y encofrado, Techos e impermeabilización, Pisos y revestimientos, Plomería, sanitarios y gas, Electricidad e iluminación, Puertas, ventanas y cristales, Pintura y acabados, Plafones y construcción liviana, Ferretería y fijaciones, Climatización y ventilación, Exteriores y paisajismo</t>
        </is>
      </c>
      <c r="I2" s="7" t="inlineStr">
        <is>
          <t>ochoa.com.do</t>
        </is>
      </c>
      <c r="J2" s="7" t="inlineStr">
        <is>
          <t>809-971-8000</t>
        </is>
      </c>
      <c r="K2" s="7" t="inlineStr"/>
      <c r="L2" s="7" t="inlineStr"/>
      <c r="M2" s="5" t="inlineStr">
        <is>
          <t>Fundada en 1971. Sucursales en Santiago y Santo Domingo Oeste (Zona Industrial Herrera). E-commerce con precios en RD$ por producto: es la mejor fuente de precio base en línea.</t>
        </is>
      </c>
    </row>
    <row r="3">
      <c r="A3" s="7" t="inlineStr">
        <is>
          <t>Ferretería Americana</t>
        </is>
      </c>
      <c r="B3" s="7" t="inlineStr">
        <is>
          <t>cadena</t>
        </is>
      </c>
      <c r="C3" s="7" t="inlineStr">
        <is>
          <t>detallista</t>
        </is>
      </c>
      <c r="D3" s="7" t="inlineStr">
        <is>
          <t>Sí</t>
        </is>
      </c>
      <c r="E3" s="7" t="inlineStr">
        <is>
          <t>Sí</t>
        </is>
      </c>
      <c r="F3" s="8" t="n">
        <v>0</v>
      </c>
      <c r="G3" s="5" t="inlineStr">
        <is>
          <t>Gran Santo Domingo</t>
        </is>
      </c>
      <c r="H3" s="5" t="inlineStr">
        <is>
          <t>Cemento, morteros y aditivos, Acero de refuerzo y metales, Madera y encofrado, Techos e impermeabilización, Pisos y revestimientos, Plomería, sanitarios y gas, Electricidad e iluminación, Puertas, ventanas y cristales, Pintura y acabados, Plafones y construcción liviana, Ferretería y fijaciones, Climatización y ventilación</t>
        </is>
      </c>
      <c r="I3" s="7" t="inlineStr">
        <is>
          <t>ferreteriaamericana.com.do</t>
        </is>
      </c>
      <c r="J3" s="7" t="inlineStr"/>
      <c r="K3" s="7" t="inlineStr"/>
      <c r="L3" s="7" t="inlineStr"/>
      <c r="M3" s="5" t="inlineStr">
        <is>
          <t>Fundada en 1964, más de 70 años. Seis o más sucursales en el Gran Santo Domingo (JFK, Mella, San Martín, Máximo Gómez, Independencia, Maga Centro-SDE). Tienda en línea.</t>
        </is>
      </c>
    </row>
    <row r="4">
      <c r="A4" s="7" t="inlineStr">
        <is>
          <t>Ferremix (Grupo Alterra)</t>
        </is>
      </c>
      <c r="B4" s="7" t="inlineStr">
        <is>
          <t>cadena</t>
        </is>
      </c>
      <c r="C4" s="7" t="inlineStr">
        <is>
          <t>detallista</t>
        </is>
      </c>
      <c r="D4" s="7" t="inlineStr">
        <is>
          <t>Sí</t>
        </is>
      </c>
      <c r="E4" s="7" t="inlineStr">
        <is>
          <t>Sí</t>
        </is>
      </c>
      <c r="F4" s="8" t="n">
        <v>2</v>
      </c>
      <c r="G4" s="5" t="inlineStr">
        <is>
          <t>Gran Santo Domingo</t>
        </is>
      </c>
      <c r="H4" s="5" t="inlineStr">
        <is>
          <t>Cemento, morteros y aditivos, Acero de refuerzo y metales, Madera y encofrado, Pisos y revestimientos, Plomería, sanitarios y gas, Electricidad e iluminación, Pintura y acabados, Ferretería y fijaciones, Seguridad industrial y señalización</t>
        </is>
      </c>
      <c r="I4" s="7" t="inlineStr">
        <is>
          <t>ferremix.com.do</t>
        </is>
      </c>
      <c r="J4" s="7" t="inlineStr"/>
      <c r="K4" s="7" t="inlineStr">
        <is>
          <t>18295373000</t>
        </is>
      </c>
      <c r="L4" s="7" t="inlineStr">
        <is>
          <t>soporteweb@ferremix.com.do</t>
        </is>
      </c>
      <c r="M4" s="5" t="inlineStr">
        <is>
          <t>La cadena de mayor expansión reciente. Sucursales Villa Mella (849-507-0003) y Herrera (829-539-0078). Tienda en línea con precios en RD$.</t>
        </is>
      </c>
    </row>
    <row r="5">
      <c r="A5" s="7" t="inlineStr">
        <is>
          <t>InnovaCentro (La Innovación)</t>
        </is>
      </c>
      <c r="B5" s="7" t="inlineStr">
        <is>
          <t>cadena</t>
        </is>
      </c>
      <c r="C5" s="7" t="inlineStr">
        <is>
          <t>detallista</t>
        </is>
      </c>
      <c r="D5" s="7" t="inlineStr">
        <is>
          <t>Sí</t>
        </is>
      </c>
      <c r="E5" s="7" t="inlineStr">
        <is>
          <t>Sí</t>
        </is>
      </c>
      <c r="F5" s="8" t="n">
        <v>407</v>
      </c>
      <c r="G5" s="5" t="inlineStr">
        <is>
          <t>Cobertura nacional</t>
        </is>
      </c>
      <c r="H5" s="5" t="inlineStr">
        <is>
          <t>Cemento, morteros y aditivos, Pisos y revestimientos, Plomería, sanitarios y gas, Electricidad e iluminación, Pintura y acabados, Plafones y construcción liviana, Ferretería y fijaciones</t>
        </is>
      </c>
      <c r="I5" s="7" t="inlineStr">
        <is>
          <t>innovacentro.com.do</t>
        </is>
      </c>
      <c r="J5" s="7" t="inlineStr"/>
      <c r="K5" s="7" t="inlineStr"/>
      <c r="L5" s="7" t="inlineStr"/>
      <c r="M5" s="5" t="inlineStr">
        <is>
          <t>Catálogo en línea con marcas y precios. Maneja Truper, Foset, Total, Pedrollo y Tangit.</t>
        </is>
      </c>
    </row>
    <row r="6">
      <c r="A6" s="7" t="inlineStr">
        <is>
          <t>Plaza Lama</t>
        </is>
      </c>
      <c r="B6" s="7" t="inlineStr">
        <is>
          <t>cadena</t>
        </is>
      </c>
      <c r="C6" s="7" t="inlineStr">
        <is>
          <t>detallista</t>
        </is>
      </c>
      <c r="D6" s="7" t="inlineStr">
        <is>
          <t>Sí</t>
        </is>
      </c>
      <c r="E6" s="7" t="inlineStr">
        <is>
          <t>Sí</t>
        </is>
      </c>
      <c r="F6" s="8" t="n">
        <v>0</v>
      </c>
      <c r="G6" s="5" t="inlineStr">
        <is>
          <t>Cobertura nacional</t>
        </is>
      </c>
      <c r="H6" s="5" t="inlineStr">
        <is>
          <t>Pisos y revestimientos, Electricidad e iluminación, Pintura y acabados, Ferretería y fijaciones</t>
        </is>
      </c>
      <c r="I6" s="7" t="inlineStr">
        <is>
          <t>plazalama.com.do</t>
        </is>
      </c>
      <c r="J6" s="7" t="inlineStr"/>
      <c r="K6" s="7" t="inlineStr"/>
      <c r="L6" s="7" t="inlineStr"/>
      <c r="M6" s="5" t="inlineStr">
        <is>
          <t>Tienda por departamentos con área de ferretería, pintura y eléctricos, y tienda en línea.</t>
        </is>
      </c>
    </row>
    <row r="7">
      <c r="A7" s="7" t="inlineStr">
        <is>
          <t>Ferretería MC</t>
        </is>
      </c>
      <c r="B7" s="7" t="inlineStr">
        <is>
          <t>cadena</t>
        </is>
      </c>
      <c r="C7" s="7" t="inlineStr">
        <is>
          <t>detallista</t>
        </is>
      </c>
      <c r="D7" s="7" t="inlineStr">
        <is>
          <t>Sí</t>
        </is>
      </c>
      <c r="E7" s="7" t="inlineStr">
        <is>
          <t>Sí</t>
        </is>
      </c>
      <c r="F7" s="8" t="n">
        <v>0</v>
      </c>
      <c r="G7" s="5" t="inlineStr">
        <is>
          <t>Gran Santo Domingo</t>
        </is>
      </c>
      <c r="H7" s="5" t="inlineStr">
        <is>
          <t>Cemento, morteros y aditivos, Pisos y revestimientos, Plomería, sanitarios y gas, Electricidad e iluminación, Pintura y acabados, Ferretería y fijaciones</t>
        </is>
      </c>
      <c r="I7" s="7" t="inlineStr">
        <is>
          <t>mc.com.do</t>
        </is>
      </c>
      <c r="J7" s="7" t="inlineStr"/>
      <c r="K7" s="7" t="inlineStr"/>
      <c r="L7" s="7" t="inlineStr"/>
      <c r="M7" s="5" t="inlineStr">
        <is>
          <t>Catálogo con carrito de compras. Departamento de terminación: cerámica de piso y pared, porcelanato y molduras.</t>
        </is>
      </c>
    </row>
    <row r="8">
      <c r="A8" s="7" t="inlineStr">
        <is>
          <t>Ferretería Gigante</t>
        </is>
      </c>
      <c r="B8" s="7" t="inlineStr">
        <is>
          <t>cadena</t>
        </is>
      </c>
      <c r="C8" s="7" t="inlineStr">
        <is>
          <t>detallista</t>
        </is>
      </c>
      <c r="D8" s="7" t="inlineStr">
        <is>
          <t>Sí</t>
        </is>
      </c>
      <c r="E8" s="7" t="inlineStr">
        <is>
          <t>Sí</t>
        </is>
      </c>
      <c r="F8" s="8" t="n">
        <v>0</v>
      </c>
      <c r="G8" s="5" t="inlineStr">
        <is>
          <t>Gran Santo Domingo</t>
        </is>
      </c>
      <c r="H8" s="5" t="inlineStr">
        <is>
          <t>Agregados y áridos, Madera y encofrado, Pisos y revestimientos, Plomería, sanitarios y gas, Electricidad e iluminación, Pintura y acabados, Ferretería y fijaciones</t>
        </is>
      </c>
      <c r="I8" s="7" t="inlineStr">
        <is>
          <t>ferreteriagigante.com</t>
        </is>
      </c>
      <c r="J8" s="7" t="inlineStr"/>
      <c r="K8" s="7" t="inlineStr">
        <is>
          <t>18298841828</t>
        </is>
      </c>
      <c r="L8" s="7" t="inlineStr"/>
      <c r="M8" s="5" t="inlineStr">
        <is>
          <t>Precios en línea. Cotiza por WhatsApp.</t>
        </is>
      </c>
    </row>
    <row r="9">
      <c r="A9" s="7" t="inlineStr">
        <is>
          <t>Almacenes Unidos</t>
        </is>
      </c>
      <c r="B9" s="7" t="inlineStr">
        <is>
          <t>cadena</t>
        </is>
      </c>
      <c r="C9" s="7" t="inlineStr">
        <is>
          <t>detallista</t>
        </is>
      </c>
      <c r="D9" s="7" t="inlineStr">
        <is>
          <t>Sí</t>
        </is>
      </c>
      <c r="E9" s="7" t="inlineStr">
        <is>
          <t>No</t>
        </is>
      </c>
      <c r="F9" s="8" t="n">
        <v>0</v>
      </c>
      <c r="G9" s="5" t="inlineStr">
        <is>
          <t>Gran Santo Domingo, Este (Punta Cana, La Romana)</t>
        </is>
      </c>
      <c r="H9" s="5" t="inlineStr">
        <is>
          <t>Techos e impermeabilización, Plomería, sanitarios y gas, Pintura y acabados, Ferretería y fijaciones</t>
        </is>
      </c>
      <c r="I9" s="7" t="inlineStr">
        <is>
          <t>unidosrd.com</t>
        </is>
      </c>
      <c r="J9" s="7" t="inlineStr">
        <is>
          <t>809-472-6911</t>
        </is>
      </c>
      <c r="K9" s="7" t="inlineStr"/>
      <c r="L9" s="7" t="inlineStr">
        <is>
          <t>info@almacenesunidos.net</t>
        </is>
      </c>
      <c r="M9" s="5" t="inlineStr">
        <is>
          <t>Fundada en 1964, origen mayorista ferretero. Tiendas en Av. J.F. Kennedy esq. Winston Churchill, Av. Sarasota esq. Pedro A. Bobea (Bella Vista) y Punta Cana. Acepta solicitudes de cotización por WhatsApp o con un vendedor, sin visitar tienda.</t>
        </is>
      </c>
    </row>
    <row r="10">
      <c r="A10" s="7" t="inlineStr">
        <is>
          <t>Ferretería Bellón</t>
        </is>
      </c>
      <c r="B10" s="7" t="inlineStr">
        <is>
          <t>cadena</t>
        </is>
      </c>
      <c r="C10" s="7" t="inlineStr">
        <is>
          <t>detallista</t>
        </is>
      </c>
      <c r="D10" s="7" t="inlineStr">
        <is>
          <t>Sí</t>
        </is>
      </c>
      <c r="E10" s="7" t="inlineStr">
        <is>
          <t>No</t>
        </is>
      </c>
      <c r="F10" s="8" t="n">
        <v>0</v>
      </c>
      <c r="G10" s="5" t="inlineStr">
        <is>
          <t>Gran Santo Domingo</t>
        </is>
      </c>
      <c r="H10" s="5" t="inlineStr">
        <is>
          <t>Plomería, sanitarios y gas, Electricidad e iluminación, Pintura y acabados, Ferretería y fijaciones</t>
        </is>
      </c>
      <c r="I10" s="7" t="inlineStr"/>
      <c r="J10" s="7" t="inlineStr"/>
      <c r="K10" s="7" t="inlineStr"/>
      <c r="L10" s="7" t="inlineStr"/>
      <c r="M10" s="5" t="inlineStr">
        <is>
          <t>Cadena familiar consolidada, multicategoría. Datos de contacto no verificados públicamente.</t>
        </is>
      </c>
    </row>
    <row r="11">
      <c r="A11" s="7" t="inlineStr">
        <is>
          <t>Ferretería Haché</t>
        </is>
      </c>
      <c r="B11" s="7" t="inlineStr">
        <is>
          <t>cadena</t>
        </is>
      </c>
      <c r="C11" s="7" t="inlineStr">
        <is>
          <t>detallista</t>
        </is>
      </c>
      <c r="D11" s="7" t="inlineStr">
        <is>
          <t>Sí</t>
        </is>
      </c>
      <c r="E11" s="7" t="inlineStr">
        <is>
          <t>No</t>
        </is>
      </c>
      <c r="F11" s="8" t="n">
        <v>0</v>
      </c>
      <c r="G11" s="5" t="inlineStr">
        <is>
          <t>Gran Santo Domingo, Santiago / Cibao</t>
        </is>
      </c>
      <c r="H11" s="5" t="inlineStr">
        <is>
          <t>Plomería, sanitarios y gas, Electricidad e iluminación, Pintura y acabados, Ferretería y fijaciones</t>
        </is>
      </c>
      <c r="I11" s="7" t="inlineStr"/>
      <c r="J11" s="7" t="inlineStr"/>
      <c r="K11" s="7" t="inlineStr"/>
      <c r="L11" s="7" t="inlineStr"/>
      <c r="M11" s="5" t="inlineStr">
        <is>
          <t>Cadena multicategoría con presencia en Santiago y la capital. Datos de contacto no verificados públicamente.</t>
        </is>
      </c>
    </row>
    <row r="12">
      <c r="A12" s="7" t="inlineStr">
        <is>
          <t>Würth Dominicana</t>
        </is>
      </c>
      <c r="B12" s="7" t="inlineStr">
        <is>
          <t>distribuidor</t>
        </is>
      </c>
      <c r="C12" s="7" t="inlineStr">
        <is>
          <t>mayorista</t>
        </is>
      </c>
      <c r="D12" s="7" t="inlineStr">
        <is>
          <t>Sí</t>
        </is>
      </c>
      <c r="E12" s="7" t="inlineStr">
        <is>
          <t>Sí</t>
        </is>
      </c>
      <c r="F12" s="8" t="n">
        <v>0</v>
      </c>
      <c r="G12" s="5" t="inlineStr">
        <is>
          <t>Cobertura nacional</t>
        </is>
      </c>
      <c r="H12" s="5" t="inlineStr">
        <is>
          <t>Ferretería y fijaciones, Seguridad industrial y señalización</t>
        </is>
      </c>
      <c r="I12" s="7" t="inlineStr">
        <is>
          <t>wurth.com.do</t>
        </is>
      </c>
      <c r="J12" s="7" t="inlineStr">
        <is>
          <t>809-562-7777</t>
        </is>
      </c>
      <c r="K12" s="7" t="inlineStr"/>
      <c r="L12" s="7" t="inlineStr"/>
      <c r="M12" s="5" t="inlineStr">
        <is>
          <t>Proveedor premium de fijaciones y consumibles industriales, con tienda en línea. También maneja línea de EPP.</t>
        </is>
      </c>
    </row>
    <row r="13">
      <c r="A13" s="7" t="inlineStr">
        <is>
          <t>Agregados Comerciales (by Consthera)</t>
        </is>
      </c>
      <c r="B13" s="7" t="inlineStr">
        <is>
          <t>fabricante</t>
        </is>
      </c>
      <c r="C13" s="7" t="inlineStr">
        <is>
          <t>fabricante</t>
        </is>
      </c>
      <c r="D13" s="7" t="inlineStr">
        <is>
          <t>Sí</t>
        </is>
      </c>
      <c r="E13" s="7" t="inlineStr">
        <is>
          <t>No</t>
        </is>
      </c>
      <c r="F13" s="8" t="n">
        <v>0</v>
      </c>
      <c r="G13" s="5" t="inlineStr">
        <is>
          <t>Gran Santo Domingo, Este (Punta Cana, La Romana)</t>
        </is>
      </c>
      <c r="H13" s="5" t="inlineStr">
        <is>
          <t>Agregados y áridos</t>
        </is>
      </c>
      <c r="I13" s="7" t="inlineStr">
        <is>
          <t>agregadoscomerciales.com</t>
        </is>
      </c>
      <c r="J13" s="7" t="inlineStr"/>
      <c r="K13" s="7" t="inlineStr"/>
      <c r="L13" s="7" t="inlineStr"/>
      <c r="M13" s="5" t="inlineStr">
        <is>
          <t>Agregados basálticos (grava 3/4" y 1/2", arena, gravilla) según ASTM C-33, con capacidad de hasta 80,000 m³ mensuales. Contacto vía formulario web; teléfono directo no verificado públicamente.</t>
        </is>
      </c>
    </row>
    <row r="14">
      <c r="A14" s="7" t="inlineStr">
        <is>
          <t>Arenas y Gravas Santo Domingo</t>
        </is>
      </c>
      <c r="B14" s="7" t="inlineStr">
        <is>
          <t>fabricante</t>
        </is>
      </c>
      <c r="C14" s="7" t="inlineStr">
        <is>
          <t>fabricante</t>
        </is>
      </c>
      <c r="D14" s="7" t="inlineStr">
        <is>
          <t>Sí</t>
        </is>
      </c>
      <c r="E14" s="7" t="inlineStr">
        <is>
          <t>No</t>
        </is>
      </c>
      <c r="F14" s="8" t="n">
        <v>0</v>
      </c>
      <c r="G14" s="5" t="inlineStr">
        <is>
          <t>Gran Santo Domingo</t>
        </is>
      </c>
      <c r="H14" s="5" t="inlineStr">
        <is>
          <t>Agregados y áridos</t>
        </is>
      </c>
      <c r="I14" s="7" t="inlineStr">
        <is>
          <t>arenasygravassantodomingo.com</t>
        </is>
      </c>
      <c r="J14" s="7" t="inlineStr"/>
      <c r="K14" s="7" t="inlineStr"/>
      <c r="L14" s="7" t="inlineStr"/>
      <c r="M14" s="5" t="inlineStr">
        <is>
          <t>Arena, grava y transporte propio (mulas, volquetas, cargador). Enfoque en entregas a obra.</t>
        </is>
      </c>
    </row>
    <row r="15">
      <c r="A15" s="7" t="inlineStr">
        <is>
          <t>AgreAtlántico (Hormigones del Atlántico)</t>
        </is>
      </c>
      <c r="B15" s="7" t="inlineStr">
        <is>
          <t>fabricante</t>
        </is>
      </c>
      <c r="C15" s="7" t="inlineStr">
        <is>
          <t>fabricante</t>
        </is>
      </c>
      <c r="D15" s="7" t="inlineStr">
        <is>
          <t>Sí</t>
        </is>
      </c>
      <c r="E15" s="7" t="inlineStr">
        <is>
          <t>No</t>
        </is>
      </c>
      <c r="F15" s="8" t="n">
        <v>0</v>
      </c>
      <c r="G15" s="5" t="inlineStr">
        <is>
          <t>Santiago / Cibao</t>
        </is>
      </c>
      <c r="H15" s="5" t="inlineStr">
        <is>
          <t>Agregados y áridos, Hormigón premezclado</t>
        </is>
      </c>
      <c r="I15" s="7" t="inlineStr"/>
      <c r="J15" s="7" t="inlineStr"/>
      <c r="K15" s="7" t="inlineStr"/>
      <c r="L15" s="7" t="inlineStr"/>
      <c r="M15" s="5" t="inlineStr">
        <is>
          <t>División industrial de explotación de canteras y producción de agregados. Cobertura regional.</t>
        </is>
      </c>
    </row>
    <row r="16">
      <c r="A16" s="7" t="inlineStr">
        <is>
          <t>Bluewave Agregados</t>
        </is>
      </c>
      <c r="B16" s="7" t="inlineStr">
        <is>
          <t>fabricante</t>
        </is>
      </c>
      <c r="C16" s="7" t="inlineStr">
        <is>
          <t>fabricante</t>
        </is>
      </c>
      <c r="D16" s="7" t="inlineStr">
        <is>
          <t>Sí</t>
        </is>
      </c>
      <c r="E16" s="7" t="inlineStr">
        <is>
          <t>No</t>
        </is>
      </c>
      <c r="F16" s="8" t="n">
        <v>0</v>
      </c>
      <c r="G16" s="5" t="inlineStr">
        <is>
          <t>Este (Punta Cana, La Romana)</t>
        </is>
      </c>
      <c r="H16" s="5" t="inlineStr">
        <is>
          <t>Agregados y áridos</t>
        </is>
      </c>
      <c r="I16" s="7" t="inlineStr"/>
      <c r="J16" s="7" t="inlineStr"/>
      <c r="K16" s="7" t="inlineStr"/>
      <c r="L16" s="7" t="inlineStr"/>
      <c r="M16" s="5" t="inlineStr">
        <is>
          <t>Planta en Punta Cana. Arena triturada, grava, gravilla, base/sub-base y roca de voladura.</t>
        </is>
      </c>
    </row>
    <row r="17">
      <c r="A17" s="7" t="inlineStr">
        <is>
          <t>Minería &amp; Construcciones</t>
        </is>
      </c>
      <c r="B17" s="7" t="inlineStr">
        <is>
          <t>fabricante</t>
        </is>
      </c>
      <c r="C17" s="7" t="inlineStr">
        <is>
          <t>fabricante</t>
        </is>
      </c>
      <c r="D17" s="7" t="inlineStr">
        <is>
          <t>Sí</t>
        </is>
      </c>
      <c r="E17" s="7" t="inlineStr">
        <is>
          <t>No</t>
        </is>
      </c>
      <c r="F17" s="8" t="n">
        <v>0</v>
      </c>
      <c r="G17" s="5" t="inlineStr">
        <is>
          <t>Santiago / Cibao</t>
        </is>
      </c>
      <c r="H17" s="5" t="inlineStr">
        <is>
          <t>Agregados y áridos</t>
        </is>
      </c>
      <c r="I17" s="7" t="inlineStr"/>
      <c r="J17" s="7" t="inlineStr"/>
      <c r="K17" s="7" t="inlineStr"/>
      <c r="L17" s="7" t="inlineStr"/>
      <c r="M17" s="5" t="inlineStr">
        <is>
          <t>Productor con sede en Santiago. Agregados para hormigón hidráulico y asfáltico, base y sub-base para carreteras.</t>
        </is>
      </c>
    </row>
    <row r="18">
      <c r="A18" s="7" t="inlineStr">
        <is>
          <t>Cemex Dominicana</t>
        </is>
      </c>
      <c r="B18" s="7" t="inlineStr">
        <is>
          <t>fabricante</t>
        </is>
      </c>
      <c r="C18" s="7" t="inlineStr">
        <is>
          <t>fabricante</t>
        </is>
      </c>
      <c r="D18" s="7" t="inlineStr">
        <is>
          <t>No</t>
        </is>
      </c>
      <c r="E18" s="7" t="inlineStr">
        <is>
          <t>No</t>
        </is>
      </c>
      <c r="F18" s="8" t="n">
        <v>0</v>
      </c>
      <c r="G18" s="5" t="inlineStr">
        <is>
          <t>Cobertura nacional</t>
        </is>
      </c>
      <c r="H18" s="5" t="inlineStr">
        <is>
          <t>Cemento, morteros y aditivos, Hormigón premezclado</t>
        </is>
      </c>
      <c r="I18" s="7" t="inlineStr">
        <is>
          <t>cemexdominicana.com</t>
        </is>
      </c>
      <c r="J18" s="7" t="inlineStr"/>
      <c r="K18" s="7" t="inlineStr"/>
      <c r="L18" s="7" t="inlineStr"/>
      <c r="M18" s="5" t="inlineStr">
        <is>
          <t>Líder de mercado; adquirido por Cementos Progreso por US$950 millones en agosto de 2024. Capacidad anual de 2.6 millones de toneladas, planta en San Pedro de Macorís y cinco plantas de concreto. Marca Cementos Titán. La funda se vende vía su red de distribución Construrama (30+ ferreterías): úsese como indicador de tendencia, no como precio de calle.</t>
        </is>
      </c>
    </row>
    <row r="19">
      <c r="A19" s="7" t="inlineStr">
        <is>
          <t>Cementos Cibao</t>
        </is>
      </c>
      <c r="B19" s="7" t="inlineStr">
        <is>
          <t>fabricante</t>
        </is>
      </c>
      <c r="C19" s="7" t="inlineStr">
        <is>
          <t>fabricante</t>
        </is>
      </c>
      <c r="D19" s="7" t="inlineStr">
        <is>
          <t>No</t>
        </is>
      </c>
      <c r="E19" s="7" t="inlineStr">
        <is>
          <t>No</t>
        </is>
      </c>
      <c r="F19" s="8" t="n">
        <v>0</v>
      </c>
      <c r="G19" s="5" t="inlineStr">
        <is>
          <t>Santiago / Cibao, Cobertura nacional</t>
        </is>
      </c>
      <c r="H19" s="5" t="inlineStr">
        <is>
          <t>Cemento, morteros y aditivos, Hormigón premezclado, Bloques y prefabricados</t>
        </is>
      </c>
      <c r="I19" s="7" t="inlineStr">
        <is>
          <t>cementoscibao.com</t>
        </is>
      </c>
      <c r="J19" s="7" t="inlineStr"/>
      <c r="K19" s="7" t="inlineStr"/>
      <c r="L19" s="7" t="inlineStr"/>
      <c r="M19" s="5" t="inlineStr">
        <is>
          <t>Fundada el 25 de octubre de 1964, capital dominicano. Segunda mayor productora de cemento gris tipo Portland Mixto, con capacidad instalada de 1,700,000 toneladas anuales. Planta integrada, tres plantas de concreto (Cibao Mix) y fábrica de blocks en Santiago. El premezclado y los prefabricados sí se cotizan directo.</t>
        </is>
      </c>
    </row>
    <row r="20">
      <c r="A20" s="7" t="inlineStr">
        <is>
          <t>Domicem</t>
        </is>
      </c>
      <c r="B20" s="7" t="inlineStr">
        <is>
          <t>fabricante</t>
        </is>
      </c>
      <c r="C20" s="7" t="inlineStr">
        <is>
          <t>fabricante</t>
        </is>
      </c>
      <c r="D20" s="7" t="inlineStr">
        <is>
          <t>No</t>
        </is>
      </c>
      <c r="E20" s="7" t="inlineStr">
        <is>
          <t>No</t>
        </is>
      </c>
      <c r="F20" s="8" t="n">
        <v>0</v>
      </c>
      <c r="G20" s="5" t="inlineStr">
        <is>
          <t>Cobertura nacional</t>
        </is>
      </c>
      <c r="H20" s="5" t="inlineStr">
        <is>
          <t>Cemento, morteros y aditivos</t>
        </is>
      </c>
      <c r="I20" s="7" t="inlineStr"/>
      <c r="J20" s="7" t="inlineStr"/>
      <c r="K20" s="7" t="inlineStr"/>
      <c r="L20" s="7" t="inlineStr"/>
      <c r="M20" s="5" t="inlineStr">
        <is>
          <t>Planta en Sabana Grande de Palenque, San Cristóbal. Tras su segunda línea (22 nov 2023, US$130M) alcanzó más de 2.1 millones de TM de clínker y casi 3 millones de TM de cemento anuales. Del grupo italiano Colacem.</t>
        </is>
      </c>
    </row>
    <row r="21">
      <c r="A21" s="7" t="inlineStr">
        <is>
          <t>Argos Dominicana</t>
        </is>
      </c>
      <c r="B21" s="7" t="inlineStr">
        <is>
          <t>fabricante</t>
        </is>
      </c>
      <c r="C21" s="7" t="inlineStr">
        <is>
          <t>fabricante</t>
        </is>
      </c>
      <c r="D21" s="7" t="inlineStr">
        <is>
          <t>No</t>
        </is>
      </c>
      <c r="E21" s="7" t="inlineStr">
        <is>
          <t>No</t>
        </is>
      </c>
      <c r="F21" s="8" t="n">
        <v>0</v>
      </c>
      <c r="G21" s="5" t="inlineStr">
        <is>
          <t>Cobertura nacional</t>
        </is>
      </c>
      <c r="H21" s="5" t="inlineStr">
        <is>
          <t>Cemento, morteros y aditivos</t>
        </is>
      </c>
      <c r="I21" s="7" t="inlineStr"/>
      <c r="J21" s="7" t="inlineStr"/>
      <c r="K21" s="7" t="inlineStr"/>
      <c r="L21" s="7" t="inlineStr"/>
      <c r="M21" s="5" t="inlineStr">
        <is>
          <t>Capital colombiano. Planta en Nigua, San Cristóbal. Anteriormente Cemento Colón.</t>
        </is>
      </c>
    </row>
    <row r="22">
      <c r="A22" s="7" t="inlineStr">
        <is>
          <t>Sika Dominicana</t>
        </is>
      </c>
      <c r="B22" s="7" t="inlineStr">
        <is>
          <t>fabricante</t>
        </is>
      </c>
      <c r="C22" s="7" t="inlineStr">
        <is>
          <t>fabricante</t>
        </is>
      </c>
      <c r="D22" s="7" t="inlineStr">
        <is>
          <t>No</t>
        </is>
      </c>
      <c r="E22" s="7" t="inlineStr">
        <is>
          <t>No</t>
        </is>
      </c>
      <c r="F22" s="8" t="n">
        <v>0</v>
      </c>
      <c r="G22" s="5" t="inlineStr">
        <is>
          <t>Cobertura nacional</t>
        </is>
      </c>
      <c r="H22" s="5" t="inlineStr">
        <is>
          <t>Cemento, morteros y aditivos, Techos e impermeabilización, Pintura y acabados</t>
        </is>
      </c>
      <c r="I22" s="7" t="inlineStr">
        <is>
          <t>dom.sika.com</t>
        </is>
      </c>
      <c r="J22" s="7" t="inlineStr"/>
      <c r="K22" s="7" t="inlineStr"/>
      <c r="L22" s="7" t="inlineStr"/>
      <c r="M22" s="5" t="inlineStr">
        <is>
          <t>Aditivos, morteros técnicos, pegamentos, impermeabilizantes y recubrimientos. Amplia red de distribuidores.</t>
        </is>
      </c>
    </row>
    <row r="23">
      <c r="A23" s="7" t="inlineStr">
        <is>
          <t>Concretos Tecnológicos</t>
        </is>
      </c>
      <c r="B23" s="7" t="inlineStr">
        <is>
          <t>fabricante</t>
        </is>
      </c>
      <c r="C23" s="7" t="inlineStr">
        <is>
          <t>fabricante</t>
        </is>
      </c>
      <c r="D23" s="7" t="inlineStr">
        <is>
          <t>Sí</t>
        </is>
      </c>
      <c r="E23" s="7" t="inlineStr">
        <is>
          <t>No</t>
        </is>
      </c>
      <c r="F23" s="8" t="n">
        <v>0</v>
      </c>
      <c r="G23" s="5" t="inlineStr">
        <is>
          <t>Cobertura nacional</t>
        </is>
      </c>
      <c r="H23" s="5" t="inlineStr">
        <is>
          <t>Hormigón premezclado</t>
        </is>
      </c>
      <c r="I23" s="7" t="inlineStr">
        <is>
          <t>concretostecnologicos.com</t>
        </is>
      </c>
      <c r="J23" s="7" t="inlineStr"/>
      <c r="K23" s="7" t="inlineStr"/>
      <c r="L23" s="7" t="inlineStr"/>
      <c r="M23" s="5" t="inlineStr">
        <is>
          <t>Despacho directo a obra en todo el país. Resistencias F'c 210-350 kg/cm², servicio de bombeo y calidad NORDOM. Cotiza por WhatsApp.</t>
        </is>
      </c>
    </row>
    <row r="24">
      <c r="A24" s="7" t="inlineStr">
        <is>
          <t>Hormigones del Atlántico</t>
        </is>
      </c>
      <c r="B24" s="7" t="inlineStr">
        <is>
          <t>fabricante</t>
        </is>
      </c>
      <c r="C24" s="7" t="inlineStr">
        <is>
          <t>fabricante</t>
        </is>
      </c>
      <c r="D24" s="7" t="inlineStr">
        <is>
          <t>Sí</t>
        </is>
      </c>
      <c r="E24" s="7" t="inlineStr">
        <is>
          <t>No</t>
        </is>
      </c>
      <c r="F24" s="8" t="n">
        <v>0</v>
      </c>
      <c r="G24" s="5" t="inlineStr">
        <is>
          <t>Santiago / Cibao</t>
        </is>
      </c>
      <c r="H24" s="5" t="inlineStr">
        <is>
          <t>Agregados y áridos, Hormigón premezclado</t>
        </is>
      </c>
      <c r="I24" s="7" t="inlineStr"/>
      <c r="J24" s="7" t="inlineStr"/>
      <c r="K24" s="7" t="inlineStr"/>
      <c r="L24" s="7" t="inlineStr"/>
      <c r="M24" s="5" t="inlineStr">
        <is>
          <t>Productor de hormigón y agregados con cobertura regional.</t>
        </is>
      </c>
    </row>
    <row r="25">
      <c r="A25" s="7" t="inlineStr">
        <is>
          <t>Gerdau Metaldom</t>
        </is>
      </c>
      <c r="B25" s="7" t="inlineStr">
        <is>
          <t>fabricante</t>
        </is>
      </c>
      <c r="C25" s="7" t="inlineStr">
        <is>
          <t>fabricante</t>
        </is>
      </c>
      <c r="D25" s="7" t="inlineStr">
        <is>
          <t>No</t>
        </is>
      </c>
      <c r="E25" s="7" t="inlineStr">
        <is>
          <t>Sí</t>
        </is>
      </c>
      <c r="F25" s="8" t="n">
        <v>0</v>
      </c>
      <c r="G25" s="5" t="inlineStr">
        <is>
          <t>Cobertura nacional</t>
        </is>
      </c>
      <c r="H25" s="5" t="inlineStr">
        <is>
          <t>Acero de refuerzo y metales</t>
        </is>
      </c>
      <c r="I25" s="7" t="inlineStr">
        <is>
          <t>metaldom.com</t>
        </is>
      </c>
      <c r="J25" s="7" t="inlineStr"/>
      <c r="K25" s="7" t="inlineStr"/>
      <c r="L25" s="7" t="inlineStr"/>
      <c r="M25" s="5" t="inlineStr">
        <is>
          <t>Fabricante líder del sector acero. En 2024 INICIA adquirió el 100% de las acciones (transacción base de US$325 millones, anunciada el 17/01/2024). Superó el millón de toneladas vendidas y fue la primera compañía del país con Declaración Ambiental de Producto para la varilla corrugada. Dos plantas (La Isabela y Parque Industrial Duarte). Varilla RTD 458 / ASTM A615. Portal B2B solo para canal; el catálogo técnico en PDF es público (no trae precios).</t>
        </is>
      </c>
    </row>
    <row r="26">
      <c r="A26" s="7" t="inlineStr">
        <is>
          <t>CORVI</t>
        </is>
      </c>
      <c r="B26" s="7" t="inlineStr">
        <is>
          <t>fabricante</t>
        </is>
      </c>
      <c r="C26" s="7" t="inlineStr">
        <is>
          <t>fabricante</t>
        </is>
      </c>
      <c r="D26" s="7" t="inlineStr">
        <is>
          <t>No</t>
        </is>
      </c>
      <c r="E26" s="7" t="inlineStr">
        <is>
          <t>No</t>
        </is>
      </c>
      <c r="F26" s="8" t="n">
        <v>0</v>
      </c>
      <c r="G26" s="5" t="inlineStr">
        <is>
          <t>Cobertura nacional</t>
        </is>
      </c>
      <c r="H26" s="5" t="inlineStr">
        <is>
          <t>Acero de refuerzo y metales, Plomería, sanitarios y gas</t>
        </is>
      </c>
      <c r="I26" s="7" t="inlineStr">
        <is>
          <t>corvi.do</t>
        </is>
      </c>
      <c r="J26" s="7" t="inlineStr"/>
      <c r="K26" s="7" t="inlineStr"/>
      <c r="L26" s="7" t="inlineStr"/>
      <c r="M26" s="5" t="inlineStr">
        <is>
          <t>Más de 20 años. Tubosistemas y productos derivados del alambrón de acero, además de tubería PVC, polipropileno y polietileno.</t>
        </is>
      </c>
    </row>
    <row r="27">
      <c r="A27" s="7" t="inlineStr">
        <is>
          <t>Prefhorvisa Dominicana</t>
        </is>
      </c>
      <c r="B27" s="7" t="inlineStr">
        <is>
          <t>fabricante</t>
        </is>
      </c>
      <c r="C27" s="7" t="inlineStr">
        <is>
          <t>fabricante</t>
        </is>
      </c>
      <c r="D27" s="7" t="inlineStr">
        <is>
          <t>Sí</t>
        </is>
      </c>
      <c r="E27" s="7" t="inlineStr">
        <is>
          <t>No</t>
        </is>
      </c>
      <c r="F27" s="8" t="n">
        <v>0</v>
      </c>
      <c r="G27" s="5" t="inlineStr">
        <is>
          <t>Sur</t>
        </is>
      </c>
      <c r="H27" s="5" t="inlineStr">
        <is>
          <t>Bloques y prefabricados</t>
        </is>
      </c>
      <c r="I27" s="7" t="inlineStr">
        <is>
          <t>prefhorvisard.com</t>
        </is>
      </c>
      <c r="J27" s="7" t="inlineStr"/>
      <c r="K27" s="7" t="inlineStr"/>
      <c r="L27" s="7" t="inlineStr"/>
      <c r="M27" s="5" t="inlineStr">
        <is>
          <t>Matriz española, planta en Baní (Peravia). Blocks de concreto con maquinaria Besser, norma ASTM/UNE. Vende a ferreterías, constructoras y particulares.</t>
        </is>
      </c>
    </row>
    <row r="28">
      <c r="A28" s="7" t="inlineStr">
        <is>
          <t>SANMA</t>
        </is>
      </c>
      <c r="B28" s="7" t="inlineStr">
        <is>
          <t>fabricante</t>
        </is>
      </c>
      <c r="C28" s="7" t="inlineStr">
        <is>
          <t>fabricante</t>
        </is>
      </c>
      <c r="D28" s="7" t="inlineStr">
        <is>
          <t>Sí</t>
        </is>
      </c>
      <c r="E28" s="7" t="inlineStr">
        <is>
          <t>No</t>
        </is>
      </c>
      <c r="F28" s="8" t="n">
        <v>0</v>
      </c>
      <c r="G28" s="5" t="inlineStr">
        <is>
          <t>Cobertura nacional</t>
        </is>
      </c>
      <c r="H28" s="5" t="inlineStr">
        <is>
          <t>Bloques y prefabricados</t>
        </is>
      </c>
      <c r="I28" s="7" t="inlineStr">
        <is>
          <t>sanmard.com</t>
        </is>
      </c>
      <c r="J28" s="7" t="inlineStr"/>
      <c r="K28" s="7" t="inlineStr"/>
      <c r="L28" s="7" t="inlineStr"/>
      <c r="M28" s="5" t="inlineStr">
        <is>
          <t>Especializado en prefabricados estructurales de concreto, con experiencia europea.</t>
        </is>
      </c>
    </row>
    <row r="29">
      <c r="A29" s="7" t="inlineStr">
        <is>
          <t>Grupo Ventmar</t>
        </is>
      </c>
      <c r="B29" s="7" t="inlineStr">
        <is>
          <t>fabricante</t>
        </is>
      </c>
      <c r="C29" s="7" t="inlineStr">
        <is>
          <t>fabricante</t>
        </is>
      </c>
      <c r="D29" s="7" t="inlineStr">
        <is>
          <t>Sí</t>
        </is>
      </c>
      <c r="E29" s="7" t="inlineStr">
        <is>
          <t>No</t>
        </is>
      </c>
      <c r="F29" s="8" t="n">
        <v>0</v>
      </c>
      <c r="G29" s="5" t="inlineStr">
        <is>
          <t>Sur</t>
        </is>
      </c>
      <c r="H29" s="5" t="inlineStr">
        <is>
          <t>Bloques y prefabricados</t>
        </is>
      </c>
      <c r="I29" s="7" t="inlineStr">
        <is>
          <t>ventmar.com.do</t>
        </is>
      </c>
      <c r="J29" s="7" t="inlineStr"/>
      <c r="K29" s="7" t="inlineStr"/>
      <c r="L29" s="7" t="inlineStr"/>
      <c r="M29" s="5" t="inlineStr">
        <is>
          <t>Fábrica de blocks en el sur, con producción de 8,000 a 10,000 bloques por día.</t>
        </is>
      </c>
    </row>
    <row r="30">
      <c r="A30" s="7" t="inlineStr">
        <is>
          <t>Maderas La Universal</t>
        </is>
      </c>
      <c r="B30" s="7" t="inlineStr">
        <is>
          <t>especializado</t>
        </is>
      </c>
      <c r="C30" s="7" t="inlineStr">
        <is>
          <t>detallista</t>
        </is>
      </c>
      <c r="D30" s="7" t="inlineStr">
        <is>
          <t>Sí</t>
        </is>
      </c>
      <c r="E30" s="7" t="inlineStr">
        <is>
          <t>No</t>
        </is>
      </c>
      <c r="F30" s="8" t="n">
        <v>0</v>
      </c>
      <c r="G30" s="5" t="inlineStr">
        <is>
          <t>Gran Santo Domingo</t>
        </is>
      </c>
      <c r="H30" s="5" t="inlineStr">
        <is>
          <t>Madera y encofrado</t>
        </is>
      </c>
      <c r="I30" s="7" t="inlineStr">
        <is>
          <t>maderaslauniversal.com.do</t>
        </is>
      </c>
      <c r="J30" s="7" t="inlineStr"/>
      <c r="K30" s="7" t="inlineStr"/>
      <c r="L30" s="7" t="inlineStr"/>
      <c r="M30" s="5" t="inlineStr">
        <is>
          <t>Dos sucursales en Santo Domingo, una en Av. Máximo Gómez esq. Av. de los Mártires. Pino americano, maderas preciosas, plywood, MDF, laminados y pinturas para madera.</t>
        </is>
      </c>
    </row>
    <row r="31">
      <c r="A31" s="7" t="inlineStr">
        <is>
          <t>Maderera Mario</t>
        </is>
      </c>
      <c r="B31" s="7" t="inlineStr">
        <is>
          <t>especializado</t>
        </is>
      </c>
      <c r="C31" s="7" t="inlineStr">
        <is>
          <t>detallista</t>
        </is>
      </c>
      <c r="D31" s="7" t="inlineStr">
        <is>
          <t>Sí</t>
        </is>
      </c>
      <c r="E31" s="7" t="inlineStr">
        <is>
          <t>No</t>
        </is>
      </c>
      <c r="F31" s="8" t="n">
        <v>0</v>
      </c>
      <c r="G31" s="5" t="inlineStr">
        <is>
          <t>Gran Santo Domingo</t>
        </is>
      </c>
      <c r="H31" s="5" t="inlineStr">
        <is>
          <t>Madera y encofrado</t>
        </is>
      </c>
      <c r="I31" s="7" t="inlineStr">
        <is>
          <t>madereramario.com</t>
        </is>
      </c>
      <c r="J31" s="7" t="inlineStr"/>
      <c r="K31" s="7" t="inlineStr"/>
      <c r="L31" s="7" t="inlineStr"/>
      <c r="M31" s="5" t="inlineStr">
        <is>
          <t>Más de 50 años, en Villa Consuelo. Pino normal y tratado, plywood, MDF hidrófugo, andiroba, robles, caoba y puertas de polimetal.</t>
        </is>
      </c>
    </row>
    <row r="32">
      <c r="A32" s="7" t="inlineStr">
        <is>
          <t>Valiente Fernández</t>
        </is>
      </c>
      <c r="B32" s="7" t="inlineStr">
        <is>
          <t>especializado</t>
        </is>
      </c>
      <c r="C32" s="7" t="inlineStr">
        <is>
          <t>detallista</t>
        </is>
      </c>
      <c r="D32" s="7" t="inlineStr">
        <is>
          <t>Sí</t>
        </is>
      </c>
      <c r="E32" s="7" t="inlineStr">
        <is>
          <t>No</t>
        </is>
      </c>
      <c r="F32" s="8" t="n">
        <v>0</v>
      </c>
      <c r="G32" s="5" t="inlineStr">
        <is>
          <t>Gran Santo Domingo</t>
        </is>
      </c>
      <c r="H32" s="5" t="inlineStr">
        <is>
          <t>Madera y encofrado</t>
        </is>
      </c>
      <c r="I32" s="7" t="inlineStr">
        <is>
          <t>valientefernandez.net</t>
        </is>
      </c>
      <c r="J32" s="7" t="inlineStr"/>
      <c r="K32" s="7" t="inlineStr"/>
      <c r="L32" s="7" t="inlineStr"/>
      <c r="M32" s="5" t="inlineStr">
        <is>
          <t>Distrito Nacional. Maderas importadas, contrachapados Film Face para encofrado y madera para apuntalar.</t>
        </is>
      </c>
    </row>
    <row r="33">
      <c r="A33" s="7" t="inlineStr">
        <is>
          <t>Aluzinc Cadimex</t>
        </is>
      </c>
      <c r="B33" s="7" t="inlineStr">
        <is>
          <t>fabricante</t>
        </is>
      </c>
      <c r="C33" s="7" t="inlineStr">
        <is>
          <t>fabricante</t>
        </is>
      </c>
      <c r="D33" s="7" t="inlineStr">
        <is>
          <t>Sí</t>
        </is>
      </c>
      <c r="E33" s="7" t="inlineStr">
        <is>
          <t>No</t>
        </is>
      </c>
      <c r="F33" s="8" t="n">
        <v>0</v>
      </c>
      <c r="G33" s="5" t="inlineStr">
        <is>
          <t>Santiago / Cibao</t>
        </is>
      </c>
      <c r="H33" s="5" t="inlineStr">
        <is>
          <t>Techos e impermeabilización</t>
        </is>
      </c>
      <c r="I33" s="7" t="inlineStr">
        <is>
          <t>aluzincadimex.com</t>
        </is>
      </c>
      <c r="J33" s="7" t="inlineStr"/>
      <c r="K33" s="7" t="inlineStr"/>
      <c r="L33" s="7" t="inlineStr"/>
      <c r="M33" s="5" t="inlineStr">
        <is>
          <t>Sede en Santiago, fábrica de 3,590 m². Aluzinc acanalado, tipo teja española, caños y caballetes en varios colores. Fabricación a medida.</t>
        </is>
      </c>
    </row>
    <row r="34">
      <c r="A34" s="7" t="inlineStr">
        <is>
          <t>Proaluzinc (CGM Industrial)</t>
        </is>
      </c>
      <c r="B34" s="7" t="inlineStr">
        <is>
          <t>fabricante</t>
        </is>
      </c>
      <c r="C34" s="7" t="inlineStr">
        <is>
          <t>fabricante</t>
        </is>
      </c>
      <c r="D34" s="7" t="inlineStr">
        <is>
          <t>Sí</t>
        </is>
      </c>
      <c r="E34" s="7" t="inlineStr">
        <is>
          <t>No</t>
        </is>
      </c>
      <c r="F34" s="8" t="n">
        <v>0</v>
      </c>
      <c r="G34" s="5" t="inlineStr">
        <is>
          <t>Gran Santo Domingo, Santiago / Cibao</t>
        </is>
      </c>
      <c r="H34" s="5" t="inlineStr">
        <is>
          <t>Techos e impermeabilización</t>
        </is>
      </c>
      <c r="I34" s="7" t="inlineStr">
        <is>
          <t>proaluzinc.com.do</t>
        </is>
      </c>
      <c r="J34" s="7" t="inlineStr"/>
      <c r="K34" s="7" t="inlineStr"/>
      <c r="L34" s="7" t="inlineStr"/>
      <c r="M34" s="5" t="inlineStr">
        <is>
          <t>Opera desde Santiago y Santo Domingo. Aluzinc, techos, Metaldeck y accesorios.</t>
        </is>
      </c>
    </row>
    <row r="35">
      <c r="A35" s="7" t="inlineStr">
        <is>
          <t>Mega Techo</t>
        </is>
      </c>
      <c r="B35" s="7" t="inlineStr">
        <is>
          <t>fabricante</t>
        </is>
      </c>
      <c r="C35" s="7" t="inlineStr">
        <is>
          <t>fabricante</t>
        </is>
      </c>
      <c r="D35" s="7" t="inlineStr">
        <is>
          <t>Sí</t>
        </is>
      </c>
      <c r="E35" s="7" t="inlineStr">
        <is>
          <t>No</t>
        </is>
      </c>
      <c r="F35" s="8" t="n">
        <v>0</v>
      </c>
      <c r="G35" s="5" t="inlineStr">
        <is>
          <t>Cobertura nacional</t>
        </is>
      </c>
      <c r="H35" s="5" t="inlineStr">
        <is>
          <t>Techos e impermeabilización</t>
        </is>
      </c>
      <c r="I35" s="7" t="inlineStr"/>
      <c r="J35" s="7" t="inlineStr"/>
      <c r="K35" s="7" t="inlineStr"/>
      <c r="L35" s="7" t="inlineStr"/>
      <c r="M35" s="5" t="inlineStr">
        <is>
          <t>Más de 25 años fabricando techos en aluzinc, zinc, metaldeck y correas.</t>
        </is>
      </c>
    </row>
    <row r="36">
      <c r="A36" s="7" t="inlineStr">
        <is>
          <t>Rooftec</t>
        </is>
      </c>
      <c r="B36" s="7" t="inlineStr">
        <is>
          <t>distribuidor</t>
        </is>
      </c>
      <c r="C36" s="7" t="inlineStr">
        <is>
          <t>detallista</t>
        </is>
      </c>
      <c r="D36" s="7" t="inlineStr">
        <is>
          <t>Sí</t>
        </is>
      </c>
      <c r="E36" s="7" t="inlineStr">
        <is>
          <t>No</t>
        </is>
      </c>
      <c r="F36" s="8" t="n">
        <v>0</v>
      </c>
      <c r="G36" s="5" t="inlineStr">
        <is>
          <t>Gran Santo Domingo, Este (Punta Cana, La Romana)</t>
        </is>
      </c>
      <c r="H36" s="5" t="inlineStr">
        <is>
          <t>Techos e impermeabilización, Plomería, sanitarios y gas</t>
        </is>
      </c>
      <c r="I36" s="7" t="inlineStr"/>
      <c r="J36" s="7" t="inlineStr"/>
      <c r="K36" s="7" t="inlineStr"/>
      <c r="L36" s="7" t="inlineStr"/>
      <c r="M36" s="5" t="inlineStr">
        <is>
          <t>Almacenes en Santo Domingo y Punta Cana. Tejas, shingles, paneles sándwich, impermeabilizantes, aislantes y tuberías PPR/PEX.</t>
        </is>
      </c>
    </row>
    <row r="37">
      <c r="A37" s="7" t="inlineStr">
        <is>
          <t>Tejar del Rey</t>
        </is>
      </c>
      <c r="B37" s="7" t="inlineStr">
        <is>
          <t>distribuidor</t>
        </is>
      </c>
      <c r="C37" s="7" t="inlineStr">
        <is>
          <t>detallista</t>
        </is>
      </c>
      <c r="D37" s="7" t="inlineStr">
        <is>
          <t>Sí</t>
        </is>
      </c>
      <c r="E37" s="7" t="inlineStr">
        <is>
          <t>No</t>
        </is>
      </c>
      <c r="F37" s="8" t="n">
        <v>0</v>
      </c>
      <c r="G37" s="5" t="inlineStr">
        <is>
          <t>Cobertura nacional</t>
        </is>
      </c>
      <c r="H37" s="5" t="inlineStr">
        <is>
          <t>Techos e impermeabilización</t>
        </is>
      </c>
      <c r="I37" s="7" t="inlineStr"/>
      <c r="J37" s="7" t="inlineStr"/>
      <c r="K37" s="7" t="inlineStr"/>
      <c r="L37" s="7" t="inlineStr"/>
      <c r="M37" s="5" t="inlineStr">
        <is>
          <t>Tejas y techos, con varias sucursales y red de distribuidores nacional.</t>
        </is>
      </c>
    </row>
    <row r="38">
      <c r="A38" s="7" t="inlineStr">
        <is>
          <t>Cerarte</t>
        </is>
      </c>
      <c r="B38" s="7" t="inlineStr">
        <is>
          <t>especializado</t>
        </is>
      </c>
      <c r="C38" s="7" t="inlineStr">
        <is>
          <t>detallista</t>
        </is>
      </c>
      <c r="D38" s="7" t="inlineStr">
        <is>
          <t>Sí</t>
        </is>
      </c>
      <c r="E38" s="7" t="inlineStr">
        <is>
          <t>Sí</t>
        </is>
      </c>
      <c r="F38" s="8" t="n">
        <v>0</v>
      </c>
      <c r="G38" s="5" t="inlineStr">
        <is>
          <t>Gran Santo Domingo, Santiago / Cibao, Este (Punta Cana, La Romana)</t>
        </is>
      </c>
      <c r="H38" s="5" t="inlineStr">
        <is>
          <t>Pisos y revestimientos, Plomería, sanitarios y gas</t>
        </is>
      </c>
      <c r="I38" s="7" t="inlineStr">
        <is>
          <t>cerarte.com.do</t>
        </is>
      </c>
      <c r="J38" s="7" t="inlineStr"/>
      <c r="K38" s="7" t="inlineStr"/>
      <c r="L38" s="7" t="inlineStr"/>
      <c r="M38" s="5" t="inlineStr">
        <is>
          <t>Alta gama. Tiendas en Santo Domingo, Santiago y Punta Cana. Tienda en línea (shop.cerarte.com.do) con precios "Desde RD$". Cerámica y porcelanato importado de Italia, España, Brasil y EAU, piedras naturales, aparatos de baño, grifería y cocinas. División B2B: Cerarte Proyecto.</t>
        </is>
      </c>
    </row>
    <row r="39">
      <c r="A39" s="7" t="inlineStr">
        <is>
          <t>Cerámica Import</t>
        </is>
      </c>
      <c r="B39" s="7" t="inlineStr">
        <is>
          <t>especializado</t>
        </is>
      </c>
      <c r="C39" s="7" t="inlineStr">
        <is>
          <t>detallista</t>
        </is>
      </c>
      <c r="D39" s="7" t="inlineStr">
        <is>
          <t>Sí</t>
        </is>
      </c>
      <c r="E39" s="7" t="inlineStr">
        <is>
          <t>Sí</t>
        </is>
      </c>
      <c r="F39" s="8" t="n">
        <v>0</v>
      </c>
      <c r="G39" s="5" t="inlineStr">
        <is>
          <t>Santiago / Cibao</t>
        </is>
      </c>
      <c r="H39" s="5" t="inlineStr">
        <is>
          <t>Pisos y revestimientos, Plomería, sanitarios y gas</t>
        </is>
      </c>
      <c r="I39" s="7" t="inlineStr">
        <is>
          <t>ceramicaimport.com</t>
        </is>
      </c>
      <c r="J39" s="7" t="inlineStr"/>
      <c r="K39" s="7" t="inlineStr"/>
      <c r="L39" s="7" t="inlineStr"/>
      <c r="M39" s="5" t="inlineStr">
        <is>
          <t>Importador de alta gama en Santiago. Catálogo en línea con filtros y comparador. Porcelanato, cerámica, sanitarios, muebles de baño y grifería.</t>
        </is>
      </c>
    </row>
    <row r="40">
      <c r="A40" s="7" t="inlineStr">
        <is>
          <t>Grupo Powerplastic</t>
        </is>
      </c>
      <c r="B40" s="7" t="inlineStr">
        <is>
          <t>fabricante</t>
        </is>
      </c>
      <c r="C40" s="7" t="inlineStr">
        <is>
          <t>fabricante</t>
        </is>
      </c>
      <c r="D40" s="7" t="inlineStr">
        <is>
          <t>No</t>
        </is>
      </c>
      <c r="E40" s="7" t="inlineStr">
        <is>
          <t>No</t>
        </is>
      </c>
      <c r="F40" s="8" t="n">
        <v>0</v>
      </c>
      <c r="G40" s="5" t="inlineStr">
        <is>
          <t>Cobertura nacional</t>
        </is>
      </c>
      <c r="H40" s="5" t="inlineStr">
        <is>
          <t>Plomería, sanitarios y gas</t>
        </is>
      </c>
      <c r="I40" s="7" t="inlineStr">
        <is>
          <t>grupopowerplastic.com</t>
        </is>
      </c>
      <c r="J40" s="7" t="inlineStr"/>
      <c r="K40" s="7" t="inlineStr"/>
      <c r="L40" s="7" t="inlineStr"/>
      <c r="M40" s="5" t="inlineStr">
        <is>
          <t>Planta de 55,000 m², norma ASTM. Tuberías y accesorios PVC; exporta al Caribe. Se cotiza vía ferreterías y mayoristas.</t>
        </is>
      </c>
    </row>
    <row r="41">
      <c r="A41" s="7" t="inlineStr">
        <is>
          <t>Plastigama Wavin</t>
        </is>
      </c>
      <c r="B41" s="7" t="inlineStr">
        <is>
          <t>fabricante</t>
        </is>
      </c>
      <c r="C41" s="7" t="inlineStr">
        <is>
          <t>fabricante</t>
        </is>
      </c>
      <c r="D41" s="7" t="inlineStr">
        <is>
          <t>No</t>
        </is>
      </c>
      <c r="E41" s="7" t="inlineStr">
        <is>
          <t>No</t>
        </is>
      </c>
      <c r="F41" s="8" t="n">
        <v>0</v>
      </c>
      <c r="G41" s="5" t="inlineStr">
        <is>
          <t>Cobertura nacional</t>
        </is>
      </c>
      <c r="H41" s="5" t="inlineStr">
        <is>
          <t>Plomería, sanitarios y gas</t>
        </is>
      </c>
      <c r="I41" s="7" t="inlineStr"/>
      <c r="J41" s="7" t="inlineStr"/>
      <c r="K41" s="7" t="inlineStr"/>
      <c r="L41" s="7" t="inlineStr"/>
      <c r="M41" s="5" t="inlineStr">
        <is>
          <t>Marca de tuberías PVC/CPVC/PPR y accesorios, con catálogos técnicos disponibles. Se distribuye vía ferreterías.</t>
        </is>
      </c>
    </row>
    <row r="42">
      <c r="A42" s="7" t="inlineStr">
        <is>
          <t>Eurosuplidores</t>
        </is>
      </c>
      <c r="B42" s="7" t="inlineStr">
        <is>
          <t>distribuidor</t>
        </is>
      </c>
      <c r="C42" s="7" t="inlineStr">
        <is>
          <t>mayorista</t>
        </is>
      </c>
      <c r="D42" s="7" t="inlineStr">
        <is>
          <t>Sí</t>
        </is>
      </c>
      <c r="E42" s="7" t="inlineStr">
        <is>
          <t>No</t>
        </is>
      </c>
      <c r="F42" s="8" t="n">
        <v>0</v>
      </c>
      <c r="G42" s="5" t="inlineStr">
        <is>
          <t>Gran Santo Domingo, Este (Punta Cana, La Romana)</t>
        </is>
      </c>
      <c r="H42" s="5" t="inlineStr">
        <is>
          <t>Electricidad e iluminación</t>
        </is>
      </c>
      <c r="I42" s="7" t="inlineStr">
        <is>
          <t>eurosuplidores.com</t>
        </is>
      </c>
      <c r="J42" s="7" t="inlineStr"/>
      <c r="K42" s="7" t="inlineStr"/>
      <c r="L42" s="7" t="inlineStr"/>
      <c r="M42" s="5" t="inlineStr">
        <is>
          <t>Más de 20 años. Cobertura Santo Domingo, Bávaro y Punta Cana. Materiales eléctricos, breakers, iluminación y energía renovable / paneles solares. Catálogo descargable y atención por WhatsApp.</t>
        </is>
      </c>
    </row>
    <row r="43">
      <c r="A43" s="7" t="inlineStr">
        <is>
          <t>Suplidores del Caribe</t>
        </is>
      </c>
      <c r="B43" s="7" t="inlineStr">
        <is>
          <t>distribuidor</t>
        </is>
      </c>
      <c r="C43" s="7" t="inlineStr">
        <is>
          <t>mayorista</t>
        </is>
      </c>
      <c r="D43" s="7" t="inlineStr">
        <is>
          <t>Sí</t>
        </is>
      </c>
      <c r="E43" s="7" t="inlineStr">
        <is>
          <t>No</t>
        </is>
      </c>
      <c r="F43" s="8" t="n">
        <v>0</v>
      </c>
      <c r="G43" s="5" t="inlineStr">
        <is>
          <t>Gran Santo Domingo</t>
        </is>
      </c>
      <c r="H43" s="5" t="inlineStr">
        <is>
          <t>Electricidad e iluminación</t>
        </is>
      </c>
      <c r="I43" s="7" t="inlineStr">
        <is>
          <t>suplidoresdelcaribe.com</t>
        </is>
      </c>
      <c r="J43" s="7" t="inlineStr">
        <is>
          <t>809-221-2424</t>
        </is>
      </c>
      <c r="K43" s="7" t="inlineStr">
        <is>
          <t>18092212424</t>
        </is>
      </c>
      <c r="L43" s="7" t="inlineStr"/>
      <c r="M43" s="5" t="inlineStr">
        <is>
          <t>Importador en Villa Juana. Cable THHN, cable URD, tubería EMT/IMC y fittings. Cotiza por WhatsApp; envío gratis en Santo Domingo.</t>
        </is>
      </c>
    </row>
    <row r="44">
      <c r="A44" s="7" t="inlineStr">
        <is>
          <t>JJ Electric</t>
        </is>
      </c>
      <c r="B44" s="7" t="inlineStr">
        <is>
          <t>distribuidor</t>
        </is>
      </c>
      <c r="C44" s="7" t="inlineStr">
        <is>
          <t>mayorista</t>
        </is>
      </c>
      <c r="D44" s="7" t="inlineStr">
        <is>
          <t>Sí</t>
        </is>
      </c>
      <c r="E44" s="7" t="inlineStr">
        <is>
          <t>No</t>
        </is>
      </c>
      <c r="F44" s="8" t="n">
        <v>0</v>
      </c>
      <c r="G44" s="5" t="inlineStr">
        <is>
          <t>Cobertura nacional</t>
        </is>
      </c>
      <c r="H44" s="5" t="inlineStr">
        <is>
          <t>Electricidad e iluminación</t>
        </is>
      </c>
      <c r="I44" s="7" t="inlineStr">
        <is>
          <t>jjelectricsa.com</t>
        </is>
      </c>
      <c r="J44" s="7" t="inlineStr">
        <is>
          <t>809-688-6166</t>
        </is>
      </c>
      <c r="K44" s="7" t="inlineStr"/>
      <c r="L44" s="7" t="inlineStr"/>
      <c r="M44" s="5" t="inlineStr">
        <is>
          <t>Sucursales en varias plazas. Alta y media tensión, cables, fittings, iluminación, transformadores y protección. Cotización formal; envío nacional en 48 horas.</t>
        </is>
      </c>
    </row>
    <row r="45">
      <c r="A45" s="7" t="inlineStr">
        <is>
          <t>AEC Dominicana</t>
        </is>
      </c>
      <c r="B45" s="7" t="inlineStr">
        <is>
          <t>mayorista</t>
        </is>
      </c>
      <c r="C45" s="7" t="inlineStr">
        <is>
          <t>mayorista</t>
        </is>
      </c>
      <c r="D45" s="7" t="inlineStr">
        <is>
          <t>Sí</t>
        </is>
      </c>
      <c r="E45" s="7" t="inlineStr">
        <is>
          <t>No</t>
        </is>
      </c>
      <c r="F45" s="8" t="n">
        <v>0</v>
      </c>
      <c r="G45" s="5" t="inlineStr">
        <is>
          <t>Gran Santo Domingo</t>
        </is>
      </c>
      <c r="H45" s="5" t="inlineStr">
        <is>
          <t>Electricidad e iluminación</t>
        </is>
      </c>
      <c r="I45" s="7" t="inlineStr"/>
      <c r="J45" s="7" t="inlineStr">
        <is>
          <t>809-412-1406</t>
        </is>
      </c>
      <c r="K45" s="7" t="inlineStr"/>
      <c r="L45" s="7" t="inlineStr"/>
      <c r="M45" s="5" t="inlineStr">
        <is>
          <t>Mayorista en Paseo de los Locutores 48, Santo Domingo. Abastece concesionarias eléctricas, industrias y distribuidores.</t>
        </is>
      </c>
    </row>
    <row r="46">
      <c r="A46" s="7" t="inlineStr">
        <is>
          <t>Dismaelec</t>
        </is>
      </c>
      <c r="B46" s="7" t="inlineStr">
        <is>
          <t>distribuidor</t>
        </is>
      </c>
      <c r="C46" s="7" t="inlineStr">
        <is>
          <t>detallista</t>
        </is>
      </c>
      <c r="D46" s="7" t="inlineStr">
        <is>
          <t>Sí</t>
        </is>
      </c>
      <c r="E46" s="7" t="inlineStr">
        <is>
          <t>No</t>
        </is>
      </c>
      <c r="F46" s="8" t="n">
        <v>0</v>
      </c>
      <c r="G46" s="5" t="inlineStr">
        <is>
          <t>Gran Santo Domingo</t>
        </is>
      </c>
      <c r="H46" s="5" t="inlineStr">
        <is>
          <t>Electricidad e iluminación</t>
        </is>
      </c>
      <c r="I46" s="7" t="inlineStr">
        <is>
          <t>dismaelec.com</t>
        </is>
      </c>
      <c r="J46" s="7" t="inlineStr"/>
      <c r="K46" s="7" t="inlineStr"/>
      <c r="L46" s="7" t="inlineStr"/>
      <c r="M46" s="5" t="inlineStr">
        <is>
          <t>Material eléctrico residencial e industrial desde el año 2000.</t>
        </is>
      </c>
    </row>
    <row r="47">
      <c r="A47" s="7" t="inlineStr">
        <is>
          <t>Ventus Grupo Corporativo</t>
        </is>
      </c>
      <c r="B47" s="7" t="inlineStr">
        <is>
          <t>fabricante</t>
        </is>
      </c>
      <c r="C47" s="7" t="inlineStr">
        <is>
          <t>fabricante</t>
        </is>
      </c>
      <c r="D47" s="7" t="inlineStr">
        <is>
          <t>Sí</t>
        </is>
      </c>
      <c r="E47" s="7" t="inlineStr">
        <is>
          <t>No</t>
        </is>
      </c>
      <c r="F47" s="8" t="n">
        <v>0</v>
      </c>
      <c r="G47" s="5" t="inlineStr">
        <is>
          <t>Santiago / Cibao, Cobertura nacional</t>
        </is>
      </c>
      <c r="H47" s="5" t="inlineStr">
        <is>
          <t>Puertas, ventanas y cristales</t>
        </is>
      </c>
      <c r="I47" s="7" t="inlineStr">
        <is>
          <t>ventus.com.do</t>
        </is>
      </c>
      <c r="J47" s="7" t="inlineStr"/>
      <c r="K47" s="7" t="inlineStr"/>
      <c r="L47" s="7" t="inlineStr"/>
      <c r="M47" s="5" t="inlineStr">
        <is>
          <t>Fabricante e instalador en Santiago con cobertura nacional. Aluminio, cristal y acero: ventanas, fachadas, muro cortina, puertas y barandas. Sistemas M100, P65, P92 y C70.</t>
        </is>
      </c>
    </row>
    <row r="48">
      <c r="A48" s="7" t="inlineStr">
        <is>
          <t>Cristalados</t>
        </is>
      </c>
      <c r="B48" s="7" t="inlineStr">
        <is>
          <t>fabricante</t>
        </is>
      </c>
      <c r="C48" s="7" t="inlineStr">
        <is>
          <t>fabricante</t>
        </is>
      </c>
      <c r="D48" s="7" t="inlineStr">
        <is>
          <t>Sí</t>
        </is>
      </c>
      <c r="E48" s="7" t="inlineStr">
        <is>
          <t>No</t>
        </is>
      </c>
      <c r="F48" s="8" t="n">
        <v>0</v>
      </c>
      <c r="G48" s="5" t="inlineStr">
        <is>
          <t>Gran Santo Domingo</t>
        </is>
      </c>
      <c r="H48" s="5" t="inlineStr">
        <is>
          <t>Puertas, ventanas y cristales</t>
        </is>
      </c>
      <c r="I48" s="7" t="inlineStr">
        <is>
          <t>cristalados.com</t>
        </is>
      </c>
      <c r="J48" s="7" t="inlineStr">
        <is>
          <t>809-379-1799</t>
        </is>
      </c>
      <c r="K48" s="7" t="inlineStr"/>
      <c r="L48" s="7" t="inlineStr"/>
      <c r="M48" s="5" t="inlineStr">
        <is>
          <t>Más de 25 años, en Santo Domingo Oeste. Puertas, ventanas, laminados, espejos y cristales templados. Fabricación a medida.</t>
        </is>
      </c>
    </row>
    <row r="49">
      <c r="A49" s="7" t="inlineStr">
        <is>
          <t>ProGlass</t>
        </is>
      </c>
      <c r="B49" s="7" t="inlineStr">
        <is>
          <t>fabricante</t>
        </is>
      </c>
      <c r="C49" s="7" t="inlineStr">
        <is>
          <t>fabricante</t>
        </is>
      </c>
      <c r="D49" s="7" t="inlineStr">
        <is>
          <t>Sí</t>
        </is>
      </c>
      <c r="E49" s="7" t="inlineStr">
        <is>
          <t>No</t>
        </is>
      </c>
      <c r="F49" s="8" t="n">
        <v>0</v>
      </c>
      <c r="G49" s="5" t="inlineStr">
        <is>
          <t>Gran Santo Domingo</t>
        </is>
      </c>
      <c r="H49" s="5" t="inlineStr">
        <is>
          <t>Puertas, ventanas y cristales</t>
        </is>
      </c>
      <c r="I49" s="7" t="inlineStr">
        <is>
          <t>proglass.com.do</t>
        </is>
      </c>
      <c r="J49" s="7" t="inlineStr"/>
      <c r="K49" s="7" t="inlineStr"/>
      <c r="L49" s="7" t="inlineStr"/>
      <c r="M49" s="5" t="inlineStr">
        <is>
          <t>Ventanas corredizas de aluminio y cristal, vidrio templado, puertas polimetálicas y screen.</t>
        </is>
      </c>
    </row>
    <row r="50">
      <c r="A50" s="7" t="inlineStr">
        <is>
          <t>PuertasYVentanasRD</t>
        </is>
      </c>
      <c r="B50" s="7" t="inlineStr">
        <is>
          <t>fabricante</t>
        </is>
      </c>
      <c r="C50" s="7" t="inlineStr">
        <is>
          <t>fabricante</t>
        </is>
      </c>
      <c r="D50" s="7" t="inlineStr">
        <is>
          <t>Sí</t>
        </is>
      </c>
      <c r="E50" s="7" t="inlineStr">
        <is>
          <t>No</t>
        </is>
      </c>
      <c r="F50" s="8" t="n">
        <v>0</v>
      </c>
      <c r="G50" s="5" t="inlineStr">
        <is>
          <t>Cobertura nacional</t>
        </is>
      </c>
      <c r="H50" s="5" t="inlineStr">
        <is>
          <t>Puertas, ventanas y cristales</t>
        </is>
      </c>
      <c r="I50" s="7" t="inlineStr">
        <is>
          <t>puertasyventanasrd.com</t>
        </is>
      </c>
      <c r="J50" s="7" t="inlineStr">
        <is>
          <t>809-415-2955</t>
        </is>
      </c>
      <c r="K50" s="7" t="inlineStr"/>
      <c r="L50" s="7" t="inlineStr">
        <is>
          <t>info@puertasyventanasrd.com</t>
        </is>
      </c>
      <c r="M50" s="5" t="inlineStr">
        <is>
          <t>Línea mayorista. Aluminio, PVC, shutters, polimetal y ventanas contra huracanes.</t>
        </is>
      </c>
    </row>
    <row r="51">
      <c r="A51" s="7" t="inlineStr">
        <is>
          <t>Industria Ventcord</t>
        </is>
      </c>
      <c r="B51" s="7" t="inlineStr">
        <is>
          <t>fabricante</t>
        </is>
      </c>
      <c r="C51" s="7" t="inlineStr">
        <is>
          <t>fabricante</t>
        </is>
      </c>
      <c r="D51" s="7" t="inlineStr">
        <is>
          <t>Sí</t>
        </is>
      </c>
      <c r="E51" s="7" t="inlineStr">
        <is>
          <t>No</t>
        </is>
      </c>
      <c r="F51" s="8" t="n">
        <v>0</v>
      </c>
      <c r="G51" s="5" t="inlineStr">
        <is>
          <t>Gran Santo Domingo</t>
        </is>
      </c>
      <c r="H51" s="5" t="inlineStr">
        <is>
          <t>Puertas, ventanas y cristales</t>
        </is>
      </c>
      <c r="I51" s="7" t="inlineStr">
        <is>
          <t>ventcord.com</t>
        </is>
      </c>
      <c r="J51" s="7" t="inlineStr"/>
      <c r="K51" s="7" t="inlineStr"/>
      <c r="L51" s="7" t="inlineStr"/>
      <c r="M51" s="5" t="inlineStr">
        <is>
          <t>Más de 20 años fabricando en Santo Domingo.</t>
        </is>
      </c>
    </row>
    <row r="52">
      <c r="A52" s="7" t="inlineStr">
        <is>
          <t>Pinturas Tropical</t>
        </is>
      </c>
      <c r="B52" s="7" t="inlineStr">
        <is>
          <t>fabricante</t>
        </is>
      </c>
      <c r="C52" s="7" t="inlineStr">
        <is>
          <t>fabricante</t>
        </is>
      </c>
      <c r="D52" s="7" t="inlineStr">
        <is>
          <t>No</t>
        </is>
      </c>
      <c r="E52" s="7" t="inlineStr">
        <is>
          <t>No</t>
        </is>
      </c>
      <c r="F52" s="8" t="n">
        <v>0</v>
      </c>
      <c r="G52" s="5" t="inlineStr">
        <is>
          <t>Cobertura nacional</t>
        </is>
      </c>
      <c r="H52" s="5" t="inlineStr">
        <is>
          <t>Pintura y acabados</t>
        </is>
      </c>
      <c r="I52" s="7" t="inlineStr">
        <is>
          <t>pinturastropical.com.do</t>
        </is>
      </c>
      <c r="J52" s="7" t="inlineStr"/>
      <c r="K52" s="7" t="inlineStr"/>
      <c r="L52" s="7" t="inlineStr"/>
      <c r="M52" s="5" t="inlineStr">
        <is>
          <t>Líder del mercado dominicano con más de 40 años. Fabricada por Pisos &amp; Techados Torginol (Grupo Corripio desde 1981). Pinturas arquitectónicas, esmaltes, barnices y lacas. Carta de colores en línea; alianzas con Ameron PCG y Resene. Marca hermana: King. Se compra en ferreterías y distribuidores.</t>
        </is>
      </c>
    </row>
    <row r="53">
      <c r="A53" s="7" t="inlineStr">
        <is>
          <t>Pinturas Popular</t>
        </is>
      </c>
      <c r="B53" s="7" t="inlineStr">
        <is>
          <t>fabricante</t>
        </is>
      </c>
      <c r="C53" s="7" t="inlineStr">
        <is>
          <t>fabricante</t>
        </is>
      </c>
      <c r="D53" s="7" t="inlineStr">
        <is>
          <t>No</t>
        </is>
      </c>
      <c r="E53" s="7" t="inlineStr">
        <is>
          <t>No</t>
        </is>
      </c>
      <c r="F53" s="8" t="n">
        <v>0</v>
      </c>
      <c r="G53" s="5" t="inlineStr">
        <is>
          <t>Cobertura nacional</t>
        </is>
      </c>
      <c r="H53" s="5" t="inlineStr">
        <is>
          <t>Pintura y acabados</t>
        </is>
      </c>
      <c r="I53" s="7" t="inlineStr">
        <is>
          <t>pinturaspopular.com</t>
        </is>
      </c>
      <c r="J53" s="7" t="inlineStr"/>
      <c r="K53" s="7" t="inlineStr"/>
      <c r="L53" s="7" t="inlineStr"/>
      <c r="M53" s="5" t="inlineStr">
        <is>
          <t>Amplia distribución en ferreterías.</t>
        </is>
      </c>
    </row>
    <row r="54">
      <c r="A54" s="7" t="inlineStr">
        <is>
          <t>Industrias Tucán</t>
        </is>
      </c>
      <c r="B54" s="7" t="inlineStr">
        <is>
          <t>fabricante</t>
        </is>
      </c>
      <c r="C54" s="7" t="inlineStr">
        <is>
          <t>fabricante</t>
        </is>
      </c>
      <c r="D54" s="7" t="inlineStr">
        <is>
          <t>No</t>
        </is>
      </c>
      <c r="E54" s="7" t="inlineStr">
        <is>
          <t>No</t>
        </is>
      </c>
      <c r="F54" s="8" t="n">
        <v>0</v>
      </c>
      <c r="G54" s="5" t="inlineStr">
        <is>
          <t>Cobertura nacional</t>
        </is>
      </c>
      <c r="H54" s="5" t="inlineStr">
        <is>
          <t>Pintura y acabados, Techos e impermeabilización</t>
        </is>
      </c>
      <c r="I54" s="7" t="inlineStr"/>
      <c r="J54" s="7" t="inlineStr"/>
      <c r="K54" s="7" t="inlineStr"/>
      <c r="L54" s="7" t="inlineStr"/>
      <c r="M54" s="5" t="inlineStr">
        <is>
          <t>Pinturas, recubrimientos arquitectónicos e industriales, impermeabilizantes anticorrosivos y productos para madera.</t>
        </is>
      </c>
    </row>
    <row r="55">
      <c r="A55" s="7" t="inlineStr">
        <is>
          <t>Procontratista</t>
        </is>
      </c>
      <c r="B55" s="7" t="inlineStr">
        <is>
          <t>mayorista</t>
        </is>
      </c>
      <c r="C55" s="7" t="inlineStr">
        <is>
          <t>mayorista</t>
        </is>
      </c>
      <c r="D55" s="7" t="inlineStr">
        <is>
          <t>Sí</t>
        </is>
      </c>
      <c r="E55" s="7" t="inlineStr">
        <is>
          <t>Sí</t>
        </is>
      </c>
      <c r="F55" s="8" t="n">
        <v>0</v>
      </c>
      <c r="G55" s="5" t="inlineStr">
        <is>
          <t>Cobertura nacional</t>
        </is>
      </c>
      <c r="H55" s="5" t="inlineStr">
        <is>
          <t>Pisos y revestimientos, Electricidad e iluminación, Plafones y construcción liviana, Climatización y ventilación</t>
        </is>
      </c>
      <c r="I55" s="7" t="inlineStr">
        <is>
          <t>procontratista.com</t>
        </is>
      </c>
      <c r="J55" s="7" t="inlineStr">
        <is>
          <t>809-472-4479</t>
        </is>
      </c>
      <c r="K55" s="7" t="inlineStr">
        <is>
          <t>18094724479</t>
        </is>
      </c>
      <c r="L55" s="7" t="inlineStr">
        <is>
          <t>ventas@procontratista.com</t>
        </is>
      </c>
      <c r="M55" s="5" t="inlineStr">
        <is>
          <t>Mayorista especializado en construcción ligera, "El Amigo del Constructor": modelo de suplidor puro, no compite con sus clientes contratistas. Centro de distribución en Av. República de Colombia No. 35, Los Peralejos, y red de unas 10 tiendas (Santo Domingo, Santiago, La Romana, Bávaro, La Vega, Puerto Plata). Sheetrock, plafones, Densglass, Durock, PVC, stucco, aislamientos, revestimientos, fachadas, pisos, iluminación, divisiones y línea de aire acondicionado. Candidato a proveedor primario de la categoría.</t>
        </is>
      </c>
    </row>
    <row r="56">
      <c r="A56" s="7" t="inlineStr">
        <is>
          <t>Cielos Acústicos</t>
        </is>
      </c>
      <c r="B56" s="7" t="inlineStr">
        <is>
          <t>especializado</t>
        </is>
      </c>
      <c r="C56" s="7" t="inlineStr">
        <is>
          <t>detallista</t>
        </is>
      </c>
      <c r="D56" s="7" t="inlineStr">
        <is>
          <t>Sí</t>
        </is>
      </c>
      <c r="E56" s="7" t="inlineStr">
        <is>
          <t>Sí</t>
        </is>
      </c>
      <c r="F56" s="8" t="n">
        <v>0</v>
      </c>
      <c r="G56" s="5" t="inlineStr">
        <is>
          <t>Gran Santo Domingo, Este (Punta Cana, La Romana)</t>
        </is>
      </c>
      <c r="H56" s="5" t="inlineStr">
        <is>
          <t>Pisos y revestimientos, Electricidad e iluminación, Plafones y construcción liviana</t>
        </is>
      </c>
      <c r="I56" s="7" t="inlineStr">
        <is>
          <t>cielosacusticos.com</t>
        </is>
      </c>
      <c r="J56" s="7" t="inlineStr">
        <is>
          <t>809-732-2368</t>
        </is>
      </c>
      <c r="K56" s="7" t="inlineStr"/>
      <c r="L56" s="7" t="inlineStr">
        <is>
          <t>ventas@cielosacusticos.com</t>
        </is>
      </c>
      <c r="M56" s="5" t="inlineStr">
        <is>
          <t>Distribuidor de Panel Rey en RD. Sucursales en Av. Charles Sumner #35 y #20 (Los Prados), Av. Charles de Gaulle (Cancino), Urb. Las Américas y Carretera Higüey-Miches. Plafones acústicos, revestimientos, pisos, techos, fachadas, iluminación, divisiones acústicas móviles y herramientas. Catálogos en línea.</t>
        </is>
      </c>
    </row>
    <row r="57">
      <c r="A57" s="7" t="inlineStr">
        <is>
          <t>Industrias Gueca (PANELROCK)</t>
        </is>
      </c>
      <c r="B57" s="7" t="inlineStr">
        <is>
          <t>fabricante</t>
        </is>
      </c>
      <c r="C57" s="7" t="inlineStr">
        <is>
          <t>fabricante</t>
        </is>
      </c>
      <c r="D57" s="7" t="inlineStr">
        <is>
          <t>Sí</t>
        </is>
      </c>
      <c r="E57" s="7" t="inlineStr">
        <is>
          <t>No</t>
        </is>
      </c>
      <c r="F57" s="8" t="n">
        <v>0</v>
      </c>
      <c r="G57" s="5" t="inlineStr">
        <is>
          <t>Cobertura nacional</t>
        </is>
      </c>
      <c r="H57" s="5" t="inlineStr">
        <is>
          <t>Plafones y construcción liviana</t>
        </is>
      </c>
      <c r="I57" s="7" t="inlineStr">
        <is>
          <t>industriasgueca.com</t>
        </is>
      </c>
      <c r="J57" s="7" t="inlineStr"/>
      <c r="K57" s="7" t="inlineStr"/>
      <c r="L57" s="7" t="inlineStr"/>
      <c r="M57" s="5" t="inlineStr">
        <is>
          <t>Se presenta como la primera fábrica de drywall de República Dominicana. Paneles de yeso, masillas y yeso de construcción y agrícola. Cotiza por WhatsApp.</t>
        </is>
      </c>
    </row>
    <row r="58">
      <c r="A58" s="7" t="inlineStr">
        <is>
          <t>Panel Rey</t>
        </is>
      </c>
      <c r="B58" s="7" t="inlineStr">
        <is>
          <t>fabricante</t>
        </is>
      </c>
      <c r="C58" s="7" t="inlineStr">
        <is>
          <t>fabricante</t>
        </is>
      </c>
      <c r="D58" s="7" t="inlineStr">
        <is>
          <t>No</t>
        </is>
      </c>
      <c r="E58" s="7" t="inlineStr">
        <is>
          <t>No</t>
        </is>
      </c>
      <c r="F58" s="8" t="n">
        <v>0</v>
      </c>
      <c r="G58" s="5" t="inlineStr">
        <is>
          <t>Cobertura nacional</t>
        </is>
      </c>
      <c r="H58" s="5" t="inlineStr">
        <is>
          <t>Plafones y construcción liviana</t>
        </is>
      </c>
      <c r="I58" s="7" t="inlineStr">
        <is>
          <t>panelrey.com</t>
        </is>
      </c>
      <c r="J58" s="7" t="inlineStr"/>
      <c r="K58" s="7" t="inlineStr"/>
      <c r="L58" s="7" t="inlineStr"/>
      <c r="M58" s="5" t="inlineStr">
        <is>
          <t>Fabricante mexicano con presencia y distribución en RD (paneles de yeso, sistemas de fuego y acústica). Aliado local: Cielos Acústicos.</t>
        </is>
      </c>
    </row>
    <row r="59">
      <c r="A59" s="7" t="inlineStr">
        <is>
          <t>Novomat</t>
        </is>
      </c>
      <c r="B59" s="7" t="inlineStr">
        <is>
          <t>distribuidor</t>
        </is>
      </c>
      <c r="C59" s="7" t="inlineStr">
        <is>
          <t>detallista</t>
        </is>
      </c>
      <c r="D59" s="7" t="inlineStr">
        <is>
          <t>Sí</t>
        </is>
      </c>
      <c r="E59" s="7" t="inlineStr">
        <is>
          <t>No</t>
        </is>
      </c>
      <c r="F59" s="8" t="n">
        <v>0</v>
      </c>
      <c r="G59" s="5" t="inlineStr">
        <is>
          <t>Gran Santo Domingo</t>
        </is>
      </c>
      <c r="H59" s="5" t="inlineStr">
        <is>
          <t>Plafones y construcción liviana</t>
        </is>
      </c>
      <c r="I59" s="7" t="inlineStr">
        <is>
          <t>novomat.com.do</t>
        </is>
      </c>
      <c r="J59" s="7" t="inlineStr"/>
      <c r="K59" s="7" t="inlineStr"/>
      <c r="L59" s="7" t="inlineStr"/>
      <c r="M59" s="5" t="inlineStr">
        <is>
          <t>Plafones de PVC, fibra mineral, yeso y metálicos.</t>
        </is>
      </c>
    </row>
    <row r="60">
      <c r="A60" s="7" t="inlineStr">
        <is>
          <t>Torniacero</t>
        </is>
      </c>
      <c r="B60" s="7" t="inlineStr">
        <is>
          <t>especializado</t>
        </is>
      </c>
      <c r="C60" s="7" t="inlineStr">
        <is>
          <t>mayorista</t>
        </is>
      </c>
      <c r="D60" s="7" t="inlineStr">
        <is>
          <t>Sí</t>
        </is>
      </c>
      <c r="E60" s="7" t="inlineStr">
        <is>
          <t>No</t>
        </is>
      </c>
      <c r="F60" s="8" t="n">
        <v>0</v>
      </c>
      <c r="G60" s="5" t="inlineStr">
        <is>
          <t>Gran Santo Domingo</t>
        </is>
      </c>
      <c r="H60" s="5" t="inlineStr">
        <is>
          <t>Ferretería y fijaciones</t>
        </is>
      </c>
      <c r="I60" s="7" t="inlineStr"/>
      <c r="J60" s="7" t="inlineStr"/>
      <c r="K60" s="7" t="inlineStr"/>
      <c r="L60" s="7" t="inlineStr"/>
      <c r="M60" s="5" t="inlineStr">
        <is>
          <t>Especializado en tornillería, niples y pernos, con fabricación propia.</t>
        </is>
      </c>
    </row>
    <row r="61">
      <c r="A61" s="7" t="inlineStr">
        <is>
          <t>Refripartes</t>
        </is>
      </c>
      <c r="B61" s="7" t="inlineStr">
        <is>
          <t>mayorista</t>
        </is>
      </c>
      <c r="C61" s="7" t="inlineStr">
        <is>
          <t>mayorista</t>
        </is>
      </c>
      <c r="D61" s="7" t="inlineStr">
        <is>
          <t>Sí</t>
        </is>
      </c>
      <c r="E61" s="7" t="inlineStr">
        <is>
          <t>No</t>
        </is>
      </c>
      <c r="F61" s="8" t="n">
        <v>0</v>
      </c>
      <c r="G61" s="5" t="inlineStr">
        <is>
          <t>Cobertura nacional</t>
        </is>
      </c>
      <c r="H61" s="5" t="inlineStr">
        <is>
          <t>Climatización y ventilación</t>
        </is>
      </c>
      <c r="I61" s="7" t="inlineStr">
        <is>
          <t>refripartes.com</t>
        </is>
      </c>
      <c r="J61" s="7" t="inlineStr"/>
      <c r="K61" s="7" t="inlineStr"/>
      <c r="L61" s="7" t="inlineStr"/>
      <c r="M61" s="5" t="inlineStr">
        <is>
          <t>Mayorista HVACR con más de 17 sucursales en todo el país. Marca propia TGM; equipos de A/A, refrigeración, fittings de bronce y cobre, y abanicos. Amplio inventario.</t>
        </is>
      </c>
    </row>
    <row r="62">
      <c r="A62" s="7" t="inlineStr">
        <is>
          <t>Inaire</t>
        </is>
      </c>
      <c r="B62" s="7" t="inlineStr">
        <is>
          <t>mayorista</t>
        </is>
      </c>
      <c r="C62" s="7" t="inlineStr">
        <is>
          <t>mayorista</t>
        </is>
      </c>
      <c r="D62" s="7" t="inlineStr">
        <is>
          <t>Sí</t>
        </is>
      </c>
      <c r="E62" s="7" t="inlineStr">
        <is>
          <t>No</t>
        </is>
      </c>
      <c r="F62" s="8" t="n">
        <v>0</v>
      </c>
      <c r="G62" s="5" t="inlineStr">
        <is>
          <t>Cobertura nacional</t>
        </is>
      </c>
      <c r="H62" s="5" t="inlineStr">
        <is>
          <t>Climatización y ventilación</t>
        </is>
      </c>
      <c r="I62" s="7" t="inlineStr"/>
      <c r="J62" s="7" t="inlineStr"/>
      <c r="K62" s="7" t="inlineStr"/>
      <c r="L62" s="7" t="inlineStr"/>
      <c r="M62" s="5" t="inlineStr">
        <is>
          <t>Mayorista e importador. Marcas Greenflow, Lennox y Daikin. Instalación y mantenimiento.</t>
        </is>
      </c>
    </row>
    <row r="63">
      <c r="A63" s="7" t="inlineStr">
        <is>
          <t>ComfortStar</t>
        </is>
      </c>
      <c r="B63" s="7" t="inlineStr">
        <is>
          <t>distribuidor</t>
        </is>
      </c>
      <c r="C63" s="7" t="inlineStr">
        <is>
          <t>mayorista</t>
        </is>
      </c>
      <c r="D63" s="7" t="inlineStr">
        <is>
          <t>Sí</t>
        </is>
      </c>
      <c r="E63" s="7" t="inlineStr">
        <is>
          <t>No</t>
        </is>
      </c>
      <c r="F63" s="8" t="n">
        <v>0</v>
      </c>
      <c r="G63" s="5" t="inlineStr">
        <is>
          <t>Cobertura nacional</t>
        </is>
      </c>
      <c r="H63" s="5" t="inlineStr">
        <is>
          <t>Climatización y ventilación</t>
        </is>
      </c>
      <c r="I63" s="7" t="inlineStr">
        <is>
          <t>comfortstar.com.do</t>
        </is>
      </c>
      <c r="J63" s="7" t="inlineStr"/>
      <c r="K63" s="7" t="inlineStr"/>
      <c r="L63" s="7" t="inlineStr"/>
      <c r="M63" s="5" t="inlineStr">
        <is>
          <t>Equipos de A/A, refrigeración y ventilación para uso residencial, comercial e industrial.</t>
        </is>
      </c>
    </row>
    <row r="64">
      <c r="A64" s="7" t="inlineStr">
        <is>
          <t>RefriMorel</t>
        </is>
      </c>
      <c r="B64" s="7" t="inlineStr">
        <is>
          <t>distribuidor</t>
        </is>
      </c>
      <c r="C64" s="7" t="inlineStr">
        <is>
          <t>detallista</t>
        </is>
      </c>
      <c r="D64" s="7" t="inlineStr">
        <is>
          <t>Sí</t>
        </is>
      </c>
      <c r="E64" s="7" t="inlineStr">
        <is>
          <t>No</t>
        </is>
      </c>
      <c r="F64" s="8" t="n">
        <v>0</v>
      </c>
      <c r="G64" s="5" t="inlineStr">
        <is>
          <t>Cobertura nacional</t>
        </is>
      </c>
      <c r="H64" s="5" t="inlineStr">
        <is>
          <t>Climatización y ventilación</t>
        </is>
      </c>
      <c r="I64" s="7" t="inlineStr">
        <is>
          <t>refrimorel.com</t>
        </is>
      </c>
      <c r="J64" s="7" t="inlineStr"/>
      <c r="K64" s="7" t="inlineStr"/>
      <c r="L64" s="7" t="inlineStr"/>
      <c r="M64" s="5" t="inlineStr">
        <is>
          <t>Distribuidor autorizado de Lennox, LG, Daikin, Milexus y Comfortmaster.</t>
        </is>
      </c>
    </row>
    <row r="65">
      <c r="A65" s="7" t="inlineStr">
        <is>
          <t>Carrier Dominicana</t>
        </is>
      </c>
      <c r="B65" s="7" t="inlineStr">
        <is>
          <t>fabricante</t>
        </is>
      </c>
      <c r="C65" s="7" t="inlineStr">
        <is>
          <t>fabricante</t>
        </is>
      </c>
      <c r="D65" s="7" t="inlineStr">
        <is>
          <t>No</t>
        </is>
      </c>
      <c r="E65" s="7" t="inlineStr">
        <is>
          <t>No</t>
        </is>
      </c>
      <c r="F65" s="8" t="n">
        <v>0</v>
      </c>
      <c r="G65" s="5" t="inlineStr">
        <is>
          <t>Cobertura nacional</t>
        </is>
      </c>
      <c r="H65" s="5" t="inlineStr">
        <is>
          <t>Climatización y ventilación</t>
        </is>
      </c>
      <c r="I65" s="7" t="inlineStr">
        <is>
          <t>carrier.com.do</t>
        </is>
      </c>
      <c r="J65" s="7" t="inlineStr"/>
      <c r="K65" s="7" t="inlineStr"/>
      <c r="L65" s="7" t="inlineStr"/>
      <c r="M65" s="5" t="inlineStr">
        <is>
          <t>Marca y distribución de aire acondicionado comercial y residencial.</t>
        </is>
      </c>
    </row>
    <row r="66">
      <c r="A66" s="7" t="inlineStr">
        <is>
          <t>CGT (CGT DO SRL)</t>
        </is>
      </c>
      <c r="B66" s="7" t="inlineStr">
        <is>
          <t>distribuidor</t>
        </is>
      </c>
      <c r="C66" s="7" t="inlineStr">
        <is>
          <t>mayorista</t>
        </is>
      </c>
      <c r="D66" s="7" t="inlineStr">
        <is>
          <t>Sí</t>
        </is>
      </c>
      <c r="E66" s="7" t="inlineStr">
        <is>
          <t>No</t>
        </is>
      </c>
      <c r="F66" s="8" t="n">
        <v>0</v>
      </c>
      <c r="G66" s="5" t="inlineStr">
        <is>
          <t>Cobertura nacional</t>
        </is>
      </c>
      <c r="H66" s="5" t="inlineStr">
        <is>
          <t>Cámaras y videovigilancia</t>
        </is>
      </c>
      <c r="I66" s="7" t="inlineStr">
        <is>
          <t>cgt.do</t>
        </is>
      </c>
      <c r="J66" s="7" t="inlineStr"/>
      <c r="K66" s="7" t="inlineStr"/>
      <c r="L66" s="7" t="inlineStr"/>
      <c r="M66" s="5" t="inlineStr">
        <is>
          <t>Distribuidor e instalador con cobertura nacional (despacho vía Caribe Tours, Metro, BM Cargo y Vimenpaq). Marcas Hikvision, HiLook, UNV y EPCOM. Precios de distribuidor por volumen y kits.</t>
        </is>
      </c>
    </row>
    <row r="67">
      <c r="A67" s="7" t="inlineStr">
        <is>
          <t>Segumart</t>
        </is>
      </c>
      <c r="B67" s="7" t="inlineStr">
        <is>
          <t>mayorista</t>
        </is>
      </c>
      <c r="C67" s="7" t="inlineStr">
        <is>
          <t>mayorista</t>
        </is>
      </c>
      <c r="D67" s="7" t="inlineStr">
        <is>
          <t>Sí</t>
        </is>
      </c>
      <c r="E67" s="7" t="inlineStr">
        <is>
          <t>Sí</t>
        </is>
      </c>
      <c r="F67" s="8" t="n">
        <v>0</v>
      </c>
      <c r="G67" s="5" t="inlineStr">
        <is>
          <t>Cobertura nacional</t>
        </is>
      </c>
      <c r="H67" s="5" t="inlineStr">
        <is>
          <t>Cámaras y videovigilancia</t>
        </is>
      </c>
      <c r="I67" s="7" t="inlineStr">
        <is>
          <t>segumart.com</t>
        </is>
      </c>
      <c r="J67" s="7" t="inlineStr"/>
      <c r="K67" s="7" t="inlineStr"/>
      <c r="L67" s="7" t="inlineStr"/>
      <c r="M67" s="5" t="inlineStr">
        <is>
          <t>Mayorista de CCTV con catálogo de precios (acceso por registro). Cámaras IP, DVR e importación directa.</t>
        </is>
      </c>
    </row>
    <row r="68">
      <c r="A68" s="7" t="inlineStr">
        <is>
          <t>Data Import</t>
        </is>
      </c>
      <c r="B68" s="7" t="inlineStr">
        <is>
          <t>distribuidor</t>
        </is>
      </c>
      <c r="C68" s="7" t="inlineStr">
        <is>
          <t>mayorista</t>
        </is>
      </c>
      <c r="D68" s="7" t="inlineStr">
        <is>
          <t>Sí</t>
        </is>
      </c>
      <c r="E68" s="7" t="inlineStr">
        <is>
          <t>No</t>
        </is>
      </c>
      <c r="F68" s="8" t="n">
        <v>0</v>
      </c>
      <c r="G68" s="5" t="inlineStr">
        <is>
          <t>Cobertura nacional</t>
        </is>
      </c>
      <c r="H68" s="5" t="inlineStr">
        <is>
          <t>Cámaras y videovigilancia</t>
        </is>
      </c>
      <c r="I68" s="7" t="inlineStr">
        <is>
          <t>dataimport.com</t>
        </is>
      </c>
      <c r="J68" s="7" t="inlineStr"/>
      <c r="K68" s="7" t="inlineStr"/>
      <c r="L68" s="7" t="inlineStr"/>
      <c r="M68" s="5" t="inlineStr">
        <is>
          <t>Cámaras CCTV/IP y kits.</t>
        </is>
      </c>
    </row>
    <row r="69">
      <c r="A69" s="7" t="inlineStr">
        <is>
          <t>CEMSEGURIDAD</t>
        </is>
      </c>
      <c r="B69" s="7" t="inlineStr">
        <is>
          <t>distribuidor</t>
        </is>
      </c>
      <c r="C69" s="7" t="inlineStr">
        <is>
          <t>detallista</t>
        </is>
      </c>
      <c r="D69" s="7" t="inlineStr">
        <is>
          <t>Sí</t>
        </is>
      </c>
      <c r="E69" s="7" t="inlineStr">
        <is>
          <t>No</t>
        </is>
      </c>
      <c r="F69" s="8" t="n">
        <v>0</v>
      </c>
      <c r="G69" s="5" t="inlineStr">
        <is>
          <t>Gran Santo Domingo, Santiago / Cibao</t>
        </is>
      </c>
      <c r="H69" s="5" t="inlineStr">
        <is>
          <t>Cámaras y videovigilancia</t>
        </is>
      </c>
      <c r="I69" s="7" t="inlineStr">
        <is>
          <t>cemseguridad.com</t>
        </is>
      </c>
      <c r="J69" s="7" t="inlineStr"/>
      <c r="K69" s="7" t="inlineStr"/>
      <c r="L69" s="7" t="inlineStr"/>
      <c r="M69" s="5" t="inlineStr">
        <is>
          <t>Distribuidor e integrador con sucursales en Santo Domingo, Santiago y Santo Domingo Este. CCTV, alarmas, control de acceso, portones y domótica.</t>
        </is>
      </c>
    </row>
    <row r="70">
      <c r="A70" s="7" t="inlineStr">
        <is>
          <t>Seguricentro</t>
        </is>
      </c>
      <c r="B70" s="7" t="inlineStr">
        <is>
          <t>mayorista</t>
        </is>
      </c>
      <c r="C70" s="7" t="inlineStr">
        <is>
          <t>mayorista</t>
        </is>
      </c>
      <c r="D70" s="7" t="inlineStr">
        <is>
          <t>Sí</t>
        </is>
      </c>
      <c r="E70" s="7" t="inlineStr">
        <is>
          <t>No</t>
        </is>
      </c>
      <c r="F70" s="8" t="n">
        <v>0</v>
      </c>
      <c r="G70" s="5" t="inlineStr">
        <is>
          <t>Cobertura nacional</t>
        </is>
      </c>
      <c r="H70" s="5" t="inlineStr">
        <is>
          <t>Cámaras y videovigilancia</t>
        </is>
      </c>
      <c r="I70" s="7" t="inlineStr"/>
      <c r="J70" s="7" t="inlineStr"/>
      <c r="K70" s="7" t="inlineStr"/>
      <c r="L70" s="7" t="inlineStr"/>
      <c r="M70" s="5" t="inlineStr">
        <is>
          <t>Mayorista de seguridad electrónica, con formación técnica y soporte a integradores.</t>
        </is>
      </c>
    </row>
    <row r="71">
      <c r="A71" s="7" t="inlineStr">
        <is>
          <t>EQUIP, SRL</t>
        </is>
      </c>
      <c r="B71" s="7" t="inlineStr">
        <is>
          <t>especializado</t>
        </is>
      </c>
      <c r="C71" s="7" t="inlineStr">
        <is>
          <t>mayorista</t>
        </is>
      </c>
      <c r="D71" s="7" t="inlineStr">
        <is>
          <t>Sí</t>
        </is>
      </c>
      <c r="E71" s="7" t="inlineStr">
        <is>
          <t>No</t>
        </is>
      </c>
      <c r="F71" s="8" t="n">
        <v>0</v>
      </c>
      <c r="G71" s="5" t="inlineStr">
        <is>
          <t>Cobertura nacional</t>
        </is>
      </c>
      <c r="H71" s="5" t="inlineStr">
        <is>
          <t>Seguridad industrial y señalización</t>
        </is>
      </c>
      <c r="I71" s="7" t="inlineStr">
        <is>
          <t>equip.com.do</t>
        </is>
      </c>
      <c r="J71" s="7" t="inlineStr">
        <is>
          <t>809-563-9898</t>
        </is>
      </c>
      <c r="K71" s="7" t="inlineStr">
        <is>
          <t>18293447774</t>
        </is>
      </c>
      <c r="L71" s="7" t="inlineStr">
        <is>
          <t>cotizaciones@equiprd.com</t>
        </is>
      </c>
      <c r="M71" s="5" t="inlineStr">
        <is>
          <t>Más de 20 años en seguridad y salud ocupacional. Marcas Honeywell, Ansell, Dräger, Showa, Protecta, HexArmor, Ergodyne, Safety Jogger y RAE Systems. Catálogo en línea sin precios (modelo de cotización B2B). Centro de entrenamiento y taller de calibración.</t>
        </is>
      </c>
    </row>
    <row r="72">
      <c r="A72" s="7" t="inlineStr">
        <is>
          <t>UST (Expertos en Seguridad y Salud Laboral)</t>
        </is>
      </c>
      <c r="B72" s="7" t="inlineStr">
        <is>
          <t>distribuidor</t>
        </is>
      </c>
      <c r="C72" s="7" t="inlineStr">
        <is>
          <t>mayorista</t>
        </is>
      </c>
      <c r="D72" s="7" t="inlineStr">
        <is>
          <t>Sí</t>
        </is>
      </c>
      <c r="E72" s="7" t="inlineStr">
        <is>
          <t>No</t>
        </is>
      </c>
      <c r="F72" s="8" t="n">
        <v>0</v>
      </c>
      <c r="G72" s="5" t="inlineStr">
        <is>
          <t>Gran Santo Domingo, Cobertura nacional</t>
        </is>
      </c>
      <c r="H72" s="5" t="inlineStr">
        <is>
          <t>Seguridad industrial y señalización</t>
        </is>
      </c>
      <c r="I72" s="7" t="inlineStr">
        <is>
          <t>ust.com.do</t>
        </is>
      </c>
      <c r="J72" s="7" t="inlineStr">
        <is>
          <t>809-683-2321</t>
        </is>
      </c>
      <c r="K72" s="7" t="inlineStr"/>
      <c r="L72" s="7" t="inlineStr">
        <is>
          <t>ventas@ust.com.do</t>
        </is>
      </c>
      <c r="M72" s="5" t="inlineStr">
        <is>
          <t>Calle Mario García Alvarado No. 17, Ens. Quisqueya, Santo Domingo. EPP y señalización vial. Entrega en 48 horas con flota propia.</t>
        </is>
      </c>
    </row>
    <row r="73">
      <c r="A73" s="7" t="inlineStr">
        <is>
          <t>Equipro, SRL</t>
        </is>
      </c>
      <c r="B73" s="7" t="inlineStr">
        <is>
          <t>distribuidor</t>
        </is>
      </c>
      <c r="C73" s="7" t="inlineStr">
        <is>
          <t>mayorista</t>
        </is>
      </c>
      <c r="D73" s="7" t="inlineStr">
        <is>
          <t>Sí</t>
        </is>
      </c>
      <c r="E73" s="7" t="inlineStr">
        <is>
          <t>No</t>
        </is>
      </c>
      <c r="F73" s="8" t="n">
        <v>0</v>
      </c>
      <c r="G73" s="5" t="inlineStr">
        <is>
          <t>Sur</t>
        </is>
      </c>
      <c r="H73" s="5" t="inlineStr">
        <is>
          <t>Seguridad industrial y señalización</t>
        </is>
      </c>
      <c r="I73" s="7" t="inlineStr">
        <is>
          <t>equipro.com.do</t>
        </is>
      </c>
      <c r="J73" s="7" t="inlineStr">
        <is>
          <t>829-547-0808</t>
        </is>
      </c>
      <c r="K73" s="7" t="inlineStr"/>
      <c r="L73" s="7" t="inlineStr">
        <is>
          <t>info@equipro.com.do</t>
        </is>
      </c>
      <c r="M73" s="5" t="inlineStr">
        <is>
          <t>Enfocado en zonas francas, desde la Zona Franca de Nigua, San Cristóbal. Marcas 3M Fall Protection, Moldex, Microgard y HyTest. Taller de calibración y recertificación.</t>
        </is>
      </c>
    </row>
    <row r="74">
      <c r="A74" s="7" t="inlineStr">
        <is>
          <t>SOS Protección Integral</t>
        </is>
      </c>
      <c r="B74" s="7" t="inlineStr">
        <is>
          <t>especializado</t>
        </is>
      </c>
      <c r="C74" s="7" t="inlineStr">
        <is>
          <t>detallista</t>
        </is>
      </c>
      <c r="D74" s="7" t="inlineStr">
        <is>
          <t>Sí</t>
        </is>
      </c>
      <c r="E74" s="7" t="inlineStr">
        <is>
          <t>Sí</t>
        </is>
      </c>
      <c r="F74" s="8" t="n">
        <v>0</v>
      </c>
      <c r="G74" s="5" t="inlineStr">
        <is>
          <t>Gran Santo Domingo</t>
        </is>
      </c>
      <c r="H74" s="5" t="inlineStr">
        <is>
          <t>Seguridad industrial y señalización</t>
        </is>
      </c>
      <c r="I74" s="7" t="inlineStr">
        <is>
          <t>sosintegral.com</t>
        </is>
      </c>
      <c r="J74" s="7" t="inlineStr">
        <is>
          <t>809-331-0000</t>
        </is>
      </c>
      <c r="K74" s="7" t="inlineStr"/>
      <c r="L74" s="7" t="inlineStr">
        <is>
          <t>info@sosintegral.com</t>
        </is>
      </c>
      <c r="M74" s="5" t="inlineStr">
        <is>
          <t>Zona Industrial de Herrera, Santo Domingo Oeste. Tienda en línea de EPP.</t>
        </is>
      </c>
    </row>
    <row r="75">
      <c r="A75" s="7" t="inlineStr">
        <is>
          <t>Deinsa</t>
        </is>
      </c>
      <c r="B75" s="7" t="inlineStr">
        <is>
          <t>distribuidor</t>
        </is>
      </c>
      <c r="C75" s="7" t="inlineStr">
        <is>
          <t>mayorista</t>
        </is>
      </c>
      <c r="D75" s="7" t="inlineStr">
        <is>
          <t>Sí</t>
        </is>
      </c>
      <c r="E75" s="7" t="inlineStr">
        <is>
          <t>No</t>
        </is>
      </c>
      <c r="F75" s="8" t="n">
        <v>0</v>
      </c>
      <c r="G75" s="5" t="inlineStr">
        <is>
          <t>Gran Santo Domingo</t>
        </is>
      </c>
      <c r="H75" s="5" t="inlineStr">
        <is>
          <t>Seguridad industrial y señalización</t>
        </is>
      </c>
      <c r="I75" s="7" t="inlineStr">
        <is>
          <t>deinsa.com.do</t>
        </is>
      </c>
      <c r="J75" s="7" t="inlineStr">
        <is>
          <t>809-363-1000</t>
        </is>
      </c>
      <c r="K75" s="7" t="inlineStr"/>
      <c r="L75" s="7" t="inlineStr">
        <is>
          <t>info@deinsa.com.do</t>
        </is>
      </c>
      <c r="M75" s="5" t="inlineStr">
        <is>
          <t>Seguridad industrial, en la Zona Industrial de Herrera.</t>
        </is>
      </c>
    </row>
    <row r="76">
      <c r="A76" s="7" t="inlineStr">
        <is>
          <t>Irrigación Dominicana (IRRIDOM)</t>
        </is>
      </c>
      <c r="B76" s="7" t="inlineStr">
        <is>
          <t>especializado</t>
        </is>
      </c>
      <c r="C76" s="7" t="inlineStr">
        <is>
          <t>detallista</t>
        </is>
      </c>
      <c r="D76" s="7" t="inlineStr">
        <is>
          <t>Sí</t>
        </is>
      </c>
      <c r="E76" s="7" t="inlineStr">
        <is>
          <t>No</t>
        </is>
      </c>
      <c r="F76" s="8" t="n">
        <v>0</v>
      </c>
      <c r="G76" s="5" t="inlineStr">
        <is>
          <t>Gran Santo Domingo, Cobertura nacional</t>
        </is>
      </c>
      <c r="H76" s="5" t="inlineStr">
        <is>
          <t>Exteriores y paisajismo</t>
        </is>
      </c>
      <c r="I76" s="7" t="inlineStr">
        <is>
          <t>irrigaciondominicana.com.do</t>
        </is>
      </c>
      <c r="J76" s="7" t="inlineStr">
        <is>
          <t>809-245-5045</t>
        </is>
      </c>
      <c r="K76" s="7" t="inlineStr"/>
      <c r="L76" s="7" t="inlineStr"/>
      <c r="M76" s="5" t="inlineStr">
        <is>
          <t>Distribuidor autorizado Hunter en RD, en Av. Quinto Centenario, Distrito Nacional. Diseño hidráulico, goteo y aspersión; atiende áreas verdes, viveros y agrícola. Correo no verificado públicamente.</t>
        </is>
      </c>
    </row>
    <row r="77">
      <c r="A77" s="7" t="inlineStr">
        <is>
          <t>Green Garden Corp.</t>
        </is>
      </c>
      <c r="B77" s="7" t="inlineStr">
        <is>
          <t>especializado</t>
        </is>
      </c>
      <c r="C77" s="7" t="inlineStr">
        <is>
          <t>detallista</t>
        </is>
      </c>
      <c r="D77" s="7" t="inlineStr">
        <is>
          <t>No</t>
        </is>
      </c>
      <c r="E77" s="7" t="inlineStr">
        <is>
          <t>No</t>
        </is>
      </c>
      <c r="F77" s="8" t="n">
        <v>0</v>
      </c>
      <c r="G77" s="5" t="inlineStr">
        <is>
          <t>Cobertura nacional</t>
        </is>
      </c>
      <c r="H77" s="5" t="inlineStr">
        <is>
          <t>Exteriores y paisajismo</t>
        </is>
      </c>
      <c r="I77" s="7" t="inlineStr">
        <is>
          <t>greengardencorp.com</t>
        </is>
      </c>
      <c r="J77" s="7" t="inlineStr"/>
      <c r="K77" s="7" t="inlineStr"/>
      <c r="L77" s="7" t="inlineStr">
        <is>
          <t>info@greengardencorp.com</t>
        </is>
      </c>
      <c r="M77" s="5" t="inlineStr">
        <is>
          <t>Más de 30 años y 1,200 proyectos en RD, Barbados y México. Paisajismo, áreas verdes y campos de golf; siembra de grama, palmas y riego automatizado. Modelo B2B (hoteles y desarrolladoras). Teléfono no publicado abiertamente.</t>
        </is>
      </c>
    </row>
    <row r="78">
      <c r="A78" s="7" t="inlineStr">
        <is>
          <t>Realturf República Dominicana</t>
        </is>
      </c>
      <c r="B78" s="7" t="inlineStr">
        <is>
          <t>fabricante</t>
        </is>
      </c>
      <c r="C78" s="7" t="inlineStr">
        <is>
          <t>fabricante</t>
        </is>
      </c>
      <c r="D78" s="7" t="inlineStr">
        <is>
          <t>Sí</t>
        </is>
      </c>
      <c r="E78" s="7" t="inlineStr">
        <is>
          <t>No</t>
        </is>
      </c>
      <c r="F78" s="8" t="n">
        <v>0</v>
      </c>
      <c r="G78" s="5" t="inlineStr">
        <is>
          <t>Gran Santo Domingo, Santiago / Cibao, Este (Punta Cana, La Romana)</t>
        </is>
      </c>
      <c r="H78" s="5" t="inlineStr">
        <is>
          <t>Exteriores y paisajismo</t>
        </is>
      </c>
      <c r="I78" s="7" t="inlineStr">
        <is>
          <t>realturf.com</t>
        </is>
      </c>
      <c r="J78" s="7" t="inlineStr"/>
      <c r="K78" s="7" t="inlineStr"/>
      <c r="L78" s="7" t="inlineStr"/>
      <c r="M78" s="5" t="inlineStr">
        <is>
          <t>Fabricante e instalador de grama artificial residencial, comercial y deportiva. Garantía de hasta 10 años. Contacto vía formulario.</t>
        </is>
      </c>
    </row>
    <row r="79">
      <c r="A79" s="7" t="inlineStr">
        <is>
          <t>Viverde</t>
        </is>
      </c>
      <c r="B79" s="7" t="inlineStr">
        <is>
          <t>especializado</t>
        </is>
      </c>
      <c r="C79" s="7" t="inlineStr">
        <is>
          <t>detallista</t>
        </is>
      </c>
      <c r="D79" s="7" t="inlineStr">
        <is>
          <t>Sí</t>
        </is>
      </c>
      <c r="E79" s="7" t="inlineStr">
        <is>
          <t>No</t>
        </is>
      </c>
      <c r="F79" s="8" t="n">
        <v>0</v>
      </c>
      <c r="G79" s="5" t="inlineStr">
        <is>
          <t>Gran Santo Domingo</t>
        </is>
      </c>
      <c r="H79" s="5" t="inlineStr">
        <is>
          <t>Exteriores y paisajismo</t>
        </is>
      </c>
      <c r="I79" s="7" t="inlineStr">
        <is>
          <t>viverde.com.do</t>
        </is>
      </c>
      <c r="J79" s="7" t="inlineStr"/>
      <c r="K79" s="7" t="inlineStr"/>
      <c r="L79" s="7" t="inlineStr"/>
      <c r="M79" s="5" t="inlineStr">
        <is>
          <t>Vivero de frutales y ornamentales, con catálogo de plantas disponible. Contacto no verificado en fuentes públicas.</t>
        </is>
      </c>
    </row>
    <row r="80">
      <c r="A80" s="7" t="inlineStr">
        <is>
          <t>Jardín Botánico Nacional (Vivero)</t>
        </is>
      </c>
      <c r="B80" s="7" t="inlineStr">
        <is>
          <t>especializado</t>
        </is>
      </c>
      <c r="C80" s="7" t="inlineStr">
        <is>
          <t>detallista</t>
        </is>
      </c>
      <c r="D80" s="7" t="inlineStr">
        <is>
          <t>Sí</t>
        </is>
      </c>
      <c r="E80" s="7" t="inlineStr">
        <is>
          <t>No</t>
        </is>
      </c>
      <c r="F80" s="8" t="n">
        <v>0</v>
      </c>
      <c r="G80" s="5" t="inlineStr">
        <is>
          <t>Gran Santo Domingo</t>
        </is>
      </c>
      <c r="H80" s="5" t="inlineStr">
        <is>
          <t>Exteriores y paisajismo</t>
        </is>
      </c>
      <c r="I80" s="7" t="inlineStr">
        <is>
          <t>jbn.gob.do</t>
        </is>
      </c>
      <c r="J80" s="7" t="inlineStr"/>
      <c r="K80" s="7" t="inlineStr"/>
      <c r="L80" s="7" t="inlineStr"/>
      <c r="M80" s="5" t="inlineStr">
        <is>
          <t>Vivero público en Santo Domingo con ornamentales, frutales y forestales a precios económicos.</t>
        </is>
      </c>
    </row>
    <row r="82">
      <c r="A82" s="13" t="inlineStr">
        <is>
          <t>Los fabricantes de canal cerrado —cementeras, siderúrgica, fábricas de pintura— aparecen como indicador de tendencia pero no venden al público: no se les pide cotización directa.</t>
        </is>
      </c>
    </row>
    <row r="83"/>
  </sheetData>
  <autoFilter ref="A1:M80"/>
  <mergeCells count="1">
    <mergeCell ref="A82:M8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4"/>
  <sheetViews>
    <sheetView showGridLines="0" workbookViewId="0">
      <selection activeCell="A1" sqref="A1"/>
    </sheetView>
  </sheetViews>
  <sheetFormatPr baseColWidth="8" defaultRowHeight="15"/>
  <cols>
    <col width="42" customWidth="1" min="1" max="1"/>
    <col width="66" customWidth="1" min="2" max="2"/>
  </cols>
  <sheetData>
    <row r="1">
      <c r="A1" s="1" t="inlineStr">
        <is>
          <t>Conversiones de uso diario</t>
        </is>
      </c>
    </row>
    <row r="2">
      <c r="A2" s="2" t="inlineStr">
        <is>
          <t>Para cubicar sin buscar la libreta.</t>
        </is>
      </c>
    </row>
    <row r="4" ht="30" customHeight="1">
      <c r="A4" s="6" t="inlineStr">
        <is>
          <t>Equivale</t>
        </is>
      </c>
      <c r="B4" s="6" t="inlineStr">
        <is>
          <t>A</t>
        </is>
      </c>
    </row>
    <row r="5">
      <c r="A5" s="4" t="inlineStr">
        <is>
          <t>1 funda de cemento gris</t>
        </is>
      </c>
      <c r="B5" s="5" t="inlineStr">
        <is>
          <t>42.5 kg (aprox. 0.0283 m³ de volumen suelto)</t>
        </is>
      </c>
    </row>
    <row r="6">
      <c r="A6" s="4" t="inlineStr">
        <is>
          <t>1 quintal (qq) de acero</t>
        </is>
      </c>
      <c r="B6" s="5" t="inlineStr">
        <is>
          <t>100 lb ≈ 45.36 kg</t>
        </is>
      </c>
    </row>
    <row r="7">
      <c r="A7" s="4" t="inlineStr">
        <is>
          <t>1 qq de varilla 1/2" x 20 pies</t>
        </is>
      </c>
      <c r="B7" s="5" t="inlineStr">
        <is>
          <t>≈ 7.4 varillas</t>
        </is>
      </c>
    </row>
    <row r="8">
      <c r="A8" s="4" t="inlineStr">
        <is>
          <t>1 qq de varilla 3/8" x 20 pies</t>
        </is>
      </c>
      <c r="B8" s="5" t="inlineStr">
        <is>
          <t>≈ 13.3 varillas</t>
        </is>
      </c>
    </row>
    <row r="9">
      <c r="A9" s="4" t="inlineStr">
        <is>
          <t>1 m³ de arena o grava</t>
        </is>
      </c>
      <c r="B9" s="5" t="inlineStr">
        <is>
          <t>≈ 35.3 pies³</t>
        </is>
      </c>
    </row>
    <row r="10">
      <c r="A10" s="4" t="inlineStr">
        <is>
          <t>1 viaje de volquete</t>
        </is>
      </c>
      <c r="B10" s="5" t="inlineStr">
        <is>
          <t>4, 8 o 16 m³ según el camión</t>
        </is>
      </c>
    </row>
    <row r="11">
      <c r="A11" s="4" t="inlineStr">
        <is>
          <t>1 m² de muro de bloques 6"</t>
        </is>
      </c>
      <c r="B11" s="5" t="inlineStr">
        <is>
          <t>≈ 12.5 bloques de 8" x 16"</t>
        </is>
      </c>
    </row>
    <row r="12">
      <c r="A12" s="4" t="inlineStr">
        <is>
          <t>1 m³ de hormigón 210 kg/cm²</t>
        </is>
      </c>
      <c r="B12" s="5" t="inlineStr">
        <is>
          <t>≈ 7 fundas de cemento + 0.55 m³ arena + 0.85 m³ grava</t>
        </is>
      </c>
    </row>
    <row r="13">
      <c r="A13" s="4" t="inlineStr">
        <is>
          <t>1 pie² (p²)</t>
        </is>
      </c>
      <c r="B13" s="5" t="inlineStr">
        <is>
          <t>0.0929 m²</t>
        </is>
      </c>
    </row>
    <row r="14">
      <c r="A14" s="4" t="inlineStr">
        <is>
          <t>1 pie tablar</t>
        </is>
      </c>
      <c r="B14" s="5" t="inlineStr">
        <is>
          <t>1" x 12" x 12" de madera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Ingenieros Liberato &amp; Asociados</dc:creator>
  <dc:title>Precios de construcción · República Dominicana</dc:title>
  <dc:description>Referencia de precios de materiales, mano de obra y equipos en RD. Generada el 2026-09-09 desde https://precios.ingsliberato.com</dc:description>
  <dcterms:created xsi:type="dcterms:W3CDTF">2026-09-09T13:39:40Z</dcterms:created>
  <dcterms:modified xsi:type="dcterms:W3CDTF">2026-09-09T13:39:41Z</dcterms:modified>
</cp:coreProperties>
</file>