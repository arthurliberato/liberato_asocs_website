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'Catálogo'!$A$1:$T$1567</definedName>
    <definedName name="_xlnm._FilterDatabase" localSheetId="2" hidden="1">'Comparativo'!$A$1:$M$1279</definedName>
    <definedName name="_xlnm._FilterDatabase" localSheetId="6" hidden="1">'Proveedores'!$A$1:$M$80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1566</v>
      </c>
    </row>
    <row r="8">
      <c r="B8" s="3" t="inlineStr">
        <is>
          <t>Con precio real de un comercio</t>
        </is>
      </c>
      <c r="C8" s="4" t="inlineStr">
        <is>
          <t>1276 de 1560</t>
        </is>
      </c>
    </row>
    <row r="9">
      <c r="B9" s="3" t="inlineStr">
        <is>
          <t>Con estimación de arranque</t>
        </is>
      </c>
      <c r="C9" s="4" t="n">
        <v>284</v>
      </c>
    </row>
    <row r="10">
      <c r="B10" s="3" t="inlineStr">
        <is>
          <t>Según tarifario oficial (sin monto)</t>
        </is>
      </c>
      <c r="C10" s="4" t="n">
        <v>6</v>
      </c>
    </row>
    <row r="11">
      <c r="B11" s="3" t="inlineStr">
        <is>
          <t>Cotizaciones cargadas</t>
        </is>
      </c>
      <c r="C11" s="4" t="n">
        <v>1393</v>
      </c>
    </row>
    <row r="12">
      <c r="B12" s="3" t="inlineStr">
        <is>
          <t>Comercios con precio publicado</t>
        </is>
      </c>
      <c r="C12" s="4" t="n">
        <v>3</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567"/>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2</v>
      </c>
      <c r="N21" s="9" t="n">
        <v>595</v>
      </c>
      <c r="O21" s="9" t="n">
        <v>535</v>
      </c>
      <c r="P21" s="9" t="n">
        <v>655</v>
      </c>
      <c r="Q21" s="7" t="inlineStr">
        <is>
          <t>Sí</t>
        </is>
      </c>
      <c r="R21" s="9">
        <f>IF(N21="","",IF(Q21="Sí",ROUND(N21/1.18,2),N21))</f>
        <v/>
      </c>
      <c r="S21" s="7" t="inlineStr">
        <is>
          <t>2026-09-09</t>
        </is>
      </c>
      <c r="T21" s="5" t="inlineStr">
        <is>
          <t>2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2</v>
      </c>
      <c r="N23" s="9" t="n">
        <v>1178.7</v>
      </c>
      <c r="O23" s="9" t="n">
        <v>1130.86</v>
      </c>
      <c r="P23" s="9" t="n">
        <v>1295</v>
      </c>
      <c r="Q23" s="7" t="inlineStr">
        <is>
          <t>Sí</t>
        </is>
      </c>
      <c r="R23" s="9">
        <f>IF(N23="","",IF(Q23="Sí",ROUND(N23/1.18,2),N23))</f>
        <v/>
      </c>
      <c r="S23" s="7" t="inlineStr">
        <is>
          <t>2026-09-09</t>
        </is>
      </c>
      <c r="T23" s="5" t="inlineStr">
        <is>
          <t>3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Estimado</t>
        </is>
      </c>
      <c r="M25" s="8" t="n">
        <v>0</v>
      </c>
      <c r="N25" s="9" t="n">
        <v>465</v>
      </c>
      <c r="O25" s="9" t="n">
        <v>390</v>
      </c>
      <c r="P25" s="9" t="n">
        <v>560</v>
      </c>
      <c r="Q25" s="7" t="inlineStr">
        <is>
          <t>Sí</t>
        </is>
      </c>
      <c r="R25" s="9">
        <f>IF(N25="","",IF(Q25="Sí",ROUND(N25/1.18,2),N25))</f>
        <v/>
      </c>
      <c r="S25" s="7" t="inlineStr">
        <is>
          <t>2026-09</t>
        </is>
      </c>
      <c r="T25" s="5" t="inlineStr">
        <is>
          <t>Estimación de arranque — pendiente de cotización</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1</v>
      </c>
      <c r="N27" s="9" t="n">
        <v>1054</v>
      </c>
      <c r="O27" s="9" t="n">
        <v>1054</v>
      </c>
      <c r="P27" s="9" t="n">
        <v>1054</v>
      </c>
      <c r="Q27" s="7" t="inlineStr">
        <is>
          <t>Sí</t>
        </is>
      </c>
      <c r="R27" s="9">
        <f>IF(N27="","",IF(Q27="Sí",ROUND(N27/1.18,2),N27))</f>
        <v/>
      </c>
      <c r="S27" s="7" t="inlineStr">
        <is>
          <t>2026-09-09</t>
        </is>
      </c>
      <c r="T27" s="5" t="inlineStr">
        <is>
          <t>1 cotización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1</v>
      </c>
      <c r="N29" s="9" t="n">
        <v>357</v>
      </c>
      <c r="O29" s="9" t="n">
        <v>330</v>
      </c>
      <c r="P29" s="9" t="n">
        <v>384</v>
      </c>
      <c r="Q29" s="7" t="inlineStr">
        <is>
          <t>Sí</t>
        </is>
      </c>
      <c r="R29" s="9">
        <f>IF(N29="","",IF(Q29="Sí",ROUND(N29/1.18,2),N29))</f>
        <v/>
      </c>
      <c r="S29" s="7" t="inlineStr">
        <is>
          <t>2026-09-09</t>
        </is>
      </c>
      <c r="T29" s="5" t="inlineStr">
        <is>
          <t>2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Estimado</t>
        </is>
      </c>
      <c r="M33" s="8" t="n">
        <v>0</v>
      </c>
      <c r="N33" s="9" t="n">
        <v>340</v>
      </c>
      <c r="O33" s="9" t="n">
        <v>270</v>
      </c>
      <c r="P33" s="9" t="n">
        <v>430</v>
      </c>
      <c r="Q33" s="7" t="inlineStr">
        <is>
          <t>Sí</t>
        </is>
      </c>
      <c r="R33" s="9">
        <f>IF(N33="","",IF(Q33="Sí",ROUND(N33/1.18,2),N33))</f>
        <v/>
      </c>
      <c r="S33" s="7" t="inlineStr">
        <is>
          <t>2026-09</t>
        </is>
      </c>
      <c r="T33" s="5" t="inlineStr">
        <is>
          <t>Estimación de arranque — pendiente de cotización</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1472.5</v>
      </c>
      <c r="O90" s="9" t="n">
        <v>1425</v>
      </c>
      <c r="P90" s="9" t="n">
        <v>1520</v>
      </c>
      <c r="Q90" s="7" t="inlineStr">
        <is>
          <t>Sí</t>
        </is>
      </c>
      <c r="R90" s="9">
        <f>IF(N90="","",IF(Q90="Sí",ROUND(N90/1.18,2),N90))</f>
        <v/>
      </c>
      <c r="S90" s="7" t="inlineStr">
        <is>
          <t>2026-09-09</t>
        </is>
      </c>
      <c r="T90" s="5" t="inlineStr">
        <is>
          <t>2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1992.5</v>
      </c>
      <c r="O91" s="9" t="n">
        <v>1990</v>
      </c>
      <c r="P91" s="9" t="n">
        <v>1995</v>
      </c>
      <c r="Q91" s="7" t="inlineStr">
        <is>
          <t>Sí</t>
        </is>
      </c>
      <c r="R91" s="9">
        <f>IF(N91="","",IF(Q91="Sí",ROUND(N91/1.18,2),N91))</f>
        <v/>
      </c>
      <c r="S91" s="7" t="inlineStr">
        <is>
          <t>2026-09-09</t>
        </is>
      </c>
      <c r="T91" s="5" t="inlineStr">
        <is>
          <t>2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nacional 33 x 33 cm</t>
        </is>
      </c>
      <c r="E113" s="5" t="inlineStr">
        <is>
          <t>Piso interior tránsito medio</t>
        </is>
      </c>
      <c r="F113" s="5" t="inlineStr"/>
      <c r="G113" s="5" t="inlineStr"/>
      <c r="H113" s="7" t="inlineStr">
        <is>
          <t>m²</t>
        </is>
      </c>
      <c r="I113" s="7" t="inlineStr">
        <is>
          <t>Pisos</t>
        </is>
      </c>
      <c r="J113" s="7" t="inlineStr">
        <is>
          <t>economica</t>
        </is>
      </c>
      <c r="K113" s="7" t="inlineStr">
        <is>
          <t>nacional</t>
        </is>
      </c>
      <c r="L113" s="7" t="inlineStr">
        <is>
          <t>Estimado</t>
        </is>
      </c>
      <c r="M113" s="8" t="n">
        <v>0</v>
      </c>
      <c r="N113" s="9" t="n">
        <v>590</v>
      </c>
      <c r="O113" s="9" t="n">
        <v>450</v>
      </c>
      <c r="P113" s="9" t="n">
        <v>780</v>
      </c>
      <c r="Q113" s="7" t="inlineStr">
        <is>
          <t>Sí</t>
        </is>
      </c>
      <c r="R113" s="9">
        <f>IF(N113="","",IF(Q113="Sí",ROUND(N113/1.18,2),N113))</f>
        <v/>
      </c>
      <c r="S113" s="7" t="inlineStr">
        <is>
          <t>2026-09</t>
        </is>
      </c>
      <c r="T113" s="5" t="inlineStr">
        <is>
          <t>Estimación de arranque — pendiente de cotización</t>
        </is>
      </c>
    </row>
    <row r="114">
      <c r="A114" s="7" t="inlineStr">
        <is>
          <t>MAT-08-002</t>
        </is>
      </c>
      <c r="B114" s="7" t="inlineStr">
        <is>
          <t>Materiales</t>
        </is>
      </c>
      <c r="C114" s="7" t="inlineStr">
        <is>
          <t>Pisos y revestimientos</t>
        </is>
      </c>
      <c r="D114" s="5" t="inlineStr">
        <is>
          <t>Cerámica de pared 25 x 40 cm</t>
        </is>
      </c>
      <c r="E114" s="5" t="inlineStr">
        <is>
          <t>Baños y cocinas</t>
        </is>
      </c>
      <c r="F114" s="5" t="inlineStr"/>
      <c r="G114" s="5" t="inlineStr"/>
      <c r="H114" s="7" t="inlineStr">
        <is>
          <t>m²</t>
        </is>
      </c>
      <c r="I114" s="7" t="inlineStr">
        <is>
          <t>Pisos</t>
        </is>
      </c>
      <c r="J114" s="7" t="inlineStr">
        <is>
          <t>estandar</t>
        </is>
      </c>
      <c r="K114" s="7" t="inlineStr">
        <is>
          <t>nacional</t>
        </is>
      </c>
      <c r="L114" s="7" t="inlineStr">
        <is>
          <t>Estimado</t>
        </is>
      </c>
      <c r="M114" s="8" t="n">
        <v>0</v>
      </c>
      <c r="N114" s="9" t="n">
        <v>720</v>
      </c>
      <c r="O114" s="9" t="n">
        <v>560</v>
      </c>
      <c r="P114" s="9" t="n">
        <v>950</v>
      </c>
      <c r="Q114" s="7" t="inlineStr">
        <is>
          <t>Sí</t>
        </is>
      </c>
      <c r="R114" s="9">
        <f>IF(N114="","",IF(Q114="Sí",ROUND(N114/1.18,2),N114))</f>
        <v/>
      </c>
      <c r="S114" s="7" t="inlineStr">
        <is>
          <t>2026-09</t>
        </is>
      </c>
      <c r="T114" s="5" t="inlineStr">
        <is>
          <t>Estimación de arranque — pendiente de cotización</t>
        </is>
      </c>
    </row>
    <row r="115">
      <c r="A115" s="7" t="inlineStr">
        <is>
          <t>MAT-08-003</t>
        </is>
      </c>
      <c r="B115" s="7" t="inlineStr">
        <is>
          <t>Materiales</t>
        </is>
      </c>
      <c r="C115" s="7" t="inlineStr">
        <is>
          <t>Pisos y revestimientos</t>
        </is>
      </c>
      <c r="D115" s="5" t="inlineStr">
        <is>
          <t>Porcelanato mate 60 x 60 cm</t>
        </is>
      </c>
      <c r="E115" s="5" t="inlineStr">
        <is>
          <t>Rectificado, tránsito residencial</t>
        </is>
      </c>
      <c r="F115" s="5" t="inlineStr"/>
      <c r="G115" s="5" t="inlineStr"/>
      <c r="H115" s="7" t="inlineStr">
        <is>
          <t>m²</t>
        </is>
      </c>
      <c r="I115" s="7" t="inlineStr">
        <is>
          <t>Pisos</t>
        </is>
      </c>
      <c r="J115" s="7" t="inlineStr">
        <is>
          <t>estandar</t>
        </is>
      </c>
      <c r="K115" s="7" t="inlineStr">
        <is>
          <t>importado</t>
        </is>
      </c>
      <c r="L115" s="7" t="inlineStr">
        <is>
          <t>Estimado</t>
        </is>
      </c>
      <c r="M115" s="8" t="n">
        <v>0</v>
      </c>
      <c r="N115" s="9" t="n">
        <v>1280</v>
      </c>
      <c r="O115" s="9" t="n">
        <v>980</v>
      </c>
      <c r="P115" s="9" t="n">
        <v>1700</v>
      </c>
      <c r="Q115" s="7" t="inlineStr">
        <is>
          <t>Sí</t>
        </is>
      </c>
      <c r="R115" s="9">
        <f>IF(N115="","",IF(Q115="Sí",ROUND(N115/1.18,2),N115))</f>
        <v/>
      </c>
      <c r="S115" s="7" t="inlineStr">
        <is>
          <t>2026-09</t>
        </is>
      </c>
      <c r="T115" s="5" t="inlineStr">
        <is>
          <t>Estimación de arranque — pendiente de cotización</t>
        </is>
      </c>
    </row>
    <row r="116">
      <c r="A116" s="7" t="inlineStr">
        <is>
          <t>MAT-08-004</t>
        </is>
      </c>
      <c r="B116" s="7" t="inlineStr">
        <is>
          <t>Materiales</t>
        </is>
      </c>
      <c r="C116" s="7" t="inlineStr">
        <is>
          <t>Pisos y revestimientos</t>
        </is>
      </c>
      <c r="D116" s="5" t="inlineStr">
        <is>
          <t>Porcelanato gran formato 80 x 80 cm</t>
        </is>
      </c>
      <c r="E116" s="5" t="inlineStr">
        <is>
          <t>Rectificado, importado</t>
        </is>
      </c>
      <c r="F116" s="5" t="inlineStr"/>
      <c r="G116" s="5" t="inlineStr"/>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MAT-09-001</t>
        </is>
      </c>
      <c r="B126" s="7" t="inlineStr">
        <is>
          <t>Materiales</t>
        </is>
      </c>
      <c r="C126" s="7" t="inlineStr">
        <is>
          <t>Plomería, sanitarios y gas</t>
        </is>
      </c>
      <c r="D126" s="5" t="inlineStr">
        <is>
          <t>Tubo PVC drenaje 4" x 20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Estimado</t>
        </is>
      </c>
      <c r="M126" s="8" t="n">
        <v>1</v>
      </c>
      <c r="N126" s="9" t="n">
        <v>1280</v>
      </c>
      <c r="O126" s="9" t="n">
        <v>1050</v>
      </c>
      <c r="P126" s="9" t="n">
        <v>1600</v>
      </c>
      <c r="Q126" s="7" t="inlineStr">
        <is>
          <t>Sí</t>
        </is>
      </c>
      <c r="R126" s="9">
        <f>IF(N126="","",IF(Q126="Sí",ROUND(N126/1.18,2),N126))</f>
        <v/>
      </c>
      <c r="S126" s="7" t="inlineStr">
        <is>
          <t>2026-09</t>
        </is>
      </c>
      <c r="T126" s="5" t="inlineStr">
        <is>
          <t>Estimación de arranque — pendiente de cotización</t>
        </is>
      </c>
    </row>
    <row r="127">
      <c r="A127" s="7" t="inlineStr">
        <is>
          <t>MAT-09-002</t>
        </is>
      </c>
      <c r="B127" s="7" t="inlineStr">
        <is>
          <t>Materiales</t>
        </is>
      </c>
      <c r="C127" s="7" t="inlineStr">
        <is>
          <t>Plomería, sanitarios y gas</t>
        </is>
      </c>
      <c r="D127" s="5" t="inlineStr">
        <is>
          <t>Tubo PVC drenaje 2" x 20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Estimado</t>
        </is>
      </c>
      <c r="M127" s="8" t="n">
        <v>1</v>
      </c>
      <c r="N127" s="9" t="n">
        <v>540</v>
      </c>
      <c r="O127" s="9" t="n">
        <v>440</v>
      </c>
      <c r="P127" s="9" t="n">
        <v>680</v>
      </c>
      <c r="Q127" s="7" t="inlineStr">
        <is>
          <t>Sí</t>
        </is>
      </c>
      <c r="R127" s="9">
        <f>IF(N127="","",IF(Q127="Sí",ROUND(N127/1.18,2),N127))</f>
        <v/>
      </c>
      <c r="S127" s="7" t="inlineStr">
        <is>
          <t>2026-09</t>
        </is>
      </c>
      <c r="T127" s="5" t="inlineStr">
        <is>
          <t>Estimación de arranque — pendiente de cotización</t>
        </is>
      </c>
    </row>
    <row r="128">
      <c r="A128" s="7" t="inlineStr">
        <is>
          <t>MAT-09-003</t>
        </is>
      </c>
      <c r="B128" s="7" t="inlineStr">
        <is>
          <t>Materiales</t>
        </is>
      </c>
      <c r="C128" s="7" t="inlineStr">
        <is>
          <t>Plomería, sanitarios y gas</t>
        </is>
      </c>
      <c r="D128" s="5" t="inlineStr">
        <is>
          <t>Tubo PVC drenaje 6" x 20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MAT-09-004</t>
        </is>
      </c>
      <c r="B129" s="7" t="inlineStr">
        <is>
          <t>Materiales</t>
        </is>
      </c>
      <c r="C129" s="7" t="inlineStr">
        <is>
          <t>Plomería, sanitarios y gas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MAT-09-005</t>
        </is>
      </c>
      <c r="B130" s="7" t="inlineStr">
        <is>
          <t>Materiales</t>
        </is>
      </c>
      <c r="C130" s="7" t="inlineStr">
        <is>
          <t>Plomería, sanitarios y gas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MAT-09-006</t>
        </is>
      </c>
      <c r="B131" s="7" t="inlineStr">
        <is>
          <t>Materiales</t>
        </is>
      </c>
      <c r="C131" s="7" t="inlineStr">
        <is>
          <t>Plomería, sanitarios y gas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Estimado</t>
        </is>
      </c>
      <c r="M131" s="8" t="n">
        <v>0</v>
      </c>
      <c r="N131" s="9" t="n">
        <v>285</v>
      </c>
      <c r="O131" s="9" t="n">
        <v>220</v>
      </c>
      <c r="P131" s="9" t="n">
        <v>370</v>
      </c>
      <c r="Q131" s="7" t="inlineStr">
        <is>
          <t>Sí</t>
        </is>
      </c>
      <c r="R131" s="9">
        <f>IF(N131="","",IF(Q131="Sí",ROUND(N131/1.18,2),N131))</f>
        <v/>
      </c>
      <c r="S131" s="7" t="inlineStr">
        <is>
          <t>2026-09</t>
        </is>
      </c>
      <c r="T131" s="5" t="inlineStr">
        <is>
          <t>Estimación de arranque — pendiente de cotización</t>
        </is>
      </c>
    </row>
    <row r="132">
      <c r="A132" s="7" t="inlineStr">
        <is>
          <t>MAT-09-007</t>
        </is>
      </c>
      <c r="B132" s="7" t="inlineStr">
        <is>
          <t>Materiales</t>
        </is>
      </c>
      <c r="C132" s="7" t="inlineStr">
        <is>
          <t>Plomería, sanitarios y gas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MAT-09-008</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MAT-09-009</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MAT-09-010</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MAT-09-011</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MAT-09-012</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MAT-09-013</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MAT-09-014</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MAT-09-015</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Herramienta De Terminación Z-Tool</t>
        </is>
      </c>
      <c r="E310" s="5" t="inlineStr">
        <is>
          <t>marca SIEMON · accesorios cables y conectividad · referencia Z-TOOL-ZP</t>
        </is>
      </c>
      <c r="F310" s="5" t="inlineStr">
        <is>
          <t>Material retirado en almacén</t>
        </is>
      </c>
      <c r="G310" s="5" t="inlineStr"/>
      <c r="H310" s="7" t="inlineStr">
        <is>
          <t>unidad</t>
        </is>
      </c>
      <c r="I310" s="7" t="inlineStr">
        <is>
          <t>Instalaciones</t>
        </is>
      </c>
      <c r="J310" s="7" t="inlineStr">
        <is>
          <t>estandar</t>
        </is>
      </c>
      <c r="K310" s="7" t="inlineStr">
        <is>
          <t>importado</t>
        </is>
      </c>
      <c r="L310" s="7" t="inlineStr">
        <is>
          <t>Verificado</t>
        </is>
      </c>
      <c r="M310" s="8" t="n">
        <v>1</v>
      </c>
      <c r="N310" s="9" t="n">
        <v>464.56</v>
      </c>
      <c r="O310" s="9" t="n">
        <v>448.43</v>
      </c>
      <c r="P310" s="9" t="n">
        <v>480.68</v>
      </c>
      <c r="Q310" s="7" t="inlineStr">
        <is>
          <t>Sí</t>
        </is>
      </c>
      <c r="R310" s="9">
        <f>IF(N310="","",IF(Q310="Sí",ROUND(N310/1.18,2),N310))</f>
        <v/>
      </c>
      <c r="S310" s="7" t="inlineStr">
        <is>
          <t>2026-09-09</t>
        </is>
      </c>
      <c r="T310" s="5" t="inlineStr">
        <is>
          <t>2 cotizaciones de proveedores</t>
        </is>
      </c>
    </row>
    <row r="311">
      <c r="A311" s="7" t="inlineStr">
        <is>
          <t>EQU-04-007</t>
        </is>
      </c>
      <c r="B311" s="7" t="inlineStr">
        <is>
          <t>Equipos y maquinaria</t>
        </is>
      </c>
      <c r="C311" s="7" t="inlineStr">
        <is>
          <t>Herramientas y equipo menor</t>
        </is>
      </c>
      <c r="D311" s="5" t="inlineStr">
        <is>
          <t>Max Turbotool</t>
        </is>
      </c>
      <c r="E311" s="5" t="inlineStr">
        <is>
          <t>marca SIEMON · de red · referencia MAX-TT</t>
        </is>
      </c>
      <c r="F311" s="5" t="inlineStr">
        <is>
          <t>Material retirado en almacén</t>
        </is>
      </c>
      <c r="G311" s="5" t="inlineStr"/>
      <c r="H311" s="7" t="inlineStr">
        <is>
          <t>unidad</t>
        </is>
      </c>
      <c r="I311" s="7" t="inlineStr">
        <is>
          <t>Instalaciones</t>
        </is>
      </c>
      <c r="J311" s="7" t="inlineStr">
        <is>
          <t>estandar</t>
        </is>
      </c>
      <c r="K311" s="7" t="inlineStr">
        <is>
          <t>importado</t>
        </is>
      </c>
      <c r="L311" s="7" t="inlineStr">
        <is>
          <t>Verificado</t>
        </is>
      </c>
      <c r="M311" s="8" t="n">
        <v>1</v>
      </c>
      <c r="N311" s="9" t="n">
        <v>6682.26</v>
      </c>
      <c r="O311" s="9" t="n">
        <v>6682.26</v>
      </c>
      <c r="P311" s="9" t="n">
        <v>6682.26</v>
      </c>
      <c r="Q311" s="7" t="inlineStr">
        <is>
          <t>Sí</t>
        </is>
      </c>
      <c r="R311" s="9">
        <f>IF(N311="","",IF(Q311="Sí",ROUND(N311/1.18,2),N311))</f>
        <v/>
      </c>
      <c r="S311" s="7" t="inlineStr">
        <is>
          <t>2026-09-09</t>
        </is>
      </c>
      <c r="T311" s="5" t="inlineStr">
        <is>
          <t>1 cotización de proveedores</t>
        </is>
      </c>
    </row>
    <row r="312">
      <c r="A312" s="7" t="inlineStr">
        <is>
          <t>MAT-01-020</t>
        </is>
      </c>
      <c r="B312" s="7" t="inlineStr">
        <is>
          <t>Materiales</t>
        </is>
      </c>
      <c r="C312" s="7" t="inlineStr">
        <is>
          <t>Agregados y áridos</t>
        </is>
      </c>
      <c r="D312" s="5" t="inlineStr">
        <is>
          <t>Grava 3/4" en funda de 50 libras</t>
        </is>
      </c>
      <c r="E312" s="5" t="inlineStr">
        <is>
          <t>Agregado ensacado para obra menor y reparaciones · granulometría 3/4" · funda de 50 libras</t>
        </is>
      </c>
      <c r="F312" s="5" t="inlineStr">
        <is>
          <t>Material retirado en almacén</t>
        </is>
      </c>
      <c r="G312" s="5" t="inlineStr">
        <is>
          <t>funda de arena, funda de grava, agregado ensacado</t>
        </is>
      </c>
      <c r="H312" s="7" t="inlineStr">
        <is>
          <t>funda</t>
        </is>
      </c>
      <c r="I312" s="7" t="inlineStr">
        <is>
          <t>Estructura</t>
        </is>
      </c>
      <c r="J312" s="7" t="inlineStr">
        <is>
          <t>estandar</t>
        </is>
      </c>
      <c r="K312" s="7" t="inlineStr">
        <is>
          <t>nacional</t>
        </is>
      </c>
      <c r="L312" s="7" t="inlineStr">
        <is>
          <t>Verificado</t>
        </is>
      </c>
      <c r="M312" s="8" t="n">
        <v>1</v>
      </c>
      <c r="N312" s="9" t="n">
        <v>151.87</v>
      </c>
      <c r="O312" s="9" t="n">
        <v>151.87</v>
      </c>
      <c r="P312" s="9" t="n">
        <v>151.87</v>
      </c>
      <c r="Q312" s="7" t="inlineStr">
        <is>
          <t>Sí</t>
        </is>
      </c>
      <c r="R312" s="9">
        <f>IF(N312="","",IF(Q312="Sí",ROUND(N312/1.18,2),N312))</f>
        <v/>
      </c>
      <c r="S312" s="7" t="inlineStr">
        <is>
          <t>2026-09-09</t>
        </is>
      </c>
      <c r="T312" s="5" t="inlineStr">
        <is>
          <t>1 cotización de proveedores</t>
        </is>
      </c>
    </row>
    <row r="313">
      <c r="A313" s="7" t="inlineStr">
        <is>
          <t>MAT-01-021</t>
        </is>
      </c>
      <c r="B313" s="7" t="inlineStr">
        <is>
          <t>Materiales</t>
        </is>
      </c>
      <c r="C313" s="7" t="inlineStr">
        <is>
          <t>Agregados y áridos</t>
        </is>
      </c>
      <c r="D313" s="5" t="inlineStr">
        <is>
          <t>Grava blanca en funda de 50 libras</t>
        </is>
      </c>
      <c r="E313" s="5" t="inlineStr">
        <is>
          <t>Agregado ensacado para obra menor y reparaciones · funda de 50 libras</t>
        </is>
      </c>
      <c r="F313" s="5" t="inlineStr">
        <is>
          <t>Material retirado en almacén</t>
        </is>
      </c>
      <c r="G313" s="5" t="inlineStr">
        <is>
          <t>funda de arena, funda de grava, agregado ensacado</t>
        </is>
      </c>
      <c r="H313" s="7" t="inlineStr">
        <is>
          <t>funda</t>
        </is>
      </c>
      <c r="I313" s="7" t="inlineStr">
        <is>
          <t>Estructura</t>
        </is>
      </c>
      <c r="J313" s="7" t="inlineStr">
        <is>
          <t>estandar</t>
        </is>
      </c>
      <c r="K313" s="7" t="inlineStr">
        <is>
          <t>nacional</t>
        </is>
      </c>
      <c r="L313" s="7" t="inlineStr">
        <is>
          <t>Verificado</t>
        </is>
      </c>
      <c r="M313" s="8" t="n">
        <v>1</v>
      </c>
      <c r="N313" s="9" t="n">
        <v>448.34</v>
      </c>
      <c r="O313" s="9" t="n">
        <v>448.34</v>
      </c>
      <c r="P313" s="9" t="n">
        <v>448.34</v>
      </c>
      <c r="Q313" s="7" t="inlineStr">
        <is>
          <t>Sí</t>
        </is>
      </c>
      <c r="R313" s="9">
        <f>IF(N313="","",IF(Q313="Sí",ROUND(N313/1.18,2),N313))</f>
        <v/>
      </c>
      <c r="S313" s="7" t="inlineStr">
        <is>
          <t>2026-09-09</t>
        </is>
      </c>
      <c r="T313" s="5" t="inlineStr">
        <is>
          <t>1 cotización de proveedores</t>
        </is>
      </c>
    </row>
    <row r="314">
      <c r="A314" s="7" t="inlineStr">
        <is>
          <t>MAT-01-022</t>
        </is>
      </c>
      <c r="B314" s="7" t="inlineStr">
        <is>
          <t>Materiales</t>
        </is>
      </c>
      <c r="C314" s="7" t="inlineStr">
        <is>
          <t>Agregados y áridos</t>
        </is>
      </c>
      <c r="D314" s="5" t="inlineStr">
        <is>
          <t>Arena 3/16" en funda de 55 libras</t>
        </is>
      </c>
      <c r="E314" s="5" t="inlineStr">
        <is>
          <t>Agregado ensacado para obra menor y reparaciones · granulometría 3/16" · funda de 55 libras</t>
        </is>
      </c>
      <c r="F314" s="5" t="inlineStr">
        <is>
          <t>Material retirado en almacén</t>
        </is>
      </c>
      <c r="G314" s="5" t="inlineStr">
        <is>
          <t>funda de arena, funda de grava, agregado ensacado</t>
        </is>
      </c>
      <c r="H314" s="7" t="inlineStr">
        <is>
          <t>funda</t>
        </is>
      </c>
      <c r="I314" s="7" t="inlineStr">
        <is>
          <t>Estructura</t>
        </is>
      </c>
      <c r="J314" s="7" t="inlineStr">
        <is>
          <t>estandar</t>
        </is>
      </c>
      <c r="K314" s="7" t="inlineStr">
        <is>
          <t>nacional</t>
        </is>
      </c>
      <c r="L314" s="7" t="inlineStr">
        <is>
          <t>Verificado</t>
        </is>
      </c>
      <c r="M314" s="8" t="n">
        <v>1</v>
      </c>
      <c r="N314" s="9" t="n">
        <v>151.87</v>
      </c>
      <c r="O314" s="9" t="n">
        <v>151.87</v>
      </c>
      <c r="P314" s="9" t="n">
        <v>151.87</v>
      </c>
      <c r="Q314" s="7" t="inlineStr">
        <is>
          <t>Sí</t>
        </is>
      </c>
      <c r="R314" s="9">
        <f>IF(N314="","",IF(Q314="Sí",ROUND(N314/1.18,2),N314))</f>
        <v/>
      </c>
      <c r="S314" s="7" t="inlineStr">
        <is>
          <t>2026-09-09</t>
        </is>
      </c>
      <c r="T314" s="5" t="inlineStr">
        <is>
          <t>1 cotización de proveedores</t>
        </is>
      </c>
    </row>
    <row r="315">
      <c r="A315" s="7" t="inlineStr">
        <is>
          <t>MAT-02-017</t>
        </is>
      </c>
      <c r="B315" s="7" t="inlineStr">
        <is>
          <t>Materiales</t>
        </is>
      </c>
      <c r="C315" s="7" t="inlineStr">
        <is>
          <t>Cemento, morteros y aditivos</t>
        </is>
      </c>
      <c r="D315" s="5" t="inlineStr">
        <is>
          <t>Aditivo Concreto Cano Silbond Rosado 1 galón</t>
        </is>
      </c>
      <c r="E315" s="5" t="inlineStr">
        <is>
          <t>marca CANO · liquido · 1Gl</t>
        </is>
      </c>
      <c r="F315" s="5" t="inlineStr">
        <is>
          <t>Material retirado en almacén</t>
        </is>
      </c>
      <c r="G315" s="5" t="inlineStr">
        <is>
          <t>aditivo para hormigón</t>
        </is>
      </c>
      <c r="H315" s="7" t="inlineStr">
        <is>
          <t>unidad</t>
        </is>
      </c>
      <c r="I315" s="7" t="inlineStr">
        <is>
          <t>Estructura</t>
        </is>
      </c>
      <c r="J315" s="7" t="inlineStr">
        <is>
          <t>estandar</t>
        </is>
      </c>
      <c r="K315" s="7" t="inlineStr">
        <is>
          <t>importado</t>
        </is>
      </c>
      <c r="L315" s="7" t="inlineStr">
        <is>
          <t>Verificado</t>
        </is>
      </c>
      <c r="M315" s="8" t="n">
        <v>1</v>
      </c>
      <c r="N315" s="9" t="n">
        <v>959</v>
      </c>
      <c r="O315" s="9" t="n">
        <v>959</v>
      </c>
      <c r="P315" s="9" t="n">
        <v>959</v>
      </c>
      <c r="Q315" s="7" t="inlineStr">
        <is>
          <t>Sí</t>
        </is>
      </c>
      <c r="R315" s="9">
        <f>IF(N315="","",IF(Q315="Sí",ROUND(N315/1.18,2),N315))</f>
        <v/>
      </c>
      <c r="S315" s="7" t="inlineStr">
        <is>
          <t>2026-09-09</t>
        </is>
      </c>
      <c r="T315" s="5" t="inlineStr">
        <is>
          <t>1 cotización de proveedores</t>
        </is>
      </c>
    </row>
    <row r="316">
      <c r="A316" s="7" t="inlineStr">
        <is>
          <t>MAT-02-018</t>
        </is>
      </c>
      <c r="B316" s="7" t="inlineStr">
        <is>
          <t>Materiales</t>
        </is>
      </c>
      <c r="C316" s="7" t="inlineStr">
        <is>
          <t>Cemento, morteros y aditivos</t>
        </is>
      </c>
      <c r="D316" s="5" t="inlineStr">
        <is>
          <t>Aditivo Concreto Cano Silbond Rosado 1 / 2 galón</t>
        </is>
      </c>
      <c r="E316" s="5" t="inlineStr">
        <is>
          <t>marca CANO · liquido · 1/2Gl</t>
        </is>
      </c>
      <c r="F316" s="5" t="inlineStr">
        <is>
          <t>Material retirado en almacén</t>
        </is>
      </c>
      <c r="G316" s="5" t="inlineStr">
        <is>
          <t>aditivo para hormigón</t>
        </is>
      </c>
      <c r="H316" s="7" t="inlineStr">
        <is>
          <t>unidad</t>
        </is>
      </c>
      <c r="I316" s="7" t="inlineStr">
        <is>
          <t>Estructura</t>
        </is>
      </c>
      <c r="J316" s="7" t="inlineStr">
        <is>
          <t>estandar</t>
        </is>
      </c>
      <c r="K316" s="7" t="inlineStr">
        <is>
          <t>importado</t>
        </is>
      </c>
      <c r="L316" s="7" t="inlineStr">
        <is>
          <t>Verificado</t>
        </is>
      </c>
      <c r="M316" s="8" t="n">
        <v>1</v>
      </c>
      <c r="N316" s="9" t="n">
        <v>465</v>
      </c>
      <c r="O316" s="9" t="n">
        <v>465</v>
      </c>
      <c r="P316" s="9" t="n">
        <v>465</v>
      </c>
      <c r="Q316" s="7" t="inlineStr">
        <is>
          <t>Sí</t>
        </is>
      </c>
      <c r="R316" s="9">
        <f>IF(N316="","",IF(Q316="Sí",ROUND(N316/1.18,2),N316))</f>
        <v/>
      </c>
      <c r="S316" s="7" t="inlineStr">
        <is>
          <t>2026-09-09</t>
        </is>
      </c>
      <c r="T316" s="5" t="inlineStr">
        <is>
          <t>1 cotización de proveedores</t>
        </is>
      </c>
    </row>
    <row r="317">
      <c r="A317" s="7" t="inlineStr">
        <is>
          <t>MAT-02-019</t>
        </is>
      </c>
      <c r="B317" s="7" t="inlineStr">
        <is>
          <t>Materiales</t>
        </is>
      </c>
      <c r="C317" s="7" t="inlineStr">
        <is>
          <t>Cemento, morteros y aditivos</t>
        </is>
      </c>
      <c r="D317" s="5" t="inlineStr">
        <is>
          <t>Aditivo Concreto Cano Silbond Rosado 32 oz</t>
        </is>
      </c>
      <c r="E317" s="5" t="inlineStr">
        <is>
          <t>marca CANO · liquido · 32Oz</t>
        </is>
      </c>
      <c r="F317" s="5" t="inlineStr">
        <is>
          <t>Material retirado en almacén</t>
        </is>
      </c>
      <c r="G317" s="5" t="inlineStr">
        <is>
          <t>aditivo para hormigón</t>
        </is>
      </c>
      <c r="H317" s="7" t="inlineStr">
        <is>
          <t>unidad</t>
        </is>
      </c>
      <c r="I317" s="7" t="inlineStr">
        <is>
          <t>Estructura</t>
        </is>
      </c>
      <c r="J317" s="7" t="inlineStr">
        <is>
          <t>estandar</t>
        </is>
      </c>
      <c r="K317" s="7" t="inlineStr">
        <is>
          <t>importado</t>
        </is>
      </c>
      <c r="L317" s="7" t="inlineStr">
        <is>
          <t>Verificado</t>
        </is>
      </c>
      <c r="M317" s="8" t="n">
        <v>1</v>
      </c>
      <c r="N317" s="9" t="n">
        <v>265</v>
      </c>
      <c r="O317" s="9" t="n">
        <v>265</v>
      </c>
      <c r="P317" s="9" t="n">
        <v>265</v>
      </c>
      <c r="Q317" s="7" t="inlineStr">
        <is>
          <t>Sí</t>
        </is>
      </c>
      <c r="R317" s="9">
        <f>IF(N317="","",IF(Q317="Sí",ROUND(N317/1.18,2),N317))</f>
        <v/>
      </c>
      <c r="S317" s="7" t="inlineStr">
        <is>
          <t>2026-09-09</t>
        </is>
      </c>
      <c r="T317" s="5" t="inlineStr">
        <is>
          <t>1 cotización de proveedores</t>
        </is>
      </c>
    </row>
    <row r="318">
      <c r="A318" s="7" t="inlineStr">
        <is>
          <t>MAT-02-020</t>
        </is>
      </c>
      <c r="B318" s="7" t="inlineStr">
        <is>
          <t>Materiales</t>
        </is>
      </c>
      <c r="C318" s="7" t="inlineStr">
        <is>
          <t>Cemento, morteros y aditivos</t>
        </is>
      </c>
      <c r="D318" s="5" t="inlineStr">
        <is>
          <t>Aditivo Concreto Cano Silbond Ultra Azul 1 galón</t>
        </is>
      </c>
      <c r="E318" s="5" t="inlineStr">
        <is>
          <t>marca CANO · liquido · 1Gl</t>
        </is>
      </c>
      <c r="F318" s="5" t="inlineStr">
        <is>
          <t>Material retirado en almacén</t>
        </is>
      </c>
      <c r="G318" s="5" t="inlineStr">
        <is>
          <t>aditivo para hormigón</t>
        </is>
      </c>
      <c r="H318" s="7" t="inlineStr">
        <is>
          <t>unidad</t>
        </is>
      </c>
      <c r="I318" s="7" t="inlineStr">
        <is>
          <t>Estructura</t>
        </is>
      </c>
      <c r="J318" s="7" t="inlineStr">
        <is>
          <t>estandar</t>
        </is>
      </c>
      <c r="K318" s="7" t="inlineStr">
        <is>
          <t>importado</t>
        </is>
      </c>
      <c r="L318" s="7" t="inlineStr">
        <is>
          <t>Verificado</t>
        </is>
      </c>
      <c r="M318" s="8" t="n">
        <v>1</v>
      </c>
      <c r="N318" s="9" t="n">
        <v>1020</v>
      </c>
      <c r="O318" s="9" t="n">
        <v>1020</v>
      </c>
      <c r="P318" s="9" t="n">
        <v>1020</v>
      </c>
      <c r="Q318" s="7" t="inlineStr">
        <is>
          <t>Sí</t>
        </is>
      </c>
      <c r="R318" s="9">
        <f>IF(N318="","",IF(Q318="Sí",ROUND(N318/1.18,2),N318))</f>
        <v/>
      </c>
      <c r="S318" s="7" t="inlineStr">
        <is>
          <t>2026-09-09</t>
        </is>
      </c>
      <c r="T318" s="5" t="inlineStr">
        <is>
          <t>1 cotización de proveedores</t>
        </is>
      </c>
    </row>
    <row r="319">
      <c r="A319" s="7" t="inlineStr">
        <is>
          <t>MAT-02-021</t>
        </is>
      </c>
      <c r="B319" s="7" t="inlineStr">
        <is>
          <t>Materiales</t>
        </is>
      </c>
      <c r="C319" s="7" t="inlineStr">
        <is>
          <t>Cemento, morteros y aditivos</t>
        </is>
      </c>
      <c r="D319" s="5" t="inlineStr">
        <is>
          <t>Aditivo Concreto Cano Silbond Ultra Azul 1 / 2 galón</t>
        </is>
      </c>
      <c r="E319" s="5" t="inlineStr">
        <is>
          <t>marca CANO · liquido · 1/2Gl</t>
        </is>
      </c>
      <c r="F319" s="5" t="inlineStr">
        <is>
          <t>Material retirado en almacén</t>
        </is>
      </c>
      <c r="G319" s="5" t="inlineStr">
        <is>
          <t>aditivo para hormigón</t>
        </is>
      </c>
      <c r="H319" s="7" t="inlineStr">
        <is>
          <t>unidad</t>
        </is>
      </c>
      <c r="I319" s="7" t="inlineStr">
        <is>
          <t>Estructura</t>
        </is>
      </c>
      <c r="J319" s="7" t="inlineStr">
        <is>
          <t>estandar</t>
        </is>
      </c>
      <c r="K319" s="7" t="inlineStr">
        <is>
          <t>importado</t>
        </is>
      </c>
      <c r="L319" s="7" t="inlineStr">
        <is>
          <t>Verificado</t>
        </is>
      </c>
      <c r="M319" s="8" t="n">
        <v>1</v>
      </c>
      <c r="N319" s="9" t="n">
        <v>535</v>
      </c>
      <c r="O319" s="9" t="n">
        <v>535</v>
      </c>
      <c r="P319" s="9" t="n">
        <v>535</v>
      </c>
      <c r="Q319" s="7" t="inlineStr">
        <is>
          <t>Sí</t>
        </is>
      </c>
      <c r="R319" s="9">
        <f>IF(N319="","",IF(Q319="Sí",ROUND(N319/1.18,2),N319))</f>
        <v/>
      </c>
      <c r="S319" s="7" t="inlineStr">
        <is>
          <t>2026-09-09</t>
        </is>
      </c>
      <c r="T319" s="5" t="inlineStr">
        <is>
          <t>1 cotización de proveedores</t>
        </is>
      </c>
    </row>
    <row r="320">
      <c r="A320" s="7" t="inlineStr">
        <is>
          <t>MAT-02-022</t>
        </is>
      </c>
      <c r="B320" s="7" t="inlineStr">
        <is>
          <t>Materiales</t>
        </is>
      </c>
      <c r="C320" s="7" t="inlineStr">
        <is>
          <t>Cemento, morteros y aditivos</t>
        </is>
      </c>
      <c r="D320" s="5" t="inlineStr">
        <is>
          <t>Aditivo Concreto Cano Silbond Ultra Azul 32 oz</t>
        </is>
      </c>
      <c r="E320" s="5" t="inlineStr">
        <is>
          <t>marca CANO · liquido · 32Oz</t>
        </is>
      </c>
      <c r="F320" s="5" t="inlineStr">
        <is>
          <t>Material retirado en almacén</t>
        </is>
      </c>
      <c r="G320" s="5" t="inlineStr">
        <is>
          <t>aditivo para hormigón</t>
        </is>
      </c>
      <c r="H320" s="7" t="inlineStr">
        <is>
          <t>unidad</t>
        </is>
      </c>
      <c r="I320" s="7" t="inlineStr">
        <is>
          <t>Estructura</t>
        </is>
      </c>
      <c r="J320" s="7" t="inlineStr">
        <is>
          <t>estandar</t>
        </is>
      </c>
      <c r="K320" s="7" t="inlineStr">
        <is>
          <t>importado</t>
        </is>
      </c>
      <c r="L320" s="7" t="inlineStr">
        <is>
          <t>Verificado</t>
        </is>
      </c>
      <c r="M320" s="8" t="n">
        <v>1</v>
      </c>
      <c r="N320" s="9" t="n">
        <v>305</v>
      </c>
      <c r="O320" s="9" t="n">
        <v>305</v>
      </c>
      <c r="P320" s="9" t="n">
        <v>305</v>
      </c>
      <c r="Q320" s="7" t="inlineStr">
        <is>
          <t>Sí</t>
        </is>
      </c>
      <c r="R320" s="9">
        <f>IF(N320="","",IF(Q320="Sí",ROUND(N320/1.18,2),N320))</f>
        <v/>
      </c>
      <c r="S320" s="7" t="inlineStr">
        <is>
          <t>2026-09-09</t>
        </is>
      </c>
      <c r="T320" s="5" t="inlineStr">
        <is>
          <t>1 cotización de proveedores</t>
        </is>
      </c>
    </row>
    <row r="321">
      <c r="A321" s="7" t="inlineStr">
        <is>
          <t>MAT-02-023</t>
        </is>
      </c>
      <c r="B321" s="7" t="inlineStr">
        <is>
          <t>Materiales</t>
        </is>
      </c>
      <c r="C321" s="7" t="inlineStr">
        <is>
          <t>Cemento, morteros y aditivos</t>
        </is>
      </c>
      <c r="D321" s="5" t="inlineStr">
        <is>
          <t>Aditivo Concreto Lanco CB-1052-2 5 galón</t>
        </is>
      </c>
      <c r="E321" s="5" t="inlineStr">
        <is>
          <t>marca LANCO · liquido · 5Gl</t>
        </is>
      </c>
      <c r="F321" s="5" t="inlineStr">
        <is>
          <t>Material retirado en almacén</t>
        </is>
      </c>
      <c r="G321" s="5" t="inlineStr">
        <is>
          <t>aditivo para hormigón</t>
        </is>
      </c>
      <c r="H321" s="7" t="inlineStr">
        <is>
          <t>unidad</t>
        </is>
      </c>
      <c r="I321" s="7" t="inlineStr">
        <is>
          <t>Estructura</t>
        </is>
      </c>
      <c r="J321" s="7" t="inlineStr">
        <is>
          <t>estandar</t>
        </is>
      </c>
      <c r="K321" s="7" t="inlineStr">
        <is>
          <t>importado</t>
        </is>
      </c>
      <c r="L321" s="7" t="inlineStr">
        <is>
          <t>Verificado</t>
        </is>
      </c>
      <c r="M321" s="8" t="n">
        <v>1</v>
      </c>
      <c r="N321" s="9" t="n">
        <v>10935</v>
      </c>
      <c r="O321" s="9" t="n">
        <v>10935</v>
      </c>
      <c r="P321" s="9" t="n">
        <v>10935</v>
      </c>
      <c r="Q321" s="7" t="inlineStr">
        <is>
          <t>Sí</t>
        </is>
      </c>
      <c r="R321" s="9">
        <f>IF(N321="","",IF(Q321="Sí",ROUND(N321/1.18,2),N321))</f>
        <v/>
      </c>
      <c r="S321" s="7" t="inlineStr">
        <is>
          <t>2026-09-09</t>
        </is>
      </c>
      <c r="T321" s="5" t="inlineStr">
        <is>
          <t>1 cotización de proveedores</t>
        </is>
      </c>
    </row>
    <row r="322">
      <c r="A322" s="7" t="inlineStr">
        <is>
          <t>MAT-02-024</t>
        </is>
      </c>
      <c r="B322" s="7" t="inlineStr">
        <is>
          <t>Materiales</t>
        </is>
      </c>
      <c r="C322" s="7" t="inlineStr">
        <is>
          <t>Cemento, morteros y aditivos</t>
        </is>
      </c>
      <c r="D322" s="5" t="inlineStr">
        <is>
          <t>Aditivo Concreto Lanco CB-606-4 1 galón Rosado</t>
        </is>
      </c>
      <c r="E322" s="5" t="inlineStr">
        <is>
          <t>marca LANCO · liquido · 1Gl</t>
        </is>
      </c>
      <c r="F322" s="5" t="inlineStr">
        <is>
          <t>Material retirado en almacén</t>
        </is>
      </c>
      <c r="G322" s="5" t="inlineStr">
        <is>
          <t>aditivo para hormigón</t>
        </is>
      </c>
      <c r="H322" s="7" t="inlineStr">
        <is>
          <t>unidad</t>
        </is>
      </c>
      <c r="I322" s="7" t="inlineStr">
        <is>
          <t>Estructura</t>
        </is>
      </c>
      <c r="J322" s="7" t="inlineStr">
        <is>
          <t>estandar</t>
        </is>
      </c>
      <c r="K322" s="7" t="inlineStr">
        <is>
          <t>importado</t>
        </is>
      </c>
      <c r="L322" s="7" t="inlineStr">
        <is>
          <t>Verificado</t>
        </is>
      </c>
      <c r="M322" s="8" t="n">
        <v>1</v>
      </c>
      <c r="N322" s="9" t="n">
        <v>1125</v>
      </c>
      <c r="O322" s="9" t="n">
        <v>1125</v>
      </c>
      <c r="P322" s="9" t="n">
        <v>1125</v>
      </c>
      <c r="Q322" s="7" t="inlineStr">
        <is>
          <t>Sí</t>
        </is>
      </c>
      <c r="R322" s="9">
        <f>IF(N322="","",IF(Q322="Sí",ROUND(N322/1.18,2),N322))</f>
        <v/>
      </c>
      <c r="S322" s="7" t="inlineStr">
        <is>
          <t>2026-09-09</t>
        </is>
      </c>
      <c r="T322" s="5" t="inlineStr">
        <is>
          <t>1 cotización de proveedores</t>
        </is>
      </c>
    </row>
    <row r="323">
      <c r="A323" s="7" t="inlineStr">
        <is>
          <t>MAT-02-025</t>
        </is>
      </c>
      <c r="B323" s="7" t="inlineStr">
        <is>
          <t>Materiales</t>
        </is>
      </c>
      <c r="C323" s="7" t="inlineStr">
        <is>
          <t>Cemento, morteros y aditivos</t>
        </is>
      </c>
      <c r="D323" s="5" t="inlineStr">
        <is>
          <t>Aditivo Concreto Lanco CB-606-9 1 / 2 galón Rosado</t>
        </is>
      </c>
      <c r="E323" s="5" t="inlineStr">
        <is>
          <t>marca LANCO · liquido · 1/2Gl</t>
        </is>
      </c>
      <c r="F323" s="5" t="inlineStr">
        <is>
          <t>Material retirado en almacén</t>
        </is>
      </c>
      <c r="G323" s="5" t="inlineStr">
        <is>
          <t>aditivo para hormigón</t>
        </is>
      </c>
      <c r="H323" s="7" t="inlineStr">
        <is>
          <t>unidad</t>
        </is>
      </c>
      <c r="I323" s="7" t="inlineStr">
        <is>
          <t>Estructura</t>
        </is>
      </c>
      <c r="J323" s="7" t="inlineStr">
        <is>
          <t>estandar</t>
        </is>
      </c>
      <c r="K323" s="7" t="inlineStr">
        <is>
          <t>importado</t>
        </is>
      </c>
      <c r="L323" s="7" t="inlineStr">
        <is>
          <t>Verificado</t>
        </is>
      </c>
      <c r="M323" s="8" t="n">
        <v>1</v>
      </c>
      <c r="N323" s="9" t="n">
        <v>570</v>
      </c>
      <c r="O323" s="9" t="n">
        <v>570</v>
      </c>
      <c r="P323" s="9" t="n">
        <v>570</v>
      </c>
      <c r="Q323" s="7" t="inlineStr">
        <is>
          <t>Sí</t>
        </is>
      </c>
      <c r="R323" s="9">
        <f>IF(N323="","",IF(Q323="Sí",ROUND(N323/1.18,2),N323))</f>
        <v/>
      </c>
      <c r="S323" s="7" t="inlineStr">
        <is>
          <t>2026-09-09</t>
        </is>
      </c>
      <c r="T323" s="5" t="inlineStr">
        <is>
          <t>1 cotización de proveedores</t>
        </is>
      </c>
    </row>
    <row r="324">
      <c r="A324" s="7" t="inlineStr">
        <is>
          <t>MAT-02-026</t>
        </is>
      </c>
      <c r="B324" s="7" t="inlineStr">
        <is>
          <t>Materiales</t>
        </is>
      </c>
      <c r="C324" s="7" t="inlineStr">
        <is>
          <t>Cemento, morteros y aditivos</t>
        </is>
      </c>
      <c r="D324" s="5" t="inlineStr">
        <is>
          <t>Aditivo Concreto Lanco CB-610-2 5 galón Azul Extra Pro</t>
        </is>
      </c>
      <c r="E324" s="5" t="inlineStr">
        <is>
          <t>marca LANCO · liquido · 5Gl</t>
        </is>
      </c>
      <c r="F324" s="5" t="inlineStr">
        <is>
          <t>Material retirado en almacén</t>
        </is>
      </c>
      <c r="G324" s="5" t="inlineStr">
        <is>
          <t>aditivo para hormigón</t>
        </is>
      </c>
      <c r="H324" s="7" t="inlineStr">
        <is>
          <t>unidad</t>
        </is>
      </c>
      <c r="I324" s="7" t="inlineStr">
        <is>
          <t>Estructura</t>
        </is>
      </c>
      <c r="J324" s="7" t="inlineStr">
        <is>
          <t>estandar</t>
        </is>
      </c>
      <c r="K324" s="7" t="inlineStr">
        <is>
          <t>importado</t>
        </is>
      </c>
      <c r="L324" s="7" t="inlineStr">
        <is>
          <t>Verificado</t>
        </is>
      </c>
      <c r="M324" s="8" t="n">
        <v>1</v>
      </c>
      <c r="N324" s="9" t="n">
        <v>6300</v>
      </c>
      <c r="O324" s="9" t="n">
        <v>6300</v>
      </c>
      <c r="P324" s="9" t="n">
        <v>6300</v>
      </c>
      <c r="Q324" s="7" t="inlineStr">
        <is>
          <t>Sí</t>
        </is>
      </c>
      <c r="R324" s="9">
        <f>IF(N324="","",IF(Q324="Sí",ROUND(N324/1.18,2),N324))</f>
        <v/>
      </c>
      <c r="S324" s="7" t="inlineStr">
        <is>
          <t>2026-09-09</t>
        </is>
      </c>
      <c r="T324" s="5" t="inlineStr">
        <is>
          <t>1 cotización de proveedores</t>
        </is>
      </c>
    </row>
    <row r="325">
      <c r="A325" s="7" t="inlineStr">
        <is>
          <t>MAT-02-027</t>
        </is>
      </c>
      <c r="B325" s="7" t="inlineStr">
        <is>
          <t>Materiales</t>
        </is>
      </c>
      <c r="C325" s="7" t="inlineStr">
        <is>
          <t>Cemento, morteros y aditivos</t>
        </is>
      </c>
      <c r="D325" s="5" t="inlineStr">
        <is>
          <t>Aditivo Concreto Lanco CB-610-4 1 galón Azul Extra Pro</t>
        </is>
      </c>
      <c r="E325" s="5" t="inlineStr">
        <is>
          <t>marca LANCO · liquido · 1Gl</t>
        </is>
      </c>
      <c r="F325" s="5" t="inlineStr">
        <is>
          <t>Material retirado en almacén</t>
        </is>
      </c>
      <c r="G325" s="5" t="inlineStr">
        <is>
          <t>aditivo para hormigón</t>
        </is>
      </c>
      <c r="H325" s="7" t="inlineStr">
        <is>
          <t>unidad</t>
        </is>
      </c>
      <c r="I325" s="7" t="inlineStr">
        <is>
          <t>Estructura</t>
        </is>
      </c>
      <c r="J325" s="7" t="inlineStr">
        <is>
          <t>estandar</t>
        </is>
      </c>
      <c r="K325" s="7" t="inlineStr">
        <is>
          <t>importado</t>
        </is>
      </c>
      <c r="L325" s="7" t="inlineStr">
        <is>
          <t>Verificado</t>
        </is>
      </c>
      <c r="M325" s="8" t="n">
        <v>1</v>
      </c>
      <c r="N325" s="9" t="n">
        <v>1185</v>
      </c>
      <c r="O325" s="9" t="n">
        <v>1185</v>
      </c>
      <c r="P325" s="9" t="n">
        <v>1185</v>
      </c>
      <c r="Q325" s="7" t="inlineStr">
        <is>
          <t>Sí</t>
        </is>
      </c>
      <c r="R325" s="9">
        <f>IF(N325="","",IF(Q325="Sí",ROUND(N325/1.18,2),N325))</f>
        <v/>
      </c>
      <c r="S325" s="7" t="inlineStr">
        <is>
          <t>2026-09-09</t>
        </is>
      </c>
      <c r="T325" s="5" t="inlineStr">
        <is>
          <t>1 cotización de proveedores</t>
        </is>
      </c>
    </row>
    <row r="326">
      <c r="A326" s="7" t="inlineStr">
        <is>
          <t>MAT-02-028</t>
        </is>
      </c>
      <c r="B326" s="7" t="inlineStr">
        <is>
          <t>Materiales</t>
        </is>
      </c>
      <c r="C326" s="7" t="inlineStr">
        <is>
          <t>Cemento, morteros y aditivos</t>
        </is>
      </c>
      <c r="D326" s="5" t="inlineStr">
        <is>
          <t>Aditivo Concreto Lanco CB-610-5 1 / 4 galón</t>
        </is>
      </c>
      <c r="E326" s="5" t="inlineStr">
        <is>
          <t>marca LANCO · liquido · 1/4Gl</t>
        </is>
      </c>
      <c r="F326" s="5" t="inlineStr">
        <is>
          <t>Material retirado en almacén</t>
        </is>
      </c>
      <c r="G326" s="5" t="inlineStr">
        <is>
          <t>aditivo para hormigón</t>
        </is>
      </c>
      <c r="H326" s="7" t="inlineStr">
        <is>
          <t>unidad</t>
        </is>
      </c>
      <c r="I326" s="7" t="inlineStr">
        <is>
          <t>Estructura</t>
        </is>
      </c>
      <c r="J326" s="7" t="inlineStr">
        <is>
          <t>estandar</t>
        </is>
      </c>
      <c r="K326" s="7" t="inlineStr">
        <is>
          <t>importado</t>
        </is>
      </c>
      <c r="L326" s="7" t="inlineStr">
        <is>
          <t>Verificado</t>
        </is>
      </c>
      <c r="M326" s="8" t="n">
        <v>1</v>
      </c>
      <c r="N326" s="9" t="n">
        <v>395</v>
      </c>
      <c r="O326" s="9" t="n">
        <v>395</v>
      </c>
      <c r="P326" s="9" t="n">
        <v>395</v>
      </c>
      <c r="Q326" s="7" t="inlineStr">
        <is>
          <t>Sí</t>
        </is>
      </c>
      <c r="R326" s="9">
        <f>IF(N326="","",IF(Q326="Sí",ROUND(N326/1.18,2),N326))</f>
        <v/>
      </c>
      <c r="S326" s="7" t="inlineStr">
        <is>
          <t>2026-09-09</t>
        </is>
      </c>
      <c r="T326" s="5" t="inlineStr">
        <is>
          <t>1 cotización de proveedores</t>
        </is>
      </c>
    </row>
    <row r="327">
      <c r="A327" s="7" t="inlineStr">
        <is>
          <t>MAT-02-029</t>
        </is>
      </c>
      <c r="B327" s="7" t="inlineStr">
        <is>
          <t>Materiales</t>
        </is>
      </c>
      <c r="C327" s="7" t="inlineStr">
        <is>
          <t>Cemento, morteros y aditivos</t>
        </is>
      </c>
      <c r="D327" s="5" t="inlineStr">
        <is>
          <t>Aditivo Concreto Lanco CB-8000-4 Texturizado 1 galón</t>
        </is>
      </c>
      <c r="E327" s="5" t="inlineStr">
        <is>
          <t>marca LANCO · liquido · 1Gl</t>
        </is>
      </c>
      <c r="F327" s="5" t="inlineStr">
        <is>
          <t>Material retirado en almacén</t>
        </is>
      </c>
      <c r="G327" s="5" t="inlineStr">
        <is>
          <t>aditivo para hormigón</t>
        </is>
      </c>
      <c r="H327" s="7" t="inlineStr">
        <is>
          <t>unidad</t>
        </is>
      </c>
      <c r="I327" s="7" t="inlineStr">
        <is>
          <t>Estructura</t>
        </is>
      </c>
      <c r="J327" s="7" t="inlineStr">
        <is>
          <t>estandar</t>
        </is>
      </c>
      <c r="K327" s="7" t="inlineStr">
        <is>
          <t>importado</t>
        </is>
      </c>
      <c r="L327" s="7" t="inlineStr">
        <is>
          <t>Verificado</t>
        </is>
      </c>
      <c r="M327" s="8" t="n">
        <v>1</v>
      </c>
      <c r="N327" s="9" t="n">
        <v>2005</v>
      </c>
      <c r="O327" s="9" t="n">
        <v>2005</v>
      </c>
      <c r="P327" s="9" t="n">
        <v>2005</v>
      </c>
      <c r="Q327" s="7" t="inlineStr">
        <is>
          <t>Sí</t>
        </is>
      </c>
      <c r="R327" s="9">
        <f>IF(N327="","",IF(Q327="Sí",ROUND(N327/1.18,2),N327))</f>
        <v/>
      </c>
      <c r="S327" s="7" t="inlineStr">
        <is>
          <t>2026-09-09</t>
        </is>
      </c>
      <c r="T327" s="5" t="inlineStr">
        <is>
          <t>1 cotización de proveedores</t>
        </is>
      </c>
    </row>
    <row r="328">
      <c r="A328" s="7" t="inlineStr">
        <is>
          <t>MAT-02-030</t>
        </is>
      </c>
      <c r="B328" s="7" t="inlineStr">
        <is>
          <t>Materiales</t>
        </is>
      </c>
      <c r="C328" s="7" t="inlineStr">
        <is>
          <t>Cemento, morteros y aditivos</t>
        </is>
      </c>
      <c r="D328" s="5" t="inlineStr">
        <is>
          <t>Aditivo Concreto Lanco CB-902 1 galón</t>
        </is>
      </c>
      <c r="E328" s="5" t="inlineStr">
        <is>
          <t>marca LANCO · liquido · 1Gl</t>
        </is>
      </c>
      <c r="F328" s="5" t="inlineStr">
        <is>
          <t>Material retirado en almacén</t>
        </is>
      </c>
      <c r="G328" s="5" t="inlineStr">
        <is>
          <t>aditivo para hormigón</t>
        </is>
      </c>
      <c r="H328" s="7" t="inlineStr">
        <is>
          <t>unidad</t>
        </is>
      </c>
      <c r="I328" s="7" t="inlineStr">
        <is>
          <t>Estructura</t>
        </is>
      </c>
      <c r="J328" s="7" t="inlineStr">
        <is>
          <t>estandar</t>
        </is>
      </c>
      <c r="K328" s="7" t="inlineStr">
        <is>
          <t>importado</t>
        </is>
      </c>
      <c r="L328" s="7" t="inlineStr">
        <is>
          <t>Verificado</t>
        </is>
      </c>
      <c r="M328" s="8" t="n">
        <v>1</v>
      </c>
      <c r="N328" s="9" t="n">
        <v>1460</v>
      </c>
      <c r="O328" s="9" t="n">
        <v>1460</v>
      </c>
      <c r="P328" s="9" t="n">
        <v>1460</v>
      </c>
      <c r="Q328" s="7" t="inlineStr">
        <is>
          <t>Sí</t>
        </is>
      </c>
      <c r="R328" s="9">
        <f>IF(N328="","",IF(Q328="Sí",ROUND(N328/1.18,2),N328))</f>
        <v/>
      </c>
      <c r="S328" s="7" t="inlineStr">
        <is>
          <t>2026-09-09</t>
        </is>
      </c>
      <c r="T328" s="5" t="inlineStr">
        <is>
          <t>1 cotización de proveedores</t>
        </is>
      </c>
    </row>
    <row r="329">
      <c r="A329" s="7" t="inlineStr">
        <is>
          <t>MAT-02-031</t>
        </is>
      </c>
      <c r="B329" s="7" t="inlineStr">
        <is>
          <t>Materiales</t>
        </is>
      </c>
      <c r="C329" s="7" t="inlineStr">
        <is>
          <t>Cemento, morteros y aditivos</t>
        </is>
      </c>
      <c r="D329" s="5" t="inlineStr">
        <is>
          <t>Aditivo Concreto Lanco CB-902-2 5 galón</t>
        </is>
      </c>
      <c r="E329" s="5" t="inlineStr">
        <is>
          <t>marca LANCO · liquido · 5Gl</t>
        </is>
      </c>
      <c r="F329" s="5" t="inlineStr">
        <is>
          <t>Material retirado en almacén</t>
        </is>
      </c>
      <c r="G329" s="5" t="inlineStr">
        <is>
          <t>aditivo para hormigón</t>
        </is>
      </c>
      <c r="H329" s="7" t="inlineStr">
        <is>
          <t>unidad</t>
        </is>
      </c>
      <c r="I329" s="7" t="inlineStr">
        <is>
          <t>Estructura</t>
        </is>
      </c>
      <c r="J329" s="7" t="inlineStr">
        <is>
          <t>estandar</t>
        </is>
      </c>
      <c r="K329" s="7" t="inlineStr">
        <is>
          <t>importado</t>
        </is>
      </c>
      <c r="L329" s="7" t="inlineStr">
        <is>
          <t>Verificado</t>
        </is>
      </c>
      <c r="M329" s="8" t="n">
        <v>1</v>
      </c>
      <c r="N329" s="9" t="n">
        <v>6055</v>
      </c>
      <c r="O329" s="9" t="n">
        <v>6055</v>
      </c>
      <c r="P329" s="9" t="n">
        <v>6055</v>
      </c>
      <c r="Q329" s="7" t="inlineStr">
        <is>
          <t>Sí</t>
        </is>
      </c>
      <c r="R329" s="9">
        <f>IF(N329="","",IF(Q329="Sí",ROUND(N329/1.18,2),N329))</f>
        <v/>
      </c>
      <c r="S329" s="7" t="inlineStr">
        <is>
          <t>2026-09-09</t>
        </is>
      </c>
      <c r="T329" s="5" t="inlineStr">
        <is>
          <t>1 cotización de proveedores</t>
        </is>
      </c>
    </row>
    <row r="330">
      <c r="A330" s="7" t="inlineStr">
        <is>
          <t>MAT-02-032</t>
        </is>
      </c>
      <c r="B330" s="7" t="inlineStr">
        <is>
          <t>Materiales</t>
        </is>
      </c>
      <c r="C330" s="7" t="inlineStr">
        <is>
          <t>Cemento, morteros y aditivos</t>
        </is>
      </c>
      <c r="D330" s="5" t="inlineStr">
        <is>
          <t>Fibra Polipropileno Sikafiber Para Concreto 0.6 KG</t>
        </is>
      </c>
      <c r="E330" s="5" t="inlineStr">
        <is>
          <t>marca SIKA · fibra · 0.6Kg</t>
        </is>
      </c>
      <c r="F330" s="5" t="inlineStr">
        <is>
          <t>Material retirado en almacén</t>
        </is>
      </c>
      <c r="G330" s="5" t="inlineStr">
        <is>
          <t>aditivo para hormigón</t>
        </is>
      </c>
      <c r="H330" s="7" t="inlineStr">
        <is>
          <t>unidad</t>
        </is>
      </c>
      <c r="I330" s="7" t="inlineStr">
        <is>
          <t>Estructura</t>
        </is>
      </c>
      <c r="J330" s="7" t="inlineStr">
        <is>
          <t>estandar</t>
        </is>
      </c>
      <c r="K330" s="7" t="inlineStr">
        <is>
          <t>importado</t>
        </is>
      </c>
      <c r="L330" s="7" t="inlineStr">
        <is>
          <t>Verificado</t>
        </is>
      </c>
      <c r="M330" s="8" t="n">
        <v>1</v>
      </c>
      <c r="N330" s="9" t="n">
        <v>454.75</v>
      </c>
      <c r="O330" s="9" t="n">
        <v>454.75</v>
      </c>
      <c r="P330" s="9" t="n">
        <v>454.75</v>
      </c>
      <c r="Q330" s="7" t="inlineStr">
        <is>
          <t>Sí</t>
        </is>
      </c>
      <c r="R330" s="9">
        <f>IF(N330="","",IF(Q330="Sí",ROUND(N330/1.18,2),N330))</f>
        <v/>
      </c>
      <c r="S330" s="7" t="inlineStr">
        <is>
          <t>2026-09-09</t>
        </is>
      </c>
      <c r="T330" s="5" t="inlineStr">
        <is>
          <t>1 cotización de proveedores</t>
        </is>
      </c>
    </row>
    <row r="331">
      <c r="A331" s="7" t="inlineStr">
        <is>
          <t>MAT-02-033</t>
        </is>
      </c>
      <c r="B331" s="7" t="inlineStr">
        <is>
          <t>Materiales</t>
        </is>
      </c>
      <c r="C331" s="7" t="inlineStr">
        <is>
          <t>Cemento, morteros y aditivos</t>
        </is>
      </c>
      <c r="D331" s="5" t="inlineStr">
        <is>
          <t>Primer Epoxico Concreto Sikadur 32 Gel 1 KG Componente A+B</t>
        </is>
      </c>
      <c r="E331" s="5" t="inlineStr">
        <is>
          <t>marca SIKA · 1Kg</t>
        </is>
      </c>
      <c r="F331" s="5" t="inlineStr">
        <is>
          <t>Material retirado en almacén</t>
        </is>
      </c>
      <c r="G331" s="5" t="inlineStr">
        <is>
          <t>aditivo para hormigón</t>
        </is>
      </c>
      <c r="H331" s="7" t="inlineStr">
        <is>
          <t>unidad</t>
        </is>
      </c>
      <c r="I331" s="7" t="inlineStr">
        <is>
          <t>Estructura</t>
        </is>
      </c>
      <c r="J331" s="7" t="inlineStr">
        <is>
          <t>estandar</t>
        </is>
      </c>
      <c r="K331" s="7" t="inlineStr">
        <is>
          <t>importado</t>
        </is>
      </c>
      <c r="L331" s="7" t="inlineStr">
        <is>
          <t>Verificado</t>
        </is>
      </c>
      <c r="M331" s="8" t="n">
        <v>1</v>
      </c>
      <c r="N331" s="9" t="n">
        <v>1610.75</v>
      </c>
      <c r="O331" s="9" t="n">
        <v>1610.75</v>
      </c>
      <c r="P331" s="9" t="n">
        <v>1610.75</v>
      </c>
      <c r="Q331" s="7" t="inlineStr">
        <is>
          <t>Sí</t>
        </is>
      </c>
      <c r="R331" s="9">
        <f>IF(N331="","",IF(Q331="Sí",ROUND(N331/1.18,2),N331))</f>
        <v/>
      </c>
      <c r="S331" s="7" t="inlineStr">
        <is>
          <t>2026-09-09</t>
        </is>
      </c>
      <c r="T331" s="5" t="inlineStr">
        <is>
          <t>1 cotización de proveedores</t>
        </is>
      </c>
    </row>
    <row r="332">
      <c r="A332" s="7" t="inlineStr">
        <is>
          <t>MAT-02-034</t>
        </is>
      </c>
      <c r="B332" s="7" t="inlineStr">
        <is>
          <t>Materiales</t>
        </is>
      </c>
      <c r="C332" s="7" t="inlineStr">
        <is>
          <t>Cemento, morteros y aditivos</t>
        </is>
      </c>
      <c r="D332" s="5" t="inlineStr">
        <is>
          <t>Cemento Autonivelante Weco W-501 WE0850105 Polimero Gris 40 lb</t>
        </is>
      </c>
      <c r="E332" s="5" t="inlineStr">
        <is>
          <t>marca WEC · 40Lb</t>
        </is>
      </c>
      <c r="F332" s="5" t="inlineStr">
        <is>
          <t>Material retirado en almacén</t>
        </is>
      </c>
      <c r="G332" s="5" t="inlineStr">
        <is>
          <t>cemento</t>
        </is>
      </c>
      <c r="H332" s="7" t="inlineStr">
        <is>
          <t>unidad</t>
        </is>
      </c>
      <c r="I332" s="7" t="inlineStr">
        <is>
          <t>Estructura</t>
        </is>
      </c>
      <c r="J332" s="7" t="inlineStr">
        <is>
          <t>estandar</t>
        </is>
      </c>
      <c r="K332" s="7" t="inlineStr">
        <is>
          <t>importado</t>
        </is>
      </c>
      <c r="L332" s="7" t="inlineStr">
        <is>
          <t>Verificado</t>
        </is>
      </c>
      <c r="M332" s="8" t="n">
        <v>1</v>
      </c>
      <c r="N332" s="9" t="n">
        <v>3952.5</v>
      </c>
      <c r="O332" s="9" t="n">
        <v>3952.5</v>
      </c>
      <c r="P332" s="9" t="n">
        <v>3952.5</v>
      </c>
      <c r="Q332" s="7" t="inlineStr">
        <is>
          <t>Sí</t>
        </is>
      </c>
      <c r="R332" s="9">
        <f>IF(N332="","",IF(Q332="Sí",ROUND(N332/1.18,2),N332))</f>
        <v/>
      </c>
      <c r="S332" s="7" t="inlineStr">
        <is>
          <t>2026-09-09</t>
        </is>
      </c>
      <c r="T332" s="5" t="inlineStr">
        <is>
          <t>1 cotización de proveedores</t>
        </is>
      </c>
    </row>
    <row r="333">
      <c r="A333" s="7" t="inlineStr">
        <is>
          <t>MAT-02-035</t>
        </is>
      </c>
      <c r="B333" s="7" t="inlineStr">
        <is>
          <t>Materiales</t>
        </is>
      </c>
      <c r="C333" s="7" t="inlineStr">
        <is>
          <t>Cemento, morteros y aditivos</t>
        </is>
      </c>
      <c r="D333" s="5" t="inlineStr">
        <is>
          <t>Cemento Weco W-350 WE0855504 Gris 10 lb</t>
        </is>
      </c>
      <c r="E333" s="5" t="inlineStr">
        <is>
          <t>marca WEC · 10Lb</t>
        </is>
      </c>
      <c r="F333" s="5" t="inlineStr">
        <is>
          <t>Material retirado en almacén</t>
        </is>
      </c>
      <c r="G333" s="5" t="inlineStr">
        <is>
          <t>cemento</t>
        </is>
      </c>
      <c r="H333" s="7" t="inlineStr">
        <is>
          <t>unidad</t>
        </is>
      </c>
      <c r="I333" s="7" t="inlineStr">
        <is>
          <t>Estructura</t>
        </is>
      </c>
      <c r="J333" s="7" t="inlineStr">
        <is>
          <t>estandar</t>
        </is>
      </c>
      <c r="K333" s="7" t="inlineStr">
        <is>
          <t>importado</t>
        </is>
      </c>
      <c r="L333" s="7" t="inlineStr">
        <is>
          <t>Verificado</t>
        </is>
      </c>
      <c r="M333" s="8" t="n">
        <v>1</v>
      </c>
      <c r="N333" s="9" t="n">
        <v>377.4</v>
      </c>
      <c r="O333" s="9" t="n">
        <v>377.4</v>
      </c>
      <c r="P333" s="9" t="n">
        <v>377.4</v>
      </c>
      <c r="Q333" s="7" t="inlineStr">
        <is>
          <t>Sí</t>
        </is>
      </c>
      <c r="R333" s="9">
        <f>IF(N333="","",IF(Q333="Sí",ROUND(N333/1.18,2),N333))</f>
        <v/>
      </c>
      <c r="S333" s="7" t="inlineStr">
        <is>
          <t>2026-09-09</t>
        </is>
      </c>
      <c r="T333" s="5" t="inlineStr">
        <is>
          <t>1 cotización de proveedores</t>
        </is>
      </c>
    </row>
    <row r="334">
      <c r="A334" s="7" t="inlineStr">
        <is>
          <t>MAT-02-036</t>
        </is>
      </c>
      <c r="B334" s="7" t="inlineStr">
        <is>
          <t>Materiales</t>
        </is>
      </c>
      <c r="C334" s="7" t="inlineStr">
        <is>
          <t>Cemento, morteros y aditivos</t>
        </is>
      </c>
      <c r="D334" s="5" t="inlineStr">
        <is>
          <t>Cemento Weco W-400 WE0875003 Blanco 10 lb Ultra</t>
        </is>
      </c>
      <c r="E334" s="5" t="inlineStr">
        <is>
          <t>marca WEC · polvo · 10lbs</t>
        </is>
      </c>
      <c r="F334" s="5" t="inlineStr">
        <is>
          <t>Material retirado en almacén</t>
        </is>
      </c>
      <c r="G334" s="5" t="inlineStr">
        <is>
          <t>cemento</t>
        </is>
      </c>
      <c r="H334" s="7" t="inlineStr">
        <is>
          <t>funda</t>
        </is>
      </c>
      <c r="I334" s="7" t="inlineStr">
        <is>
          <t>Estructura</t>
        </is>
      </c>
      <c r="J334" s="7" t="inlineStr">
        <is>
          <t>estandar</t>
        </is>
      </c>
      <c r="K334" s="7" t="inlineStr">
        <is>
          <t>importado</t>
        </is>
      </c>
      <c r="L334" s="7" t="inlineStr">
        <is>
          <t>Verificado</t>
        </is>
      </c>
      <c r="M334" s="8" t="n">
        <v>1</v>
      </c>
      <c r="N334" s="9" t="n">
        <v>533.8</v>
      </c>
      <c r="O334" s="9" t="n">
        <v>533.8</v>
      </c>
      <c r="P334" s="9" t="n">
        <v>533.8</v>
      </c>
      <c r="Q334" s="7" t="inlineStr">
        <is>
          <t>Sí</t>
        </is>
      </c>
      <c r="R334" s="9">
        <f>IF(N334="","",IF(Q334="Sí",ROUND(N334/1.18,2),N334))</f>
        <v/>
      </c>
      <c r="S334" s="7" t="inlineStr">
        <is>
          <t>2026-09-09</t>
        </is>
      </c>
      <c r="T334" s="5" t="inlineStr">
        <is>
          <t>1 cotización de proveedores</t>
        </is>
      </c>
    </row>
    <row r="335">
      <c r="A335" s="7" t="inlineStr">
        <is>
          <t>MAT-02-037</t>
        </is>
      </c>
      <c r="B335" s="7" t="inlineStr">
        <is>
          <t>Materiales</t>
        </is>
      </c>
      <c r="C335" s="7" t="inlineStr">
        <is>
          <t>Cemento, morteros y aditivos</t>
        </is>
      </c>
      <c r="D335" s="5" t="inlineStr">
        <is>
          <t>Cemento Weco W-511 WE0751104 hidráulico 1 galón</t>
        </is>
      </c>
      <c r="E335" s="5" t="inlineStr">
        <is>
          <t>marca WEC · 1Gl</t>
        </is>
      </c>
      <c r="F335" s="5" t="inlineStr">
        <is>
          <t>Material retirado en almacén</t>
        </is>
      </c>
      <c r="G335" s="5" t="inlineStr">
        <is>
          <t>cemento</t>
        </is>
      </c>
      <c r="H335" s="7" t="inlineStr">
        <is>
          <t>unidad</t>
        </is>
      </c>
      <c r="I335" s="7" t="inlineStr">
        <is>
          <t>Estructura</t>
        </is>
      </c>
      <c r="J335" s="7" t="inlineStr">
        <is>
          <t>estandar</t>
        </is>
      </c>
      <c r="K335" s="7" t="inlineStr">
        <is>
          <t>importado</t>
        </is>
      </c>
      <c r="L335" s="7" t="inlineStr">
        <is>
          <t>Verificado</t>
        </is>
      </c>
      <c r="M335" s="8" t="n">
        <v>1</v>
      </c>
      <c r="N335" s="9" t="n">
        <v>949.45</v>
      </c>
      <c r="O335" s="9" t="n">
        <v>949.45</v>
      </c>
      <c r="P335" s="9" t="n">
        <v>949.45</v>
      </c>
      <c r="Q335" s="7" t="inlineStr">
        <is>
          <t>Sí</t>
        </is>
      </c>
      <c r="R335" s="9">
        <f>IF(N335="","",IF(Q335="Sí",ROUND(N335/1.18,2),N335))</f>
        <v/>
      </c>
      <c r="S335" s="7" t="inlineStr">
        <is>
          <t>2026-09-09</t>
        </is>
      </c>
      <c r="T335" s="5" t="inlineStr">
        <is>
          <t>1 cotización de proveedores</t>
        </is>
      </c>
    </row>
    <row r="336">
      <c r="A336" s="7" t="inlineStr">
        <is>
          <t>MAT-02-038</t>
        </is>
      </c>
      <c r="B336" s="7" t="inlineStr">
        <is>
          <t>Materiales</t>
        </is>
      </c>
      <c r="C336" s="7" t="inlineStr">
        <is>
          <t>Cemento, morteros y aditivos</t>
        </is>
      </c>
      <c r="D336" s="5" t="inlineStr">
        <is>
          <t>Cemento Weco W-511 WE0751105 hidráulico Cubeta 40 lb</t>
        </is>
      </c>
      <c r="E336" s="5" t="inlineStr">
        <is>
          <t>marca WEC · 40Lb</t>
        </is>
      </c>
      <c r="F336" s="5" t="inlineStr">
        <is>
          <t>Material retirado en almacén</t>
        </is>
      </c>
      <c r="G336" s="5" t="inlineStr">
        <is>
          <t>cemento</t>
        </is>
      </c>
      <c r="H336" s="7" t="inlineStr">
        <is>
          <t>unidad</t>
        </is>
      </c>
      <c r="I336" s="7" t="inlineStr">
        <is>
          <t>Estructura</t>
        </is>
      </c>
      <c r="J336" s="7" t="inlineStr">
        <is>
          <t>estandar</t>
        </is>
      </c>
      <c r="K336" s="7" t="inlineStr">
        <is>
          <t>importado</t>
        </is>
      </c>
      <c r="L336" s="7" t="inlineStr">
        <is>
          <t>Verificado</t>
        </is>
      </c>
      <c r="M336" s="8" t="n">
        <v>1</v>
      </c>
      <c r="N336" s="9" t="n">
        <v>2817.75</v>
      </c>
      <c r="O336" s="9" t="n">
        <v>2817.75</v>
      </c>
      <c r="P336" s="9" t="n">
        <v>2817.75</v>
      </c>
      <c r="Q336" s="7" t="inlineStr">
        <is>
          <t>Sí</t>
        </is>
      </c>
      <c r="R336" s="9">
        <f>IF(N336="","",IF(Q336="Sí",ROUND(N336/1.18,2),N336))</f>
        <v/>
      </c>
      <c r="S336" s="7" t="inlineStr">
        <is>
          <t>2026-09-09</t>
        </is>
      </c>
      <c r="T336" s="5" t="inlineStr">
        <is>
          <t>1 cotización de proveedores</t>
        </is>
      </c>
    </row>
    <row r="337">
      <c r="A337" s="7" t="inlineStr">
        <is>
          <t>MAT-02-039</t>
        </is>
      </c>
      <c r="B337" s="7" t="inlineStr">
        <is>
          <t>Materiales</t>
        </is>
      </c>
      <c r="C337" s="7" t="inlineStr">
        <is>
          <t>Cemento, morteros y aditivos</t>
        </is>
      </c>
      <c r="D337" s="5" t="inlineStr">
        <is>
          <t>Mezcla Pañete 10 lb</t>
        </is>
      </c>
      <c r="E337" s="5" t="inlineStr">
        <is>
          <t>marca INNOMATE · polvo · 10Lb</t>
        </is>
      </c>
      <c r="F337" s="5" t="inlineStr">
        <is>
          <t>Material retirado en almacén</t>
        </is>
      </c>
      <c r="G337" s="5" t="inlineStr">
        <is>
          <t>mortero</t>
        </is>
      </c>
      <c r="H337" s="7" t="inlineStr">
        <is>
          <t>unidad</t>
        </is>
      </c>
      <c r="I337" s="7" t="inlineStr">
        <is>
          <t>Terminación de superficies</t>
        </is>
      </c>
      <c r="J337" s="7" t="inlineStr">
        <is>
          <t>estandar</t>
        </is>
      </c>
      <c r="K337" s="7" t="inlineStr">
        <is>
          <t>importado</t>
        </is>
      </c>
      <c r="L337" s="7" t="inlineStr">
        <is>
          <t>Verificado</t>
        </is>
      </c>
      <c r="M337" s="8" t="n">
        <v>1</v>
      </c>
      <c r="N337" s="9" t="n">
        <v>135</v>
      </c>
      <c r="O337" s="9" t="n">
        <v>135</v>
      </c>
      <c r="P337" s="9" t="n">
        <v>135</v>
      </c>
      <c r="Q337" s="7" t="inlineStr">
        <is>
          <t>Sí</t>
        </is>
      </c>
      <c r="R337" s="9">
        <f>IF(N337="","",IF(Q337="Sí",ROUND(N337/1.18,2),N337))</f>
        <v/>
      </c>
      <c r="S337" s="7" t="inlineStr">
        <is>
          <t>2026-09-09</t>
        </is>
      </c>
      <c r="T337" s="5" t="inlineStr">
        <is>
          <t>1 cotización de proveedores</t>
        </is>
      </c>
    </row>
    <row r="338">
      <c r="A338" s="7" t="inlineStr">
        <is>
          <t>MAT-02-040</t>
        </is>
      </c>
      <c r="B338" s="7" t="inlineStr">
        <is>
          <t>Materiales</t>
        </is>
      </c>
      <c r="C338" s="7" t="inlineStr">
        <is>
          <t>Cemento, morteros y aditivos</t>
        </is>
      </c>
      <c r="D338" s="5" t="inlineStr">
        <is>
          <t>Mortero Anclaje Sikagrout 212 Relleno 22 KG</t>
        </is>
      </c>
      <c r="E338" s="5" t="inlineStr">
        <is>
          <t>marca SIKA · polvo · 22Kg</t>
        </is>
      </c>
      <c r="F338" s="5" t="inlineStr">
        <is>
          <t>Material retirado en almacén</t>
        </is>
      </c>
      <c r="G338" s="5" t="inlineStr">
        <is>
          <t>mortero</t>
        </is>
      </c>
      <c r="H338" s="7" t="inlineStr">
        <is>
          <t>unidad</t>
        </is>
      </c>
      <c r="I338" s="7" t="inlineStr">
        <is>
          <t>Terminación de superficies</t>
        </is>
      </c>
      <c r="J338" s="7" t="inlineStr">
        <is>
          <t>estandar</t>
        </is>
      </c>
      <c r="K338" s="7" t="inlineStr">
        <is>
          <t>importado</t>
        </is>
      </c>
      <c r="L338" s="7" t="inlineStr">
        <is>
          <t>Verificado</t>
        </is>
      </c>
      <c r="M338" s="8" t="n">
        <v>1</v>
      </c>
      <c r="N338" s="9" t="n">
        <v>1270.75</v>
      </c>
      <c r="O338" s="9" t="n">
        <v>1270.75</v>
      </c>
      <c r="P338" s="9" t="n">
        <v>1270.75</v>
      </c>
      <c r="Q338" s="7" t="inlineStr">
        <is>
          <t>Sí</t>
        </is>
      </c>
      <c r="R338" s="9">
        <f>IF(N338="","",IF(Q338="Sí",ROUND(N338/1.18,2),N338))</f>
        <v/>
      </c>
      <c r="S338" s="7" t="inlineStr">
        <is>
          <t>2026-09-09</t>
        </is>
      </c>
      <c r="T338" s="5" t="inlineStr">
        <is>
          <t>1 cotización de proveedores</t>
        </is>
      </c>
    </row>
    <row r="339">
      <c r="A339" s="7" t="inlineStr">
        <is>
          <t>MAT-02-041</t>
        </is>
      </c>
      <c r="B339" s="7" t="inlineStr">
        <is>
          <t>Materiales</t>
        </is>
      </c>
      <c r="C339" s="7" t="inlineStr">
        <is>
          <t>Cemento, morteros y aditivos</t>
        </is>
      </c>
      <c r="D339" s="5" t="inlineStr">
        <is>
          <t>Mortero Ceramica Mapei Ultraflex LFT Polimero Blanco 50 lb</t>
        </is>
      </c>
      <c r="E339" s="5" t="inlineStr">
        <is>
          <t>marca MAPEI · polvo · 50Lb</t>
        </is>
      </c>
      <c r="F339" s="5" t="inlineStr">
        <is>
          <t>Material retirado en almacén</t>
        </is>
      </c>
      <c r="G339" s="5" t="inlineStr">
        <is>
          <t>mortero</t>
        </is>
      </c>
      <c r="H339" s="7" t="inlineStr">
        <is>
          <t>unidad</t>
        </is>
      </c>
      <c r="I339" s="7" t="inlineStr">
        <is>
          <t>Terminación de superficies</t>
        </is>
      </c>
      <c r="J339" s="7" t="inlineStr">
        <is>
          <t>estandar</t>
        </is>
      </c>
      <c r="K339" s="7" t="inlineStr">
        <is>
          <t>importado</t>
        </is>
      </c>
      <c r="L339" s="7" t="inlineStr">
        <is>
          <t>Verificado</t>
        </is>
      </c>
      <c r="M339" s="8" t="n">
        <v>1</v>
      </c>
      <c r="N339" s="9" t="n">
        <v>2396</v>
      </c>
      <c r="O339" s="9" t="n">
        <v>2396</v>
      </c>
      <c r="P339" s="9" t="n">
        <v>2396</v>
      </c>
      <c r="Q339" s="7" t="inlineStr">
        <is>
          <t>Sí</t>
        </is>
      </c>
      <c r="R339" s="9">
        <f>IF(N339="","",IF(Q339="Sí",ROUND(N339/1.18,2),N339))</f>
        <v/>
      </c>
      <c r="S339" s="7" t="inlineStr">
        <is>
          <t>2026-09-09</t>
        </is>
      </c>
      <c r="T339" s="5" t="inlineStr">
        <is>
          <t>1 cotización de proveedores</t>
        </is>
      </c>
    </row>
    <row r="340">
      <c r="A340" s="7" t="inlineStr">
        <is>
          <t>MAT-02-042</t>
        </is>
      </c>
      <c r="B340" s="7" t="inlineStr">
        <is>
          <t>Materiales</t>
        </is>
      </c>
      <c r="C340" s="7" t="inlineStr">
        <is>
          <t>Cemento, morteros y aditivos</t>
        </is>
      </c>
      <c r="D340" s="5" t="inlineStr">
        <is>
          <t>Mortero Impermeabilizante Sika 101 Blanco 25 KG Tanques Piscinas</t>
        </is>
      </c>
      <c r="E340" s="5" t="inlineStr">
        <is>
          <t>marca SIKA · polvo · 25Kg</t>
        </is>
      </c>
      <c r="F340" s="5" t="inlineStr">
        <is>
          <t>Material retirado en almacén</t>
        </is>
      </c>
      <c r="G340" s="5" t="inlineStr">
        <is>
          <t>mortero</t>
        </is>
      </c>
      <c r="H340" s="7" t="inlineStr">
        <is>
          <t>unidad</t>
        </is>
      </c>
      <c r="I340" s="7" t="inlineStr">
        <is>
          <t>Terminación de superficies</t>
        </is>
      </c>
      <c r="J340" s="7" t="inlineStr">
        <is>
          <t>estandar</t>
        </is>
      </c>
      <c r="K340" s="7" t="inlineStr">
        <is>
          <t>importado</t>
        </is>
      </c>
      <c r="L340" s="7" t="inlineStr">
        <is>
          <t>Verificado</t>
        </is>
      </c>
      <c r="M340" s="8" t="n">
        <v>1</v>
      </c>
      <c r="N340" s="9" t="n">
        <v>2715.75</v>
      </c>
      <c r="O340" s="9" t="n">
        <v>2715.75</v>
      </c>
      <c r="P340" s="9" t="n">
        <v>2715.75</v>
      </c>
      <c r="Q340" s="7" t="inlineStr">
        <is>
          <t>Sí</t>
        </is>
      </c>
      <c r="R340" s="9">
        <f>IF(N340="","",IF(Q340="Sí",ROUND(N340/1.18,2),N340))</f>
        <v/>
      </c>
      <c r="S340" s="7" t="inlineStr">
        <is>
          <t>2026-09-09</t>
        </is>
      </c>
      <c r="T340" s="5" t="inlineStr">
        <is>
          <t>1 cotización de proveedores</t>
        </is>
      </c>
    </row>
    <row r="341">
      <c r="A341" s="7" t="inlineStr">
        <is>
          <t>MAT-02-043</t>
        </is>
      </c>
      <c r="B341" s="7" t="inlineStr">
        <is>
          <t>Materiales</t>
        </is>
      </c>
      <c r="C341" s="7" t="inlineStr">
        <is>
          <t>Cemento, morteros y aditivos</t>
        </is>
      </c>
      <c r="D341" s="5" t="inlineStr">
        <is>
          <t>Mortero Mapei Planitop XS Gris 50 lb</t>
        </is>
      </c>
      <c r="E341" s="5" t="inlineStr">
        <is>
          <t>marca MAPEI · polvo · 50Lb</t>
        </is>
      </c>
      <c r="F341" s="5" t="inlineStr">
        <is>
          <t>Material retirado en almacén</t>
        </is>
      </c>
      <c r="G341" s="5" t="inlineStr">
        <is>
          <t>mortero</t>
        </is>
      </c>
      <c r="H341" s="7" t="inlineStr">
        <is>
          <t>unidad</t>
        </is>
      </c>
      <c r="I341" s="7" t="inlineStr">
        <is>
          <t>Terminación de superficies</t>
        </is>
      </c>
      <c r="J341" s="7" t="inlineStr">
        <is>
          <t>estandar</t>
        </is>
      </c>
      <c r="K341" s="7" t="inlineStr">
        <is>
          <t>importado</t>
        </is>
      </c>
      <c r="L341" s="7" t="inlineStr">
        <is>
          <t>Verificado</t>
        </is>
      </c>
      <c r="M341" s="8" t="n">
        <v>1</v>
      </c>
      <c r="N341" s="9" t="n">
        <v>1308</v>
      </c>
      <c r="O341" s="9" t="n">
        <v>1308</v>
      </c>
      <c r="P341" s="9" t="n">
        <v>1308</v>
      </c>
      <c r="Q341" s="7" t="inlineStr">
        <is>
          <t>Sí</t>
        </is>
      </c>
      <c r="R341" s="9">
        <f>IF(N341="","",IF(Q341="Sí",ROUND(N341/1.18,2),N341))</f>
        <v/>
      </c>
      <c r="S341" s="7" t="inlineStr">
        <is>
          <t>2026-09-09</t>
        </is>
      </c>
      <c r="T341" s="5" t="inlineStr">
        <is>
          <t>1 cotización de proveedores</t>
        </is>
      </c>
    </row>
    <row r="342">
      <c r="A342" s="7" t="inlineStr">
        <is>
          <t>MAT-02-044</t>
        </is>
      </c>
      <c r="B342" s="7" t="inlineStr">
        <is>
          <t>Materiales</t>
        </is>
      </c>
      <c r="C342" s="7" t="inlineStr">
        <is>
          <t>Cemento, morteros y aditivos</t>
        </is>
      </c>
      <c r="D342" s="5" t="inlineStr">
        <is>
          <t>Yeso Blanco Funda 10 lb</t>
        </is>
      </c>
      <c r="E342" s="5" t="inlineStr">
        <is>
          <t>marca INNOMATE · polvo · 10Lb</t>
        </is>
      </c>
      <c r="F342" s="5" t="inlineStr">
        <is>
          <t>Material retirado en almacén</t>
        </is>
      </c>
      <c r="G342" s="5" t="inlineStr">
        <is>
          <t>yeso en polvo</t>
        </is>
      </c>
      <c r="H342" s="7" t="inlineStr">
        <is>
          <t>unidad</t>
        </is>
      </c>
      <c r="I342" s="7" t="inlineStr">
        <is>
          <t>Terminación de superficies</t>
        </is>
      </c>
      <c r="J342" s="7" t="inlineStr">
        <is>
          <t>estandar</t>
        </is>
      </c>
      <c r="K342" s="7" t="inlineStr">
        <is>
          <t>importado</t>
        </is>
      </c>
      <c r="L342" s="7" t="inlineStr">
        <is>
          <t>Verificado</t>
        </is>
      </c>
      <c r="M342" s="8" t="n">
        <v>1</v>
      </c>
      <c r="N342" s="9" t="n">
        <v>167</v>
      </c>
      <c r="O342" s="9" t="n">
        <v>167</v>
      </c>
      <c r="P342" s="9" t="n">
        <v>167</v>
      </c>
      <c r="Q342" s="7" t="inlineStr">
        <is>
          <t>Sí</t>
        </is>
      </c>
      <c r="R342" s="9">
        <f>IF(N342="","",IF(Q342="Sí",ROUND(N342/1.18,2),N342))</f>
        <v/>
      </c>
      <c r="S342" s="7" t="inlineStr">
        <is>
          <t>2026-09-09</t>
        </is>
      </c>
      <c r="T342" s="5" t="inlineStr">
        <is>
          <t>1 cotización de proveedores</t>
        </is>
      </c>
    </row>
    <row r="343">
      <c r="A343" s="7" t="inlineStr">
        <is>
          <t>MAT-02-045</t>
        </is>
      </c>
      <c r="B343" s="7" t="inlineStr">
        <is>
          <t>Materiales</t>
        </is>
      </c>
      <c r="C343" s="7" t="inlineStr">
        <is>
          <t>Cemento, morteros y aditivos</t>
        </is>
      </c>
      <c r="D343" s="5" t="inlineStr">
        <is>
          <t>Yeso Blanco Funda 2 lb</t>
        </is>
      </c>
      <c r="E343" s="5" t="inlineStr">
        <is>
          <t>marca INNOMATE · polvo · 2Lbs</t>
        </is>
      </c>
      <c r="F343" s="5" t="inlineStr">
        <is>
          <t>Material retirado en almacén</t>
        </is>
      </c>
      <c r="G343" s="5" t="inlineStr">
        <is>
          <t>yeso en polvo</t>
        </is>
      </c>
      <c r="H343" s="7" t="inlineStr">
        <is>
          <t>unidad</t>
        </is>
      </c>
      <c r="I343" s="7" t="inlineStr">
        <is>
          <t>Terminación de superficies</t>
        </is>
      </c>
      <c r="J343" s="7" t="inlineStr">
        <is>
          <t>estandar</t>
        </is>
      </c>
      <c r="K343" s="7" t="inlineStr">
        <is>
          <t>importado</t>
        </is>
      </c>
      <c r="L343" s="7" t="inlineStr">
        <is>
          <t>Verificado</t>
        </is>
      </c>
      <c r="M343" s="8" t="n">
        <v>1</v>
      </c>
      <c r="N343" s="9" t="n">
        <v>28</v>
      </c>
      <c r="O343" s="9" t="n">
        <v>28</v>
      </c>
      <c r="P343" s="9" t="n">
        <v>28</v>
      </c>
      <c r="Q343" s="7" t="inlineStr">
        <is>
          <t>Sí</t>
        </is>
      </c>
      <c r="R343" s="9">
        <f>IF(N343="","",IF(Q343="Sí",ROUND(N343/1.18,2),N343))</f>
        <v/>
      </c>
      <c r="S343" s="7" t="inlineStr">
        <is>
          <t>2026-09-09</t>
        </is>
      </c>
      <c r="T343" s="5" t="inlineStr">
        <is>
          <t>1 cotización de proveedores</t>
        </is>
      </c>
    </row>
    <row r="344">
      <c r="A344" s="7" t="inlineStr">
        <is>
          <t>MAT-02-046</t>
        </is>
      </c>
      <c r="B344" s="7" t="inlineStr">
        <is>
          <t>Materiales</t>
        </is>
      </c>
      <c r="C344" s="7" t="inlineStr">
        <is>
          <t>Cemento, morteros y aditivos</t>
        </is>
      </c>
      <c r="D344" s="5" t="inlineStr">
        <is>
          <t>Pegamento Ceramica Weco W-1000 WE0810501 Polimero Blanco 50 lb</t>
        </is>
      </c>
      <c r="E344" s="5" t="inlineStr">
        <is>
          <t>marca WEC · 50Lb</t>
        </is>
      </c>
      <c r="F344" s="5" t="inlineStr">
        <is>
          <t>Material retirado en almacén</t>
        </is>
      </c>
      <c r="G344" s="5" t="inlineStr">
        <is>
          <t>derretido, grout</t>
        </is>
      </c>
      <c r="H344" s="7" t="inlineStr">
        <is>
          <t>unidad</t>
        </is>
      </c>
      <c r="I344" s="7" t="inlineStr">
        <is>
          <t>Pisos</t>
        </is>
      </c>
      <c r="J344" s="7" t="inlineStr">
        <is>
          <t>estandar</t>
        </is>
      </c>
      <c r="K344" s="7" t="inlineStr">
        <is>
          <t>importado</t>
        </is>
      </c>
      <c r="L344" s="7" t="inlineStr">
        <is>
          <t>Verificado</t>
        </is>
      </c>
      <c r="M344" s="8" t="n">
        <v>1</v>
      </c>
      <c r="N344" s="9" t="n">
        <v>1365.1</v>
      </c>
      <c r="O344" s="9" t="n">
        <v>1365.1</v>
      </c>
      <c r="P344" s="9" t="n">
        <v>1365.1</v>
      </c>
      <c r="Q344" s="7" t="inlineStr">
        <is>
          <t>Sí</t>
        </is>
      </c>
      <c r="R344" s="9">
        <f>IF(N344="","",IF(Q344="Sí",ROUND(N344/1.18,2),N344))</f>
        <v/>
      </c>
      <c r="S344" s="7" t="inlineStr">
        <is>
          <t>2026-09-09</t>
        </is>
      </c>
      <c r="T344" s="5" t="inlineStr">
        <is>
          <t>1 cotización de proveedores</t>
        </is>
      </c>
    </row>
    <row r="345">
      <c r="A345" s="7" t="inlineStr">
        <is>
          <t>MAT-02-047</t>
        </is>
      </c>
      <c r="B345" s="7" t="inlineStr">
        <is>
          <t>Materiales</t>
        </is>
      </c>
      <c r="C345" s="7" t="inlineStr">
        <is>
          <t>Cemento, morteros y aditivos</t>
        </is>
      </c>
      <c r="D345" s="5" t="inlineStr">
        <is>
          <t>Pegamento Ceramica Weco W-3000 Cero Polimero Blanco 10 lb</t>
        </is>
      </c>
      <c r="E345" s="5" t="inlineStr">
        <is>
          <t>marca WEC · 10Lb</t>
        </is>
      </c>
      <c r="F345" s="5" t="inlineStr">
        <is>
          <t>Material retirado en almacén</t>
        </is>
      </c>
      <c r="G345" s="5" t="inlineStr">
        <is>
          <t>derretido, grout</t>
        </is>
      </c>
      <c r="H345" s="7" t="inlineStr">
        <is>
          <t>unidad</t>
        </is>
      </c>
      <c r="I345" s="7" t="inlineStr">
        <is>
          <t>Pisos</t>
        </is>
      </c>
      <c r="J345" s="7" t="inlineStr">
        <is>
          <t>estandar</t>
        </is>
      </c>
      <c r="K345" s="7" t="inlineStr">
        <is>
          <t>importado</t>
        </is>
      </c>
      <c r="L345" s="7" t="inlineStr">
        <is>
          <t>Verificado</t>
        </is>
      </c>
      <c r="M345" s="8" t="n">
        <v>1</v>
      </c>
      <c r="N345" s="9" t="n">
        <v>786.25</v>
      </c>
      <c r="O345" s="9" t="n">
        <v>786.25</v>
      </c>
      <c r="P345" s="9" t="n">
        <v>786.25</v>
      </c>
      <c r="Q345" s="7" t="inlineStr">
        <is>
          <t>Sí</t>
        </is>
      </c>
      <c r="R345" s="9">
        <f>IF(N345="","",IF(Q345="Sí",ROUND(N345/1.18,2),N345))</f>
        <v/>
      </c>
      <c r="S345" s="7" t="inlineStr">
        <is>
          <t>2026-09-09</t>
        </is>
      </c>
      <c r="T345" s="5" t="inlineStr">
        <is>
          <t>1 cotización de proveedores</t>
        </is>
      </c>
    </row>
    <row r="346">
      <c r="A346" s="7" t="inlineStr">
        <is>
          <t>MAT-02-048</t>
        </is>
      </c>
      <c r="B346" s="7" t="inlineStr">
        <is>
          <t>Materiales</t>
        </is>
      </c>
      <c r="C346" s="7" t="inlineStr">
        <is>
          <t>Cemento, morteros y aditivos</t>
        </is>
      </c>
      <c r="D346" s="5" t="inlineStr">
        <is>
          <t>Pegamento Ceramica Lanco SM-502-4 Ceramic Tile Blanco 1 galón</t>
        </is>
      </c>
      <c r="E346" s="5" t="inlineStr">
        <is>
          <t>marca LANCO · 1Gl</t>
        </is>
      </c>
      <c r="F346" s="5" t="inlineStr">
        <is>
          <t>Material retirado en almacén</t>
        </is>
      </c>
      <c r="G346" s="5" t="inlineStr">
        <is>
          <t>pegamento de cerámica</t>
        </is>
      </c>
      <c r="H346" s="7" t="inlineStr">
        <is>
          <t>unidad</t>
        </is>
      </c>
      <c r="I346" s="7" t="inlineStr">
        <is>
          <t>Pisos</t>
        </is>
      </c>
      <c r="J346" s="7" t="inlineStr">
        <is>
          <t>estandar</t>
        </is>
      </c>
      <c r="K346" s="7" t="inlineStr">
        <is>
          <t>importado</t>
        </is>
      </c>
      <c r="L346" s="7" t="inlineStr">
        <is>
          <t>Verificado</t>
        </is>
      </c>
      <c r="M346" s="8" t="n">
        <v>1</v>
      </c>
      <c r="N346" s="9" t="n">
        <v>1845</v>
      </c>
      <c r="O346" s="9" t="n">
        <v>1845</v>
      </c>
      <c r="P346" s="9" t="n">
        <v>1845</v>
      </c>
      <c r="Q346" s="7" t="inlineStr">
        <is>
          <t>Sí</t>
        </is>
      </c>
      <c r="R346" s="9">
        <f>IF(N346="","",IF(Q346="Sí",ROUND(N346/1.18,2),N346))</f>
        <v/>
      </c>
      <c r="S346" s="7" t="inlineStr">
        <is>
          <t>2026-09-09</t>
        </is>
      </c>
      <c r="T346" s="5" t="inlineStr">
        <is>
          <t>1 cotización de proveedores</t>
        </is>
      </c>
    </row>
    <row r="347">
      <c r="A347" s="7" t="inlineStr">
        <is>
          <t>MAT-02-049</t>
        </is>
      </c>
      <c r="B347" s="7" t="inlineStr">
        <is>
          <t>Materiales</t>
        </is>
      </c>
      <c r="C347" s="7" t="inlineStr">
        <is>
          <t>Cemento, morteros y aditivos</t>
        </is>
      </c>
      <c r="D347" s="5" t="inlineStr">
        <is>
          <t>Pegamento Ceramica Lanco SM-502-5 Ceramic Tile Blanco 1 / 4 galón</t>
        </is>
      </c>
      <c r="E347" s="5" t="inlineStr">
        <is>
          <t>marca LANCO · 1/4Gl</t>
        </is>
      </c>
      <c r="F347" s="5" t="inlineStr">
        <is>
          <t>Material retirado en almacén</t>
        </is>
      </c>
      <c r="G347" s="5" t="inlineStr">
        <is>
          <t>pegamento de cerámica</t>
        </is>
      </c>
      <c r="H347" s="7" t="inlineStr">
        <is>
          <t>unidad</t>
        </is>
      </c>
      <c r="I347" s="7" t="inlineStr">
        <is>
          <t>Pisos</t>
        </is>
      </c>
      <c r="J347" s="7" t="inlineStr">
        <is>
          <t>estandar</t>
        </is>
      </c>
      <c r="K347" s="7" t="inlineStr">
        <is>
          <t>importado</t>
        </is>
      </c>
      <c r="L347" s="7" t="inlineStr">
        <is>
          <t>Verificado</t>
        </is>
      </c>
      <c r="M347" s="8" t="n">
        <v>1</v>
      </c>
      <c r="N347" s="9" t="n">
        <v>625</v>
      </c>
      <c r="O347" s="9" t="n">
        <v>625</v>
      </c>
      <c r="P347" s="9" t="n">
        <v>625</v>
      </c>
      <c r="Q347" s="7" t="inlineStr">
        <is>
          <t>Sí</t>
        </is>
      </c>
      <c r="R347" s="9">
        <f>IF(N347="","",IF(Q347="Sí",ROUND(N347/1.18,2),N347))</f>
        <v/>
      </c>
      <c r="S347" s="7" t="inlineStr">
        <is>
          <t>2026-09-09</t>
        </is>
      </c>
      <c r="T347" s="5" t="inlineStr">
        <is>
          <t>1 cotización de proveedores</t>
        </is>
      </c>
    </row>
    <row r="348">
      <c r="A348" s="7" t="inlineStr">
        <is>
          <t>MAT-02-050</t>
        </is>
      </c>
      <c r="B348" s="7" t="inlineStr">
        <is>
          <t>Materiales</t>
        </is>
      </c>
      <c r="C348" s="7" t="inlineStr">
        <is>
          <t>Cemento, morteros y aditivos</t>
        </is>
      </c>
      <c r="D348" s="5" t="inlineStr">
        <is>
          <t>Pegamento Ceramica Weco W-2000 WE0810602 Polimero Gris 10 lb</t>
        </is>
      </c>
      <c r="E348" s="5" t="inlineStr">
        <is>
          <t>marca WEC · 10Lb</t>
        </is>
      </c>
      <c r="F348" s="5" t="inlineStr">
        <is>
          <t>Material retirado en almacén</t>
        </is>
      </c>
      <c r="G348" s="5" t="inlineStr">
        <is>
          <t>pegamento de cerámica</t>
        </is>
      </c>
      <c r="H348" s="7" t="inlineStr">
        <is>
          <t>unidad</t>
        </is>
      </c>
      <c r="I348" s="7" t="inlineStr">
        <is>
          <t>Pisos</t>
        </is>
      </c>
      <c r="J348" s="7" t="inlineStr">
        <is>
          <t>estandar</t>
        </is>
      </c>
      <c r="K348" s="7" t="inlineStr">
        <is>
          <t>importado</t>
        </is>
      </c>
      <c r="L348" s="7" t="inlineStr">
        <is>
          <t>Verificado</t>
        </is>
      </c>
      <c r="M348" s="8" t="n">
        <v>1</v>
      </c>
      <c r="N348" s="9" t="n">
        <v>610.3</v>
      </c>
      <c r="O348" s="9" t="n">
        <v>610.3</v>
      </c>
      <c r="P348" s="9" t="n">
        <v>610.3</v>
      </c>
      <c r="Q348" s="7" t="inlineStr">
        <is>
          <t>Sí</t>
        </is>
      </c>
      <c r="R348" s="9">
        <f>IF(N348="","",IF(Q348="Sí",ROUND(N348/1.18,2),N348))</f>
        <v/>
      </c>
      <c r="S348" s="7" t="inlineStr">
        <is>
          <t>2026-09-09</t>
        </is>
      </c>
      <c r="T348" s="5" t="inlineStr">
        <is>
          <t>1 cotización de proveedores</t>
        </is>
      </c>
    </row>
    <row r="349">
      <c r="A349" s="7" t="inlineStr">
        <is>
          <t>MAT-02-051</t>
        </is>
      </c>
      <c r="B349" s="7" t="inlineStr">
        <is>
          <t>Materiales</t>
        </is>
      </c>
      <c r="C349" s="7" t="inlineStr">
        <is>
          <t>Cemento, morteros y aditivos</t>
        </is>
      </c>
      <c r="D349" s="5" t="inlineStr">
        <is>
          <t>Pegamento Ceramica Weco W-761 Blanco 10 lb</t>
        </is>
      </c>
      <c r="E349" s="5" t="inlineStr">
        <is>
          <t>marca WEC · polvo · 10lbs</t>
        </is>
      </c>
      <c r="F349" s="5" t="inlineStr">
        <is>
          <t>Material retirado en almacén</t>
        </is>
      </c>
      <c r="G349" s="5" t="inlineStr">
        <is>
          <t>pegamento de cerámica</t>
        </is>
      </c>
      <c r="H349" s="7" t="inlineStr">
        <is>
          <t>unidad</t>
        </is>
      </c>
      <c r="I349" s="7" t="inlineStr">
        <is>
          <t>Pisos</t>
        </is>
      </c>
      <c r="J349" s="7" t="inlineStr">
        <is>
          <t>estandar</t>
        </is>
      </c>
      <c r="K349" s="7" t="inlineStr">
        <is>
          <t>importado</t>
        </is>
      </c>
      <c r="L349" s="7" t="inlineStr">
        <is>
          <t>Verificado</t>
        </is>
      </c>
      <c r="M349" s="8" t="n">
        <v>1</v>
      </c>
      <c r="N349" s="9" t="n">
        <v>437.75</v>
      </c>
      <c r="O349" s="9" t="n">
        <v>437.75</v>
      </c>
      <c r="P349" s="9" t="n">
        <v>437.75</v>
      </c>
      <c r="Q349" s="7" t="inlineStr">
        <is>
          <t>Sí</t>
        </is>
      </c>
      <c r="R349" s="9">
        <f>IF(N349="","",IF(Q349="Sí",ROUND(N349/1.18,2),N349))</f>
        <v/>
      </c>
      <c r="S349" s="7" t="inlineStr">
        <is>
          <t>2026-09-09</t>
        </is>
      </c>
      <c r="T349" s="5" t="inlineStr">
        <is>
          <t>1 cotización de proveedores</t>
        </is>
      </c>
    </row>
    <row r="350">
      <c r="A350" s="7" t="inlineStr">
        <is>
          <t>MAT-02-052</t>
        </is>
      </c>
      <c r="B350" s="7" t="inlineStr">
        <is>
          <t>Materiales</t>
        </is>
      </c>
      <c r="C350" s="7" t="inlineStr">
        <is>
          <t>Cemento, morteros y aditivos</t>
        </is>
      </c>
      <c r="D350" s="5" t="inlineStr">
        <is>
          <t>Pegamento Ceramica Weco W-900 WE0810454 Blanco 10 lb</t>
        </is>
      </c>
      <c r="E350" s="5" t="inlineStr">
        <is>
          <t>marca WEC · 10lbs</t>
        </is>
      </c>
      <c r="F350" s="5" t="inlineStr">
        <is>
          <t>Material retirado en almacén</t>
        </is>
      </c>
      <c r="G350" s="5" t="inlineStr">
        <is>
          <t>pegamento de cerámica</t>
        </is>
      </c>
      <c r="H350" s="7" t="inlineStr">
        <is>
          <t>funda</t>
        </is>
      </c>
      <c r="I350" s="7" t="inlineStr">
        <is>
          <t>Pisos</t>
        </is>
      </c>
      <c r="J350" s="7" t="inlineStr">
        <is>
          <t>estandar</t>
        </is>
      </c>
      <c r="K350" s="7" t="inlineStr">
        <is>
          <t>importado</t>
        </is>
      </c>
      <c r="L350" s="7" t="inlineStr">
        <is>
          <t>Verificado</t>
        </is>
      </c>
      <c r="M350" s="8" t="n">
        <v>1</v>
      </c>
      <c r="N350" s="9" t="n">
        <v>569.5</v>
      </c>
      <c r="O350" s="9" t="n">
        <v>569.5</v>
      </c>
      <c r="P350" s="9" t="n">
        <v>569.5</v>
      </c>
      <c r="Q350" s="7" t="inlineStr">
        <is>
          <t>Sí</t>
        </is>
      </c>
      <c r="R350" s="9">
        <f>IF(N350="","",IF(Q350="Sí",ROUND(N350/1.18,2),N350))</f>
        <v/>
      </c>
      <c r="S350" s="7" t="inlineStr">
        <is>
          <t>2026-09-09</t>
        </is>
      </c>
      <c r="T350" s="5" t="inlineStr">
        <is>
          <t>1 cotización de proveedores</t>
        </is>
      </c>
    </row>
    <row r="351">
      <c r="A351" s="7" t="inlineStr">
        <is>
          <t>MAT-02-053</t>
        </is>
      </c>
      <c r="B351" s="7" t="inlineStr">
        <is>
          <t>Materiales</t>
        </is>
      </c>
      <c r="C351" s="7" t="inlineStr">
        <is>
          <t>Cemento, morteros y aditivos</t>
        </is>
      </c>
      <c r="D351" s="5" t="inlineStr">
        <is>
          <t>Derretido para cerámica, funda de 10 libras</t>
        </is>
      </c>
      <c r="E351" s="5" t="inlineStr">
        <is>
          <t>Fragua en polvo para juntas de cerámica y porcelanato · funda de 10 libras</t>
        </is>
      </c>
      <c r="F351" s="5" t="inlineStr">
        <is>
          <t>Material retirado en almacén</t>
        </is>
      </c>
      <c r="G351" s="5" t="inlineStr">
        <is>
          <t>derretido, grout, fragua</t>
        </is>
      </c>
      <c r="H351" s="7" t="inlineStr">
        <is>
          <t>funda</t>
        </is>
      </c>
      <c r="I351" s="7" t="inlineStr">
        <is>
          <t>Pisos</t>
        </is>
      </c>
      <c r="J351" s="7" t="inlineStr">
        <is>
          <t>estandar</t>
        </is>
      </c>
      <c r="K351" s="7" t="inlineStr">
        <is>
          <t>importado</t>
        </is>
      </c>
      <c r="L351" s="7" t="inlineStr">
        <is>
          <t>Verificado</t>
        </is>
      </c>
      <c r="M351" s="8" t="n">
        <v>1</v>
      </c>
      <c r="N351" s="9" t="n">
        <v>553.35</v>
      </c>
      <c r="O351" s="9" t="n">
        <v>328</v>
      </c>
      <c r="P351" s="9" t="n">
        <v>712</v>
      </c>
      <c r="Q351" s="7" t="inlineStr">
        <is>
          <t>Sí</t>
        </is>
      </c>
      <c r="R351" s="9">
        <f>IF(N351="","",IF(Q351="Sí",ROUND(N351/1.18,2),N351))</f>
        <v/>
      </c>
      <c r="S351" s="7" t="inlineStr">
        <is>
          <t>2026-09-09</t>
        </is>
      </c>
      <c r="T351" s="5" t="inlineStr">
        <is>
          <t>13 cotizaciones de proveedores</t>
        </is>
      </c>
    </row>
    <row r="352">
      <c r="A352" s="7" t="inlineStr">
        <is>
          <t>MAT-02-054</t>
        </is>
      </c>
      <c r="B352" s="7" t="inlineStr">
        <is>
          <t>Materiales</t>
        </is>
      </c>
      <c r="C352" s="7" t="inlineStr">
        <is>
          <t>Cemento, morteros y aditivos</t>
        </is>
      </c>
      <c r="D352" s="5" t="inlineStr">
        <is>
          <t>Pegamento de cerámica gris, funda 22.7 kg (50 lb)</t>
        </is>
      </c>
      <c r="E352" s="5" t="inlineStr">
        <is>
          <t>Adhesivo cementicio gris para cerámica · funda de 50 libras</t>
        </is>
      </c>
      <c r="F352" s="5" t="inlineStr">
        <is>
          <t>Material retirado en almacén</t>
        </is>
      </c>
      <c r="G352" s="5" t="inlineStr">
        <is>
          <t>pegamento de cerámica, mortero cola, pega</t>
        </is>
      </c>
      <c r="H352" s="7" t="inlineStr">
        <is>
          <t>funda</t>
        </is>
      </c>
      <c r="I352" s="7" t="inlineStr">
        <is>
          <t>Pisos</t>
        </is>
      </c>
      <c r="J352" s="7" t="inlineStr">
        <is>
          <t>estandar</t>
        </is>
      </c>
      <c r="K352" s="7" t="inlineStr">
        <is>
          <t>nacional</t>
        </is>
      </c>
      <c r="L352" s="7" t="inlineStr">
        <is>
          <t>Verificado</t>
        </is>
      </c>
      <c r="M352" s="8" t="n">
        <v>1</v>
      </c>
      <c r="N352" s="9" t="n">
        <v>330.5</v>
      </c>
      <c r="O352" s="9" t="n">
        <v>325</v>
      </c>
      <c r="P352" s="9" t="n">
        <v>336</v>
      </c>
      <c r="Q352" s="7" t="inlineStr">
        <is>
          <t>Sí</t>
        </is>
      </c>
      <c r="R352" s="9">
        <f>IF(N352="","",IF(Q352="Sí",ROUND(N352/1.18,2),N352))</f>
        <v/>
      </c>
      <c r="S352" s="7" t="inlineStr">
        <is>
          <t>2026-09-09</t>
        </is>
      </c>
      <c r="T352" s="5" t="inlineStr">
        <is>
          <t>2 cotizaciones de proveedores</t>
        </is>
      </c>
    </row>
    <row r="353">
      <c r="A353" s="7" t="inlineStr">
        <is>
          <t>MAT-02-055</t>
        </is>
      </c>
      <c r="B353" s="7" t="inlineStr">
        <is>
          <t>Materiales</t>
        </is>
      </c>
      <c r="C353" s="7" t="inlineStr">
        <is>
          <t>Cemento, morteros y aditivos</t>
        </is>
      </c>
      <c r="D353" s="5" t="inlineStr">
        <is>
          <t>Cemento gris, funda de 5 libras</t>
        </is>
      </c>
      <c r="E353" s="5" t="inlineStr">
        <is>
          <t>Cemento gris en presentación menuda, para reparaciones · 5 libras</t>
        </is>
      </c>
      <c r="F353" s="5" t="inlineStr">
        <is>
          <t>Material retirado en almacén</t>
        </is>
      </c>
      <c r="G353" s="5" t="inlineStr">
        <is>
          <t>cemento gris, funda pequeña de cemento</t>
        </is>
      </c>
      <c r="H353" s="7" t="inlineStr">
        <is>
          <t>funda</t>
        </is>
      </c>
      <c r="I353" s="7" t="inlineStr">
        <is>
          <t>Terminación de superficies</t>
        </is>
      </c>
      <c r="J353" s="7" t="inlineStr">
        <is>
          <t>estandar</t>
        </is>
      </c>
      <c r="K353" s="7" t="inlineStr">
        <is>
          <t>nacional</t>
        </is>
      </c>
      <c r="L353" s="7" t="inlineStr">
        <is>
          <t>Verificado</t>
        </is>
      </c>
      <c r="M353" s="8" t="n">
        <v>1</v>
      </c>
      <c r="N353" s="9" t="n">
        <v>34.36</v>
      </c>
      <c r="O353" s="9" t="n">
        <v>34.36</v>
      </c>
      <c r="P353" s="9" t="n">
        <v>34.36</v>
      </c>
      <c r="Q353" s="7" t="inlineStr">
        <is>
          <t>Sí</t>
        </is>
      </c>
      <c r="R353" s="9">
        <f>IF(N353="","",IF(Q353="Sí",ROUND(N353/1.18,2),N353))</f>
        <v/>
      </c>
      <c r="S353" s="7" t="inlineStr">
        <is>
          <t>2026-09-09</t>
        </is>
      </c>
      <c r="T353" s="5" t="inlineStr">
        <is>
          <t>1 cotización de proveedores</t>
        </is>
      </c>
    </row>
    <row r="354">
      <c r="A354" s="7" t="inlineStr">
        <is>
          <t>MAT-02-056</t>
        </is>
      </c>
      <c r="B354" s="7" t="inlineStr">
        <is>
          <t>Materiales</t>
        </is>
      </c>
      <c r="C354" s="7" t="inlineStr">
        <is>
          <t>Cemento, morteros y aditivos</t>
        </is>
      </c>
      <c r="D354" s="5" t="inlineStr">
        <is>
          <t>Cemento gris, funda de 10 libras</t>
        </is>
      </c>
      <c r="E354" s="5" t="inlineStr">
        <is>
          <t>Cemento gris en presentación menuda, para reparaciones · 10 libras</t>
        </is>
      </c>
      <c r="F354" s="5" t="inlineStr">
        <is>
          <t>Material retirado en almacén</t>
        </is>
      </c>
      <c r="G354" s="5" t="inlineStr">
        <is>
          <t>cemento gris, funda pequeña de cemento</t>
        </is>
      </c>
      <c r="H354" s="7" t="inlineStr">
        <is>
          <t>funda</t>
        </is>
      </c>
      <c r="I354" s="7" t="inlineStr">
        <is>
          <t>Terminación de superficies</t>
        </is>
      </c>
      <c r="J354" s="7" t="inlineStr">
        <is>
          <t>estandar</t>
        </is>
      </c>
      <c r="K354" s="7" t="inlineStr">
        <is>
          <t>nacional</t>
        </is>
      </c>
      <c r="L354" s="7" t="inlineStr">
        <is>
          <t>Verificado</t>
        </is>
      </c>
      <c r="M354" s="8" t="n">
        <v>2</v>
      </c>
      <c r="N354" s="9" t="n">
        <v>119.48</v>
      </c>
      <c r="O354" s="9" t="n">
        <v>65.95999999999999</v>
      </c>
      <c r="P354" s="9" t="n">
        <v>173</v>
      </c>
      <c r="Q354" s="7" t="inlineStr">
        <is>
          <t>Sí</t>
        </is>
      </c>
      <c r="R354" s="9">
        <f>IF(N354="","",IF(Q354="Sí",ROUND(N354/1.18,2),N354))</f>
        <v/>
      </c>
      <c r="S354" s="7" t="inlineStr">
        <is>
          <t>2026-09-09</t>
        </is>
      </c>
      <c r="T354" s="5" t="inlineStr">
        <is>
          <t>2 cotizaciones de proveedores</t>
        </is>
      </c>
    </row>
    <row r="355">
      <c r="A355" s="7" t="inlineStr">
        <is>
          <t>MAT-02-057</t>
        </is>
      </c>
      <c r="B355" s="7" t="inlineStr">
        <is>
          <t>Materiales</t>
        </is>
      </c>
      <c r="C355" s="7" t="inlineStr">
        <is>
          <t>Cemento, morteros y aditivos</t>
        </is>
      </c>
      <c r="D355" s="5" t="inlineStr">
        <is>
          <t>Cemento blanco, funda de 2 libras</t>
        </is>
      </c>
      <c r="E355" s="5" t="inlineStr">
        <is>
          <t>Cemento blanco en presentación menuda, para detalles y reparaciones · 2 libras</t>
        </is>
      </c>
      <c r="F355" s="5" t="inlineStr">
        <is>
          <t>Material retirado en almacén</t>
        </is>
      </c>
      <c r="G355" s="5" t="inlineStr">
        <is>
          <t>cemento blanco</t>
        </is>
      </c>
      <c r="H355" s="7" t="inlineStr">
        <is>
          <t>funda</t>
        </is>
      </c>
      <c r="I355" s="7" t="inlineStr">
        <is>
          <t>Terminación de superficies</t>
        </is>
      </c>
      <c r="J355" s="7" t="inlineStr">
        <is>
          <t>estandar</t>
        </is>
      </c>
      <c r="K355" s="7" t="inlineStr">
        <is>
          <t>importado</t>
        </is>
      </c>
      <c r="L355" s="7" t="inlineStr">
        <is>
          <t>Verificado</t>
        </is>
      </c>
      <c r="M355" s="8" t="n">
        <v>2</v>
      </c>
      <c r="N355" s="9" t="n">
        <v>53.49</v>
      </c>
      <c r="O355" s="9" t="n">
        <v>49.97</v>
      </c>
      <c r="P355" s="9" t="n">
        <v>57</v>
      </c>
      <c r="Q355" s="7" t="inlineStr">
        <is>
          <t>Sí</t>
        </is>
      </c>
      <c r="R355" s="9">
        <f>IF(N355="","",IF(Q355="Sí",ROUND(N355/1.18,2),N355))</f>
        <v/>
      </c>
      <c r="S355" s="7" t="inlineStr">
        <is>
          <t>2026-09-09</t>
        </is>
      </c>
      <c r="T355" s="5" t="inlineStr">
        <is>
          <t>2 cotizaciones de proveedores</t>
        </is>
      </c>
    </row>
    <row r="356">
      <c r="A356" s="7" t="inlineStr">
        <is>
          <t>MAT-02-058</t>
        </is>
      </c>
      <c r="B356" s="7" t="inlineStr">
        <is>
          <t>Materiales</t>
        </is>
      </c>
      <c r="C356" s="7" t="inlineStr">
        <is>
          <t>Cemento, morteros y aditivos</t>
        </is>
      </c>
      <c r="D356" s="5" t="inlineStr">
        <is>
          <t>Cemento blanco, funda de 5 libras</t>
        </is>
      </c>
      <c r="E356" s="5" t="inlineStr">
        <is>
          <t>Cemento blanco en presentación menuda, para detalles y reparaciones · 5 libras</t>
        </is>
      </c>
      <c r="F356" s="5" t="inlineStr">
        <is>
          <t>Material retirado en almacén</t>
        </is>
      </c>
      <c r="G356" s="5" t="inlineStr">
        <is>
          <t>cemento blanco</t>
        </is>
      </c>
      <c r="H356" s="7" t="inlineStr">
        <is>
          <t>funda</t>
        </is>
      </c>
      <c r="I356" s="7" t="inlineStr">
        <is>
          <t>Terminación de superficies</t>
        </is>
      </c>
      <c r="J356" s="7" t="inlineStr">
        <is>
          <t>estandar</t>
        </is>
      </c>
      <c r="K356" s="7" t="inlineStr">
        <is>
          <t>importado</t>
        </is>
      </c>
      <c r="L356" s="7" t="inlineStr">
        <is>
          <t>Verificado</t>
        </is>
      </c>
      <c r="M356" s="8" t="n">
        <v>2</v>
      </c>
      <c r="N356" s="9" t="n">
        <v>120.97</v>
      </c>
      <c r="O356" s="9" t="n">
        <v>109.93</v>
      </c>
      <c r="P356" s="9" t="n">
        <v>132</v>
      </c>
      <c r="Q356" s="7" t="inlineStr">
        <is>
          <t>Sí</t>
        </is>
      </c>
      <c r="R356" s="9">
        <f>IF(N356="","",IF(Q356="Sí",ROUND(N356/1.18,2),N356))</f>
        <v/>
      </c>
      <c r="S356" s="7" t="inlineStr">
        <is>
          <t>2026-09-09</t>
        </is>
      </c>
      <c r="T356" s="5" t="inlineStr">
        <is>
          <t>2 cotizaciones de proveedores</t>
        </is>
      </c>
    </row>
    <row r="357">
      <c r="A357" s="7" t="inlineStr">
        <is>
          <t>MAT-02-059</t>
        </is>
      </c>
      <c r="B357" s="7" t="inlineStr">
        <is>
          <t>Materiales</t>
        </is>
      </c>
      <c r="C357" s="7" t="inlineStr">
        <is>
          <t>Cemento, morteros y aditivos</t>
        </is>
      </c>
      <c r="D357" s="5" t="inlineStr">
        <is>
          <t>Cemento blanco, funda de 10 libras</t>
        </is>
      </c>
      <c r="E357" s="5" t="inlineStr">
        <is>
          <t>Cemento blanco en presentación menuda, para detalles y reparaciones · 10 libras</t>
        </is>
      </c>
      <c r="F357" s="5" t="inlineStr">
        <is>
          <t>Material retirado en almacén</t>
        </is>
      </c>
      <c r="G357" s="5" t="inlineStr">
        <is>
          <t>cemento blanco</t>
        </is>
      </c>
      <c r="H357" s="7" t="inlineStr">
        <is>
          <t>funda</t>
        </is>
      </c>
      <c r="I357" s="7" t="inlineStr">
        <is>
          <t>Terminación de superficies</t>
        </is>
      </c>
      <c r="J357" s="7" t="inlineStr">
        <is>
          <t>estandar</t>
        </is>
      </c>
      <c r="K357" s="7" t="inlineStr">
        <is>
          <t>importado</t>
        </is>
      </c>
      <c r="L357" s="7" t="inlineStr">
        <is>
          <t>Verificado</t>
        </is>
      </c>
      <c r="M357" s="8" t="n">
        <v>1</v>
      </c>
      <c r="N357" s="9" t="n">
        <v>159.1</v>
      </c>
      <c r="O357" s="9" t="n">
        <v>159.1</v>
      </c>
      <c r="P357" s="9" t="n">
        <v>159.1</v>
      </c>
      <c r="Q357" s="7" t="inlineStr">
        <is>
          <t>Sí</t>
        </is>
      </c>
      <c r="R357" s="9">
        <f>IF(N357="","",IF(Q357="Sí",ROUND(N357/1.18,2),N357))</f>
        <v/>
      </c>
      <c r="S357" s="7" t="inlineStr">
        <is>
          <t>2026-09-09</t>
        </is>
      </c>
      <c r="T357" s="5" t="inlineStr">
        <is>
          <t>1 cotización de proveedores</t>
        </is>
      </c>
    </row>
    <row r="358">
      <c r="A358" s="7" t="inlineStr">
        <is>
          <t>MAT-02-060</t>
        </is>
      </c>
      <c r="B358" s="7" t="inlineStr">
        <is>
          <t>Materiales</t>
        </is>
      </c>
      <c r="C358" s="7" t="inlineStr">
        <is>
          <t>Cemento, morteros y aditivos</t>
        </is>
      </c>
      <c r="D358" s="5" t="inlineStr">
        <is>
          <t>Yeso en polvo, por libra</t>
        </is>
      </c>
      <c r="E358" s="5" t="inlineStr">
        <is>
          <t>Yeso de construcción a granel, despachado por libra</t>
        </is>
      </c>
      <c r="F358" s="5" t="inlineStr">
        <is>
          <t>Material retirado en almacén</t>
        </is>
      </c>
      <c r="G358" s="5" t="inlineStr">
        <is>
          <t>yeso en polvo, yeso de obra</t>
        </is>
      </c>
      <c r="H358" s="7" t="inlineStr">
        <is>
          <t>lb</t>
        </is>
      </c>
      <c r="I358" s="7" t="inlineStr">
        <is>
          <t>Terminación de superficies</t>
        </is>
      </c>
      <c r="J358" s="7" t="inlineStr">
        <is>
          <t>estandar</t>
        </is>
      </c>
      <c r="K358" s="7" t="inlineStr">
        <is>
          <t>nacional</t>
        </is>
      </c>
      <c r="L358" s="7" t="inlineStr">
        <is>
          <t>Verificado</t>
        </is>
      </c>
      <c r="M358" s="8" t="n">
        <v>1</v>
      </c>
      <c r="N358" s="9" t="n">
        <v>4.8</v>
      </c>
      <c r="O358" s="9" t="n">
        <v>4.8</v>
      </c>
      <c r="P358" s="9" t="n">
        <v>4.8</v>
      </c>
      <c r="Q358" s="7" t="inlineStr">
        <is>
          <t>Sí</t>
        </is>
      </c>
      <c r="R358" s="9">
        <f>IF(N358="","",IF(Q358="Sí",ROUND(N358/1.18,2),N358))</f>
        <v/>
      </c>
      <c r="S358" s="7" t="inlineStr">
        <is>
          <t>2026-09-09</t>
        </is>
      </c>
      <c r="T358" s="5" t="inlineStr">
        <is>
          <t>1 cotización de proveedores</t>
        </is>
      </c>
    </row>
    <row r="359">
      <c r="A359" s="7" t="inlineStr">
        <is>
          <t>MAT-02-061</t>
        </is>
      </c>
      <c r="B359" s="7" t="inlineStr">
        <is>
          <t>Materiales</t>
        </is>
      </c>
      <c r="C359" s="7" t="inlineStr">
        <is>
          <t>Cemento, morteros y aditivos</t>
        </is>
      </c>
      <c r="D359" s="5" t="inlineStr">
        <is>
          <t>Yeso en polvo, funda de 5 libras</t>
        </is>
      </c>
      <c r="E359" s="5" t="inlineStr">
        <is>
          <t>Yeso de construcción para plafones y terminación · funda de 5 libras</t>
        </is>
      </c>
      <c r="F359" s="5" t="inlineStr">
        <is>
          <t>Material retirado en almacén</t>
        </is>
      </c>
      <c r="G359" s="5" t="inlineStr">
        <is>
          <t>yeso en polvo, yeso de obra</t>
        </is>
      </c>
      <c r="H359" s="7" t="inlineStr">
        <is>
          <t>funda</t>
        </is>
      </c>
      <c r="I359" s="7" t="inlineStr">
        <is>
          <t>Terminación de superficies</t>
        </is>
      </c>
      <c r="J359" s="7" t="inlineStr">
        <is>
          <t>estandar</t>
        </is>
      </c>
      <c r="K359" s="7" t="inlineStr">
        <is>
          <t>nacional</t>
        </is>
      </c>
      <c r="L359" s="7" t="inlineStr">
        <is>
          <t>Verificado</t>
        </is>
      </c>
      <c r="M359" s="8" t="n">
        <v>1</v>
      </c>
      <c r="N359" s="9" t="n">
        <v>37.93</v>
      </c>
      <c r="O359" s="9" t="n">
        <v>37.93</v>
      </c>
      <c r="P359" s="9" t="n">
        <v>37.93</v>
      </c>
      <c r="Q359" s="7" t="inlineStr">
        <is>
          <t>Sí</t>
        </is>
      </c>
      <c r="R359" s="9">
        <f>IF(N359="","",IF(Q359="Sí",ROUND(N359/1.18,2),N359))</f>
        <v/>
      </c>
      <c r="S359" s="7" t="inlineStr">
        <is>
          <t>2026-09-09</t>
        </is>
      </c>
      <c r="T359" s="5" t="inlineStr">
        <is>
          <t>1 cotización de proveedores</t>
        </is>
      </c>
    </row>
    <row r="360">
      <c r="A360" s="7" t="inlineStr">
        <is>
          <t>MAT-02-062</t>
        </is>
      </c>
      <c r="B360" s="7" t="inlineStr">
        <is>
          <t>Materiales</t>
        </is>
      </c>
      <c r="C360" s="7" t="inlineStr">
        <is>
          <t>Cemento, morteros y aditivos</t>
        </is>
      </c>
      <c r="D360" s="5" t="inlineStr">
        <is>
          <t>Yeso en polvo Paloma, funda de 65 libras</t>
        </is>
      </c>
      <c r="E360" s="5" t="inlineStr">
        <is>
          <t>Yeso de construcción para plafones y terminación · funda de 65 libras</t>
        </is>
      </c>
      <c r="F360" s="5" t="inlineStr">
        <is>
          <t>Material retirado en almacén</t>
        </is>
      </c>
      <c r="G360" s="5" t="inlineStr">
        <is>
          <t>yeso en polvo, yeso de obra</t>
        </is>
      </c>
      <c r="H360" s="7" t="inlineStr">
        <is>
          <t>funda</t>
        </is>
      </c>
      <c r="I360" s="7" t="inlineStr">
        <is>
          <t>Terminación de superficies</t>
        </is>
      </c>
      <c r="J360" s="7" t="inlineStr">
        <is>
          <t>estandar</t>
        </is>
      </c>
      <c r="K360" s="7" t="inlineStr">
        <is>
          <t>nacional</t>
        </is>
      </c>
      <c r="L360" s="7" t="inlineStr">
        <is>
          <t>Verificado</t>
        </is>
      </c>
      <c r="M360" s="8" t="n">
        <v>1</v>
      </c>
      <c r="N360" s="9" t="n">
        <v>373.64</v>
      </c>
      <c r="O360" s="9" t="n">
        <v>373.64</v>
      </c>
      <c r="P360" s="9" t="n">
        <v>373.64</v>
      </c>
      <c r="Q360" s="7" t="inlineStr">
        <is>
          <t>Sí</t>
        </is>
      </c>
      <c r="R360" s="9">
        <f>IF(N360="","",IF(Q360="Sí",ROUND(N360/1.18,2),N360))</f>
        <v/>
      </c>
      <c r="S360" s="7" t="inlineStr">
        <is>
          <t>2026-09-09</t>
        </is>
      </c>
      <c r="T360" s="5" t="inlineStr">
        <is>
          <t>1 cotización de proveedores</t>
        </is>
      </c>
    </row>
    <row r="361">
      <c r="A361" s="7" t="inlineStr">
        <is>
          <t>MAT-02-063</t>
        </is>
      </c>
      <c r="B361" s="7" t="inlineStr">
        <is>
          <t>Materiales</t>
        </is>
      </c>
      <c r="C361" s="7" t="inlineStr">
        <is>
          <t>Cemento, morteros y aditivos</t>
        </is>
      </c>
      <c r="D361" s="5" t="inlineStr">
        <is>
          <t>Fibra de acero para hormigón, funda de 5.3 kg</t>
        </is>
      </c>
      <c r="E361" s="5" t="inlineStr">
        <is>
          <t>Refuerzo disperso para losas y pisos industriales · funda de 5.3 kg</t>
        </is>
      </c>
      <c r="F361" s="5" t="inlineStr">
        <is>
          <t>Material retirado en almacén</t>
        </is>
      </c>
      <c r="G361" s="5" t="inlineStr">
        <is>
          <t>fibra metálica para hormigón</t>
        </is>
      </c>
      <c r="H361" s="7" t="inlineStr">
        <is>
          <t>funda</t>
        </is>
      </c>
      <c r="I361" s="7" t="inlineStr">
        <is>
          <t>Estructura</t>
        </is>
      </c>
      <c r="J361" s="7" t="inlineStr">
        <is>
          <t>estandar</t>
        </is>
      </c>
      <c r="K361" s="7" t="inlineStr">
        <is>
          <t>importado</t>
        </is>
      </c>
      <c r="L361" s="7" t="inlineStr">
        <is>
          <t>Verificado</t>
        </is>
      </c>
      <c r="M361" s="8" t="n">
        <v>1</v>
      </c>
      <c r="N361" s="9" t="n">
        <v>1295.68</v>
      </c>
      <c r="O361" s="9" t="n">
        <v>1295.68</v>
      </c>
      <c r="P361" s="9" t="n">
        <v>1295.68</v>
      </c>
      <c r="Q361" s="7" t="inlineStr">
        <is>
          <t>Sí</t>
        </is>
      </c>
      <c r="R361" s="9">
        <f>IF(N361="","",IF(Q361="Sí",ROUND(N361/1.18,2),N361))</f>
        <v/>
      </c>
      <c r="S361" s="7" t="inlineStr">
        <is>
          <t>2026-09-09</t>
        </is>
      </c>
      <c r="T361" s="5" t="inlineStr">
        <is>
          <t>1 cotización de proveedores</t>
        </is>
      </c>
    </row>
    <row r="362">
      <c r="A362" s="7" t="inlineStr">
        <is>
          <t>MAT-02-064</t>
        </is>
      </c>
      <c r="B362" s="7" t="inlineStr">
        <is>
          <t>Materiales</t>
        </is>
      </c>
      <c r="C362" s="7" t="inlineStr">
        <is>
          <t>Cemento, morteros y aditivos</t>
        </is>
      </c>
      <c r="D362" s="5" t="inlineStr">
        <is>
          <t>Macrofibra sintética para hormigón, funda de 1.5 kg</t>
        </is>
      </c>
      <c r="E362" s="5" t="inlineStr">
        <is>
          <t>Refuerzo disperso para losas y pisos industriales · funda de 1.5 kg</t>
        </is>
      </c>
      <c r="F362" s="5" t="inlineStr">
        <is>
          <t>Material retirado en almacén</t>
        </is>
      </c>
      <c r="G362" s="5" t="inlineStr">
        <is>
          <t>fibra sintética, macrofibra</t>
        </is>
      </c>
      <c r="H362" s="7" t="inlineStr">
        <is>
          <t>funda</t>
        </is>
      </c>
      <c r="I362" s="7" t="inlineStr">
        <is>
          <t>Estructura</t>
        </is>
      </c>
      <c r="J362" s="7" t="inlineStr">
        <is>
          <t>estandar</t>
        </is>
      </c>
      <c r="K362" s="7" t="inlineStr">
        <is>
          <t>importado</t>
        </is>
      </c>
      <c r="L362" s="7" t="inlineStr">
        <is>
          <t>Verificado</t>
        </is>
      </c>
      <c r="M362" s="8" t="n">
        <v>1</v>
      </c>
      <c r="N362" s="9" t="n">
        <v>807.79</v>
      </c>
      <c r="O362" s="9" t="n">
        <v>807.79</v>
      </c>
      <c r="P362" s="9" t="n">
        <v>807.79</v>
      </c>
      <c r="Q362" s="7" t="inlineStr">
        <is>
          <t>Sí</t>
        </is>
      </c>
      <c r="R362" s="9">
        <f>IF(N362="","",IF(Q362="Sí",ROUND(N362/1.18,2),N362))</f>
        <v/>
      </c>
      <c r="S362" s="7" t="inlineStr">
        <is>
          <t>2026-09-09</t>
        </is>
      </c>
      <c r="T362" s="5" t="inlineStr">
        <is>
          <t>1 cotización de proveedores</t>
        </is>
      </c>
    </row>
    <row r="363">
      <c r="A363" s="7" t="inlineStr">
        <is>
          <t>MAT-04-027</t>
        </is>
      </c>
      <c r="B363" s="7" t="inlineStr">
        <is>
          <t>Materiales</t>
        </is>
      </c>
      <c r="C363" s="7" t="inlineStr">
        <is>
          <t>Acero de refuerzo y metales</t>
        </is>
      </c>
      <c r="D363" s="5" t="inlineStr">
        <is>
          <t>Alambre liso galvanizado calibre 10</t>
        </is>
      </c>
      <c r="E363" s="5" t="inlineStr">
        <is>
          <t>Acero al carbono con acabado galvanizado · calibre 10</t>
        </is>
      </c>
      <c r="F363" s="5" t="inlineStr">
        <is>
          <t>Material retirado en almacén</t>
        </is>
      </c>
      <c r="G363" s="5" t="inlineStr">
        <is>
          <t>alambre galvanizado, alambre de amarre</t>
        </is>
      </c>
      <c r="H363" s="7" t="inlineStr">
        <is>
          <t>lb</t>
        </is>
      </c>
      <c r="I363" s="7" t="inlineStr">
        <is>
          <t>Estructura</t>
        </is>
      </c>
      <c r="J363" s="7" t="inlineStr">
        <is>
          <t>estandar</t>
        </is>
      </c>
      <c r="K363" s="7" t="inlineStr">
        <is>
          <t>nacional</t>
        </is>
      </c>
      <c r="L363" s="7" t="inlineStr">
        <is>
          <t>Verificado</t>
        </is>
      </c>
      <c r="M363" s="8" t="n">
        <v>1</v>
      </c>
      <c r="N363" s="9" t="n">
        <v>61.12</v>
      </c>
      <c r="O363" s="9" t="n">
        <v>61.12</v>
      </c>
      <c r="P363" s="9" t="n">
        <v>61.12</v>
      </c>
      <c r="Q363" s="7" t="inlineStr">
        <is>
          <t>Sí</t>
        </is>
      </c>
      <c r="R363" s="9">
        <f>IF(N363="","",IF(Q363="Sí",ROUND(N363/1.18,2),N363))</f>
        <v/>
      </c>
      <c r="S363" s="7" t="inlineStr">
        <is>
          <t>2026-09-09</t>
        </is>
      </c>
      <c r="T363" s="5" t="inlineStr">
        <is>
          <t>1 cotización de proveedores</t>
        </is>
      </c>
    </row>
    <row r="364">
      <c r="A364" s="7" t="inlineStr">
        <is>
          <t>MAT-04-028</t>
        </is>
      </c>
      <c r="B364" s="7" t="inlineStr">
        <is>
          <t>Materiales</t>
        </is>
      </c>
      <c r="C364" s="7" t="inlineStr">
        <is>
          <t>Acero de refuerzo y metales</t>
        </is>
      </c>
      <c r="D364" s="5" t="inlineStr">
        <is>
          <t>Alambre liso galvanizado calibre 12</t>
        </is>
      </c>
      <c r="E364" s="5" t="inlineStr">
        <is>
          <t>Acero al carbono con acabado galvanizado · calibre 12</t>
        </is>
      </c>
      <c r="F364" s="5" t="inlineStr">
        <is>
          <t>Material retirado en almacén</t>
        </is>
      </c>
      <c r="G364" s="5" t="inlineStr">
        <is>
          <t>alambre galvanizado, alambre de amarre</t>
        </is>
      </c>
      <c r="H364" s="7" t="inlineStr">
        <is>
          <t>lb</t>
        </is>
      </c>
      <c r="I364" s="7" t="inlineStr">
        <is>
          <t>Estructura</t>
        </is>
      </c>
      <c r="J364" s="7" t="inlineStr">
        <is>
          <t>estandar</t>
        </is>
      </c>
      <c r="K364" s="7" t="inlineStr">
        <is>
          <t>nacional</t>
        </is>
      </c>
      <c r="L364" s="7" t="inlineStr">
        <is>
          <t>Verificado</t>
        </is>
      </c>
      <c r="M364" s="8" t="n">
        <v>1</v>
      </c>
      <c r="N364" s="9" t="n">
        <v>61.12</v>
      </c>
      <c r="O364" s="9" t="n">
        <v>61.12</v>
      </c>
      <c r="P364" s="9" t="n">
        <v>61.12</v>
      </c>
      <c r="Q364" s="7" t="inlineStr">
        <is>
          <t>Sí</t>
        </is>
      </c>
      <c r="R364" s="9">
        <f>IF(N364="","",IF(Q364="Sí",ROUND(N364/1.18,2),N364))</f>
        <v/>
      </c>
      <c r="S364" s="7" t="inlineStr">
        <is>
          <t>2026-09-09</t>
        </is>
      </c>
      <c r="T364" s="5" t="inlineStr">
        <is>
          <t>1 cotización de proveedores</t>
        </is>
      </c>
    </row>
    <row r="365">
      <c r="A365" s="7" t="inlineStr">
        <is>
          <t>MAT-04-029</t>
        </is>
      </c>
      <c r="B365" s="7" t="inlineStr">
        <is>
          <t>Materiales</t>
        </is>
      </c>
      <c r="C365" s="7" t="inlineStr">
        <is>
          <t>Acero de refuerzo y metales</t>
        </is>
      </c>
      <c r="D365" s="5" t="inlineStr">
        <is>
          <t>Alambre liso galvanizado calibre 16</t>
        </is>
      </c>
      <c r="E365" s="5" t="inlineStr">
        <is>
          <t>Acero al carbono con acabado galvanizado · calibre 16</t>
        </is>
      </c>
      <c r="F365" s="5" t="inlineStr">
        <is>
          <t>Material retirado en almacén</t>
        </is>
      </c>
      <c r="G365" s="5" t="inlineStr">
        <is>
          <t>alambre galvanizado, alambre de amarre</t>
        </is>
      </c>
      <c r="H365" s="7" t="inlineStr">
        <is>
          <t>lb</t>
        </is>
      </c>
      <c r="I365" s="7" t="inlineStr">
        <is>
          <t>Estructura</t>
        </is>
      </c>
      <c r="J365" s="7" t="inlineStr">
        <is>
          <t>estandar</t>
        </is>
      </c>
      <c r="K365" s="7" t="inlineStr">
        <is>
          <t>nacional</t>
        </is>
      </c>
      <c r="L365" s="7" t="inlineStr">
        <is>
          <t>Verificado</t>
        </is>
      </c>
      <c r="M365" s="8" t="n">
        <v>1</v>
      </c>
      <c r="N365" s="9" t="n">
        <v>56.59</v>
      </c>
      <c r="O365" s="9" t="n">
        <v>56.59</v>
      </c>
      <c r="P365" s="9" t="n">
        <v>56.59</v>
      </c>
      <c r="Q365" s="7" t="inlineStr">
        <is>
          <t>Sí</t>
        </is>
      </c>
      <c r="R365" s="9">
        <f>IF(N365="","",IF(Q365="Sí",ROUND(N365/1.18,2),N365))</f>
        <v/>
      </c>
      <c r="S365" s="7" t="inlineStr">
        <is>
          <t>2026-09-09</t>
        </is>
      </c>
      <c r="T365" s="5" t="inlineStr">
        <is>
          <t>1 cotización de proveedores</t>
        </is>
      </c>
    </row>
    <row r="366">
      <c r="A366" s="7" t="inlineStr">
        <is>
          <t>MAT-04-030</t>
        </is>
      </c>
      <c r="B366" s="7" t="inlineStr">
        <is>
          <t>Materiales</t>
        </is>
      </c>
      <c r="C366" s="7" t="inlineStr">
        <is>
          <t>Acero de refuerzo y metales</t>
        </is>
      </c>
      <c r="D366" s="5" t="inlineStr">
        <is>
          <t>Separador plástico para varilla 3/8"</t>
        </is>
      </c>
      <c r="E366" s="5" t="inlineStr">
        <is>
          <t>Silleta plástica para mantener el recubrimiento del acero · 3/8"</t>
        </is>
      </c>
      <c r="F366" s="5" t="inlineStr">
        <is>
          <t>Material retirado en almacén</t>
        </is>
      </c>
      <c r="G366" s="5" t="inlineStr">
        <is>
          <t>silleta, separador de varilla, galleta</t>
        </is>
      </c>
      <c r="H366" s="7" t="inlineStr">
        <is>
          <t>unidad</t>
        </is>
      </c>
      <c r="I366" s="7" t="inlineStr">
        <is>
          <t>Estructura</t>
        </is>
      </c>
      <c r="J366" s="7" t="inlineStr">
        <is>
          <t>estandar</t>
        </is>
      </c>
      <c r="K366" s="7" t="inlineStr">
        <is>
          <t>importado</t>
        </is>
      </c>
      <c r="L366" s="7" t="inlineStr">
        <is>
          <t>Verificado</t>
        </is>
      </c>
      <c r="M366" s="8" t="n">
        <v>1</v>
      </c>
      <c r="N366" s="9" t="n">
        <v>30.48</v>
      </c>
      <c r="O366" s="9" t="n">
        <v>30.48</v>
      </c>
      <c r="P366" s="9" t="n">
        <v>30.48</v>
      </c>
      <c r="Q366" s="7" t="inlineStr">
        <is>
          <t>Sí</t>
        </is>
      </c>
      <c r="R366" s="9">
        <f>IF(N366="","",IF(Q366="Sí",ROUND(N366/1.18,2),N366))</f>
        <v/>
      </c>
      <c r="S366" s="7" t="inlineStr">
        <is>
          <t>2026-09-09</t>
        </is>
      </c>
      <c r="T366" s="5" t="inlineStr">
        <is>
          <t>1 cotización de proveedores</t>
        </is>
      </c>
    </row>
    <row r="367">
      <c r="A367" s="7" t="inlineStr">
        <is>
          <t>MAT-04-031</t>
        </is>
      </c>
      <c r="B367" s="7" t="inlineStr">
        <is>
          <t>Materiales</t>
        </is>
      </c>
      <c r="C367" s="7" t="inlineStr">
        <is>
          <t>Acero de refuerzo y metales</t>
        </is>
      </c>
      <c r="D367" s="5" t="inlineStr">
        <is>
          <t>Separador plástico para varilla 1/2"</t>
        </is>
      </c>
      <c r="E367" s="5" t="inlineStr">
        <is>
          <t>Silleta plástica para mantener el recubrimiento del acero · 1/2"</t>
        </is>
      </c>
      <c r="F367" s="5" t="inlineStr">
        <is>
          <t>Material retirado en almacén</t>
        </is>
      </c>
      <c r="G367" s="5" t="inlineStr">
        <is>
          <t>silleta, separador de varilla, galleta</t>
        </is>
      </c>
      <c r="H367" s="7" t="inlineStr">
        <is>
          <t>unidad</t>
        </is>
      </c>
      <c r="I367" s="7" t="inlineStr">
        <is>
          <t>Estructura</t>
        </is>
      </c>
      <c r="J367" s="7" t="inlineStr">
        <is>
          <t>estandar</t>
        </is>
      </c>
      <c r="K367" s="7" t="inlineStr">
        <is>
          <t>importado</t>
        </is>
      </c>
      <c r="L367" s="7" t="inlineStr">
        <is>
          <t>Verificado</t>
        </is>
      </c>
      <c r="M367" s="8" t="n">
        <v>1</v>
      </c>
      <c r="N367" s="9" t="n">
        <v>45.71</v>
      </c>
      <c r="O367" s="9" t="n">
        <v>45.71</v>
      </c>
      <c r="P367" s="9" t="n">
        <v>45.71</v>
      </c>
      <c r="Q367" s="7" t="inlineStr">
        <is>
          <t>Sí</t>
        </is>
      </c>
      <c r="R367" s="9">
        <f>IF(N367="","",IF(Q367="Sí",ROUND(N367/1.18,2),N367))</f>
        <v/>
      </c>
      <c r="S367" s="7" t="inlineStr">
        <is>
          <t>2026-09-09</t>
        </is>
      </c>
      <c r="T367" s="5" t="inlineStr">
        <is>
          <t>1 cotización de proveedores</t>
        </is>
      </c>
    </row>
    <row r="368">
      <c r="A368" s="7" t="inlineStr">
        <is>
          <t>MAT-04-032</t>
        </is>
      </c>
      <c r="B368" s="7" t="inlineStr">
        <is>
          <t>Materiales</t>
        </is>
      </c>
      <c r="C368" s="7" t="inlineStr">
        <is>
          <t>Acero de refuerzo y metales</t>
        </is>
      </c>
      <c r="D368" s="5" t="inlineStr">
        <is>
          <t>Separador plástico para varilla 5/8"</t>
        </is>
      </c>
      <c r="E368" s="5" t="inlineStr">
        <is>
          <t>Silleta plástica para mantener el recubrimiento del acero · 5/8"</t>
        </is>
      </c>
      <c r="F368" s="5" t="inlineStr">
        <is>
          <t>Material retirado en almacén</t>
        </is>
      </c>
      <c r="G368" s="5" t="inlineStr">
        <is>
          <t>silleta, separador de varilla, galleta</t>
        </is>
      </c>
      <c r="H368" s="7" t="inlineStr">
        <is>
          <t>unidad</t>
        </is>
      </c>
      <c r="I368" s="7" t="inlineStr">
        <is>
          <t>Estructura</t>
        </is>
      </c>
      <c r="J368" s="7" t="inlineStr">
        <is>
          <t>estandar</t>
        </is>
      </c>
      <c r="K368" s="7" t="inlineStr">
        <is>
          <t>importado</t>
        </is>
      </c>
      <c r="L368" s="7" t="inlineStr">
        <is>
          <t>Verificado</t>
        </is>
      </c>
      <c r="M368" s="8" t="n">
        <v>1</v>
      </c>
      <c r="N368" s="9" t="n">
        <v>54.43</v>
      </c>
      <c r="O368" s="9" t="n">
        <v>54.43</v>
      </c>
      <c r="P368" s="9" t="n">
        <v>54.43</v>
      </c>
      <c r="Q368" s="7" t="inlineStr">
        <is>
          <t>Sí</t>
        </is>
      </c>
      <c r="R368" s="9">
        <f>IF(N368="","",IF(Q368="Sí",ROUND(N368/1.18,2),N368))</f>
        <v/>
      </c>
      <c r="S368" s="7" t="inlineStr">
        <is>
          <t>2026-09-09</t>
        </is>
      </c>
      <c r="T368" s="5" t="inlineStr">
        <is>
          <t>1 cotización de proveedores</t>
        </is>
      </c>
    </row>
    <row r="369">
      <c r="A369" s="7" t="inlineStr">
        <is>
          <t>MAT-04-033</t>
        </is>
      </c>
      <c r="B369" s="7" t="inlineStr">
        <is>
          <t>Materiales</t>
        </is>
      </c>
      <c r="C369" s="7" t="inlineStr">
        <is>
          <t>Acero de refuerzo y metales</t>
        </is>
      </c>
      <c r="D369" s="5" t="inlineStr">
        <is>
          <t>Separador plástico para varilla 3/4"</t>
        </is>
      </c>
      <c r="E369" s="5" t="inlineStr">
        <is>
          <t>Silleta plástica para mantener el recubrimiento del acero · 3/4"</t>
        </is>
      </c>
      <c r="F369" s="5" t="inlineStr">
        <is>
          <t>Material retirado en almacén</t>
        </is>
      </c>
      <c r="G369" s="5" t="inlineStr">
        <is>
          <t>silleta, separador de varilla, galleta</t>
        </is>
      </c>
      <c r="H369" s="7" t="inlineStr">
        <is>
          <t>unidad</t>
        </is>
      </c>
      <c r="I369" s="7" t="inlineStr">
        <is>
          <t>Estructura</t>
        </is>
      </c>
      <c r="J369" s="7" t="inlineStr">
        <is>
          <t>estandar</t>
        </is>
      </c>
      <c r="K369" s="7" t="inlineStr">
        <is>
          <t>importado</t>
        </is>
      </c>
      <c r="L369" s="7" t="inlineStr">
        <is>
          <t>Verificado</t>
        </is>
      </c>
      <c r="M369" s="8" t="n">
        <v>1</v>
      </c>
      <c r="N369" s="9" t="n">
        <v>63.13</v>
      </c>
      <c r="O369" s="9" t="n">
        <v>63.13</v>
      </c>
      <c r="P369" s="9" t="n">
        <v>63.13</v>
      </c>
      <c r="Q369" s="7" t="inlineStr">
        <is>
          <t>Sí</t>
        </is>
      </c>
      <c r="R369" s="9">
        <f>IF(N369="","",IF(Q369="Sí",ROUND(N369/1.18,2),N369))</f>
        <v/>
      </c>
      <c r="S369" s="7" t="inlineStr">
        <is>
          <t>2026-09-09</t>
        </is>
      </c>
      <c r="T369" s="5" t="inlineStr">
        <is>
          <t>1 cotización de proveedores</t>
        </is>
      </c>
    </row>
    <row r="370">
      <c r="A370" s="7" t="inlineStr">
        <is>
          <t>MAT-04-034</t>
        </is>
      </c>
      <c r="B370" s="7" t="inlineStr">
        <is>
          <t>Materiales</t>
        </is>
      </c>
      <c r="C370" s="7" t="inlineStr">
        <is>
          <t>Acero de refuerzo y metales</t>
        </is>
      </c>
      <c r="D370" s="5" t="inlineStr">
        <is>
          <t>Separador plástico para varilla 1"</t>
        </is>
      </c>
      <c r="E370" s="5" t="inlineStr">
        <is>
          <t>Silleta plástica para mantener el recubrimiento del acero · 1"</t>
        </is>
      </c>
      <c r="F370" s="5" t="inlineStr">
        <is>
          <t>Material retirado en almacén</t>
        </is>
      </c>
      <c r="G370" s="5" t="inlineStr">
        <is>
          <t>silleta, separador de varilla, galleta</t>
        </is>
      </c>
      <c r="H370" s="7" t="inlineStr">
        <is>
          <t>unidad</t>
        </is>
      </c>
      <c r="I370" s="7" t="inlineStr">
        <is>
          <t>Estructura</t>
        </is>
      </c>
      <c r="J370" s="7" t="inlineStr">
        <is>
          <t>estandar</t>
        </is>
      </c>
      <c r="K370" s="7" t="inlineStr">
        <is>
          <t>importado</t>
        </is>
      </c>
      <c r="L370" s="7" t="inlineStr">
        <is>
          <t>Verificado</t>
        </is>
      </c>
      <c r="M370" s="8" t="n">
        <v>1</v>
      </c>
      <c r="N370" s="9" t="n">
        <v>70.75</v>
      </c>
      <c r="O370" s="9" t="n">
        <v>70.75</v>
      </c>
      <c r="P370" s="9" t="n">
        <v>70.75</v>
      </c>
      <c r="Q370" s="7" t="inlineStr">
        <is>
          <t>Sí</t>
        </is>
      </c>
      <c r="R370" s="9">
        <f>IF(N370="","",IF(Q370="Sí",ROUND(N370/1.18,2),N370))</f>
        <v/>
      </c>
      <c r="S370" s="7" t="inlineStr">
        <is>
          <t>2026-09-09</t>
        </is>
      </c>
      <c r="T370" s="5" t="inlineStr">
        <is>
          <t>1 cotización de proveedores</t>
        </is>
      </c>
    </row>
    <row r="371">
      <c r="A371" s="7" t="inlineStr">
        <is>
          <t>MAT-04-035</t>
        </is>
      </c>
      <c r="B371" s="7" t="inlineStr">
        <is>
          <t>Materiales</t>
        </is>
      </c>
      <c r="C371" s="7" t="inlineStr">
        <is>
          <t>Acero de refuerzo y metales</t>
        </is>
      </c>
      <c r="D371" s="5" t="inlineStr">
        <is>
          <t>Separador plástico para varilla 1 1/4"</t>
        </is>
      </c>
      <c r="E371" s="5" t="inlineStr">
        <is>
          <t>Silleta plástica para mantener el recubrimiento del acero · 1 1/4"</t>
        </is>
      </c>
      <c r="F371" s="5" t="inlineStr">
        <is>
          <t>Material retirado en almacén</t>
        </is>
      </c>
      <c r="G371" s="5" t="inlineStr">
        <is>
          <t>silleta, separador de varilla, galleta</t>
        </is>
      </c>
      <c r="H371" s="7" t="inlineStr">
        <is>
          <t>unidad</t>
        </is>
      </c>
      <c r="I371" s="7" t="inlineStr">
        <is>
          <t>Estructura</t>
        </is>
      </c>
      <c r="J371" s="7" t="inlineStr">
        <is>
          <t>estandar</t>
        </is>
      </c>
      <c r="K371" s="7" t="inlineStr">
        <is>
          <t>importado</t>
        </is>
      </c>
      <c r="L371" s="7" t="inlineStr">
        <is>
          <t>Verificado</t>
        </is>
      </c>
      <c r="M371" s="8" t="n">
        <v>1</v>
      </c>
      <c r="N371" s="9" t="n">
        <v>78.36</v>
      </c>
      <c r="O371" s="9" t="n">
        <v>78.36</v>
      </c>
      <c r="P371" s="9" t="n">
        <v>78.36</v>
      </c>
      <c r="Q371" s="7" t="inlineStr">
        <is>
          <t>Sí</t>
        </is>
      </c>
      <c r="R371" s="9">
        <f>IF(N371="","",IF(Q371="Sí",ROUND(N371/1.18,2),N371))</f>
        <v/>
      </c>
      <c r="S371" s="7" t="inlineStr">
        <is>
          <t>2026-09-09</t>
        </is>
      </c>
      <c r="T371" s="5" t="inlineStr">
        <is>
          <t>1 cotización de proveedores</t>
        </is>
      </c>
    </row>
    <row r="372">
      <c r="A372" s="7" t="inlineStr">
        <is>
          <t>MAT-04-036</t>
        </is>
      </c>
      <c r="B372" s="7" t="inlineStr">
        <is>
          <t>Materiales</t>
        </is>
      </c>
      <c r="C372" s="7" t="inlineStr">
        <is>
          <t>Acero de refuerzo y metales</t>
        </is>
      </c>
      <c r="D372" s="5" t="inlineStr">
        <is>
          <t>Coupler mecánico para varilla 3/4"</t>
        </is>
      </c>
      <c r="E372" s="5" t="inlineStr">
        <is>
          <t>Empalme mecánico roscado para varilla de refuerzo · 3/4" · serie Q19 (19 mm)</t>
        </is>
      </c>
      <c r="F372" s="5" t="inlineStr">
        <is>
          <t>Material retirado en almacén</t>
        </is>
      </c>
      <c r="G372" s="5" t="inlineStr">
        <is>
          <t>coupler, empalme mecánico de varilla</t>
        </is>
      </c>
      <c r="H372" s="7" t="inlineStr">
        <is>
          <t>unidad</t>
        </is>
      </c>
      <c r="I372" s="7" t="inlineStr">
        <is>
          <t>Estructura</t>
        </is>
      </c>
      <c r="J372" s="7" t="inlineStr">
        <is>
          <t>estandar</t>
        </is>
      </c>
      <c r="K372" s="7" t="inlineStr">
        <is>
          <t>importado</t>
        </is>
      </c>
      <c r="L372" s="7" t="inlineStr">
        <is>
          <t>Verificado</t>
        </is>
      </c>
      <c r="M372" s="8" t="n">
        <v>1</v>
      </c>
      <c r="N372" s="9" t="n">
        <v>228.57</v>
      </c>
      <c r="O372" s="9" t="n">
        <v>228.57</v>
      </c>
      <c r="P372" s="9" t="n">
        <v>228.57</v>
      </c>
      <c r="Q372" s="7" t="inlineStr">
        <is>
          <t>Sí</t>
        </is>
      </c>
      <c r="R372" s="9">
        <f>IF(N372="","",IF(Q372="Sí",ROUND(N372/1.18,2),N372))</f>
        <v/>
      </c>
      <c r="S372" s="7" t="inlineStr">
        <is>
          <t>2026-09-09</t>
        </is>
      </c>
      <c r="T372" s="5" t="inlineStr">
        <is>
          <t>1 cotización de proveedores</t>
        </is>
      </c>
    </row>
    <row r="373">
      <c r="A373" s="7" t="inlineStr">
        <is>
          <t>MAT-04-037</t>
        </is>
      </c>
      <c r="B373" s="7" t="inlineStr">
        <is>
          <t>Materiales</t>
        </is>
      </c>
      <c r="C373" s="7" t="inlineStr">
        <is>
          <t>Acero de refuerzo y metales</t>
        </is>
      </c>
      <c r="D373" s="5" t="inlineStr">
        <is>
          <t>Coupler mecánico para varilla 1"</t>
        </is>
      </c>
      <c r="E373" s="5" t="inlineStr">
        <is>
          <t>Empalme mecánico roscado para varilla de refuerzo · 1" · serie Q25 (25 mm)</t>
        </is>
      </c>
      <c r="F373" s="5" t="inlineStr">
        <is>
          <t>Material retirado en almacén</t>
        </is>
      </c>
      <c r="G373" s="5" t="inlineStr">
        <is>
          <t>coupler, empalme mecánico de varilla</t>
        </is>
      </c>
      <c r="H373" s="7" t="inlineStr">
        <is>
          <t>unidad</t>
        </is>
      </c>
      <c r="I373" s="7" t="inlineStr">
        <is>
          <t>Estructura</t>
        </is>
      </c>
      <c r="J373" s="7" t="inlineStr">
        <is>
          <t>estandar</t>
        </is>
      </c>
      <c r="K373" s="7" t="inlineStr">
        <is>
          <t>importado</t>
        </is>
      </c>
      <c r="L373" s="7" t="inlineStr">
        <is>
          <t>Verificado</t>
        </is>
      </c>
      <c r="M373" s="8" t="n">
        <v>1</v>
      </c>
      <c r="N373" s="9" t="n">
        <v>434.26</v>
      </c>
      <c r="O373" s="9" t="n">
        <v>434.26</v>
      </c>
      <c r="P373" s="9" t="n">
        <v>434.26</v>
      </c>
      <c r="Q373" s="7" t="inlineStr">
        <is>
          <t>Sí</t>
        </is>
      </c>
      <c r="R373" s="9">
        <f>IF(N373="","",IF(Q373="Sí",ROUND(N373/1.18,2),N373))</f>
        <v/>
      </c>
      <c r="S373" s="7" t="inlineStr">
        <is>
          <t>2026-09-09</t>
        </is>
      </c>
      <c r="T373" s="5" t="inlineStr">
        <is>
          <t>1 cotización de proveedores</t>
        </is>
      </c>
    </row>
    <row r="374">
      <c r="A374" s="7" t="inlineStr">
        <is>
          <t>MAT-04-038</t>
        </is>
      </c>
      <c r="B374" s="7" t="inlineStr">
        <is>
          <t>Materiales</t>
        </is>
      </c>
      <c r="C374" s="7" t="inlineStr">
        <is>
          <t>Acero de refuerzo y metales</t>
        </is>
      </c>
      <c r="D374" s="5" t="inlineStr">
        <is>
          <t>Coupler mecánico para varilla 1 1/8"</t>
        </is>
      </c>
      <c r="E374" s="5" t="inlineStr">
        <is>
          <t>Empalme mecánico roscado para varilla de refuerzo · 1 1/8" · serie Q28 (28 mm)</t>
        </is>
      </c>
      <c r="F374" s="5" t="inlineStr">
        <is>
          <t>Material retirado en almacén</t>
        </is>
      </c>
      <c r="G374" s="5" t="inlineStr">
        <is>
          <t>coupler, empalme mecánico de varilla</t>
        </is>
      </c>
      <c r="H374" s="7" t="inlineStr">
        <is>
          <t>unidad</t>
        </is>
      </c>
      <c r="I374" s="7" t="inlineStr">
        <is>
          <t>Estructura</t>
        </is>
      </c>
      <c r="J374" s="7" t="inlineStr">
        <is>
          <t>estandar</t>
        </is>
      </c>
      <c r="K374" s="7" t="inlineStr">
        <is>
          <t>importado</t>
        </is>
      </c>
      <c r="L374" s="7" t="inlineStr">
        <is>
          <t>Verificado</t>
        </is>
      </c>
      <c r="M374" s="8" t="n">
        <v>1</v>
      </c>
      <c r="N374" s="9" t="n">
        <v>697.6799999999999</v>
      </c>
      <c r="O374" s="9" t="n">
        <v>697.6799999999999</v>
      </c>
      <c r="P374" s="9" t="n">
        <v>697.6799999999999</v>
      </c>
      <c r="Q374" s="7" t="inlineStr">
        <is>
          <t>Sí</t>
        </is>
      </c>
      <c r="R374" s="9">
        <f>IF(N374="","",IF(Q374="Sí",ROUND(N374/1.18,2),N374))</f>
        <v/>
      </c>
      <c r="S374" s="7" t="inlineStr">
        <is>
          <t>2026-09-09</t>
        </is>
      </c>
      <c r="T374" s="5" t="inlineStr">
        <is>
          <t>1 cotización de proveedores</t>
        </is>
      </c>
    </row>
    <row r="375">
      <c r="A375" s="7" t="inlineStr">
        <is>
          <t>MAT-04-039</t>
        </is>
      </c>
      <c r="B375" s="7" t="inlineStr">
        <is>
          <t>Materiales</t>
        </is>
      </c>
      <c r="C375" s="7" t="inlineStr">
        <is>
          <t>Acero de refuerzo y metales</t>
        </is>
      </c>
      <c r="D375" s="5" t="inlineStr">
        <is>
          <t>Coupler mecánico para varilla 1 1/4"</t>
        </is>
      </c>
      <c r="E375" s="5" t="inlineStr">
        <is>
          <t>Empalme mecánico roscado para varilla de refuerzo · 1 1/4" · serie Q32 (32 mm)</t>
        </is>
      </c>
      <c r="F375" s="5" t="inlineStr">
        <is>
          <t>Material retirado en almacén</t>
        </is>
      </c>
      <c r="G375" s="5" t="inlineStr">
        <is>
          <t>coupler, empalme mecánico de varilla</t>
        </is>
      </c>
      <c r="H375" s="7" t="inlineStr">
        <is>
          <t>unidad</t>
        </is>
      </c>
      <c r="I375" s="7" t="inlineStr">
        <is>
          <t>Estructura</t>
        </is>
      </c>
      <c r="J375" s="7" t="inlineStr">
        <is>
          <t>estandar</t>
        </is>
      </c>
      <c r="K375" s="7" t="inlineStr">
        <is>
          <t>importado</t>
        </is>
      </c>
      <c r="L375" s="7" t="inlineStr">
        <is>
          <t>Verificado</t>
        </is>
      </c>
      <c r="M375" s="8" t="n">
        <v>1</v>
      </c>
      <c r="N375" s="9" t="n">
        <v>854.4</v>
      </c>
      <c r="O375" s="9" t="n">
        <v>854.4</v>
      </c>
      <c r="P375" s="9" t="n">
        <v>854.4</v>
      </c>
      <c r="Q375" s="7" t="inlineStr">
        <is>
          <t>Sí</t>
        </is>
      </c>
      <c r="R375" s="9">
        <f>IF(N375="","",IF(Q375="Sí",ROUND(N375/1.18,2),N375))</f>
        <v/>
      </c>
      <c r="S375" s="7" t="inlineStr">
        <is>
          <t>2026-09-09</t>
        </is>
      </c>
      <c r="T375" s="5" t="inlineStr">
        <is>
          <t>1 cotización de proveedores</t>
        </is>
      </c>
    </row>
    <row r="376">
      <c r="A376" s="7" t="inlineStr">
        <is>
          <t>MAT-04-040</t>
        </is>
      </c>
      <c r="B376" s="7" t="inlineStr">
        <is>
          <t>Materiales</t>
        </is>
      </c>
      <c r="C376" s="7" t="inlineStr">
        <is>
          <t>Acero de refuerzo y metales</t>
        </is>
      </c>
      <c r="D376" s="5" t="inlineStr">
        <is>
          <t>Coupler mecánico para varilla 1 3/8"</t>
        </is>
      </c>
      <c r="E376" s="5" t="inlineStr">
        <is>
          <t>Empalme mecánico roscado para varilla de refuerzo · 1 3/8" · serie Q35 (35 mm)</t>
        </is>
      </c>
      <c r="F376" s="5" t="inlineStr">
        <is>
          <t>Material retirado en almacén</t>
        </is>
      </c>
      <c r="G376" s="5" t="inlineStr">
        <is>
          <t>coupler, empalme mecánico de varilla</t>
        </is>
      </c>
      <c r="H376" s="7" t="inlineStr">
        <is>
          <t>unidad</t>
        </is>
      </c>
      <c r="I376" s="7" t="inlineStr">
        <is>
          <t>Estructura</t>
        </is>
      </c>
      <c r="J376" s="7" t="inlineStr">
        <is>
          <t>estandar</t>
        </is>
      </c>
      <c r="K376" s="7" t="inlineStr">
        <is>
          <t>importado</t>
        </is>
      </c>
      <c r="L376" s="7" t="inlineStr">
        <is>
          <t>Verificado</t>
        </is>
      </c>
      <c r="M376" s="8" t="n">
        <v>1</v>
      </c>
      <c r="N376" s="9" t="n">
        <v>1066.64</v>
      </c>
      <c r="O376" s="9" t="n">
        <v>1066.64</v>
      </c>
      <c r="P376" s="9" t="n">
        <v>1066.64</v>
      </c>
      <c r="Q376" s="7" t="inlineStr">
        <is>
          <t>Sí</t>
        </is>
      </c>
      <c r="R376" s="9">
        <f>IF(N376="","",IF(Q376="Sí",ROUND(N376/1.18,2),N376))</f>
        <v/>
      </c>
      <c r="S376" s="7" t="inlineStr">
        <is>
          <t>2026-09-09</t>
        </is>
      </c>
      <c r="T376" s="5" t="inlineStr">
        <is>
          <t>1 cotización de proveedores</t>
        </is>
      </c>
    </row>
    <row r="377">
      <c r="A377" s="7" t="inlineStr">
        <is>
          <t>MAT-04-041</t>
        </is>
      </c>
      <c r="B377" s="7" t="inlineStr">
        <is>
          <t>Materiales</t>
        </is>
      </c>
      <c r="C377" s="7" t="inlineStr">
        <is>
          <t>Acero de refuerzo y metales</t>
        </is>
      </c>
      <c r="D377" s="5" t="inlineStr">
        <is>
          <t>Alambre galvanizado picado, caja de 50 lb</t>
        </is>
      </c>
      <c r="E377" s="5" t="inlineStr">
        <is>
          <t>Alambre galvanizado cortado a medida para amarre · caja de 50 libras</t>
        </is>
      </c>
      <c r="F377" s="5" t="inlineStr">
        <is>
          <t>Material retirado en almacén</t>
        </is>
      </c>
      <c r="G377" s="5" t="inlineStr">
        <is>
          <t>alambre picado, alambre cortado de amarre</t>
        </is>
      </c>
      <c r="H377" s="7" t="inlineStr">
        <is>
          <t>caja</t>
        </is>
      </c>
      <c r="I377" s="7" t="inlineStr">
        <is>
          <t>Estructura</t>
        </is>
      </c>
      <c r="J377" s="7" t="inlineStr">
        <is>
          <t>estandar</t>
        </is>
      </c>
      <c r="K377" s="7" t="inlineStr">
        <is>
          <t>importado</t>
        </is>
      </c>
      <c r="L377" s="7" t="inlineStr">
        <is>
          <t>Verificado</t>
        </is>
      </c>
      <c r="M377" s="8" t="n">
        <v>1</v>
      </c>
      <c r="N377" s="9" t="n">
        <v>2488.96</v>
      </c>
      <c r="O377" s="9" t="n">
        <v>2488.96</v>
      </c>
      <c r="P377" s="9" t="n">
        <v>2488.96</v>
      </c>
      <c r="Q377" s="7" t="inlineStr">
        <is>
          <t>Sí</t>
        </is>
      </c>
      <c r="R377" s="9">
        <f>IF(N377="","",IF(Q377="Sí",ROUND(N377/1.18,2),N377))</f>
        <v/>
      </c>
      <c r="S377" s="7" t="inlineStr">
        <is>
          <t>2026-09-09</t>
        </is>
      </c>
      <c r="T377" s="5" t="inlineStr">
        <is>
          <t>1 cotización de proveedores</t>
        </is>
      </c>
    </row>
    <row r="378">
      <c r="A378" s="7" t="inlineStr">
        <is>
          <t>MAT-04-042</t>
        </is>
      </c>
      <c r="B378" s="7" t="inlineStr">
        <is>
          <t>Materiales</t>
        </is>
      </c>
      <c r="C378" s="7" t="inlineStr">
        <is>
          <t>Acero de refuerzo y metales</t>
        </is>
      </c>
      <c r="D378" s="5" t="inlineStr">
        <is>
          <t>Alambre liso galvanizado picado calibre 16, paquete de 10 lb</t>
        </is>
      </c>
      <c r="E378" s="5" t="inlineStr">
        <is>
          <t>Alambre liso galvanizado cortado para amarre · calibre 16 · paquete de 10 libras</t>
        </is>
      </c>
      <c r="F378" s="5" t="inlineStr">
        <is>
          <t>Material retirado en almacén</t>
        </is>
      </c>
      <c r="G378" s="5" t="inlineStr">
        <is>
          <t>alambre picado, alambre de amarre cortado</t>
        </is>
      </c>
      <c r="H378" s="7" t="inlineStr">
        <is>
          <t>paquete</t>
        </is>
      </c>
      <c r="I378" s="7" t="inlineStr">
        <is>
          <t>Estructura</t>
        </is>
      </c>
      <c r="J378" s="7" t="inlineStr">
        <is>
          <t>estandar</t>
        </is>
      </c>
      <c r="K378" s="7" t="inlineStr">
        <is>
          <t>importado</t>
        </is>
      </c>
      <c r="L378" s="7" t="inlineStr">
        <is>
          <t>Verificado</t>
        </is>
      </c>
      <c r="M378" s="8" t="n">
        <v>1</v>
      </c>
      <c r="N378" s="9" t="n">
        <v>619.63</v>
      </c>
      <c r="O378" s="9" t="n">
        <v>619.63</v>
      </c>
      <c r="P378" s="9" t="n">
        <v>619.63</v>
      </c>
      <c r="Q378" s="7" t="inlineStr">
        <is>
          <t>Sí</t>
        </is>
      </c>
      <c r="R378" s="9">
        <f>IF(N378="","",IF(Q378="Sí",ROUND(N378/1.18,2),N378))</f>
        <v/>
      </c>
      <c r="S378" s="7" t="inlineStr">
        <is>
          <t>2026-09-09</t>
        </is>
      </c>
      <c r="T378" s="5" t="inlineStr">
        <is>
          <t>1 cotización de proveedores</t>
        </is>
      </c>
    </row>
    <row r="379">
      <c r="A379" s="7" t="inlineStr">
        <is>
          <t>MAT-06-018</t>
        </is>
      </c>
      <c r="B379" s="7" t="inlineStr">
        <is>
          <t>Materiales</t>
        </is>
      </c>
      <c r="C379" s="7" t="inlineStr">
        <is>
          <t>Madera y encofrado</t>
        </is>
      </c>
      <c r="D379" s="5" t="inlineStr">
        <is>
          <t>Plywood Okume 4'X8'X1 / 4"</t>
        </is>
      </c>
      <c r="E379" s="5" t="inlineStr">
        <is>
          <t>marca INNOMATE · madera · 4'X8'X1/4" · 1/4"</t>
        </is>
      </c>
      <c r="F379" s="5" t="inlineStr">
        <is>
          <t>Material retirado en almacén</t>
        </is>
      </c>
      <c r="G379" s="5" t="inlineStr">
        <is>
          <t>plywood, plancha de madera</t>
        </is>
      </c>
      <c r="H379" s="7" t="inlineStr">
        <is>
          <t>unidad</t>
        </is>
      </c>
      <c r="I379" s="7" t="inlineStr">
        <is>
          <t>Estructura</t>
        </is>
      </c>
      <c r="J379" s="7" t="inlineStr">
        <is>
          <t>estandar</t>
        </is>
      </c>
      <c r="K379" s="7" t="inlineStr">
        <is>
          <t>importado</t>
        </is>
      </c>
      <c r="L379" s="7" t="inlineStr">
        <is>
          <t>Verificado</t>
        </is>
      </c>
      <c r="M379" s="8" t="n">
        <v>1</v>
      </c>
      <c r="N379" s="9" t="n">
        <v>780</v>
      </c>
      <c r="O379" s="9" t="n">
        <v>780</v>
      </c>
      <c r="P379" s="9" t="n">
        <v>780</v>
      </c>
      <c r="Q379" s="7" t="inlineStr">
        <is>
          <t>Sí</t>
        </is>
      </c>
      <c r="R379" s="9">
        <f>IF(N379="","",IF(Q379="Sí",ROUND(N379/1.18,2),N379))</f>
        <v/>
      </c>
      <c r="S379" s="7" t="inlineStr">
        <is>
          <t>2026-09-09</t>
        </is>
      </c>
      <c r="T379" s="5" t="inlineStr">
        <is>
          <t>1 cotización de proveedores</t>
        </is>
      </c>
    </row>
    <row r="380">
      <c r="A380" s="7" t="inlineStr">
        <is>
          <t>MAT-06-019</t>
        </is>
      </c>
      <c r="B380" s="7" t="inlineStr">
        <is>
          <t>Materiales</t>
        </is>
      </c>
      <c r="C380" s="7" t="inlineStr">
        <is>
          <t>Madera y encofrado</t>
        </is>
      </c>
      <c r="D380" s="5" t="inlineStr">
        <is>
          <t>Plywood Okume 4'X8'X1 / 8"</t>
        </is>
      </c>
      <c r="E380" s="5" t="inlineStr">
        <is>
          <t>marca INNOMATE · madera · 4'X8'X1/8" · 1/8"</t>
        </is>
      </c>
      <c r="F380" s="5" t="inlineStr">
        <is>
          <t>Material retirado en almacén</t>
        </is>
      </c>
      <c r="G380" s="5" t="inlineStr">
        <is>
          <t>plywood, plancha de madera</t>
        </is>
      </c>
      <c r="H380" s="7" t="inlineStr">
        <is>
          <t>unidad</t>
        </is>
      </c>
      <c r="I380" s="7" t="inlineStr">
        <is>
          <t>Estructura</t>
        </is>
      </c>
      <c r="J380" s="7" t="inlineStr">
        <is>
          <t>estandar</t>
        </is>
      </c>
      <c r="K380" s="7" t="inlineStr">
        <is>
          <t>importado</t>
        </is>
      </c>
      <c r="L380" s="7" t="inlineStr">
        <is>
          <t>Verificado</t>
        </is>
      </c>
      <c r="M380" s="8" t="n">
        <v>1</v>
      </c>
      <c r="N380" s="9" t="n">
        <v>475</v>
      </c>
      <c r="O380" s="9" t="n">
        <v>475</v>
      </c>
      <c r="P380" s="9" t="n">
        <v>475</v>
      </c>
      <c r="Q380" s="7" t="inlineStr">
        <is>
          <t>Sí</t>
        </is>
      </c>
      <c r="R380" s="9">
        <f>IF(N380="","",IF(Q380="Sí",ROUND(N380/1.18,2),N380))</f>
        <v/>
      </c>
      <c r="S380" s="7" t="inlineStr">
        <is>
          <t>2026-09-09</t>
        </is>
      </c>
      <c r="T380" s="5" t="inlineStr">
        <is>
          <t>1 cotización de proveedores</t>
        </is>
      </c>
    </row>
    <row r="381">
      <c r="A381" s="7" t="inlineStr">
        <is>
          <t>MAT-06-020</t>
        </is>
      </c>
      <c r="B381" s="7" t="inlineStr">
        <is>
          <t>Materiales</t>
        </is>
      </c>
      <c r="C381" s="7" t="inlineStr">
        <is>
          <t>Madera y encofrado</t>
        </is>
      </c>
      <c r="D381" s="5" t="inlineStr">
        <is>
          <t>Plywood Okume 4'X8'X3 / 8"</t>
        </is>
      </c>
      <c r="E381" s="5" t="inlineStr">
        <is>
          <t>marca INNOMATE · madera · 4'X8'X3/8" · 3/8"</t>
        </is>
      </c>
      <c r="F381" s="5" t="inlineStr">
        <is>
          <t>Material retirado en almacén</t>
        </is>
      </c>
      <c r="G381" s="5" t="inlineStr">
        <is>
          <t>plywood, plancha de madera</t>
        </is>
      </c>
      <c r="H381" s="7" t="inlineStr">
        <is>
          <t>unidad</t>
        </is>
      </c>
      <c r="I381" s="7" t="inlineStr">
        <is>
          <t>Estructura</t>
        </is>
      </c>
      <c r="J381" s="7" t="inlineStr">
        <is>
          <t>estandar</t>
        </is>
      </c>
      <c r="K381" s="7" t="inlineStr">
        <is>
          <t>importado</t>
        </is>
      </c>
      <c r="L381" s="7" t="inlineStr">
        <is>
          <t>Verificado</t>
        </is>
      </c>
      <c r="M381" s="8" t="n">
        <v>1</v>
      </c>
      <c r="N381" s="9" t="n">
        <v>1115</v>
      </c>
      <c r="O381" s="9" t="n">
        <v>1115</v>
      </c>
      <c r="P381" s="9" t="n">
        <v>1115</v>
      </c>
      <c r="Q381" s="7" t="inlineStr">
        <is>
          <t>Sí</t>
        </is>
      </c>
      <c r="R381" s="9">
        <f>IF(N381="","",IF(Q381="Sí",ROUND(N381/1.18,2),N381))</f>
        <v/>
      </c>
      <c r="S381" s="7" t="inlineStr">
        <is>
          <t>2026-09-09</t>
        </is>
      </c>
      <c r="T381" s="5" t="inlineStr">
        <is>
          <t>1 cotización de proveedores</t>
        </is>
      </c>
    </row>
    <row r="382">
      <c r="A382" s="7" t="inlineStr">
        <is>
          <t>MAT-06-021</t>
        </is>
      </c>
      <c r="B382" s="7" t="inlineStr">
        <is>
          <t>Materiales</t>
        </is>
      </c>
      <c r="C382" s="7" t="inlineStr">
        <is>
          <t>Madera y encofrado</t>
        </is>
      </c>
      <c r="D382" s="5" t="inlineStr">
        <is>
          <t>Plywood Pino 4'X8'X1 / 4"</t>
        </is>
      </c>
      <c r="E382" s="5" t="inlineStr">
        <is>
          <t>marca INNOMATE · madera · 4'X8'X/4" · 1/4"</t>
        </is>
      </c>
      <c r="F382" s="5" t="inlineStr">
        <is>
          <t>Material retirado en almacén</t>
        </is>
      </c>
      <c r="G382" s="5" t="inlineStr">
        <is>
          <t>plywood, plancha de madera</t>
        </is>
      </c>
      <c r="H382" s="7" t="inlineStr">
        <is>
          <t>unidad</t>
        </is>
      </c>
      <c r="I382" s="7" t="inlineStr">
        <is>
          <t>Estructura</t>
        </is>
      </c>
      <c r="J382" s="7" t="inlineStr">
        <is>
          <t>estandar</t>
        </is>
      </c>
      <c r="K382" s="7" t="inlineStr">
        <is>
          <t>importado</t>
        </is>
      </c>
      <c r="L382" s="7" t="inlineStr">
        <is>
          <t>Verificado</t>
        </is>
      </c>
      <c r="M382" s="8" t="n">
        <v>1</v>
      </c>
      <c r="N382" s="9" t="n">
        <v>825</v>
      </c>
      <c r="O382" s="9" t="n">
        <v>825</v>
      </c>
      <c r="P382" s="9" t="n">
        <v>825</v>
      </c>
      <c r="Q382" s="7" t="inlineStr">
        <is>
          <t>Sí</t>
        </is>
      </c>
      <c r="R382" s="9">
        <f>IF(N382="","",IF(Q382="Sí",ROUND(N382/1.18,2),N382))</f>
        <v/>
      </c>
      <c r="S382" s="7" t="inlineStr">
        <is>
          <t>2026-09-09</t>
        </is>
      </c>
      <c r="T382" s="5" t="inlineStr">
        <is>
          <t>1 cotización de proveedores</t>
        </is>
      </c>
    </row>
    <row r="383">
      <c r="A383" s="7" t="inlineStr">
        <is>
          <t>MAT-06-022</t>
        </is>
      </c>
      <c r="B383" s="7" t="inlineStr">
        <is>
          <t>Materiales</t>
        </is>
      </c>
      <c r="C383" s="7" t="inlineStr">
        <is>
          <t>Madera y encofrado</t>
        </is>
      </c>
      <c r="D383" s="5" t="inlineStr">
        <is>
          <t>Plywood Pino 4'X8'X3 / 8"</t>
        </is>
      </c>
      <c r="E383" s="5" t="inlineStr">
        <is>
          <t>marca INNOMATE · madera · 4'X8'X3/8" · 3/8"</t>
        </is>
      </c>
      <c r="F383" s="5" t="inlineStr">
        <is>
          <t>Material retirado en almacén</t>
        </is>
      </c>
      <c r="G383" s="5" t="inlineStr">
        <is>
          <t>plywood, plancha de madera</t>
        </is>
      </c>
      <c r="H383" s="7" t="inlineStr">
        <is>
          <t>unidad</t>
        </is>
      </c>
      <c r="I383" s="7" t="inlineStr">
        <is>
          <t>Estructura</t>
        </is>
      </c>
      <c r="J383" s="7" t="inlineStr">
        <is>
          <t>estandar</t>
        </is>
      </c>
      <c r="K383" s="7" t="inlineStr">
        <is>
          <t>importado</t>
        </is>
      </c>
      <c r="L383" s="7" t="inlineStr">
        <is>
          <t>Verificado</t>
        </is>
      </c>
      <c r="M383" s="8" t="n">
        <v>1</v>
      </c>
      <c r="N383" s="9" t="n">
        <v>1245</v>
      </c>
      <c r="O383" s="9" t="n">
        <v>1245</v>
      </c>
      <c r="P383" s="9" t="n">
        <v>1245</v>
      </c>
      <c r="Q383" s="7" t="inlineStr">
        <is>
          <t>Sí</t>
        </is>
      </c>
      <c r="R383" s="9">
        <f>IF(N383="","",IF(Q383="Sí",ROUND(N383/1.18,2),N383))</f>
        <v/>
      </c>
      <c r="S383" s="7" t="inlineStr">
        <is>
          <t>2026-09-09</t>
        </is>
      </c>
      <c r="T383" s="5" t="inlineStr">
        <is>
          <t>1 cotización de proveedores</t>
        </is>
      </c>
    </row>
    <row r="384">
      <c r="A384" s="7" t="inlineStr">
        <is>
          <t>MAT-06-023</t>
        </is>
      </c>
      <c r="B384" s="7" t="inlineStr">
        <is>
          <t>Materiales</t>
        </is>
      </c>
      <c r="C384" s="7" t="inlineStr">
        <is>
          <t>Madera y encofrado</t>
        </is>
      </c>
      <c r="D384" s="5" t="inlineStr">
        <is>
          <t>Plywood Slatwall Decoratico blanco 4 x 8'</t>
        </is>
      </c>
      <c r="E384" s="5" t="inlineStr">
        <is>
          <t>marca INNOMATE · madera · 4X8'</t>
        </is>
      </c>
      <c r="F384" s="5" t="inlineStr">
        <is>
          <t>Material retirado en almacén</t>
        </is>
      </c>
      <c r="G384" s="5" t="inlineStr">
        <is>
          <t>plywood, plancha de madera</t>
        </is>
      </c>
      <c r="H384" s="7" t="inlineStr">
        <is>
          <t>unidad</t>
        </is>
      </c>
      <c r="I384" s="7" t="inlineStr">
        <is>
          <t>Estructura</t>
        </is>
      </c>
      <c r="J384" s="7" t="inlineStr">
        <is>
          <t>estandar</t>
        </is>
      </c>
      <c r="K384" s="7" t="inlineStr">
        <is>
          <t>importado</t>
        </is>
      </c>
      <c r="L384" s="7" t="inlineStr">
        <is>
          <t>Verificado</t>
        </is>
      </c>
      <c r="M384" s="8" t="n">
        <v>1</v>
      </c>
      <c r="N384" s="9" t="n">
        <v>1995</v>
      </c>
      <c r="O384" s="9" t="n">
        <v>1995</v>
      </c>
      <c r="P384" s="9" t="n">
        <v>1995</v>
      </c>
      <c r="Q384" s="7" t="inlineStr">
        <is>
          <t>Sí</t>
        </is>
      </c>
      <c r="R384" s="9">
        <f>IF(N384="","",IF(Q384="Sí",ROUND(N384/1.18,2),N384))</f>
        <v/>
      </c>
      <c r="S384" s="7" t="inlineStr">
        <is>
          <t>2026-09-09</t>
        </is>
      </c>
      <c r="T384" s="5" t="inlineStr">
        <is>
          <t>1 cotización de proveedores</t>
        </is>
      </c>
    </row>
    <row r="385">
      <c r="A385" s="7" t="inlineStr">
        <is>
          <t>MAT-07-011</t>
        </is>
      </c>
      <c r="B385" s="7" t="inlineStr">
        <is>
          <t>Materiales</t>
        </is>
      </c>
      <c r="C385" s="7" t="inlineStr">
        <is>
          <t>Techos e impermeabilización</t>
        </is>
      </c>
      <c r="D385" s="5" t="inlineStr">
        <is>
          <t>Caballete Fibraforte Rojo 0.76 x 0.6</t>
        </is>
      </c>
      <c r="E385" s="5" t="inlineStr">
        <is>
          <t>marca INNOMATE · fibra · 0.76x0.6</t>
        </is>
      </c>
      <c r="F385" s="5" t="inlineStr">
        <is>
          <t>Material retirado en almacén</t>
        </is>
      </c>
      <c r="G385" s="5" t="inlineStr">
        <is>
          <t>caballete, cumbrera</t>
        </is>
      </c>
      <c r="H385" s="7" t="inlineStr">
        <is>
          <t>unidad</t>
        </is>
      </c>
      <c r="I385" s="7" t="inlineStr">
        <is>
          <t>Techos</t>
        </is>
      </c>
      <c r="J385" s="7" t="inlineStr">
        <is>
          <t>estandar</t>
        </is>
      </c>
      <c r="K385" s="7" t="inlineStr">
        <is>
          <t>importado</t>
        </is>
      </c>
      <c r="L385" s="7" t="inlineStr">
        <is>
          <t>Verificado</t>
        </is>
      </c>
      <c r="M385" s="8" t="n">
        <v>1</v>
      </c>
      <c r="N385" s="9" t="n">
        <v>1535</v>
      </c>
      <c r="O385" s="9" t="n">
        <v>1535</v>
      </c>
      <c r="P385" s="9" t="n">
        <v>1535</v>
      </c>
      <c r="Q385" s="7" t="inlineStr">
        <is>
          <t>Sí</t>
        </is>
      </c>
      <c r="R385" s="9">
        <f>IF(N385="","",IF(Q385="Sí",ROUND(N385/1.18,2),N385))</f>
        <v/>
      </c>
      <c r="S385" s="7" t="inlineStr">
        <is>
          <t>2026-09-09</t>
        </is>
      </c>
      <c r="T385" s="5" t="inlineStr">
        <is>
          <t>1 cotización de proveedores</t>
        </is>
      </c>
    </row>
    <row r="386">
      <c r="A386" s="7" t="inlineStr">
        <is>
          <t>MAT-07-012</t>
        </is>
      </c>
      <c r="B386" s="7" t="inlineStr">
        <is>
          <t>Materiales</t>
        </is>
      </c>
      <c r="C386" s="7" t="inlineStr">
        <is>
          <t>Techos e impermeabilización</t>
        </is>
      </c>
      <c r="D386" s="5" t="inlineStr">
        <is>
          <t>Plancha Teja Fibraforte Rojo Opaco 0.76 Mx1.15M</t>
        </is>
      </c>
      <c r="E386" s="5" t="inlineStr">
        <is>
          <t>marca INNOMATE · fibra · 0.76X1.15</t>
        </is>
      </c>
      <c r="F386" s="5" t="inlineStr">
        <is>
          <t>Material retirado en almacén</t>
        </is>
      </c>
      <c r="G386" s="5" t="inlineStr">
        <is>
          <t>teja de fibra, plancha tipo teja</t>
        </is>
      </c>
      <c r="H386" s="7" t="inlineStr">
        <is>
          <t>unidad</t>
        </is>
      </c>
      <c r="I386" s="7" t="inlineStr">
        <is>
          <t>Techos</t>
        </is>
      </c>
      <c r="J386" s="7" t="inlineStr">
        <is>
          <t>estandar</t>
        </is>
      </c>
      <c r="K386" s="7" t="inlineStr">
        <is>
          <t>importado</t>
        </is>
      </c>
      <c r="L386" s="7" t="inlineStr">
        <is>
          <t>Verificado</t>
        </is>
      </c>
      <c r="M386" s="8" t="n">
        <v>1</v>
      </c>
      <c r="N386" s="9" t="n">
        <v>1450</v>
      </c>
      <c r="O386" s="9" t="n">
        <v>1450</v>
      </c>
      <c r="P386" s="9" t="n">
        <v>1450</v>
      </c>
      <c r="Q386" s="7" t="inlineStr">
        <is>
          <t>Sí</t>
        </is>
      </c>
      <c r="R386" s="9">
        <f>IF(N386="","",IF(Q386="Sí",ROUND(N386/1.18,2),N386))</f>
        <v/>
      </c>
      <c r="S386" s="7" t="inlineStr">
        <is>
          <t>2026-09-09</t>
        </is>
      </c>
      <c r="T386" s="5" t="inlineStr">
        <is>
          <t>1 cotización de proveedores</t>
        </is>
      </c>
    </row>
    <row r="387">
      <c r="A387" s="7" t="inlineStr">
        <is>
          <t>MAT-07-013</t>
        </is>
      </c>
      <c r="B387" s="7" t="inlineStr">
        <is>
          <t>Materiales</t>
        </is>
      </c>
      <c r="C387" s="7" t="inlineStr">
        <is>
          <t>Techos e impermeabilización</t>
        </is>
      </c>
      <c r="D387" s="5" t="inlineStr">
        <is>
          <t>Zinc acanalado calibre 29, 3 x 6 pies</t>
        </is>
      </c>
      <c r="E387" s="5" t="inlineStr">
        <is>
          <t>Lámina galvanizada acanalado calibre 29 · 3 x 6 pies</t>
        </is>
      </c>
      <c r="F387" s="5" t="inlineStr">
        <is>
          <t>Material retirado en almacén</t>
        </is>
      </c>
      <c r="G387" s="5" t="inlineStr">
        <is>
          <t>plancha de zinc, lámina de zinc</t>
        </is>
      </c>
      <c r="H387" s="7" t="inlineStr">
        <is>
          <t>plancha</t>
        </is>
      </c>
      <c r="I387" s="7" t="inlineStr">
        <is>
          <t>Techos</t>
        </is>
      </c>
      <c r="J387" s="7" t="inlineStr">
        <is>
          <t>economica</t>
        </is>
      </c>
      <c r="K387" s="7" t="inlineStr">
        <is>
          <t>nacional</t>
        </is>
      </c>
      <c r="L387" s="7" t="inlineStr">
        <is>
          <t>Verificado</t>
        </is>
      </c>
      <c r="M387" s="8" t="n">
        <v>2</v>
      </c>
      <c r="N387" s="9" t="n">
        <v>296.18</v>
      </c>
      <c r="O387" s="9" t="n">
        <v>270.21</v>
      </c>
      <c r="P387" s="9" t="n">
        <v>338</v>
      </c>
      <c r="Q387" s="7" t="inlineStr">
        <is>
          <t>Sí</t>
        </is>
      </c>
      <c r="R387" s="9">
        <f>IF(N387="","",IF(Q387="Sí",ROUND(N387/1.18,2),N387))</f>
        <v/>
      </c>
      <c r="S387" s="7" t="inlineStr">
        <is>
          <t>2026-09-09</t>
        </is>
      </c>
      <c r="T387" s="5" t="inlineStr">
        <is>
          <t>3 cotizaciones de proveedores</t>
        </is>
      </c>
    </row>
    <row r="388">
      <c r="A388" s="7" t="inlineStr">
        <is>
          <t>MAT-07-014</t>
        </is>
      </c>
      <c r="B388" s="7" t="inlineStr">
        <is>
          <t>Materiales</t>
        </is>
      </c>
      <c r="C388" s="7" t="inlineStr">
        <is>
          <t>Techos e impermeabilización</t>
        </is>
      </c>
      <c r="D388" s="5" t="inlineStr">
        <is>
          <t>Zinc acanalado calibre 29, 3 x 12 pies</t>
        </is>
      </c>
      <c r="E388" s="5" t="inlineStr">
        <is>
          <t>Lámina galvanizada acanalado calibre 29 · 3 x 12 pies</t>
        </is>
      </c>
      <c r="F388" s="5" t="inlineStr">
        <is>
          <t>Material retirado en almacén</t>
        </is>
      </c>
      <c r="G388" s="5" t="inlineStr">
        <is>
          <t>plancha de zinc, lámina de zinc</t>
        </is>
      </c>
      <c r="H388" s="7" t="inlineStr">
        <is>
          <t>plancha</t>
        </is>
      </c>
      <c r="I388" s="7" t="inlineStr">
        <is>
          <t>Techos</t>
        </is>
      </c>
      <c r="J388" s="7" t="inlineStr">
        <is>
          <t>economica</t>
        </is>
      </c>
      <c r="K388" s="7" t="inlineStr">
        <is>
          <t>nacional</t>
        </is>
      </c>
      <c r="L388" s="7" t="inlineStr">
        <is>
          <t>Verificado</t>
        </is>
      </c>
      <c r="M388" s="8" t="n">
        <v>1</v>
      </c>
      <c r="N388" s="9" t="n">
        <v>592.36</v>
      </c>
      <c r="O388" s="9" t="n">
        <v>592.36</v>
      </c>
      <c r="P388" s="9" t="n">
        <v>592.36</v>
      </c>
      <c r="Q388" s="7" t="inlineStr">
        <is>
          <t>Sí</t>
        </is>
      </c>
      <c r="R388" s="9">
        <f>IF(N388="","",IF(Q388="Sí",ROUND(N388/1.18,2),N388))</f>
        <v/>
      </c>
      <c r="S388" s="7" t="inlineStr">
        <is>
          <t>2026-09-09</t>
        </is>
      </c>
      <c r="T388" s="5" t="inlineStr">
        <is>
          <t>1 cotización de proveedores</t>
        </is>
      </c>
    </row>
    <row r="389">
      <c r="A389" s="7" t="inlineStr">
        <is>
          <t>MAT-07-015</t>
        </is>
      </c>
      <c r="B389" s="7" t="inlineStr">
        <is>
          <t>Materiales</t>
        </is>
      </c>
      <c r="C389" s="7" t="inlineStr">
        <is>
          <t>Techos e impermeabilización</t>
        </is>
      </c>
      <c r="D389" s="5" t="inlineStr">
        <is>
          <t>Zinc acanalado calibre 34, 3 x 6 pies</t>
        </is>
      </c>
      <c r="E389" s="5" t="inlineStr">
        <is>
          <t>Lámina galvanizada acanalado calibre 34 · 3 x 6 pies</t>
        </is>
      </c>
      <c r="F389" s="5" t="inlineStr">
        <is>
          <t>Material retirado en almacén</t>
        </is>
      </c>
      <c r="G389" s="5" t="inlineStr">
        <is>
          <t>plancha de zinc, lámina de zinc</t>
        </is>
      </c>
      <c r="H389" s="7" t="inlineStr">
        <is>
          <t>plancha</t>
        </is>
      </c>
      <c r="I389" s="7" t="inlineStr">
        <is>
          <t>Techos</t>
        </is>
      </c>
      <c r="J389" s="7" t="inlineStr">
        <is>
          <t>economica</t>
        </is>
      </c>
      <c r="K389" s="7" t="inlineStr">
        <is>
          <t>nacional</t>
        </is>
      </c>
      <c r="L389" s="7" t="inlineStr">
        <is>
          <t>Verificado</t>
        </is>
      </c>
      <c r="M389" s="8" t="n">
        <v>2</v>
      </c>
      <c r="N389" s="9" t="n">
        <v>226.67</v>
      </c>
      <c r="O389" s="9" t="n">
        <v>208.33</v>
      </c>
      <c r="P389" s="9" t="n">
        <v>245</v>
      </c>
      <c r="Q389" s="7" t="inlineStr">
        <is>
          <t>Sí</t>
        </is>
      </c>
      <c r="R389" s="9">
        <f>IF(N389="","",IF(Q389="Sí",ROUND(N389/1.18,2),N389))</f>
        <v/>
      </c>
      <c r="S389" s="7" t="inlineStr">
        <is>
          <t>2026-09-09</t>
        </is>
      </c>
      <c r="T389" s="5" t="inlineStr">
        <is>
          <t>2 cotizaciones de proveedores</t>
        </is>
      </c>
    </row>
    <row r="390">
      <c r="A390" s="7" t="inlineStr">
        <is>
          <t>MAT-07-016</t>
        </is>
      </c>
      <c r="B390" s="7" t="inlineStr">
        <is>
          <t>Materiales</t>
        </is>
      </c>
      <c r="C390" s="7" t="inlineStr">
        <is>
          <t>Techos e impermeabilización</t>
        </is>
      </c>
      <c r="D390" s="5" t="inlineStr">
        <is>
          <t>Zinc acanalado calibre 34, 3 x 12 pies</t>
        </is>
      </c>
      <c r="E390" s="5" t="inlineStr">
        <is>
          <t>Lámina galvanizada acanalado calibre 34 · 3 x 12 pies</t>
        </is>
      </c>
      <c r="F390" s="5" t="inlineStr">
        <is>
          <t>Material retirado en almacén</t>
        </is>
      </c>
      <c r="G390" s="5" t="inlineStr">
        <is>
          <t>plancha de zinc, lámina de zinc</t>
        </is>
      </c>
      <c r="H390" s="7" t="inlineStr">
        <is>
          <t>plancha</t>
        </is>
      </c>
      <c r="I390" s="7" t="inlineStr">
        <is>
          <t>Techos</t>
        </is>
      </c>
      <c r="J390" s="7" t="inlineStr">
        <is>
          <t>economica</t>
        </is>
      </c>
      <c r="K390" s="7" t="inlineStr">
        <is>
          <t>nacional</t>
        </is>
      </c>
      <c r="L390" s="7" t="inlineStr">
        <is>
          <t>Verificado</t>
        </is>
      </c>
      <c r="M390" s="8" t="n">
        <v>1</v>
      </c>
      <c r="N390" s="9" t="n">
        <v>414.3</v>
      </c>
      <c r="O390" s="9" t="n">
        <v>414.3</v>
      </c>
      <c r="P390" s="9" t="n">
        <v>414.3</v>
      </c>
      <c r="Q390" s="7" t="inlineStr">
        <is>
          <t>Sí</t>
        </is>
      </c>
      <c r="R390" s="9">
        <f>IF(N390="","",IF(Q390="Sí",ROUND(N390/1.18,2),N390))</f>
        <v/>
      </c>
      <c r="S390" s="7" t="inlineStr">
        <is>
          <t>2026-09-09</t>
        </is>
      </c>
      <c r="T390" s="5" t="inlineStr">
        <is>
          <t>1 cotización de proveedores</t>
        </is>
      </c>
    </row>
    <row r="391">
      <c r="A391" s="7" t="inlineStr">
        <is>
          <t>MAT-07-017</t>
        </is>
      </c>
      <c r="B391" s="7" t="inlineStr">
        <is>
          <t>Materiales</t>
        </is>
      </c>
      <c r="C391" s="7" t="inlineStr">
        <is>
          <t>Techos e impermeabilización</t>
        </is>
      </c>
      <c r="D391" s="5" t="inlineStr">
        <is>
          <t>Zinc liso calibre 29, 3 x 6 pies</t>
        </is>
      </c>
      <c r="E391" s="5" t="inlineStr">
        <is>
          <t>Lámina galvanizada liso calibre 29 · 3 x 6 pies</t>
        </is>
      </c>
      <c r="F391" s="5" t="inlineStr">
        <is>
          <t>Material retirado en almacén</t>
        </is>
      </c>
      <c r="G391" s="5" t="inlineStr">
        <is>
          <t>plancha de zinc, lámina de zinc</t>
        </is>
      </c>
      <c r="H391" s="7" t="inlineStr">
        <is>
          <t>plancha</t>
        </is>
      </c>
      <c r="I391" s="7" t="inlineStr">
        <is>
          <t>Techos</t>
        </is>
      </c>
      <c r="J391" s="7" t="inlineStr">
        <is>
          <t>economica</t>
        </is>
      </c>
      <c r="K391" s="7" t="inlineStr">
        <is>
          <t>nacional</t>
        </is>
      </c>
      <c r="L391" s="7" t="inlineStr">
        <is>
          <t>Verificado</t>
        </is>
      </c>
      <c r="M391" s="8" t="n">
        <v>1</v>
      </c>
      <c r="N391" s="9" t="n">
        <v>283.27</v>
      </c>
      <c r="O391" s="9" t="n">
        <v>270.35</v>
      </c>
      <c r="P391" s="9" t="n">
        <v>296.18</v>
      </c>
      <c r="Q391" s="7" t="inlineStr">
        <is>
          <t>Sí</t>
        </is>
      </c>
      <c r="R391" s="9">
        <f>IF(N391="","",IF(Q391="Sí",ROUND(N391/1.18,2),N391))</f>
        <v/>
      </c>
      <c r="S391" s="7" t="inlineStr">
        <is>
          <t>2026-09-09</t>
        </is>
      </c>
      <c r="T391" s="5" t="inlineStr">
        <is>
          <t>2 cotizaciones de proveedores</t>
        </is>
      </c>
    </row>
    <row r="392">
      <c r="A392" s="7" t="inlineStr">
        <is>
          <t>MAT-07-018</t>
        </is>
      </c>
      <c r="B392" s="7" t="inlineStr">
        <is>
          <t>Materiales</t>
        </is>
      </c>
      <c r="C392" s="7" t="inlineStr">
        <is>
          <t>Techos e impermeabilización</t>
        </is>
      </c>
      <c r="D392" s="5" t="inlineStr">
        <is>
          <t>Zinc liso calibre 34, 3 x 6 pies</t>
        </is>
      </c>
      <c r="E392" s="5" t="inlineStr">
        <is>
          <t>Lámina galvanizada liso calibre 34 · 3 x 6 pies</t>
        </is>
      </c>
      <c r="F392" s="5" t="inlineStr">
        <is>
          <t>Material retirado en almacén</t>
        </is>
      </c>
      <c r="G392" s="5" t="inlineStr">
        <is>
          <t>plancha de zinc, lámina de zinc</t>
        </is>
      </c>
      <c r="H392" s="7" t="inlineStr">
        <is>
          <t>plancha</t>
        </is>
      </c>
      <c r="I392" s="7" t="inlineStr">
        <is>
          <t>Techos</t>
        </is>
      </c>
      <c r="J392" s="7" t="inlineStr">
        <is>
          <t>economica</t>
        </is>
      </c>
      <c r="K392" s="7" t="inlineStr">
        <is>
          <t>nacional</t>
        </is>
      </c>
      <c r="L392" s="7" t="inlineStr">
        <is>
          <t>Verificado</t>
        </is>
      </c>
      <c r="M392" s="8" t="n">
        <v>1</v>
      </c>
      <c r="N392" s="9" t="n">
        <v>208.95</v>
      </c>
      <c r="O392" s="9" t="n">
        <v>208.33</v>
      </c>
      <c r="P392" s="9" t="n">
        <v>209.56</v>
      </c>
      <c r="Q392" s="7" t="inlineStr">
        <is>
          <t>Sí</t>
        </is>
      </c>
      <c r="R392" s="9">
        <f>IF(N392="","",IF(Q392="Sí",ROUND(N392/1.18,2),N392))</f>
        <v/>
      </c>
      <c r="S392" s="7" t="inlineStr">
        <is>
          <t>2026-09-09</t>
        </is>
      </c>
      <c r="T392" s="5" t="inlineStr">
        <is>
          <t>2 cotizaciones de proveedores</t>
        </is>
      </c>
    </row>
    <row r="393">
      <c r="A393" s="7" t="inlineStr">
        <is>
          <t>MAT-07-019</t>
        </is>
      </c>
      <c r="B393" s="7" t="inlineStr">
        <is>
          <t>Materiales</t>
        </is>
      </c>
      <c r="C393" s="7" t="inlineStr">
        <is>
          <t>Techos e impermeabilización</t>
        </is>
      </c>
      <c r="D393" s="5" t="inlineStr">
        <is>
          <t>Zinc translúcido 3 x 6 pies</t>
        </is>
      </c>
      <c r="E393" s="5" t="inlineStr">
        <is>
          <t>Lámina traslúcida para entrada de luz · 3 x 6 pies</t>
        </is>
      </c>
      <c r="F393" s="5" t="inlineStr">
        <is>
          <t>Material retirado en almacén</t>
        </is>
      </c>
      <c r="G393" s="5" t="inlineStr">
        <is>
          <t>zinc transparente, lámina traslúcida</t>
        </is>
      </c>
      <c r="H393" s="7" t="inlineStr">
        <is>
          <t>plancha</t>
        </is>
      </c>
      <c r="I393" s="7" t="inlineStr">
        <is>
          <t>Techos</t>
        </is>
      </c>
      <c r="J393" s="7" t="inlineStr">
        <is>
          <t>estandar</t>
        </is>
      </c>
      <c r="K393" s="7" t="inlineStr">
        <is>
          <t>importado</t>
        </is>
      </c>
      <c r="L393" s="7" t="inlineStr">
        <is>
          <t>Verificado</t>
        </is>
      </c>
      <c r="M393" s="8" t="n">
        <v>2</v>
      </c>
      <c r="N393" s="9" t="n">
        <v>1195</v>
      </c>
      <c r="O393" s="9" t="n">
        <v>1127.34</v>
      </c>
      <c r="P393" s="9" t="n">
        <v>1795</v>
      </c>
      <c r="Q393" s="7" t="inlineStr">
        <is>
          <t>Sí</t>
        </is>
      </c>
      <c r="R393" s="9">
        <f>IF(N393="","",IF(Q393="Sí",ROUND(N393/1.18,2),N393))</f>
        <v/>
      </c>
      <c r="S393" s="7" t="inlineStr">
        <is>
          <t>2026-09-09</t>
        </is>
      </c>
      <c r="T393" s="5" t="inlineStr">
        <is>
          <t>9 cotizaciones de proveedores</t>
        </is>
      </c>
    </row>
    <row r="394">
      <c r="A394" s="7" t="inlineStr">
        <is>
          <t>MAT-07-020</t>
        </is>
      </c>
      <c r="B394" s="7" t="inlineStr">
        <is>
          <t>Materiales</t>
        </is>
      </c>
      <c r="C394" s="7" t="inlineStr">
        <is>
          <t>Techos e impermeabilización</t>
        </is>
      </c>
      <c r="D394" s="5" t="inlineStr">
        <is>
          <t>Caballete para aluzinc 21"</t>
        </is>
      </c>
      <c r="E394" s="5" t="inlineStr">
        <is>
          <t>Pieza de remate para cumbrera de techo de aluzinc · desarrollo 21"</t>
        </is>
      </c>
      <c r="F394" s="5" t="inlineStr">
        <is>
          <t>Material retirado en almacén</t>
        </is>
      </c>
      <c r="G394" s="5" t="inlineStr">
        <is>
          <t>cumbrera, capote de techo</t>
        </is>
      </c>
      <c r="H394" s="7" t="inlineStr">
        <is>
          <t>unidad</t>
        </is>
      </c>
      <c r="I394" s="7" t="inlineStr">
        <is>
          <t>Techos</t>
        </is>
      </c>
      <c r="J394" s="7" t="inlineStr">
        <is>
          <t>estandar</t>
        </is>
      </c>
      <c r="K394" s="7" t="inlineStr">
        <is>
          <t>importado</t>
        </is>
      </c>
      <c r="L394" s="7" t="inlineStr">
        <is>
          <t>Verificado</t>
        </is>
      </c>
      <c r="M394" s="8" t="n">
        <v>1</v>
      </c>
      <c r="N394" s="9" t="n">
        <v>660</v>
      </c>
      <c r="O394" s="9" t="n">
        <v>660</v>
      </c>
      <c r="P394" s="9" t="n">
        <v>660</v>
      </c>
      <c r="Q394" s="7" t="inlineStr">
        <is>
          <t>Sí</t>
        </is>
      </c>
      <c r="R394" s="9">
        <f>IF(N394="","",IF(Q394="Sí",ROUND(N394/1.18,2),N394))</f>
        <v/>
      </c>
      <c r="S394" s="7" t="inlineStr">
        <is>
          <t>2026-09-09</t>
        </is>
      </c>
      <c r="T394" s="5" t="inlineStr">
        <is>
          <t>1 cotización de proveedores</t>
        </is>
      </c>
    </row>
    <row r="395">
      <c r="A395" s="7" t="inlineStr">
        <is>
          <t>MAT-07-021</t>
        </is>
      </c>
      <c r="B395" s="7" t="inlineStr">
        <is>
          <t>Materiales</t>
        </is>
      </c>
      <c r="C395" s="7" t="inlineStr">
        <is>
          <t>Techos e impermeabilización</t>
        </is>
      </c>
      <c r="D395" s="5" t="inlineStr">
        <is>
          <t>Caballete de zinc calibre 29, 6 pies</t>
        </is>
      </c>
      <c r="E395" s="5" t="inlineStr">
        <is>
          <t>Pieza de remate para cumbrera de techo de zinc · calibre 29 · 6 pies</t>
        </is>
      </c>
      <c r="F395" s="5" t="inlineStr">
        <is>
          <t>Material retirado en almacén</t>
        </is>
      </c>
      <c r="G395" s="5" t="inlineStr">
        <is>
          <t>cumbrera de zinc, capote de techo</t>
        </is>
      </c>
      <c r="H395" s="7" t="inlineStr">
        <is>
          <t>unidad</t>
        </is>
      </c>
      <c r="I395" s="7" t="inlineStr">
        <is>
          <t>Techos</t>
        </is>
      </c>
      <c r="J395" s="7" t="inlineStr">
        <is>
          <t>economica</t>
        </is>
      </c>
      <c r="K395" s="7" t="inlineStr">
        <is>
          <t>nacional</t>
        </is>
      </c>
      <c r="L395" s="7" t="inlineStr">
        <is>
          <t>Verificado</t>
        </is>
      </c>
      <c r="M395" s="8" t="n">
        <v>1</v>
      </c>
      <c r="N395" s="9" t="n">
        <v>141.1</v>
      </c>
      <c r="O395" s="9" t="n">
        <v>141.1</v>
      </c>
      <c r="P395" s="9" t="n">
        <v>141.1</v>
      </c>
      <c r="Q395" s="7" t="inlineStr">
        <is>
          <t>Sí</t>
        </is>
      </c>
      <c r="R395" s="9">
        <f>IF(N395="","",IF(Q395="Sí",ROUND(N395/1.18,2),N395))</f>
        <v/>
      </c>
      <c r="S395" s="7" t="inlineStr">
        <is>
          <t>2026-09-09</t>
        </is>
      </c>
      <c r="T395" s="5" t="inlineStr">
        <is>
          <t>1 cotización de proveedores</t>
        </is>
      </c>
    </row>
    <row r="396">
      <c r="A396" s="7" t="inlineStr">
        <is>
          <t>MAT-07-022</t>
        </is>
      </c>
      <c r="B396" s="7" t="inlineStr">
        <is>
          <t>Materiales</t>
        </is>
      </c>
      <c r="C396" s="7" t="inlineStr">
        <is>
          <t>Techos e impermeabilización</t>
        </is>
      </c>
      <c r="D396" s="5" t="inlineStr">
        <is>
          <t>Caballete de zinc calibre 34, 6 pies</t>
        </is>
      </c>
      <c r="E396" s="5" t="inlineStr">
        <is>
          <t>Pieza de remate para cumbrera de techo de zinc · calibre 34 · 6 pies</t>
        </is>
      </c>
      <c r="F396" s="5" t="inlineStr">
        <is>
          <t>Material retirado en almacén</t>
        </is>
      </c>
      <c r="G396" s="5" t="inlineStr">
        <is>
          <t>cumbrera de zinc, capote de techo</t>
        </is>
      </c>
      <c r="H396" s="7" t="inlineStr">
        <is>
          <t>unidad</t>
        </is>
      </c>
      <c r="I396" s="7" t="inlineStr">
        <is>
          <t>Techos</t>
        </is>
      </c>
      <c r="J396" s="7" t="inlineStr">
        <is>
          <t>economica</t>
        </is>
      </c>
      <c r="K396" s="7" t="inlineStr">
        <is>
          <t>nacional</t>
        </is>
      </c>
      <c r="L396" s="7" t="inlineStr">
        <is>
          <t>Verificado</t>
        </is>
      </c>
      <c r="M396" s="8" t="n">
        <v>1</v>
      </c>
      <c r="N396" s="9" t="n">
        <v>104.29</v>
      </c>
      <c r="O396" s="9" t="n">
        <v>104.29</v>
      </c>
      <c r="P396" s="9" t="n">
        <v>104.29</v>
      </c>
      <c r="Q396" s="7" t="inlineStr">
        <is>
          <t>Sí</t>
        </is>
      </c>
      <c r="R396" s="9">
        <f>IF(N396="","",IF(Q396="Sí",ROUND(N396/1.18,2),N396))</f>
        <v/>
      </c>
      <c r="S396" s="7" t="inlineStr">
        <is>
          <t>2026-09-09</t>
        </is>
      </c>
      <c r="T396" s="5" t="inlineStr">
        <is>
          <t>1 cotización de proveedores</t>
        </is>
      </c>
    </row>
    <row r="397">
      <c r="A397" s="7" t="inlineStr">
        <is>
          <t>MAT-07-023</t>
        </is>
      </c>
      <c r="B397" s="7" t="inlineStr">
        <is>
          <t>Materiales</t>
        </is>
      </c>
      <c r="C397" s="7" t="inlineStr">
        <is>
          <t>Techos e impermeabilización</t>
        </is>
      </c>
      <c r="D397" s="5" t="inlineStr">
        <is>
          <t>Caño para aluzinc 6" x 7" x 10 pies</t>
        </is>
      </c>
      <c r="E397" s="5" t="inlineStr">
        <is>
          <t>Canal de desagüe para techo de aluzinc · 6" x 7" · tramo de 10 pies</t>
        </is>
      </c>
      <c r="F397" s="5" t="inlineStr">
        <is>
          <t>Material retirado en almacén</t>
        </is>
      </c>
      <c r="G397" s="5" t="inlineStr">
        <is>
          <t>canal de techo, canaleta de aluzinc</t>
        </is>
      </c>
      <c r="H397" s="7" t="inlineStr">
        <is>
          <t>unidad</t>
        </is>
      </c>
      <c r="I397" s="7" t="inlineStr">
        <is>
          <t>Techos</t>
        </is>
      </c>
      <c r="J397" s="7" t="inlineStr">
        <is>
          <t>estandar</t>
        </is>
      </c>
      <c r="K397" s="7" t="inlineStr">
        <is>
          <t>importado</t>
        </is>
      </c>
      <c r="L397" s="7" t="inlineStr">
        <is>
          <t>Verificado</t>
        </is>
      </c>
      <c r="M397" s="8" t="n">
        <v>1</v>
      </c>
      <c r="N397" s="9" t="n">
        <v>659.86</v>
      </c>
      <c r="O397" s="9" t="n">
        <v>659.86</v>
      </c>
      <c r="P397" s="9" t="n">
        <v>659.86</v>
      </c>
      <c r="Q397" s="7" t="inlineStr">
        <is>
          <t>Sí</t>
        </is>
      </c>
      <c r="R397" s="9">
        <f>IF(N397="","",IF(Q397="Sí",ROUND(N397/1.18,2),N397))</f>
        <v/>
      </c>
      <c r="S397" s="7" t="inlineStr">
        <is>
          <t>2026-09-09</t>
        </is>
      </c>
      <c r="T397" s="5" t="inlineStr">
        <is>
          <t>1 cotización de proveedores</t>
        </is>
      </c>
    </row>
    <row r="398">
      <c r="A398" s="7" t="inlineStr">
        <is>
          <t>MAT-08-014</t>
        </is>
      </c>
      <c r="B398" s="7" t="inlineStr">
        <is>
          <t>Materiales</t>
        </is>
      </c>
      <c r="C398" s="7" t="inlineStr">
        <is>
          <t>Pisos y revestimientos</t>
        </is>
      </c>
      <c r="D398" s="5" t="inlineStr">
        <is>
          <t>Polvo de color para mosaico amarillo comercial, 1 lb</t>
        </is>
      </c>
      <c r="E398" s="5" t="inlineStr">
        <is>
          <t>Pigmento en polvo para granito fundido y mosaico · amarillo comercial · presentación de 1 libras</t>
        </is>
      </c>
      <c r="F398" s="5" t="inlineStr">
        <is>
          <t>Material retirado en almacén</t>
        </is>
      </c>
      <c r="G398" s="5" t="inlineStr">
        <is>
          <t>cromo, polvo de color, pigmento para granito</t>
        </is>
      </c>
      <c r="H398" s="7" t="inlineStr">
        <is>
          <t>unidad</t>
        </is>
      </c>
      <c r="I398" s="7" t="inlineStr">
        <is>
          <t>Pisos</t>
        </is>
      </c>
      <c r="J398" s="7" t="inlineStr">
        <is>
          <t>estandar</t>
        </is>
      </c>
      <c r="K398" s="7" t="inlineStr">
        <is>
          <t>importado</t>
        </is>
      </c>
      <c r="L398" s="7" t="inlineStr">
        <is>
          <t>Verificado</t>
        </is>
      </c>
      <c r="M398" s="8" t="n">
        <v>1</v>
      </c>
      <c r="N398" s="9" t="n">
        <v>55.94</v>
      </c>
      <c r="O398" s="9" t="n">
        <v>55.94</v>
      </c>
      <c r="P398" s="9" t="n">
        <v>55.94</v>
      </c>
      <c r="Q398" s="7" t="inlineStr">
        <is>
          <t>Sí</t>
        </is>
      </c>
      <c r="R398" s="9">
        <f>IF(N398="","",IF(Q398="Sí",ROUND(N398/1.18,2),N398))</f>
        <v/>
      </c>
      <c r="S398" s="7" t="inlineStr">
        <is>
          <t>2026-09-09</t>
        </is>
      </c>
      <c r="T398" s="5" t="inlineStr">
        <is>
          <t>1 cotización de proveedores</t>
        </is>
      </c>
    </row>
    <row r="399">
      <c r="A399" s="7" t="inlineStr">
        <is>
          <t>MAT-08-015</t>
        </is>
      </c>
      <c r="B399" s="7" t="inlineStr">
        <is>
          <t>Materiales</t>
        </is>
      </c>
      <c r="C399" s="7" t="inlineStr">
        <is>
          <t>Pisos y revestimientos</t>
        </is>
      </c>
      <c r="D399" s="5" t="inlineStr">
        <is>
          <t>Polvo de color para mosaico amarillo industrial, 1 lb</t>
        </is>
      </c>
      <c r="E399" s="5" t="inlineStr">
        <is>
          <t>Pigmento en polvo para granito fundido y mosaico · amarillo industrial · presentación de 1 libras</t>
        </is>
      </c>
      <c r="F399" s="5" t="inlineStr">
        <is>
          <t>Material retirado en almacén</t>
        </is>
      </c>
      <c r="G399" s="5" t="inlineStr">
        <is>
          <t>cromo, polvo de color, pigmento para granito</t>
        </is>
      </c>
      <c r="H399" s="7" t="inlineStr">
        <is>
          <t>unidad</t>
        </is>
      </c>
      <c r="I399" s="7" t="inlineStr">
        <is>
          <t>Pisos</t>
        </is>
      </c>
      <c r="J399" s="7" t="inlineStr">
        <is>
          <t>premium</t>
        </is>
      </c>
      <c r="K399" s="7" t="inlineStr">
        <is>
          <t>importado</t>
        </is>
      </c>
      <c r="L399" s="7" t="inlineStr">
        <is>
          <t>Verificado</t>
        </is>
      </c>
      <c r="M399" s="8" t="n">
        <v>1</v>
      </c>
      <c r="N399" s="9" t="n">
        <v>153.81</v>
      </c>
      <c r="O399" s="9" t="n">
        <v>153.81</v>
      </c>
      <c r="P399" s="9" t="n">
        <v>153.81</v>
      </c>
      <c r="Q399" s="7" t="inlineStr">
        <is>
          <t>Sí</t>
        </is>
      </c>
      <c r="R399" s="9">
        <f>IF(N399="","",IF(Q399="Sí",ROUND(N399/1.18,2),N399))</f>
        <v/>
      </c>
      <c r="S399" s="7" t="inlineStr">
        <is>
          <t>2026-09-09</t>
        </is>
      </c>
      <c r="T399" s="5" t="inlineStr">
        <is>
          <t>1 cotización de proveedores</t>
        </is>
      </c>
    </row>
    <row r="400">
      <c r="A400" s="7" t="inlineStr">
        <is>
          <t>MAT-08-016</t>
        </is>
      </c>
      <c r="B400" s="7" t="inlineStr">
        <is>
          <t>Materiales</t>
        </is>
      </c>
      <c r="C400" s="7" t="inlineStr">
        <is>
          <t>Pisos y revestimientos</t>
        </is>
      </c>
      <c r="D400" s="5" t="inlineStr">
        <is>
          <t>Polvo de color para mosaico azul comercial, 1 lb</t>
        </is>
      </c>
      <c r="E400" s="5" t="inlineStr">
        <is>
          <t>Pigmento en polvo para granito fundido y mosaico · azul comercial · presentación de 1 libras</t>
        </is>
      </c>
      <c r="F400" s="5" t="inlineStr">
        <is>
          <t>Material retirado en almacén</t>
        </is>
      </c>
      <c r="G400" s="5" t="inlineStr">
        <is>
          <t>cromo, polvo de color, pigmento para granito</t>
        </is>
      </c>
      <c r="H400" s="7" t="inlineStr">
        <is>
          <t>unidad</t>
        </is>
      </c>
      <c r="I400" s="7" t="inlineStr">
        <is>
          <t>Pisos</t>
        </is>
      </c>
      <c r="J400" s="7" t="inlineStr">
        <is>
          <t>estandar</t>
        </is>
      </c>
      <c r="K400" s="7" t="inlineStr">
        <is>
          <t>importado</t>
        </is>
      </c>
      <c r="L400" s="7" t="inlineStr">
        <is>
          <t>Verificado</t>
        </is>
      </c>
      <c r="M400" s="8" t="n">
        <v>1</v>
      </c>
      <c r="N400" s="9" t="n">
        <v>82.72</v>
      </c>
      <c r="O400" s="9" t="n">
        <v>82.72</v>
      </c>
      <c r="P400" s="9" t="n">
        <v>82.72</v>
      </c>
      <c r="Q400" s="7" t="inlineStr">
        <is>
          <t>Sí</t>
        </is>
      </c>
      <c r="R400" s="9">
        <f>IF(N400="","",IF(Q400="Sí",ROUND(N400/1.18,2),N400))</f>
        <v/>
      </c>
      <c r="S400" s="7" t="inlineStr">
        <is>
          <t>2026-09-09</t>
        </is>
      </c>
      <c r="T400" s="5" t="inlineStr">
        <is>
          <t>1 cotización de proveedores</t>
        </is>
      </c>
    </row>
    <row r="401">
      <c r="A401" s="7" t="inlineStr">
        <is>
          <t>MAT-08-017</t>
        </is>
      </c>
      <c r="B401" s="7" t="inlineStr">
        <is>
          <t>Materiales</t>
        </is>
      </c>
      <c r="C401" s="7" t="inlineStr">
        <is>
          <t>Pisos y revestimientos</t>
        </is>
      </c>
      <c r="D401" s="5" t="inlineStr">
        <is>
          <t>Polvo de color para mosaico azul industrial, 1 lb</t>
        </is>
      </c>
      <c r="E401" s="5" t="inlineStr">
        <is>
          <t>Pigmento en polvo para granito fundido y mosaico · azul industrial · presentación de 1 libras</t>
        </is>
      </c>
      <c r="F401" s="5" t="inlineStr">
        <is>
          <t>Material retirado en almacén</t>
        </is>
      </c>
      <c r="G401" s="5" t="inlineStr">
        <is>
          <t>cromo, polvo de color, pigmento para granito</t>
        </is>
      </c>
      <c r="H401" s="7" t="inlineStr">
        <is>
          <t>unidad</t>
        </is>
      </c>
      <c r="I401" s="7" t="inlineStr">
        <is>
          <t>Pisos</t>
        </is>
      </c>
      <c r="J401" s="7" t="inlineStr">
        <is>
          <t>premium</t>
        </is>
      </c>
      <c r="K401" s="7" t="inlineStr">
        <is>
          <t>importado</t>
        </is>
      </c>
      <c r="L401" s="7" t="inlineStr">
        <is>
          <t>Verificado</t>
        </is>
      </c>
      <c r="M401" s="8" t="n">
        <v>1</v>
      </c>
      <c r="N401" s="9" t="n">
        <v>162.49</v>
      </c>
      <c r="O401" s="9" t="n">
        <v>162.49</v>
      </c>
      <c r="P401" s="9" t="n">
        <v>162.49</v>
      </c>
      <c r="Q401" s="7" t="inlineStr">
        <is>
          <t>Sí</t>
        </is>
      </c>
      <c r="R401" s="9">
        <f>IF(N401="","",IF(Q401="Sí",ROUND(N401/1.18,2),N401))</f>
        <v/>
      </c>
      <c r="S401" s="7" t="inlineStr">
        <is>
          <t>2026-09-09</t>
        </is>
      </c>
      <c r="T401" s="5" t="inlineStr">
        <is>
          <t>1 cotización de proveedores</t>
        </is>
      </c>
    </row>
    <row r="402">
      <c r="A402" s="7" t="inlineStr">
        <is>
          <t>MAT-08-018</t>
        </is>
      </c>
      <c r="B402" s="7" t="inlineStr">
        <is>
          <t>Materiales</t>
        </is>
      </c>
      <c r="C402" s="7" t="inlineStr">
        <is>
          <t>Pisos y revestimientos</t>
        </is>
      </c>
      <c r="D402" s="5" t="inlineStr">
        <is>
          <t>Polvo de color para mosaico negro comercial, 1 lb</t>
        </is>
      </c>
      <c r="E402" s="5" t="inlineStr">
        <is>
          <t>Pigmento en polvo para granito fundido y mosaico · negro comercial · presentación de 1 libras</t>
        </is>
      </c>
      <c r="F402" s="5" t="inlineStr">
        <is>
          <t>Material retirado en almacén</t>
        </is>
      </c>
      <c r="G402" s="5" t="inlineStr">
        <is>
          <t>cromo, polvo de color, pigmento para granito</t>
        </is>
      </c>
      <c r="H402" s="7" t="inlineStr">
        <is>
          <t>unidad</t>
        </is>
      </c>
      <c r="I402" s="7" t="inlineStr">
        <is>
          <t>Pisos</t>
        </is>
      </c>
      <c r="J402" s="7" t="inlineStr">
        <is>
          <t>estandar</t>
        </is>
      </c>
      <c r="K402" s="7" t="inlineStr">
        <is>
          <t>importado</t>
        </is>
      </c>
      <c r="L402" s="7" t="inlineStr">
        <is>
          <t>Verificado</t>
        </is>
      </c>
      <c r="M402" s="8" t="n">
        <v>1</v>
      </c>
      <c r="N402" s="9" t="n">
        <v>90.79000000000001</v>
      </c>
      <c r="O402" s="9" t="n">
        <v>90.79000000000001</v>
      </c>
      <c r="P402" s="9" t="n">
        <v>90.79000000000001</v>
      </c>
      <c r="Q402" s="7" t="inlineStr">
        <is>
          <t>Sí</t>
        </is>
      </c>
      <c r="R402" s="9">
        <f>IF(N402="","",IF(Q402="Sí",ROUND(N402/1.18,2),N402))</f>
        <v/>
      </c>
      <c r="S402" s="7" t="inlineStr">
        <is>
          <t>2026-09-09</t>
        </is>
      </c>
      <c r="T402" s="5" t="inlineStr">
        <is>
          <t>1 cotización de proveedores</t>
        </is>
      </c>
    </row>
    <row r="403">
      <c r="A403" s="7" t="inlineStr">
        <is>
          <t>MAT-08-019</t>
        </is>
      </c>
      <c r="B403" s="7" t="inlineStr">
        <is>
          <t>Materiales</t>
        </is>
      </c>
      <c r="C403" s="7" t="inlineStr">
        <is>
          <t>Pisos y revestimientos</t>
        </is>
      </c>
      <c r="D403" s="5" t="inlineStr">
        <is>
          <t>Polvo de color para mosaico negro industrial, 1 lb</t>
        </is>
      </c>
      <c r="E403" s="5" t="inlineStr">
        <is>
          <t>Pigmento en polvo para granito fundido y mosaico · negro industrial · presentación de 1 libras</t>
        </is>
      </c>
      <c r="F403" s="5" t="inlineStr">
        <is>
          <t>Material retirado en almacén</t>
        </is>
      </c>
      <c r="G403" s="5" t="inlineStr">
        <is>
          <t>cromo, polvo de color, pigmento para granito</t>
        </is>
      </c>
      <c r="H403" s="7" t="inlineStr">
        <is>
          <t>unidad</t>
        </is>
      </c>
      <c r="I403" s="7" t="inlineStr">
        <is>
          <t>Pisos</t>
        </is>
      </c>
      <c r="J403" s="7" t="inlineStr">
        <is>
          <t>premium</t>
        </is>
      </c>
      <c r="K403" s="7" t="inlineStr">
        <is>
          <t>importado</t>
        </is>
      </c>
      <c r="L403" s="7" t="inlineStr">
        <is>
          <t>Verificado</t>
        </is>
      </c>
      <c r="M403" s="8" t="n">
        <v>1</v>
      </c>
      <c r="N403" s="9" t="n">
        <v>129.29</v>
      </c>
      <c r="O403" s="9" t="n">
        <v>129.29</v>
      </c>
      <c r="P403" s="9" t="n">
        <v>129.29</v>
      </c>
      <c r="Q403" s="7" t="inlineStr">
        <is>
          <t>Sí</t>
        </is>
      </c>
      <c r="R403" s="9">
        <f>IF(N403="","",IF(Q403="Sí",ROUND(N403/1.18,2),N403))</f>
        <v/>
      </c>
      <c r="S403" s="7" t="inlineStr">
        <is>
          <t>2026-09-09</t>
        </is>
      </c>
      <c r="T403" s="5" t="inlineStr">
        <is>
          <t>1 cotización de proveedores</t>
        </is>
      </c>
    </row>
    <row r="404">
      <c r="A404" s="7" t="inlineStr">
        <is>
          <t>MAT-08-020</t>
        </is>
      </c>
      <c r="B404" s="7" t="inlineStr">
        <is>
          <t>Materiales</t>
        </is>
      </c>
      <c r="C404" s="7" t="inlineStr">
        <is>
          <t>Pisos y revestimientos</t>
        </is>
      </c>
      <c r="D404" s="5" t="inlineStr">
        <is>
          <t>Polvo de color para mosaico rojo comercial, 1 lb</t>
        </is>
      </c>
      <c r="E404" s="5" t="inlineStr">
        <is>
          <t>Pigmento en polvo para granito fundido y mosaico · rojo comercial · presentación de 1 libras</t>
        </is>
      </c>
      <c r="F404" s="5" t="inlineStr">
        <is>
          <t>Material retirado en almacén</t>
        </is>
      </c>
      <c r="G404" s="5" t="inlineStr">
        <is>
          <t>cromo, polvo de color, pigmento para granito</t>
        </is>
      </c>
      <c r="H404" s="7" t="inlineStr">
        <is>
          <t>unidad</t>
        </is>
      </c>
      <c r="I404" s="7" t="inlineStr">
        <is>
          <t>Pisos</t>
        </is>
      </c>
      <c r="J404" s="7" t="inlineStr">
        <is>
          <t>estandar</t>
        </is>
      </c>
      <c r="K404" s="7" t="inlineStr">
        <is>
          <t>importado</t>
        </is>
      </c>
      <c r="L404" s="7" t="inlineStr">
        <is>
          <t>Verificado</t>
        </is>
      </c>
      <c r="M404" s="8" t="n">
        <v>1</v>
      </c>
      <c r="N404" s="9" t="n">
        <v>66.5</v>
      </c>
      <c r="O404" s="9" t="n">
        <v>66.5</v>
      </c>
      <c r="P404" s="9" t="n">
        <v>66.5</v>
      </c>
      <c r="Q404" s="7" t="inlineStr">
        <is>
          <t>Sí</t>
        </is>
      </c>
      <c r="R404" s="9">
        <f>IF(N404="","",IF(Q404="Sí",ROUND(N404/1.18,2),N404))</f>
        <v/>
      </c>
      <c r="S404" s="7" t="inlineStr">
        <is>
          <t>2026-09-09</t>
        </is>
      </c>
      <c r="T404" s="5" t="inlineStr">
        <is>
          <t>1 cotización de proveedores</t>
        </is>
      </c>
    </row>
    <row r="405">
      <c r="A405" s="7" t="inlineStr">
        <is>
          <t>MAT-08-021</t>
        </is>
      </c>
      <c r="B405" s="7" t="inlineStr">
        <is>
          <t>Materiales</t>
        </is>
      </c>
      <c r="C405" s="7" t="inlineStr">
        <is>
          <t>Pisos y revestimientos</t>
        </is>
      </c>
      <c r="D405" s="5" t="inlineStr">
        <is>
          <t>Polvo de color para mosaico rojo industrial, 1 lb</t>
        </is>
      </c>
      <c r="E405" s="5" t="inlineStr">
        <is>
          <t>Pigmento en polvo para granito fundido y mosaico · rojo industrial · presentación de 1 libras</t>
        </is>
      </c>
      <c r="F405" s="5" t="inlineStr">
        <is>
          <t>Material retirado en almacén</t>
        </is>
      </c>
      <c r="G405" s="5" t="inlineStr">
        <is>
          <t>cromo, polvo de color, pigmento para granito</t>
        </is>
      </c>
      <c r="H405" s="7" t="inlineStr">
        <is>
          <t>unidad</t>
        </is>
      </c>
      <c r="I405" s="7" t="inlineStr">
        <is>
          <t>Pisos</t>
        </is>
      </c>
      <c r="J405" s="7" t="inlineStr">
        <is>
          <t>premium</t>
        </is>
      </c>
      <c r="K405" s="7" t="inlineStr">
        <is>
          <t>importado</t>
        </is>
      </c>
      <c r="L405" s="7" t="inlineStr">
        <is>
          <t>Verificado</t>
        </is>
      </c>
      <c r="M405" s="8" t="n">
        <v>1</v>
      </c>
      <c r="N405" s="9" t="n">
        <v>106.37</v>
      </c>
      <c r="O405" s="9" t="n">
        <v>106.37</v>
      </c>
      <c r="P405" s="9" t="n">
        <v>106.37</v>
      </c>
      <c r="Q405" s="7" t="inlineStr">
        <is>
          <t>Sí</t>
        </is>
      </c>
      <c r="R405" s="9">
        <f>IF(N405="","",IF(Q405="Sí",ROUND(N405/1.18,2),N405))</f>
        <v/>
      </c>
      <c r="S405" s="7" t="inlineStr">
        <is>
          <t>2026-09-09</t>
        </is>
      </c>
      <c r="T405" s="5" t="inlineStr">
        <is>
          <t>1 cotización de proveedores</t>
        </is>
      </c>
    </row>
    <row r="406">
      <c r="A406" s="7" t="inlineStr">
        <is>
          <t>MAT-08-022</t>
        </is>
      </c>
      <c r="B406" s="7" t="inlineStr">
        <is>
          <t>Materiales</t>
        </is>
      </c>
      <c r="C406" s="7" t="inlineStr">
        <is>
          <t>Pisos y revestimientos</t>
        </is>
      </c>
      <c r="D406" s="5" t="inlineStr">
        <is>
          <t>Polvo de color para mosaico verde comercial, 1 lb</t>
        </is>
      </c>
      <c r="E406" s="5" t="inlineStr">
        <is>
          <t>Pigmento en polvo para granito fundido y mosaico · verde comercial · presentación de 1 libras</t>
        </is>
      </c>
      <c r="F406" s="5" t="inlineStr">
        <is>
          <t>Material retirado en almacén</t>
        </is>
      </c>
      <c r="G406" s="5" t="inlineStr">
        <is>
          <t>cromo, polvo de color, pigmento para granito</t>
        </is>
      </c>
      <c r="H406" s="7" t="inlineStr">
        <is>
          <t>unidad</t>
        </is>
      </c>
      <c r="I406" s="7" t="inlineStr">
        <is>
          <t>Pisos</t>
        </is>
      </c>
      <c r="J406" s="7" t="inlineStr">
        <is>
          <t>estandar</t>
        </is>
      </c>
      <c r="K406" s="7" t="inlineStr">
        <is>
          <t>importado</t>
        </is>
      </c>
      <c r="L406" s="7" t="inlineStr">
        <is>
          <t>Verificado</t>
        </is>
      </c>
      <c r="M406" s="8" t="n">
        <v>1</v>
      </c>
      <c r="N406" s="9" t="n">
        <v>78.84</v>
      </c>
      <c r="O406" s="9" t="n">
        <v>78.84</v>
      </c>
      <c r="P406" s="9" t="n">
        <v>78.84</v>
      </c>
      <c r="Q406" s="7" t="inlineStr">
        <is>
          <t>Sí</t>
        </is>
      </c>
      <c r="R406" s="9">
        <f>IF(N406="","",IF(Q406="Sí",ROUND(N406/1.18,2),N406))</f>
        <v/>
      </c>
      <c r="S406" s="7" t="inlineStr">
        <is>
          <t>2026-09-09</t>
        </is>
      </c>
      <c r="T406" s="5" t="inlineStr">
        <is>
          <t>1 cotización de proveedores</t>
        </is>
      </c>
    </row>
    <row r="407">
      <c r="A407" s="7" t="inlineStr">
        <is>
          <t>MAT-08-023</t>
        </is>
      </c>
      <c r="B407" s="7" t="inlineStr">
        <is>
          <t>Materiales</t>
        </is>
      </c>
      <c r="C407" s="7" t="inlineStr">
        <is>
          <t>Pisos y revestimientos</t>
        </is>
      </c>
      <c r="D407" s="5" t="inlineStr">
        <is>
          <t>Polvo de color para mosaico verde industrial, 1 lb</t>
        </is>
      </c>
      <c r="E407" s="5" t="inlineStr">
        <is>
          <t>Pigmento en polvo para granito fundido y mosaico · verde industrial · presentación de 1 libras</t>
        </is>
      </c>
      <c r="F407" s="5" t="inlineStr">
        <is>
          <t>Material retirado en almacén</t>
        </is>
      </c>
      <c r="G407" s="5" t="inlineStr">
        <is>
          <t>cromo, polvo de color, pigmento para granito</t>
        </is>
      </c>
      <c r="H407" s="7" t="inlineStr">
        <is>
          <t>unidad</t>
        </is>
      </c>
      <c r="I407" s="7" t="inlineStr">
        <is>
          <t>Pisos</t>
        </is>
      </c>
      <c r="J407" s="7" t="inlineStr">
        <is>
          <t>premium</t>
        </is>
      </c>
      <c r="K407" s="7" t="inlineStr">
        <is>
          <t>importado</t>
        </is>
      </c>
      <c r="L407" s="7" t="inlineStr">
        <is>
          <t>Verificado</t>
        </is>
      </c>
      <c r="M407" s="8" t="n">
        <v>1</v>
      </c>
      <c r="N407" s="9" t="n">
        <v>180.39</v>
      </c>
      <c r="O407" s="9" t="n">
        <v>180.39</v>
      </c>
      <c r="P407" s="9" t="n">
        <v>180.39</v>
      </c>
      <c r="Q407" s="7" t="inlineStr">
        <is>
          <t>Sí</t>
        </is>
      </c>
      <c r="R407" s="9">
        <f>IF(N407="","",IF(Q407="Sí",ROUND(N407/1.18,2),N407))</f>
        <v/>
      </c>
      <c r="S407" s="7" t="inlineStr">
        <is>
          <t>2026-09-09</t>
        </is>
      </c>
      <c r="T407" s="5" t="inlineStr">
        <is>
          <t>1 cotización de proveedores</t>
        </is>
      </c>
    </row>
    <row r="408">
      <c r="A408" s="7" t="inlineStr">
        <is>
          <t>MAT-08-024</t>
        </is>
      </c>
      <c r="B408" s="7" t="inlineStr">
        <is>
          <t>Materiales</t>
        </is>
      </c>
      <c r="C408" s="7" t="inlineStr">
        <is>
          <t>Pisos y revestimientos</t>
        </is>
      </c>
      <c r="D408" s="5" t="inlineStr">
        <is>
          <t>Polvo de color para mosaico amarillo industrial, 3 lb</t>
        </is>
      </c>
      <c r="E408" s="5" t="inlineStr">
        <is>
          <t>Pigmento en polvo para granito fundido y mosaico · amarillo industrial · presentación de 3 libras</t>
        </is>
      </c>
      <c r="F408" s="5" t="inlineStr">
        <is>
          <t>Material retirado en almacén</t>
        </is>
      </c>
      <c r="G408" s="5" t="inlineStr">
        <is>
          <t>cromo, polvo de color, pigmento para granito</t>
        </is>
      </c>
      <c r="H408" s="7" t="inlineStr">
        <is>
          <t>unidad</t>
        </is>
      </c>
      <c r="I408" s="7" t="inlineStr">
        <is>
          <t>Pisos</t>
        </is>
      </c>
      <c r="J408" s="7" t="inlineStr">
        <is>
          <t>premium</t>
        </is>
      </c>
      <c r="K408" s="7" t="inlineStr">
        <is>
          <t>importado</t>
        </is>
      </c>
      <c r="L408" s="7" t="inlineStr">
        <is>
          <t>Verificado</t>
        </is>
      </c>
      <c r="M408" s="8" t="n">
        <v>1</v>
      </c>
      <c r="N408" s="9" t="n">
        <v>460.92</v>
      </c>
      <c r="O408" s="9" t="n">
        <v>460.92</v>
      </c>
      <c r="P408" s="9" t="n">
        <v>460.92</v>
      </c>
      <c r="Q408" s="7" t="inlineStr">
        <is>
          <t>Sí</t>
        </is>
      </c>
      <c r="R408" s="9">
        <f>IF(N408="","",IF(Q408="Sí",ROUND(N408/1.18,2),N408))</f>
        <v/>
      </c>
      <c r="S408" s="7" t="inlineStr">
        <is>
          <t>2026-09-09</t>
        </is>
      </c>
      <c r="T408" s="5" t="inlineStr">
        <is>
          <t>1 cotización de proveedores</t>
        </is>
      </c>
    </row>
    <row r="409">
      <c r="A409" s="7" t="inlineStr">
        <is>
          <t>MAT-08-025</t>
        </is>
      </c>
      <c r="B409" s="7" t="inlineStr">
        <is>
          <t>Materiales</t>
        </is>
      </c>
      <c r="C409" s="7" t="inlineStr">
        <is>
          <t>Pisos y revestimientos</t>
        </is>
      </c>
      <c r="D409" s="5" t="inlineStr">
        <is>
          <t>Polvo de color para mosaico amarillo comercial, 5 lb</t>
        </is>
      </c>
      <c r="E409" s="5" t="inlineStr">
        <is>
          <t>Pigmento en polvo para granito fundido y mosaico · amarillo comercial · presentación de 5 libras</t>
        </is>
      </c>
      <c r="F409" s="5" t="inlineStr">
        <is>
          <t>Material retirado en almacén</t>
        </is>
      </c>
      <c r="G409" s="5" t="inlineStr">
        <is>
          <t>cromo, polvo de color, pigmento para granito</t>
        </is>
      </c>
      <c r="H409" s="7" t="inlineStr">
        <is>
          <t>unidad</t>
        </is>
      </c>
      <c r="I409" s="7" t="inlineStr">
        <is>
          <t>Pisos</t>
        </is>
      </c>
      <c r="J409" s="7" t="inlineStr">
        <is>
          <t>estandar</t>
        </is>
      </c>
      <c r="K409" s="7" t="inlineStr">
        <is>
          <t>importado</t>
        </is>
      </c>
      <c r="L409" s="7" t="inlineStr">
        <is>
          <t>Verificado</t>
        </is>
      </c>
      <c r="M409" s="8" t="n">
        <v>1</v>
      </c>
      <c r="N409" s="9" t="n">
        <v>280.64</v>
      </c>
      <c r="O409" s="9" t="n">
        <v>280.64</v>
      </c>
      <c r="P409" s="9" t="n">
        <v>280.64</v>
      </c>
      <c r="Q409" s="7" t="inlineStr">
        <is>
          <t>Sí</t>
        </is>
      </c>
      <c r="R409" s="9">
        <f>IF(N409="","",IF(Q409="Sí",ROUND(N409/1.18,2),N409))</f>
        <v/>
      </c>
      <c r="S409" s="7" t="inlineStr">
        <is>
          <t>2026-09-09</t>
        </is>
      </c>
      <c r="T409" s="5" t="inlineStr">
        <is>
          <t>1 cotización de proveedores</t>
        </is>
      </c>
    </row>
    <row r="410">
      <c r="A410" s="7" t="inlineStr">
        <is>
          <t>MAT-08-026</t>
        </is>
      </c>
      <c r="B410" s="7" t="inlineStr">
        <is>
          <t>Materiales</t>
        </is>
      </c>
      <c r="C410" s="7" t="inlineStr">
        <is>
          <t>Pisos y revestimientos</t>
        </is>
      </c>
      <c r="D410" s="5" t="inlineStr">
        <is>
          <t>Polvo de color para mosaico azul comercial, 5 lb</t>
        </is>
      </c>
      <c r="E410" s="5" t="inlineStr">
        <is>
          <t>Pigmento en polvo para granito fundido y mosaico · azul comercial · presentación de 5 libras</t>
        </is>
      </c>
      <c r="F410" s="5" t="inlineStr">
        <is>
          <t>Material retirado en almacén</t>
        </is>
      </c>
      <c r="G410" s="5" t="inlineStr">
        <is>
          <t>cromo, polvo de color, pigmento para granito</t>
        </is>
      </c>
      <c r="H410" s="7" t="inlineStr">
        <is>
          <t>unidad</t>
        </is>
      </c>
      <c r="I410" s="7" t="inlineStr">
        <is>
          <t>Pisos</t>
        </is>
      </c>
      <c r="J410" s="7" t="inlineStr">
        <is>
          <t>estandar</t>
        </is>
      </c>
      <c r="K410" s="7" t="inlineStr">
        <is>
          <t>importado</t>
        </is>
      </c>
      <c r="L410" s="7" t="inlineStr">
        <is>
          <t>Verificado</t>
        </is>
      </c>
      <c r="M410" s="8" t="n">
        <v>1</v>
      </c>
      <c r="N410" s="9" t="n">
        <v>367.96</v>
      </c>
      <c r="O410" s="9" t="n">
        <v>367.96</v>
      </c>
      <c r="P410" s="9" t="n">
        <v>367.96</v>
      </c>
      <c r="Q410" s="7" t="inlineStr">
        <is>
          <t>Sí</t>
        </is>
      </c>
      <c r="R410" s="9">
        <f>IF(N410="","",IF(Q410="Sí",ROUND(N410/1.18,2),N410))</f>
        <v/>
      </c>
      <c r="S410" s="7" t="inlineStr">
        <is>
          <t>2026-09-09</t>
        </is>
      </c>
      <c r="T410" s="5" t="inlineStr">
        <is>
          <t>1 cotización de proveedores</t>
        </is>
      </c>
    </row>
    <row r="411">
      <c r="A411" s="7" t="inlineStr">
        <is>
          <t>MAT-08-027</t>
        </is>
      </c>
      <c r="B411" s="7" t="inlineStr">
        <is>
          <t>Materiales</t>
        </is>
      </c>
      <c r="C411" s="7" t="inlineStr">
        <is>
          <t>Pisos y revestimientos</t>
        </is>
      </c>
      <c r="D411" s="5" t="inlineStr">
        <is>
          <t>Polvo de color para mosaico azul industrial, 5 lb</t>
        </is>
      </c>
      <c r="E411" s="5" t="inlineStr">
        <is>
          <t>Pigmento en polvo para granito fundido y mosaico · azul industrial · presentación de 5 libras</t>
        </is>
      </c>
      <c r="F411" s="5" t="inlineStr">
        <is>
          <t>Material retirado en almacén</t>
        </is>
      </c>
      <c r="G411" s="5" t="inlineStr">
        <is>
          <t>cromo, polvo de color, pigmento para granito</t>
        </is>
      </c>
      <c r="H411" s="7" t="inlineStr">
        <is>
          <t>unidad</t>
        </is>
      </c>
      <c r="I411" s="7" t="inlineStr">
        <is>
          <t>Pisos</t>
        </is>
      </c>
      <c r="J411" s="7" t="inlineStr">
        <is>
          <t>premium</t>
        </is>
      </c>
      <c r="K411" s="7" t="inlineStr">
        <is>
          <t>importado</t>
        </is>
      </c>
      <c r="L411" s="7" t="inlineStr">
        <is>
          <t>Verificado</t>
        </is>
      </c>
      <c r="M411" s="8" t="n">
        <v>1</v>
      </c>
      <c r="N411" s="9" t="n">
        <v>813.47</v>
      </c>
      <c r="O411" s="9" t="n">
        <v>813.47</v>
      </c>
      <c r="P411" s="9" t="n">
        <v>813.47</v>
      </c>
      <c r="Q411" s="7" t="inlineStr">
        <is>
          <t>Sí</t>
        </is>
      </c>
      <c r="R411" s="9">
        <f>IF(N411="","",IF(Q411="Sí",ROUND(N411/1.18,2),N411))</f>
        <v/>
      </c>
      <c r="S411" s="7" t="inlineStr">
        <is>
          <t>2026-09-09</t>
        </is>
      </c>
      <c r="T411" s="5" t="inlineStr">
        <is>
          <t>1 cotización de proveedores</t>
        </is>
      </c>
    </row>
    <row r="412">
      <c r="A412" s="7" t="inlineStr">
        <is>
          <t>MAT-08-028</t>
        </is>
      </c>
      <c r="B412" s="7" t="inlineStr">
        <is>
          <t>Materiales</t>
        </is>
      </c>
      <c r="C412" s="7" t="inlineStr">
        <is>
          <t>Pisos y revestimientos</t>
        </is>
      </c>
      <c r="D412" s="5" t="inlineStr">
        <is>
          <t>Polvo de color para mosaico negro comercial, 5 lb</t>
        </is>
      </c>
      <c r="E412" s="5" t="inlineStr">
        <is>
          <t>Pigmento en polvo para granito fundido y mosaico · negro comercial · presentación de 5 libras</t>
        </is>
      </c>
      <c r="F412" s="5" t="inlineStr">
        <is>
          <t>Material retirado en almacén</t>
        </is>
      </c>
      <c r="G412" s="5" t="inlineStr">
        <is>
          <t>cromo, polvo de color, pigmento para granito</t>
        </is>
      </c>
      <c r="H412" s="7" t="inlineStr">
        <is>
          <t>unidad</t>
        </is>
      </c>
      <c r="I412" s="7" t="inlineStr">
        <is>
          <t>Pisos</t>
        </is>
      </c>
      <c r="J412" s="7" t="inlineStr">
        <is>
          <t>estandar</t>
        </is>
      </c>
      <c r="K412" s="7" t="inlineStr">
        <is>
          <t>importado</t>
        </is>
      </c>
      <c r="L412" s="7" t="inlineStr">
        <is>
          <t>Verificado</t>
        </is>
      </c>
      <c r="M412" s="8" t="n">
        <v>1</v>
      </c>
      <c r="N412" s="9" t="n">
        <v>406.73</v>
      </c>
      <c r="O412" s="9" t="n">
        <v>406.73</v>
      </c>
      <c r="P412" s="9" t="n">
        <v>406.73</v>
      </c>
      <c r="Q412" s="7" t="inlineStr">
        <is>
          <t>Sí</t>
        </is>
      </c>
      <c r="R412" s="9">
        <f>IF(N412="","",IF(Q412="Sí",ROUND(N412/1.18,2),N412))</f>
        <v/>
      </c>
      <c r="S412" s="7" t="inlineStr">
        <is>
          <t>2026-09-09</t>
        </is>
      </c>
      <c r="T412" s="5" t="inlineStr">
        <is>
          <t>1 cotización de proveedores</t>
        </is>
      </c>
    </row>
    <row r="413">
      <c r="A413" s="7" t="inlineStr">
        <is>
          <t>MAT-08-029</t>
        </is>
      </c>
      <c r="B413" s="7" t="inlineStr">
        <is>
          <t>Materiales</t>
        </is>
      </c>
      <c r="C413" s="7" t="inlineStr">
        <is>
          <t>Pisos y revestimientos</t>
        </is>
      </c>
      <c r="D413" s="5" t="inlineStr">
        <is>
          <t>Polvo de color para mosaico negro industrial, 5 lb</t>
        </is>
      </c>
      <c r="E413" s="5" t="inlineStr">
        <is>
          <t>Pigmento en polvo para granito fundido y mosaico · negro industrial · presentación de 5 libras</t>
        </is>
      </c>
      <c r="F413" s="5" t="inlineStr">
        <is>
          <t>Material retirado en almacén</t>
        </is>
      </c>
      <c r="G413" s="5" t="inlineStr">
        <is>
          <t>cromo, polvo de color, pigmento para granito</t>
        </is>
      </c>
      <c r="H413" s="7" t="inlineStr">
        <is>
          <t>unidad</t>
        </is>
      </c>
      <c r="I413" s="7" t="inlineStr">
        <is>
          <t>Pisos</t>
        </is>
      </c>
      <c r="J413" s="7" t="inlineStr">
        <is>
          <t>premium</t>
        </is>
      </c>
      <c r="K413" s="7" t="inlineStr">
        <is>
          <t>importado</t>
        </is>
      </c>
      <c r="L413" s="7" t="inlineStr">
        <is>
          <t>Verificado</t>
        </is>
      </c>
      <c r="M413" s="8" t="n">
        <v>1</v>
      </c>
      <c r="N413" s="9" t="n">
        <v>647.51</v>
      </c>
      <c r="O413" s="9" t="n">
        <v>647.51</v>
      </c>
      <c r="P413" s="9" t="n">
        <v>647.51</v>
      </c>
      <c r="Q413" s="7" t="inlineStr">
        <is>
          <t>Sí</t>
        </is>
      </c>
      <c r="R413" s="9">
        <f>IF(N413="","",IF(Q413="Sí",ROUND(N413/1.18,2),N413))</f>
        <v/>
      </c>
      <c r="S413" s="7" t="inlineStr">
        <is>
          <t>2026-09-09</t>
        </is>
      </c>
      <c r="T413" s="5" t="inlineStr">
        <is>
          <t>1 cotización de proveedores</t>
        </is>
      </c>
    </row>
    <row r="414">
      <c r="A414" s="7" t="inlineStr">
        <is>
          <t>MAT-08-030</t>
        </is>
      </c>
      <c r="B414" s="7" t="inlineStr">
        <is>
          <t>Materiales</t>
        </is>
      </c>
      <c r="C414" s="7" t="inlineStr">
        <is>
          <t>Pisos y revestimientos</t>
        </is>
      </c>
      <c r="D414" s="5" t="inlineStr">
        <is>
          <t>Polvo de color para mosaico rojo comercial, 5 lb</t>
        </is>
      </c>
      <c r="E414" s="5" t="inlineStr">
        <is>
          <t>Pigmento en polvo para granito fundido y mosaico · rojo comercial · presentación de 5 libras</t>
        </is>
      </c>
      <c r="F414" s="5" t="inlineStr">
        <is>
          <t>Material retirado en almacén</t>
        </is>
      </c>
      <c r="G414" s="5" t="inlineStr">
        <is>
          <t>cromo, polvo de color, pigmento para granito</t>
        </is>
      </c>
      <c r="H414" s="7" t="inlineStr">
        <is>
          <t>unidad</t>
        </is>
      </c>
      <c r="I414" s="7" t="inlineStr">
        <is>
          <t>Pisos</t>
        </is>
      </c>
      <c r="J414" s="7" t="inlineStr">
        <is>
          <t>estandar</t>
        </is>
      </c>
      <c r="K414" s="7" t="inlineStr">
        <is>
          <t>importado</t>
        </is>
      </c>
      <c r="L414" s="7" t="inlineStr">
        <is>
          <t>Verificado</t>
        </is>
      </c>
      <c r="M414" s="8" t="n">
        <v>1</v>
      </c>
      <c r="N414" s="9" t="n">
        <v>333.56</v>
      </c>
      <c r="O414" s="9" t="n">
        <v>333.56</v>
      </c>
      <c r="P414" s="9" t="n">
        <v>333.56</v>
      </c>
      <c r="Q414" s="7" t="inlineStr">
        <is>
          <t>Sí</t>
        </is>
      </c>
      <c r="R414" s="9">
        <f>IF(N414="","",IF(Q414="Sí",ROUND(N414/1.18,2),N414))</f>
        <v/>
      </c>
      <c r="S414" s="7" t="inlineStr">
        <is>
          <t>2026-09-09</t>
        </is>
      </c>
      <c r="T414" s="5" t="inlineStr">
        <is>
          <t>1 cotización de proveedores</t>
        </is>
      </c>
    </row>
    <row r="415">
      <c r="A415" s="7" t="inlineStr">
        <is>
          <t>MAT-08-031</t>
        </is>
      </c>
      <c r="B415" s="7" t="inlineStr">
        <is>
          <t>Materiales</t>
        </is>
      </c>
      <c r="C415" s="7" t="inlineStr">
        <is>
          <t>Pisos y revestimientos</t>
        </is>
      </c>
      <c r="D415" s="5" t="inlineStr">
        <is>
          <t>Polvo de color para mosaico rojo industrial, 5 lb</t>
        </is>
      </c>
      <c r="E415" s="5" t="inlineStr">
        <is>
          <t>Pigmento en polvo para granito fundido y mosaico · rojo industrial · presentación de 5 libras</t>
        </is>
      </c>
      <c r="F415" s="5" t="inlineStr">
        <is>
          <t>Material retirado en almacén</t>
        </is>
      </c>
      <c r="G415" s="5" t="inlineStr">
        <is>
          <t>cromo, polvo de color, pigmento para granito</t>
        </is>
      </c>
      <c r="H415" s="7" t="inlineStr">
        <is>
          <t>unidad</t>
        </is>
      </c>
      <c r="I415" s="7" t="inlineStr">
        <is>
          <t>Pisos</t>
        </is>
      </c>
      <c r="J415" s="7" t="inlineStr">
        <is>
          <t>premium</t>
        </is>
      </c>
      <c r="K415" s="7" t="inlineStr">
        <is>
          <t>importado</t>
        </is>
      </c>
      <c r="L415" s="7" t="inlineStr">
        <is>
          <t>Verificado</t>
        </is>
      </c>
      <c r="M415" s="8" t="n">
        <v>1</v>
      </c>
      <c r="N415" s="9" t="n">
        <v>472.9</v>
      </c>
      <c r="O415" s="9" t="n">
        <v>472.9</v>
      </c>
      <c r="P415" s="9" t="n">
        <v>472.9</v>
      </c>
      <c r="Q415" s="7" t="inlineStr">
        <is>
          <t>Sí</t>
        </is>
      </c>
      <c r="R415" s="9">
        <f>IF(N415="","",IF(Q415="Sí",ROUND(N415/1.18,2),N415))</f>
        <v/>
      </c>
      <c r="S415" s="7" t="inlineStr">
        <is>
          <t>2026-09-09</t>
        </is>
      </c>
      <c r="T415" s="5" t="inlineStr">
        <is>
          <t>1 cotización de proveedores</t>
        </is>
      </c>
    </row>
    <row r="416">
      <c r="A416" s="7" t="inlineStr">
        <is>
          <t>MAT-08-032</t>
        </is>
      </c>
      <c r="B416" s="7" t="inlineStr">
        <is>
          <t>Materiales</t>
        </is>
      </c>
      <c r="C416" s="7" t="inlineStr">
        <is>
          <t>Pisos y revestimientos</t>
        </is>
      </c>
      <c r="D416" s="5" t="inlineStr">
        <is>
          <t>Polvo de color para mosaico verde comercial, 5 lb</t>
        </is>
      </c>
      <c r="E416" s="5" t="inlineStr">
        <is>
          <t>Pigmento en polvo para granito fundido y mosaico · verde comercial · presentación de 5 libras</t>
        </is>
      </c>
      <c r="F416" s="5" t="inlineStr">
        <is>
          <t>Material retirado en almacén</t>
        </is>
      </c>
      <c r="G416" s="5" t="inlineStr">
        <is>
          <t>cromo, polvo de color, pigmento para granito</t>
        </is>
      </c>
      <c r="H416" s="7" t="inlineStr">
        <is>
          <t>unidad</t>
        </is>
      </c>
      <c r="I416" s="7" t="inlineStr">
        <is>
          <t>Pisos</t>
        </is>
      </c>
      <c r="J416" s="7" t="inlineStr">
        <is>
          <t>estandar</t>
        </is>
      </c>
      <c r="K416" s="7" t="inlineStr">
        <is>
          <t>importado</t>
        </is>
      </c>
      <c r="L416" s="7" t="inlineStr">
        <is>
          <t>Verificado</t>
        </is>
      </c>
      <c r="M416" s="8" t="n">
        <v>1</v>
      </c>
      <c r="N416" s="9" t="n">
        <v>350.7</v>
      </c>
      <c r="O416" s="9" t="n">
        <v>350.7</v>
      </c>
      <c r="P416" s="9" t="n">
        <v>350.7</v>
      </c>
      <c r="Q416" s="7" t="inlineStr">
        <is>
          <t>Sí</t>
        </is>
      </c>
      <c r="R416" s="9">
        <f>IF(N416="","",IF(Q416="Sí",ROUND(N416/1.18,2),N416))</f>
        <v/>
      </c>
      <c r="S416" s="7" t="inlineStr">
        <is>
          <t>2026-09-09</t>
        </is>
      </c>
      <c r="T416" s="5" t="inlineStr">
        <is>
          <t>1 cotización de proveedores</t>
        </is>
      </c>
    </row>
    <row r="417">
      <c r="A417" s="7" t="inlineStr">
        <is>
          <t>MAT-08-033</t>
        </is>
      </c>
      <c r="B417" s="7" t="inlineStr">
        <is>
          <t>Materiales</t>
        </is>
      </c>
      <c r="C417" s="7" t="inlineStr">
        <is>
          <t>Pisos y revestimientos</t>
        </is>
      </c>
      <c r="D417" s="5" t="inlineStr">
        <is>
          <t>Polvo de color para mosaico verde industrial, 5 lb</t>
        </is>
      </c>
      <c r="E417" s="5" t="inlineStr">
        <is>
          <t>Pigmento en polvo para granito fundido y mosaico · verde industrial · presentación de 5 libras</t>
        </is>
      </c>
      <c r="F417" s="5" t="inlineStr">
        <is>
          <t>Material retirado en almacén</t>
        </is>
      </c>
      <c r="G417" s="5" t="inlineStr">
        <is>
          <t>cromo, polvo de color, pigmento para granito</t>
        </is>
      </c>
      <c r="H417" s="7" t="inlineStr">
        <is>
          <t>unidad</t>
        </is>
      </c>
      <c r="I417" s="7" t="inlineStr">
        <is>
          <t>Pisos</t>
        </is>
      </c>
      <c r="J417" s="7" t="inlineStr">
        <is>
          <t>premium</t>
        </is>
      </c>
      <c r="K417" s="7" t="inlineStr">
        <is>
          <t>importado</t>
        </is>
      </c>
      <c r="L417" s="7" t="inlineStr">
        <is>
          <t>Verificado</t>
        </is>
      </c>
      <c r="M417" s="8" t="n">
        <v>1</v>
      </c>
      <c r="N417" s="9" t="n">
        <v>902.88</v>
      </c>
      <c r="O417" s="9" t="n">
        <v>902.88</v>
      </c>
      <c r="P417" s="9" t="n">
        <v>902.88</v>
      </c>
      <c r="Q417" s="7" t="inlineStr">
        <is>
          <t>Sí</t>
        </is>
      </c>
      <c r="R417" s="9">
        <f>IF(N417="","",IF(Q417="Sí",ROUND(N417/1.18,2),N417))</f>
        <v/>
      </c>
      <c r="S417" s="7" t="inlineStr">
        <is>
          <t>2026-09-09</t>
        </is>
      </c>
      <c r="T417" s="5" t="inlineStr">
        <is>
          <t>1 cotización de proveedores</t>
        </is>
      </c>
    </row>
    <row r="418">
      <c r="A418" s="7" t="inlineStr">
        <is>
          <t>MAT-08-034</t>
        </is>
      </c>
      <c r="B418" s="7" t="inlineStr">
        <is>
          <t>Materiales</t>
        </is>
      </c>
      <c r="C418" s="7" t="inlineStr">
        <is>
          <t>Pisos y revestimientos</t>
        </is>
      </c>
      <c r="D418" s="5" t="inlineStr">
        <is>
          <t>Polvo de color para mosaico amarillo comercial, 55 lb</t>
        </is>
      </c>
      <c r="E418" s="5" t="inlineStr">
        <is>
          <t>Pigmento en polvo para granito fundido y mosaico · amarillo comercial · presentación de 55 libras</t>
        </is>
      </c>
      <c r="F418" s="5" t="inlineStr">
        <is>
          <t>Material retirado en almacén</t>
        </is>
      </c>
      <c r="G418" s="5" t="inlineStr">
        <is>
          <t>cromo, polvo de color, pigmento para granito</t>
        </is>
      </c>
      <c r="H418" s="7" t="inlineStr">
        <is>
          <t>funda</t>
        </is>
      </c>
      <c r="I418" s="7" t="inlineStr">
        <is>
          <t>Pisos</t>
        </is>
      </c>
      <c r="J418" s="7" t="inlineStr">
        <is>
          <t>estandar</t>
        </is>
      </c>
      <c r="K418" s="7" t="inlineStr">
        <is>
          <t>importado</t>
        </is>
      </c>
      <c r="L418" s="7" t="inlineStr">
        <is>
          <t>Verificado</t>
        </is>
      </c>
      <c r="M418" s="8" t="n">
        <v>1</v>
      </c>
      <c r="N418" s="9" t="n">
        <v>3195.68</v>
      </c>
      <c r="O418" s="9" t="n">
        <v>3195.68</v>
      </c>
      <c r="P418" s="9" t="n">
        <v>3195.68</v>
      </c>
      <c r="Q418" s="7" t="inlineStr">
        <is>
          <t>Sí</t>
        </is>
      </c>
      <c r="R418" s="9">
        <f>IF(N418="","",IF(Q418="Sí",ROUND(N418/1.18,2),N418))</f>
        <v/>
      </c>
      <c r="S418" s="7" t="inlineStr">
        <is>
          <t>2026-09-09</t>
        </is>
      </c>
      <c r="T418" s="5" t="inlineStr">
        <is>
          <t>1 cotización de proveedores</t>
        </is>
      </c>
    </row>
    <row r="419">
      <c r="A419" s="7" t="inlineStr">
        <is>
          <t>MAT-08-035</t>
        </is>
      </c>
      <c r="B419" s="7" t="inlineStr">
        <is>
          <t>Materiales</t>
        </is>
      </c>
      <c r="C419" s="7" t="inlineStr">
        <is>
          <t>Pisos y revestimientos</t>
        </is>
      </c>
      <c r="D419" s="5" t="inlineStr">
        <is>
          <t>Polvo de color para mosaico amarillo industrial, 55 lb</t>
        </is>
      </c>
      <c r="E419" s="5" t="inlineStr">
        <is>
          <t>Pigmento en polvo para granito fundido y mosaico · amarillo industrial · presentación de 55 libras</t>
        </is>
      </c>
      <c r="F419" s="5" t="inlineStr">
        <is>
          <t>Material retirado en almacén</t>
        </is>
      </c>
      <c r="G419" s="5" t="inlineStr">
        <is>
          <t>cromo, polvo de color, pigmento para granito</t>
        </is>
      </c>
      <c r="H419" s="7" t="inlineStr">
        <is>
          <t>funda</t>
        </is>
      </c>
      <c r="I419" s="7" t="inlineStr">
        <is>
          <t>Pisos</t>
        </is>
      </c>
      <c r="J419" s="7" t="inlineStr">
        <is>
          <t>premium</t>
        </is>
      </c>
      <c r="K419" s="7" t="inlineStr">
        <is>
          <t>importado</t>
        </is>
      </c>
      <c r="L419" s="7" t="inlineStr">
        <is>
          <t>Verificado</t>
        </is>
      </c>
      <c r="M419" s="8" t="n">
        <v>1</v>
      </c>
      <c r="N419" s="9" t="n">
        <v>7742.13</v>
      </c>
      <c r="O419" s="9" t="n">
        <v>7742.13</v>
      </c>
      <c r="P419" s="9" t="n">
        <v>7742.13</v>
      </c>
      <c r="Q419" s="7" t="inlineStr">
        <is>
          <t>Sí</t>
        </is>
      </c>
      <c r="R419" s="9">
        <f>IF(N419="","",IF(Q419="Sí",ROUND(N419/1.18,2),N419))</f>
        <v/>
      </c>
      <c r="S419" s="7" t="inlineStr">
        <is>
          <t>2026-09-09</t>
        </is>
      </c>
      <c r="T419" s="5" t="inlineStr">
        <is>
          <t>1 cotización de proveedores</t>
        </is>
      </c>
    </row>
    <row r="420">
      <c r="A420" s="7" t="inlineStr">
        <is>
          <t>MAT-08-036</t>
        </is>
      </c>
      <c r="B420" s="7" t="inlineStr">
        <is>
          <t>Materiales</t>
        </is>
      </c>
      <c r="C420" s="7" t="inlineStr">
        <is>
          <t>Pisos y revestimientos</t>
        </is>
      </c>
      <c r="D420" s="5" t="inlineStr">
        <is>
          <t>Polvo de color para mosaico azul comercial, 55 lb</t>
        </is>
      </c>
      <c r="E420" s="5" t="inlineStr">
        <is>
          <t>Pigmento en polvo para granito fundido y mosaico · azul comercial · presentación de 55 libras</t>
        </is>
      </c>
      <c r="F420" s="5" t="inlineStr">
        <is>
          <t>Material retirado en almacén</t>
        </is>
      </c>
      <c r="G420" s="5" t="inlineStr">
        <is>
          <t>cromo, polvo de color, pigmento para granito</t>
        </is>
      </c>
      <c r="H420" s="7" t="inlineStr">
        <is>
          <t>funda</t>
        </is>
      </c>
      <c r="I420" s="7" t="inlineStr">
        <is>
          <t>Pisos</t>
        </is>
      </c>
      <c r="J420" s="7" t="inlineStr">
        <is>
          <t>estandar</t>
        </is>
      </c>
      <c r="K420" s="7" t="inlineStr">
        <is>
          <t>importado</t>
        </is>
      </c>
      <c r="L420" s="7" t="inlineStr">
        <is>
          <t>Verificado</t>
        </is>
      </c>
      <c r="M420" s="8" t="n">
        <v>1</v>
      </c>
      <c r="N420" s="9" t="n">
        <v>4220.23</v>
      </c>
      <c r="O420" s="9" t="n">
        <v>4220.23</v>
      </c>
      <c r="P420" s="9" t="n">
        <v>4220.23</v>
      </c>
      <c r="Q420" s="7" t="inlineStr">
        <is>
          <t>Sí</t>
        </is>
      </c>
      <c r="R420" s="9">
        <f>IF(N420="","",IF(Q420="Sí",ROUND(N420/1.18,2),N420))</f>
        <v/>
      </c>
      <c r="S420" s="7" t="inlineStr">
        <is>
          <t>2026-09-09</t>
        </is>
      </c>
      <c r="T420" s="5" t="inlineStr">
        <is>
          <t>1 cotización de proveedores</t>
        </is>
      </c>
    </row>
    <row r="421">
      <c r="A421" s="7" t="inlineStr">
        <is>
          <t>MAT-08-037</t>
        </is>
      </c>
      <c r="B421" s="7" t="inlineStr">
        <is>
          <t>Materiales</t>
        </is>
      </c>
      <c r="C421" s="7" t="inlineStr">
        <is>
          <t>Pisos y revestimientos</t>
        </is>
      </c>
      <c r="D421" s="5" t="inlineStr">
        <is>
          <t>Polvo de color para mosaico azul industrial, 55 lb</t>
        </is>
      </c>
      <c r="E421" s="5" t="inlineStr">
        <is>
          <t>Pigmento en polvo para granito fundido y mosaico · azul industrial · presentación de 55 libras</t>
        </is>
      </c>
      <c r="F421" s="5" t="inlineStr">
        <is>
          <t>Material retirado en almacén</t>
        </is>
      </c>
      <c r="G421" s="5" t="inlineStr">
        <is>
          <t>cromo, polvo de color, pigmento para granito</t>
        </is>
      </c>
      <c r="H421" s="7" t="inlineStr">
        <is>
          <t>funda</t>
        </is>
      </c>
      <c r="I421" s="7" t="inlineStr">
        <is>
          <t>Pisos</t>
        </is>
      </c>
      <c r="J421" s="7" t="inlineStr">
        <is>
          <t>premium</t>
        </is>
      </c>
      <c r="K421" s="7" t="inlineStr">
        <is>
          <t>importado</t>
        </is>
      </c>
      <c r="L421" s="7" t="inlineStr">
        <is>
          <t>Verificado</t>
        </is>
      </c>
      <c r="M421" s="8" t="n">
        <v>1</v>
      </c>
      <c r="N421" s="9" t="n">
        <v>8183.45</v>
      </c>
      <c r="O421" s="9" t="n">
        <v>8183.45</v>
      </c>
      <c r="P421" s="9" t="n">
        <v>8183.45</v>
      </c>
      <c r="Q421" s="7" t="inlineStr">
        <is>
          <t>Sí</t>
        </is>
      </c>
      <c r="R421" s="9">
        <f>IF(N421="","",IF(Q421="Sí",ROUND(N421/1.18,2),N421))</f>
        <v/>
      </c>
      <c r="S421" s="7" t="inlineStr">
        <is>
          <t>2026-09-09</t>
        </is>
      </c>
      <c r="T421" s="5" t="inlineStr">
        <is>
          <t>1 cotización de proveedores</t>
        </is>
      </c>
    </row>
    <row r="422">
      <c r="A422" s="7" t="inlineStr">
        <is>
          <t>MAT-08-038</t>
        </is>
      </c>
      <c r="B422" s="7" t="inlineStr">
        <is>
          <t>Materiales</t>
        </is>
      </c>
      <c r="C422" s="7" t="inlineStr">
        <is>
          <t>Pisos y revestimientos</t>
        </is>
      </c>
      <c r="D422" s="5" t="inlineStr">
        <is>
          <t>Polvo de color para mosaico negro comercial, 55 lb</t>
        </is>
      </c>
      <c r="E422" s="5" t="inlineStr">
        <is>
          <t>Pigmento en polvo para granito fundido y mosaico · negro comercial · presentación de 55 libras</t>
        </is>
      </c>
      <c r="F422" s="5" t="inlineStr">
        <is>
          <t>Material retirado en almacén</t>
        </is>
      </c>
      <c r="G422" s="5" t="inlineStr">
        <is>
          <t>cromo, polvo de color, pigmento para granito</t>
        </is>
      </c>
      <c r="H422" s="7" t="inlineStr">
        <is>
          <t>funda</t>
        </is>
      </c>
      <c r="I422" s="7" t="inlineStr">
        <is>
          <t>Pisos</t>
        </is>
      </c>
      <c r="J422" s="7" t="inlineStr">
        <is>
          <t>estandar</t>
        </is>
      </c>
      <c r="K422" s="7" t="inlineStr">
        <is>
          <t>importado</t>
        </is>
      </c>
      <c r="L422" s="7" t="inlineStr">
        <is>
          <t>Verificado</t>
        </is>
      </c>
      <c r="M422" s="8" t="n">
        <v>1</v>
      </c>
      <c r="N422" s="9" t="n">
        <v>4640.79</v>
      </c>
      <c r="O422" s="9" t="n">
        <v>4640.79</v>
      </c>
      <c r="P422" s="9" t="n">
        <v>4640.79</v>
      </c>
      <c r="Q422" s="7" t="inlineStr">
        <is>
          <t>Sí</t>
        </is>
      </c>
      <c r="R422" s="9">
        <f>IF(N422="","",IF(Q422="Sí",ROUND(N422/1.18,2),N422))</f>
        <v/>
      </c>
      <c r="S422" s="7" t="inlineStr">
        <is>
          <t>2026-09-09</t>
        </is>
      </c>
      <c r="T422" s="5" t="inlineStr">
        <is>
          <t>1 cotización de proveedores</t>
        </is>
      </c>
    </row>
    <row r="423">
      <c r="A423" s="7" t="inlineStr">
        <is>
          <t>MAT-08-039</t>
        </is>
      </c>
      <c r="B423" s="7" t="inlineStr">
        <is>
          <t>Materiales</t>
        </is>
      </c>
      <c r="C423" s="7" t="inlineStr">
        <is>
          <t>Pisos y revestimientos</t>
        </is>
      </c>
      <c r="D423" s="5" t="inlineStr">
        <is>
          <t>Polvo de color para mosaico negro industrial, 55 lb</t>
        </is>
      </c>
      <c r="E423" s="5" t="inlineStr">
        <is>
          <t>Pigmento en polvo para granito fundido y mosaico · negro industrial · presentación de 55 libras</t>
        </is>
      </c>
      <c r="F423" s="5" t="inlineStr">
        <is>
          <t>Material retirado en almacén</t>
        </is>
      </c>
      <c r="G423" s="5" t="inlineStr">
        <is>
          <t>cromo, polvo de color, pigmento para granito</t>
        </is>
      </c>
      <c r="H423" s="7" t="inlineStr">
        <is>
          <t>funda</t>
        </is>
      </c>
      <c r="I423" s="7" t="inlineStr">
        <is>
          <t>Pisos</t>
        </is>
      </c>
      <c r="J423" s="7" t="inlineStr">
        <is>
          <t>premium</t>
        </is>
      </c>
      <c r="K423" s="7" t="inlineStr">
        <is>
          <t>importado</t>
        </is>
      </c>
      <c r="L423" s="7" t="inlineStr">
        <is>
          <t>Verificado</t>
        </is>
      </c>
      <c r="M423" s="8" t="n">
        <v>1</v>
      </c>
      <c r="N423" s="9" t="n">
        <v>6521.15</v>
      </c>
      <c r="O423" s="9" t="n">
        <v>6521.15</v>
      </c>
      <c r="P423" s="9" t="n">
        <v>6521.15</v>
      </c>
      <c r="Q423" s="7" t="inlineStr">
        <is>
          <t>Sí</t>
        </is>
      </c>
      <c r="R423" s="9">
        <f>IF(N423="","",IF(Q423="Sí",ROUND(N423/1.18,2),N423))</f>
        <v/>
      </c>
      <c r="S423" s="7" t="inlineStr">
        <is>
          <t>2026-09-09</t>
        </is>
      </c>
      <c r="T423" s="5" t="inlineStr">
        <is>
          <t>1 cotización de proveedores</t>
        </is>
      </c>
    </row>
    <row r="424">
      <c r="A424" s="7" t="inlineStr">
        <is>
          <t>MAT-08-040</t>
        </is>
      </c>
      <c r="B424" s="7" t="inlineStr">
        <is>
          <t>Materiales</t>
        </is>
      </c>
      <c r="C424" s="7" t="inlineStr">
        <is>
          <t>Pisos y revestimientos</t>
        </is>
      </c>
      <c r="D424" s="5" t="inlineStr">
        <is>
          <t>Polvo de color para mosaico rojo comercial, 55 lb</t>
        </is>
      </c>
      <c r="E424" s="5" t="inlineStr">
        <is>
          <t>Pigmento en polvo para granito fundido y mosaico · rojo comercial · presentación de 55 libras</t>
        </is>
      </c>
      <c r="F424" s="5" t="inlineStr">
        <is>
          <t>Material retirado en almacén</t>
        </is>
      </c>
      <c r="G424" s="5" t="inlineStr">
        <is>
          <t>cromo, polvo de color, pigmento para granito</t>
        </is>
      </c>
      <c r="H424" s="7" t="inlineStr">
        <is>
          <t>funda</t>
        </is>
      </c>
      <c r="I424" s="7" t="inlineStr">
        <is>
          <t>Pisos</t>
        </is>
      </c>
      <c r="J424" s="7" t="inlineStr">
        <is>
          <t>estandar</t>
        </is>
      </c>
      <c r="K424" s="7" t="inlineStr">
        <is>
          <t>importado</t>
        </is>
      </c>
      <c r="L424" s="7" t="inlineStr">
        <is>
          <t>Verificado</t>
        </is>
      </c>
      <c r="M424" s="8" t="n">
        <v>1</v>
      </c>
      <c r="N424" s="9" t="n">
        <v>3350.57</v>
      </c>
      <c r="O424" s="9" t="n">
        <v>3350.57</v>
      </c>
      <c r="P424" s="9" t="n">
        <v>3350.57</v>
      </c>
      <c r="Q424" s="7" t="inlineStr">
        <is>
          <t>Sí</t>
        </is>
      </c>
      <c r="R424" s="9">
        <f>IF(N424="","",IF(Q424="Sí",ROUND(N424/1.18,2),N424))</f>
        <v/>
      </c>
      <c r="S424" s="7" t="inlineStr">
        <is>
          <t>2026-09-09</t>
        </is>
      </c>
      <c r="T424" s="5" t="inlineStr">
        <is>
          <t>1 cotización de proveedores</t>
        </is>
      </c>
    </row>
    <row r="425">
      <c r="A425" s="7" t="inlineStr">
        <is>
          <t>MAT-08-041</t>
        </is>
      </c>
      <c r="B425" s="7" t="inlineStr">
        <is>
          <t>Materiales</t>
        </is>
      </c>
      <c r="C425" s="7" t="inlineStr">
        <is>
          <t>Pisos y revestimientos</t>
        </is>
      </c>
      <c r="D425" s="5" t="inlineStr">
        <is>
          <t>Polvo de color para mosaico rojo industrial, 55 lb</t>
        </is>
      </c>
      <c r="E425" s="5" t="inlineStr">
        <is>
          <t>Pigmento en polvo para granito fundido y mosaico · rojo industrial · presentación de 55 libras</t>
        </is>
      </c>
      <c r="F425" s="5" t="inlineStr">
        <is>
          <t>Material retirado en almacén</t>
        </is>
      </c>
      <c r="G425" s="5" t="inlineStr">
        <is>
          <t>cromo, polvo de color, pigmento para granito</t>
        </is>
      </c>
      <c r="H425" s="7" t="inlineStr">
        <is>
          <t>funda</t>
        </is>
      </c>
      <c r="I425" s="7" t="inlineStr">
        <is>
          <t>Pisos</t>
        </is>
      </c>
      <c r="J425" s="7" t="inlineStr">
        <is>
          <t>premium</t>
        </is>
      </c>
      <c r="K425" s="7" t="inlineStr">
        <is>
          <t>importado</t>
        </is>
      </c>
      <c r="L425" s="7" t="inlineStr">
        <is>
          <t>Verificado</t>
        </is>
      </c>
      <c r="M425" s="8" t="n">
        <v>1</v>
      </c>
      <c r="N425" s="9" t="n">
        <v>5451.6</v>
      </c>
      <c r="O425" s="9" t="n">
        <v>5451.6</v>
      </c>
      <c r="P425" s="9" t="n">
        <v>5451.6</v>
      </c>
      <c r="Q425" s="7" t="inlineStr">
        <is>
          <t>Sí</t>
        </is>
      </c>
      <c r="R425" s="9">
        <f>IF(N425="","",IF(Q425="Sí",ROUND(N425/1.18,2),N425))</f>
        <v/>
      </c>
      <c r="S425" s="7" t="inlineStr">
        <is>
          <t>2026-09-09</t>
        </is>
      </c>
      <c r="T425" s="5" t="inlineStr">
        <is>
          <t>1 cotización de proveedores</t>
        </is>
      </c>
    </row>
    <row r="426">
      <c r="A426" s="7" t="inlineStr">
        <is>
          <t>MAT-08-042</t>
        </is>
      </c>
      <c r="B426" s="7" t="inlineStr">
        <is>
          <t>Materiales</t>
        </is>
      </c>
      <c r="C426" s="7" t="inlineStr">
        <is>
          <t>Pisos y revestimientos</t>
        </is>
      </c>
      <c r="D426" s="5" t="inlineStr">
        <is>
          <t>Polvo de color para mosaico verde comercial, 55 lb</t>
        </is>
      </c>
      <c r="E426" s="5" t="inlineStr">
        <is>
          <t>Pigmento en polvo para granito fundido y mosaico · verde comercial · presentación de 55 libras</t>
        </is>
      </c>
      <c r="F426" s="5" t="inlineStr">
        <is>
          <t>Material retirado en almacén</t>
        </is>
      </c>
      <c r="G426" s="5" t="inlineStr">
        <is>
          <t>cromo, polvo de color, pigmento para granito</t>
        </is>
      </c>
      <c r="H426" s="7" t="inlineStr">
        <is>
          <t>funda</t>
        </is>
      </c>
      <c r="I426" s="7" t="inlineStr">
        <is>
          <t>Pisos</t>
        </is>
      </c>
      <c r="J426" s="7" t="inlineStr">
        <is>
          <t>estandar</t>
        </is>
      </c>
      <c r="K426" s="7" t="inlineStr">
        <is>
          <t>importado</t>
        </is>
      </c>
      <c r="L426" s="7" t="inlineStr">
        <is>
          <t>Verificado</t>
        </is>
      </c>
      <c r="M426" s="8" t="n">
        <v>1</v>
      </c>
      <c r="N426" s="9" t="n">
        <v>4017.75</v>
      </c>
      <c r="O426" s="9" t="n">
        <v>4017.75</v>
      </c>
      <c r="P426" s="9" t="n">
        <v>4017.75</v>
      </c>
      <c r="Q426" s="7" t="inlineStr">
        <is>
          <t>Sí</t>
        </is>
      </c>
      <c r="R426" s="9">
        <f>IF(N426="","",IF(Q426="Sí",ROUND(N426/1.18,2),N426))</f>
        <v/>
      </c>
      <c r="S426" s="7" t="inlineStr">
        <is>
          <t>2026-09-09</t>
        </is>
      </c>
      <c r="T426" s="5" t="inlineStr">
        <is>
          <t>1 cotización de proveedores</t>
        </is>
      </c>
    </row>
    <row r="427">
      <c r="A427" s="7" t="inlineStr">
        <is>
          <t>MAT-08-043</t>
        </is>
      </c>
      <c r="B427" s="7" t="inlineStr">
        <is>
          <t>Materiales</t>
        </is>
      </c>
      <c r="C427" s="7" t="inlineStr">
        <is>
          <t>Pisos y revestimientos</t>
        </is>
      </c>
      <c r="D427" s="5" t="inlineStr">
        <is>
          <t>Polvo de color para mosaico verde industrial, 55 lb</t>
        </is>
      </c>
      <c r="E427" s="5" t="inlineStr">
        <is>
          <t>Pigmento en polvo para granito fundido y mosaico · verde industrial · presentación de 55 libras</t>
        </is>
      </c>
      <c r="F427" s="5" t="inlineStr">
        <is>
          <t>Material retirado en almacén</t>
        </is>
      </c>
      <c r="G427" s="5" t="inlineStr">
        <is>
          <t>cromo, polvo de color, pigmento para granito</t>
        </is>
      </c>
      <c r="H427" s="7" t="inlineStr">
        <is>
          <t>funda</t>
        </is>
      </c>
      <c r="I427" s="7" t="inlineStr">
        <is>
          <t>Pisos</t>
        </is>
      </c>
      <c r="J427" s="7" t="inlineStr">
        <is>
          <t>premium</t>
        </is>
      </c>
      <c r="K427" s="7" t="inlineStr">
        <is>
          <t>importado</t>
        </is>
      </c>
      <c r="L427" s="7" t="inlineStr">
        <is>
          <t>Verificado</t>
        </is>
      </c>
      <c r="M427" s="8" t="n">
        <v>1</v>
      </c>
      <c r="N427" s="9" t="n">
        <v>9092.93</v>
      </c>
      <c r="O427" s="9" t="n">
        <v>9092.93</v>
      </c>
      <c r="P427" s="9" t="n">
        <v>9092.93</v>
      </c>
      <c r="Q427" s="7" t="inlineStr">
        <is>
          <t>Sí</t>
        </is>
      </c>
      <c r="R427" s="9">
        <f>IF(N427="","",IF(Q427="Sí",ROUND(N427/1.18,2),N427))</f>
        <v/>
      </c>
      <c r="S427" s="7" t="inlineStr">
        <is>
          <t>2026-09-09</t>
        </is>
      </c>
      <c r="T427" s="5" t="inlineStr">
        <is>
          <t>1 cotización de proveedores</t>
        </is>
      </c>
    </row>
    <row r="428">
      <c r="A428" s="7" t="inlineStr">
        <is>
          <t>MAT-09-016</t>
        </is>
      </c>
      <c r="B428" s="7" t="inlineStr">
        <is>
          <t>Materiales</t>
        </is>
      </c>
      <c r="C428" s="7" t="inlineStr">
        <is>
          <t>Plomería, sanitarios y gas</t>
        </is>
      </c>
      <c r="D428" s="5" t="inlineStr">
        <is>
          <t>Brazo De Ducha Con Cubrefalta</t>
        </is>
      </c>
      <c r="E428" s="5" t="inlineStr">
        <is>
          <t>marca EZ-FLO/USA · referencia 15059-1/2X7/1/4</t>
        </is>
      </c>
      <c r="F428" s="5" t="inlineStr">
        <is>
          <t>Material retirado en almacén</t>
        </is>
      </c>
      <c r="G428" s="5" t="inlineStr">
        <is>
          <t>ducha, regadera, cabezal</t>
        </is>
      </c>
      <c r="H428" s="7" t="inlineStr">
        <is>
          <t>unidad</t>
        </is>
      </c>
      <c r="I428" s="7" t="inlineStr">
        <is>
          <t>Instalaciones</t>
        </is>
      </c>
      <c r="J428" s="7" t="inlineStr">
        <is>
          <t>estandar</t>
        </is>
      </c>
      <c r="K428" s="7" t="inlineStr">
        <is>
          <t>importado</t>
        </is>
      </c>
      <c r="L428" s="7" t="inlineStr">
        <is>
          <t>Verificado</t>
        </is>
      </c>
      <c r="M428" s="8" t="n">
        <v>1</v>
      </c>
      <c r="N428" s="9" t="n">
        <v>108.23</v>
      </c>
      <c r="O428" s="9" t="n">
        <v>108.23</v>
      </c>
      <c r="P428" s="9" t="n">
        <v>108.23</v>
      </c>
      <c r="Q428" s="7" t="inlineStr">
        <is>
          <t>Sí</t>
        </is>
      </c>
      <c r="R428" s="9">
        <f>IF(N428="","",IF(Q428="Sí",ROUND(N428/1.18,2),N428))</f>
        <v/>
      </c>
      <c r="S428" s="7" t="inlineStr">
        <is>
          <t>2026-09-09</t>
        </is>
      </c>
      <c r="T428" s="5" t="inlineStr">
        <is>
          <t>1 cotización de proveedores</t>
        </is>
      </c>
    </row>
    <row r="429">
      <c r="A429" s="7" t="inlineStr">
        <is>
          <t>MAT-09-017</t>
        </is>
      </c>
      <c r="B429" s="7" t="inlineStr">
        <is>
          <t>Materiales</t>
        </is>
      </c>
      <c r="C429" s="7" t="inlineStr">
        <is>
          <t>Plomería, sanitarios y gas</t>
        </is>
      </c>
      <c r="D429" s="5" t="inlineStr">
        <is>
          <t>Ducha Giratoria Brazo / Cubrefalta</t>
        </is>
      </c>
      <c r="E429" s="5" t="inlineStr">
        <is>
          <t>marca SPC · referencia SPC-4571/2</t>
        </is>
      </c>
      <c r="F429" s="5" t="inlineStr">
        <is>
          <t>Material retirado en almacén</t>
        </is>
      </c>
      <c r="G429" s="5" t="inlineStr">
        <is>
          <t>ducha, regadera, cabezal</t>
        </is>
      </c>
      <c r="H429" s="7" t="inlineStr">
        <is>
          <t>unidad</t>
        </is>
      </c>
      <c r="I429" s="7" t="inlineStr">
        <is>
          <t>Instalaciones</t>
        </is>
      </c>
      <c r="J429" s="7" t="inlineStr">
        <is>
          <t>estandar</t>
        </is>
      </c>
      <c r="K429" s="7" t="inlineStr">
        <is>
          <t>importado</t>
        </is>
      </c>
      <c r="L429" s="7" t="inlineStr">
        <is>
          <t>Verificado</t>
        </is>
      </c>
      <c r="M429" s="8" t="n">
        <v>1</v>
      </c>
      <c r="N429" s="9" t="n">
        <v>124.58</v>
      </c>
      <c r="O429" s="9" t="n">
        <v>124.58</v>
      </c>
      <c r="P429" s="9" t="n">
        <v>124.58</v>
      </c>
      <c r="Q429" s="7" t="inlineStr">
        <is>
          <t>Sí</t>
        </is>
      </c>
      <c r="R429" s="9">
        <f>IF(N429="","",IF(Q429="Sí",ROUND(N429/1.18,2),N429))</f>
        <v/>
      </c>
      <c r="S429" s="7" t="inlineStr">
        <is>
          <t>2026-09-09</t>
        </is>
      </c>
      <c r="T429" s="5" t="inlineStr">
        <is>
          <t>1 cotización de proveedores</t>
        </is>
      </c>
    </row>
    <row r="430">
      <c r="A430" s="7" t="inlineStr">
        <is>
          <t>MAT-09-018</t>
        </is>
      </c>
      <c r="B430" s="7" t="inlineStr">
        <is>
          <t>Materiales</t>
        </is>
      </c>
      <c r="C430" s="7" t="inlineStr">
        <is>
          <t>Plomería, sanitarios y gas</t>
        </is>
      </c>
      <c r="D430" s="5" t="inlineStr">
        <is>
          <t>Soporte Ducha para Pared Maldivas</t>
        </is>
      </c>
      <c r="E430" s="5" t="inlineStr">
        <is>
          <t>marca INEX · referencia 96110</t>
        </is>
      </c>
      <c r="F430" s="5" t="inlineStr">
        <is>
          <t>Material retirado en almacén</t>
        </is>
      </c>
      <c r="G430" s="5" t="inlineStr">
        <is>
          <t>ducha, regadera, cabezal</t>
        </is>
      </c>
      <c r="H430" s="7" t="inlineStr">
        <is>
          <t>unidad</t>
        </is>
      </c>
      <c r="I430" s="7" t="inlineStr">
        <is>
          <t>Instalaciones</t>
        </is>
      </c>
      <c r="J430" s="7" t="inlineStr">
        <is>
          <t>estandar</t>
        </is>
      </c>
      <c r="K430" s="7" t="inlineStr">
        <is>
          <t>importado</t>
        </is>
      </c>
      <c r="L430" s="7" t="inlineStr">
        <is>
          <t>Verificado</t>
        </is>
      </c>
      <c r="M430" s="8" t="n">
        <v>1</v>
      </c>
      <c r="N430" s="9" t="n">
        <v>126.44</v>
      </c>
      <c r="O430" s="9" t="n">
        <v>126.44</v>
      </c>
      <c r="P430" s="9" t="n">
        <v>126.44</v>
      </c>
      <c r="Q430" s="7" t="inlineStr">
        <is>
          <t>Sí</t>
        </is>
      </c>
      <c r="R430" s="9">
        <f>IF(N430="","",IF(Q430="Sí",ROUND(N430/1.18,2),N430))</f>
        <v/>
      </c>
      <c r="S430" s="7" t="inlineStr">
        <is>
          <t>2026-09-09</t>
        </is>
      </c>
      <c r="T430" s="5" t="inlineStr">
        <is>
          <t>1 cotización de proveedores</t>
        </is>
      </c>
    </row>
    <row r="431">
      <c r="A431" s="7" t="inlineStr">
        <is>
          <t>MAT-09-019</t>
        </is>
      </c>
      <c r="B431" s="7" t="inlineStr">
        <is>
          <t>Materiales</t>
        </is>
      </c>
      <c r="C431" s="7" t="inlineStr">
        <is>
          <t>Plomería, sanitarios y gas</t>
        </is>
      </c>
      <c r="D431" s="5" t="inlineStr">
        <is>
          <t>Soporte de Fijacion para Ducha</t>
        </is>
      </c>
      <c r="E431" s="5" t="inlineStr">
        <is>
          <t>marca EZ-FLO/USA · referencia 16074</t>
        </is>
      </c>
      <c r="F431" s="5" t="inlineStr">
        <is>
          <t>Material retirado en almacén</t>
        </is>
      </c>
      <c r="G431" s="5" t="inlineStr">
        <is>
          <t>ducha, regadera, cabezal</t>
        </is>
      </c>
      <c r="H431" s="7" t="inlineStr">
        <is>
          <t>unidad</t>
        </is>
      </c>
      <c r="I431" s="7" t="inlineStr">
        <is>
          <t>Instalaciones</t>
        </is>
      </c>
      <c r="J431" s="7" t="inlineStr">
        <is>
          <t>estandar</t>
        </is>
      </c>
      <c r="K431" s="7" t="inlineStr">
        <is>
          <t>importado</t>
        </is>
      </c>
      <c r="L431" s="7" t="inlineStr">
        <is>
          <t>Verificado</t>
        </is>
      </c>
      <c r="M431" s="8" t="n">
        <v>1</v>
      </c>
      <c r="N431" s="9" t="n">
        <v>218.18</v>
      </c>
      <c r="O431" s="9" t="n">
        <v>218.18</v>
      </c>
      <c r="P431" s="9" t="n">
        <v>218.18</v>
      </c>
      <c r="Q431" s="7" t="inlineStr">
        <is>
          <t>Sí</t>
        </is>
      </c>
      <c r="R431" s="9">
        <f>IF(N431="","",IF(Q431="Sí",ROUND(N431/1.18,2),N431))</f>
        <v/>
      </c>
      <c r="S431" s="7" t="inlineStr">
        <is>
          <t>2026-09-09</t>
        </is>
      </c>
      <c r="T431" s="5" t="inlineStr">
        <is>
          <t>1 cotización de proveedores</t>
        </is>
      </c>
    </row>
    <row r="432">
      <c r="A432" s="7" t="inlineStr">
        <is>
          <t>MAT-09-020</t>
        </is>
      </c>
      <c r="B432" s="7" t="inlineStr">
        <is>
          <t>Materiales</t>
        </is>
      </c>
      <c r="C432" s="7" t="inlineStr">
        <is>
          <t>Plomería, sanitarios y gas</t>
        </is>
      </c>
      <c r="D432" s="5" t="inlineStr">
        <is>
          <t>Manguera para Fregadero</t>
        </is>
      </c>
      <c r="E432" s="5" t="inlineStr">
        <is>
          <t>marca EZ-FLO/EASTMAN · referencia 30171</t>
        </is>
      </c>
      <c r="F432" s="5" t="inlineStr">
        <is>
          <t>Material retirado en almacén</t>
        </is>
      </c>
      <c r="G432" s="5" t="inlineStr">
        <is>
          <t>ducha, regadera, cabezal</t>
        </is>
      </c>
      <c r="H432" s="7" t="inlineStr">
        <is>
          <t>unidad</t>
        </is>
      </c>
      <c r="I432" s="7" t="inlineStr">
        <is>
          <t>Instalaciones</t>
        </is>
      </c>
      <c r="J432" s="7" t="inlineStr">
        <is>
          <t>estandar</t>
        </is>
      </c>
      <c r="K432" s="7" t="inlineStr">
        <is>
          <t>importado</t>
        </is>
      </c>
      <c r="L432" s="7" t="inlineStr">
        <is>
          <t>Verificado</t>
        </is>
      </c>
      <c r="M432" s="8" t="n">
        <v>1</v>
      </c>
      <c r="N432" s="9" t="n">
        <v>256.18</v>
      </c>
      <c r="O432" s="9" t="n">
        <v>256.18</v>
      </c>
      <c r="P432" s="9" t="n">
        <v>256.18</v>
      </c>
      <c r="Q432" s="7" t="inlineStr">
        <is>
          <t>Sí</t>
        </is>
      </c>
      <c r="R432" s="9">
        <f>IF(N432="","",IF(Q432="Sí",ROUND(N432/1.18,2),N432))</f>
        <v/>
      </c>
      <c r="S432" s="7" t="inlineStr">
        <is>
          <t>2026-09-09</t>
        </is>
      </c>
      <c r="T432" s="5" t="inlineStr">
        <is>
          <t>1 cotización de proveedores</t>
        </is>
      </c>
    </row>
    <row r="433">
      <c r="A433" s="7" t="inlineStr">
        <is>
          <t>MAT-09-021</t>
        </is>
      </c>
      <c r="B433" s="7" t="inlineStr">
        <is>
          <t>Materiales</t>
        </is>
      </c>
      <c r="C433" s="7" t="inlineStr">
        <is>
          <t>Plomería, sanitarios y gas</t>
        </is>
      </c>
      <c r="D433" s="5" t="inlineStr">
        <is>
          <t>Ducha De Mano Cromo / Rojo</t>
        </is>
      </c>
      <c r="E433" s="5" t="inlineStr">
        <is>
          <t>marca TILBY-GR · referencia TB5836/3-1</t>
        </is>
      </c>
      <c r="F433" s="5" t="inlineStr">
        <is>
          <t>Material retirado en almacén</t>
        </is>
      </c>
      <c r="G433" s="5" t="inlineStr">
        <is>
          <t>ducha, regadera, cabezal</t>
        </is>
      </c>
      <c r="H433" s="7" t="inlineStr">
        <is>
          <t>unidad</t>
        </is>
      </c>
      <c r="I433" s="7" t="inlineStr">
        <is>
          <t>Instalaciones</t>
        </is>
      </c>
      <c r="J433" s="7" t="inlineStr">
        <is>
          <t>estandar</t>
        </is>
      </c>
      <c r="K433" s="7" t="inlineStr">
        <is>
          <t>importado</t>
        </is>
      </c>
      <c r="L433" s="7" t="inlineStr">
        <is>
          <t>Verificado</t>
        </is>
      </c>
      <c r="M433" s="8" t="n">
        <v>1</v>
      </c>
      <c r="N433" s="9" t="n">
        <v>267.91</v>
      </c>
      <c r="O433" s="9" t="n">
        <v>267.91</v>
      </c>
      <c r="P433" s="9" t="n">
        <v>267.91</v>
      </c>
      <c r="Q433" s="7" t="inlineStr">
        <is>
          <t>Sí</t>
        </is>
      </c>
      <c r="R433" s="9">
        <f>IF(N433="","",IF(Q433="Sí",ROUND(N433/1.18,2),N433))</f>
        <v/>
      </c>
      <c r="S433" s="7" t="inlineStr">
        <is>
          <t>2026-09-09</t>
        </is>
      </c>
      <c r="T433" s="5" t="inlineStr">
        <is>
          <t>1 cotización de proveedores</t>
        </is>
      </c>
    </row>
    <row r="434">
      <c r="A434" s="7" t="inlineStr">
        <is>
          <t>MAT-09-022</t>
        </is>
      </c>
      <c r="B434" s="7" t="inlineStr">
        <is>
          <t>Materiales</t>
        </is>
      </c>
      <c r="C434" s="7" t="inlineStr">
        <is>
          <t>Plomería, sanitarios y gas</t>
        </is>
      </c>
      <c r="D434" s="5" t="inlineStr">
        <is>
          <t>Cabeza De Ducha 2"</t>
        </is>
      </c>
      <c r="E434" s="5" t="inlineStr">
        <is>
          <t>marca EZ-FLO/USA · referencia 15010</t>
        </is>
      </c>
      <c r="F434" s="5" t="inlineStr">
        <is>
          <t>Material retirado en almacén</t>
        </is>
      </c>
      <c r="G434" s="5" t="inlineStr">
        <is>
          <t>ducha, regadera, cabezal</t>
        </is>
      </c>
      <c r="H434" s="7" t="inlineStr">
        <is>
          <t>unidad</t>
        </is>
      </c>
      <c r="I434" s="7" t="inlineStr">
        <is>
          <t>Instalaciones</t>
        </is>
      </c>
      <c r="J434" s="7" t="inlineStr">
        <is>
          <t>estandar</t>
        </is>
      </c>
      <c r="K434" s="7" t="inlineStr">
        <is>
          <t>importado</t>
        </is>
      </c>
      <c r="L434" s="7" t="inlineStr">
        <is>
          <t>Verificado</t>
        </is>
      </c>
      <c r="M434" s="8" t="n">
        <v>1</v>
      </c>
      <c r="N434" s="9" t="n">
        <v>283.72</v>
      </c>
      <c r="O434" s="9" t="n">
        <v>283.72</v>
      </c>
      <c r="P434" s="9" t="n">
        <v>283.72</v>
      </c>
      <c r="Q434" s="7" t="inlineStr">
        <is>
          <t>Sí</t>
        </is>
      </c>
      <c r="R434" s="9">
        <f>IF(N434="","",IF(Q434="Sí",ROUND(N434/1.18,2),N434))</f>
        <v/>
      </c>
      <c r="S434" s="7" t="inlineStr">
        <is>
          <t>2026-09-09</t>
        </is>
      </c>
      <c r="T434" s="5" t="inlineStr">
        <is>
          <t>1 cotización de proveedores</t>
        </is>
      </c>
    </row>
    <row r="435">
      <c r="A435" s="7" t="inlineStr">
        <is>
          <t>MAT-09-023</t>
        </is>
      </c>
      <c r="B435" s="7" t="inlineStr">
        <is>
          <t>Materiales</t>
        </is>
      </c>
      <c r="C435" s="7" t="inlineStr">
        <is>
          <t>Plomería, sanitarios y gas</t>
        </is>
      </c>
      <c r="D435" s="5" t="inlineStr">
        <is>
          <t>Cabeza para Ducha Telefono 1 Funcion</t>
        </is>
      </c>
      <c r="E435" s="5" t="inlineStr">
        <is>
          <t>marca AQUINA · referencia P01715</t>
        </is>
      </c>
      <c r="F435" s="5" t="inlineStr">
        <is>
          <t>Material retirado en almacén</t>
        </is>
      </c>
      <c r="G435" s="5" t="inlineStr">
        <is>
          <t>ducha, regadera, cabezal</t>
        </is>
      </c>
      <c r="H435" s="7" t="inlineStr">
        <is>
          <t>unidad</t>
        </is>
      </c>
      <c r="I435" s="7" t="inlineStr">
        <is>
          <t>Instalaciones</t>
        </is>
      </c>
      <c r="J435" s="7" t="inlineStr">
        <is>
          <t>estandar</t>
        </is>
      </c>
      <c r="K435" s="7" t="inlineStr">
        <is>
          <t>importado</t>
        </is>
      </c>
      <c r="L435" s="7" t="inlineStr">
        <is>
          <t>Verificado</t>
        </is>
      </c>
      <c r="M435" s="8" t="n">
        <v>1</v>
      </c>
      <c r="N435" s="9" t="n">
        <v>307.94</v>
      </c>
      <c r="O435" s="9" t="n">
        <v>307.94</v>
      </c>
      <c r="P435" s="9" t="n">
        <v>307.94</v>
      </c>
      <c r="Q435" s="7" t="inlineStr">
        <is>
          <t>Sí</t>
        </is>
      </c>
      <c r="R435" s="9">
        <f>IF(N435="","",IF(Q435="Sí",ROUND(N435/1.18,2),N435))</f>
        <v/>
      </c>
      <c r="S435" s="7" t="inlineStr">
        <is>
          <t>2026-09-09</t>
        </is>
      </c>
      <c r="T435" s="5" t="inlineStr">
        <is>
          <t>1 cotización de proveedores</t>
        </is>
      </c>
    </row>
    <row r="436">
      <c r="A436" s="7" t="inlineStr">
        <is>
          <t>MAT-09-024</t>
        </is>
      </c>
      <c r="B436" s="7" t="inlineStr">
        <is>
          <t>Materiales</t>
        </is>
      </c>
      <c r="C436" s="7" t="inlineStr">
        <is>
          <t>Plomería, sanitarios y gas</t>
        </is>
      </c>
      <c r="D436" s="5" t="inlineStr">
        <is>
          <t>Ducha con Brazo Redonda</t>
        </is>
      </c>
      <c r="E436" s="5" t="inlineStr">
        <is>
          <t>marca SPC · referencia SPC-1042</t>
        </is>
      </c>
      <c r="F436" s="5" t="inlineStr">
        <is>
          <t>Material retirado en almacén</t>
        </is>
      </c>
      <c r="G436" s="5" t="inlineStr">
        <is>
          <t>ducha, regadera, cabezal</t>
        </is>
      </c>
      <c r="H436" s="7" t="inlineStr">
        <is>
          <t>unidad</t>
        </is>
      </c>
      <c r="I436" s="7" t="inlineStr">
        <is>
          <t>Instalaciones</t>
        </is>
      </c>
      <c r="J436" s="7" t="inlineStr">
        <is>
          <t>estandar</t>
        </is>
      </c>
      <c r="K436" s="7" t="inlineStr">
        <is>
          <t>importado</t>
        </is>
      </c>
      <c r="L436" s="7" t="inlineStr">
        <is>
          <t>Verificado</t>
        </is>
      </c>
      <c r="M436" s="8" t="n">
        <v>1</v>
      </c>
      <c r="N436" s="9" t="n">
        <v>331.14</v>
      </c>
      <c r="O436" s="9" t="n">
        <v>331.14</v>
      </c>
      <c r="P436" s="9" t="n">
        <v>331.14</v>
      </c>
      <c r="Q436" s="7" t="inlineStr">
        <is>
          <t>Sí</t>
        </is>
      </c>
      <c r="R436" s="9">
        <f>IF(N436="","",IF(Q436="Sí",ROUND(N436/1.18,2),N436))</f>
        <v/>
      </c>
      <c r="S436" s="7" t="inlineStr">
        <is>
          <t>2026-09-09</t>
        </is>
      </c>
      <c r="T436" s="5" t="inlineStr">
        <is>
          <t>1 cotización de proveedores</t>
        </is>
      </c>
    </row>
    <row r="437">
      <c r="A437" s="7" t="inlineStr">
        <is>
          <t>MAT-09-025</t>
        </is>
      </c>
      <c r="B437" s="7" t="inlineStr">
        <is>
          <t>Materiales</t>
        </is>
      </c>
      <c r="C437" s="7" t="inlineStr">
        <is>
          <t>Plomería, sanitarios y gas</t>
        </is>
      </c>
      <c r="D437" s="5" t="inlineStr">
        <is>
          <t>Ducha Con Brazo</t>
        </is>
      </c>
      <c r="E437" s="5" t="inlineStr">
        <is>
          <t>marca EZ-FLO/USA · referencia 15029</t>
        </is>
      </c>
      <c r="F437" s="5" t="inlineStr">
        <is>
          <t>Material retirado en almacén</t>
        </is>
      </c>
      <c r="G437" s="5" t="inlineStr">
        <is>
          <t>ducha, regadera, cabezal</t>
        </is>
      </c>
      <c r="H437" s="7" t="inlineStr">
        <is>
          <t>unidad</t>
        </is>
      </c>
      <c r="I437" s="7" t="inlineStr">
        <is>
          <t>Instalaciones</t>
        </is>
      </c>
      <c r="J437" s="7" t="inlineStr">
        <is>
          <t>estandar</t>
        </is>
      </c>
      <c r="K437" s="7" t="inlineStr">
        <is>
          <t>importado</t>
        </is>
      </c>
      <c r="L437" s="7" t="inlineStr">
        <is>
          <t>Verificado</t>
        </is>
      </c>
      <c r="M437" s="8" t="n">
        <v>1</v>
      </c>
      <c r="N437" s="9" t="n">
        <v>335.08</v>
      </c>
      <c r="O437" s="9" t="n">
        <v>335.08</v>
      </c>
      <c r="P437" s="9" t="n">
        <v>335.08</v>
      </c>
      <c r="Q437" s="7" t="inlineStr">
        <is>
          <t>Sí</t>
        </is>
      </c>
      <c r="R437" s="9">
        <f>IF(N437="","",IF(Q437="Sí",ROUND(N437/1.18,2),N437))</f>
        <v/>
      </c>
      <c r="S437" s="7" t="inlineStr">
        <is>
          <t>2026-09-09</t>
        </is>
      </c>
      <c r="T437" s="5" t="inlineStr">
        <is>
          <t>1 cotización de proveedores</t>
        </is>
      </c>
    </row>
    <row r="438">
      <c r="A438" s="7" t="inlineStr">
        <is>
          <t>MAT-09-026</t>
        </is>
      </c>
      <c r="B438" s="7" t="inlineStr">
        <is>
          <t>Materiales</t>
        </is>
      </c>
      <c r="C438" s="7" t="inlineStr">
        <is>
          <t>Plomería, sanitarios y gas</t>
        </is>
      </c>
      <c r="D438" s="5" t="inlineStr">
        <is>
          <t>Ducha con Brazo Cuadrada</t>
        </is>
      </c>
      <c r="E438" s="5" t="inlineStr">
        <is>
          <t>marca SPC · referencia SPC-1039</t>
        </is>
      </c>
      <c r="F438" s="5" t="inlineStr">
        <is>
          <t>Material retirado en almacén</t>
        </is>
      </c>
      <c r="G438" s="5" t="inlineStr">
        <is>
          <t>ducha, regadera, cabezal</t>
        </is>
      </c>
      <c r="H438" s="7" t="inlineStr">
        <is>
          <t>unidad</t>
        </is>
      </c>
      <c r="I438" s="7" t="inlineStr">
        <is>
          <t>Instalaciones</t>
        </is>
      </c>
      <c r="J438" s="7" t="inlineStr">
        <is>
          <t>estandar</t>
        </is>
      </c>
      <c r="K438" s="7" t="inlineStr">
        <is>
          <t>importado</t>
        </is>
      </c>
      <c r="L438" s="7" t="inlineStr">
        <is>
          <t>Verificado</t>
        </is>
      </c>
      <c r="M438" s="8" t="n">
        <v>1</v>
      </c>
      <c r="N438" s="9" t="n">
        <v>334.59</v>
      </c>
      <c r="O438" s="9" t="n">
        <v>334.59</v>
      </c>
      <c r="P438" s="9" t="n">
        <v>334.59</v>
      </c>
      <c r="Q438" s="7" t="inlineStr">
        <is>
          <t>Sí</t>
        </is>
      </c>
      <c r="R438" s="9">
        <f>IF(N438="","",IF(Q438="Sí",ROUND(N438/1.18,2),N438))</f>
        <v/>
      </c>
      <c r="S438" s="7" t="inlineStr">
        <is>
          <t>2026-09-09</t>
        </is>
      </c>
      <c r="T438" s="5" t="inlineStr">
        <is>
          <t>1 cotización de proveedores</t>
        </is>
      </c>
    </row>
    <row r="439">
      <c r="A439" s="7" t="inlineStr">
        <is>
          <t>MAT-09-027</t>
        </is>
      </c>
      <c r="B439" s="7" t="inlineStr">
        <is>
          <t>Materiales</t>
        </is>
      </c>
      <c r="C439" s="7" t="inlineStr">
        <is>
          <t>Plomería, sanitarios y gas</t>
        </is>
      </c>
      <c r="D439" s="5" t="inlineStr">
        <is>
          <t>Cabeza para Ducha Cuadrada</t>
        </is>
      </c>
      <c r="E439" s="5" t="inlineStr">
        <is>
          <t>marca AQUINA · referencia P017074"</t>
        </is>
      </c>
      <c r="F439" s="5" t="inlineStr">
        <is>
          <t>Material retirado en almacén</t>
        </is>
      </c>
      <c r="G439" s="5" t="inlineStr">
        <is>
          <t>ducha, regadera, cabezal</t>
        </is>
      </c>
      <c r="H439" s="7" t="inlineStr">
        <is>
          <t>unidad</t>
        </is>
      </c>
      <c r="I439" s="7" t="inlineStr">
        <is>
          <t>Instalaciones</t>
        </is>
      </c>
      <c r="J439" s="7" t="inlineStr">
        <is>
          <t>estandar</t>
        </is>
      </c>
      <c r="K439" s="7" t="inlineStr">
        <is>
          <t>importado</t>
        </is>
      </c>
      <c r="L439" s="7" t="inlineStr">
        <is>
          <t>Verificado</t>
        </is>
      </c>
      <c r="M439" s="8" t="n">
        <v>1</v>
      </c>
      <c r="N439" s="9" t="n">
        <v>336.35</v>
      </c>
      <c r="O439" s="9" t="n">
        <v>336.35</v>
      </c>
      <c r="P439" s="9" t="n">
        <v>336.35</v>
      </c>
      <c r="Q439" s="7" t="inlineStr">
        <is>
          <t>Sí</t>
        </is>
      </c>
      <c r="R439" s="9">
        <f>IF(N439="","",IF(Q439="Sí",ROUND(N439/1.18,2),N439))</f>
        <v/>
      </c>
      <c r="S439" s="7" t="inlineStr">
        <is>
          <t>2026-09-09</t>
        </is>
      </c>
      <c r="T439" s="5" t="inlineStr">
        <is>
          <t>1 cotización de proveedores</t>
        </is>
      </c>
    </row>
    <row r="440">
      <c r="A440" s="7" t="inlineStr">
        <is>
          <t>MAT-09-028</t>
        </is>
      </c>
      <c r="B440" s="7" t="inlineStr">
        <is>
          <t>Materiales</t>
        </is>
      </c>
      <c r="C440" s="7" t="inlineStr">
        <is>
          <t>Plomería, sanitarios y gas</t>
        </is>
      </c>
      <c r="D440" s="5" t="inlineStr">
        <is>
          <t>Ducha con Brazo con Cubrefalta Redonda</t>
        </is>
      </c>
      <c r="E440" s="5" t="inlineStr">
        <is>
          <t>marca SPC · referencia SPC-1038</t>
        </is>
      </c>
      <c r="F440" s="5" t="inlineStr">
        <is>
          <t>Material retirado en almacén</t>
        </is>
      </c>
      <c r="G440" s="5" t="inlineStr">
        <is>
          <t>ducha, regadera, cabezal</t>
        </is>
      </c>
      <c r="H440" s="7" t="inlineStr">
        <is>
          <t>unidad</t>
        </is>
      </c>
      <c r="I440" s="7" t="inlineStr">
        <is>
          <t>Instalaciones</t>
        </is>
      </c>
      <c r="J440" s="7" t="inlineStr">
        <is>
          <t>estandar</t>
        </is>
      </c>
      <c r="K440" s="7" t="inlineStr">
        <is>
          <t>importado</t>
        </is>
      </c>
      <c r="L440" s="7" t="inlineStr">
        <is>
          <t>Verificado</t>
        </is>
      </c>
      <c r="M440" s="8" t="n">
        <v>1</v>
      </c>
      <c r="N440" s="9" t="n">
        <v>345.56</v>
      </c>
      <c r="O440" s="9" t="n">
        <v>345.56</v>
      </c>
      <c r="P440" s="9" t="n">
        <v>345.56</v>
      </c>
      <c r="Q440" s="7" t="inlineStr">
        <is>
          <t>Sí</t>
        </is>
      </c>
      <c r="R440" s="9">
        <f>IF(N440="","",IF(Q440="Sí",ROUND(N440/1.18,2),N440))</f>
        <v/>
      </c>
      <c r="S440" s="7" t="inlineStr">
        <is>
          <t>2026-09-09</t>
        </is>
      </c>
      <c r="T440" s="5" t="inlineStr">
        <is>
          <t>1 cotización de proveedores</t>
        </is>
      </c>
    </row>
    <row r="441">
      <c r="A441" s="7" t="inlineStr">
        <is>
          <t>MAT-09-029</t>
        </is>
      </c>
      <c r="B441" s="7" t="inlineStr">
        <is>
          <t>Materiales</t>
        </is>
      </c>
      <c r="C441" s="7" t="inlineStr">
        <is>
          <t>Plomería, sanitarios y gas</t>
        </is>
      </c>
      <c r="D441" s="5" t="inlineStr">
        <is>
          <t>Brazo De Ducha</t>
        </is>
      </c>
      <c r="E441" s="5" t="inlineStr">
        <is>
          <t>marca EZ-FLO/EASTMAN · referencia 15055</t>
        </is>
      </c>
      <c r="F441" s="5" t="inlineStr">
        <is>
          <t>Material retirado en almacén</t>
        </is>
      </c>
      <c r="G441" s="5" t="inlineStr">
        <is>
          <t>ducha, regadera, cabezal</t>
        </is>
      </c>
      <c r="H441" s="7" t="inlineStr">
        <is>
          <t>unidad</t>
        </is>
      </c>
      <c r="I441" s="7" t="inlineStr">
        <is>
          <t>Instalaciones</t>
        </is>
      </c>
      <c r="J441" s="7" t="inlineStr">
        <is>
          <t>estandar</t>
        </is>
      </c>
      <c r="K441" s="7" t="inlineStr">
        <is>
          <t>importado</t>
        </is>
      </c>
      <c r="L441" s="7" t="inlineStr">
        <is>
          <t>Verificado</t>
        </is>
      </c>
      <c r="M441" s="8" t="n">
        <v>1</v>
      </c>
      <c r="N441" s="9" t="n">
        <v>361.27</v>
      </c>
      <c r="O441" s="9" t="n">
        <v>361.27</v>
      </c>
      <c r="P441" s="9" t="n">
        <v>361.27</v>
      </c>
      <c r="Q441" s="7" t="inlineStr">
        <is>
          <t>Sí</t>
        </is>
      </c>
      <c r="R441" s="9">
        <f>IF(N441="","",IF(Q441="Sí",ROUND(N441/1.18,2),N441))</f>
        <v/>
      </c>
      <c r="S441" s="7" t="inlineStr">
        <is>
          <t>2026-09-09</t>
        </is>
      </c>
      <c r="T441" s="5" t="inlineStr">
        <is>
          <t>1 cotización de proveedores</t>
        </is>
      </c>
    </row>
    <row r="442">
      <c r="A442" s="7" t="inlineStr">
        <is>
          <t>MAT-09-030</t>
        </is>
      </c>
      <c r="B442" s="7" t="inlineStr">
        <is>
          <t>Materiales</t>
        </is>
      </c>
      <c r="C442" s="7" t="inlineStr">
        <is>
          <t>Plomería, sanitarios y gas</t>
        </is>
      </c>
      <c r="D442" s="5" t="inlineStr">
        <is>
          <t>Manguera De Metal para Ducha 1.5 Mts</t>
        </is>
      </c>
      <c r="E442" s="5" t="inlineStr">
        <is>
          <t>marca AQUINA · referencia P01800</t>
        </is>
      </c>
      <c r="F442" s="5" t="inlineStr">
        <is>
          <t>Material retirado en almacén</t>
        </is>
      </c>
      <c r="G442" s="5" t="inlineStr">
        <is>
          <t>ducha, regadera, cabezal</t>
        </is>
      </c>
      <c r="H442" s="7" t="inlineStr">
        <is>
          <t>unidad</t>
        </is>
      </c>
      <c r="I442" s="7" t="inlineStr">
        <is>
          <t>Instalaciones</t>
        </is>
      </c>
      <c r="J442" s="7" t="inlineStr">
        <is>
          <t>estandar</t>
        </is>
      </c>
      <c r="K442" s="7" t="inlineStr">
        <is>
          <t>importado</t>
        </is>
      </c>
      <c r="L442" s="7" t="inlineStr">
        <is>
          <t>Verificado</t>
        </is>
      </c>
      <c r="M442" s="8" t="n">
        <v>1</v>
      </c>
      <c r="N442" s="9" t="n">
        <v>363.69</v>
      </c>
      <c r="O442" s="9" t="n">
        <v>363.69</v>
      </c>
      <c r="P442" s="9" t="n">
        <v>363.69</v>
      </c>
      <c r="Q442" s="7" t="inlineStr">
        <is>
          <t>Sí</t>
        </is>
      </c>
      <c r="R442" s="9">
        <f>IF(N442="","",IF(Q442="Sí",ROUND(N442/1.18,2),N442))</f>
        <v/>
      </c>
      <c r="S442" s="7" t="inlineStr">
        <is>
          <t>2026-09-09</t>
        </is>
      </c>
      <c r="T442" s="5" t="inlineStr">
        <is>
          <t>1 cotización de proveedores</t>
        </is>
      </c>
    </row>
    <row r="443">
      <c r="A443" s="7" t="inlineStr">
        <is>
          <t>MAT-09-031</t>
        </is>
      </c>
      <c r="B443" s="7" t="inlineStr">
        <is>
          <t>Materiales</t>
        </is>
      </c>
      <c r="C443" s="7" t="inlineStr">
        <is>
          <t>Plomería, sanitarios y gas</t>
        </is>
      </c>
      <c r="D443" s="5" t="inlineStr">
        <is>
          <t>Ducha tipo Telefono para baño Completa</t>
        </is>
      </c>
      <c r="E443" s="5" t="inlineStr">
        <is>
          <t>marca ULTRA · referencia 1560</t>
        </is>
      </c>
      <c r="F443" s="5" t="inlineStr">
        <is>
          <t>Material retirado en almacén</t>
        </is>
      </c>
      <c r="G443" s="5" t="inlineStr">
        <is>
          <t>ducha, regadera, cabezal</t>
        </is>
      </c>
      <c r="H443" s="7" t="inlineStr">
        <is>
          <t>unidad</t>
        </is>
      </c>
      <c r="I443" s="7" t="inlineStr">
        <is>
          <t>Instalaciones</t>
        </is>
      </c>
      <c r="J443" s="7" t="inlineStr">
        <is>
          <t>estandar</t>
        </is>
      </c>
      <c r="K443" s="7" t="inlineStr">
        <is>
          <t>importado</t>
        </is>
      </c>
      <c r="L443" s="7" t="inlineStr">
        <is>
          <t>Verificado</t>
        </is>
      </c>
      <c r="M443" s="8" t="n">
        <v>1</v>
      </c>
      <c r="N443" s="9" t="n">
        <v>365.37</v>
      </c>
      <c r="O443" s="9" t="n">
        <v>365.37</v>
      </c>
      <c r="P443" s="9" t="n">
        <v>365.37</v>
      </c>
      <c r="Q443" s="7" t="inlineStr">
        <is>
          <t>Sí</t>
        </is>
      </c>
      <c r="R443" s="9">
        <f>IF(N443="","",IF(Q443="Sí",ROUND(N443/1.18,2),N443))</f>
        <v/>
      </c>
      <c r="S443" s="7" t="inlineStr">
        <is>
          <t>2026-09-09</t>
        </is>
      </c>
      <c r="T443" s="5" t="inlineStr">
        <is>
          <t>1 cotización de proveedores</t>
        </is>
      </c>
    </row>
    <row r="444">
      <c r="A444" s="7" t="inlineStr">
        <is>
          <t>MAT-09-032</t>
        </is>
      </c>
      <c r="B444" s="7" t="inlineStr">
        <is>
          <t>Materiales</t>
        </is>
      </c>
      <c r="C444" s="7" t="inlineStr">
        <is>
          <t>Plomería, sanitarios y gas</t>
        </is>
      </c>
      <c r="D444" s="5" t="inlineStr">
        <is>
          <t>Cabeza De Ducha 3"</t>
        </is>
      </c>
      <c r="E444" s="5" t="inlineStr">
        <is>
          <t>marca EZ-FLO/USA · referencia 15038</t>
        </is>
      </c>
      <c r="F444" s="5" t="inlineStr">
        <is>
          <t>Material retirado en almacén</t>
        </is>
      </c>
      <c r="G444" s="5" t="inlineStr">
        <is>
          <t>ducha, regadera, cabezal</t>
        </is>
      </c>
      <c r="H444" s="7" t="inlineStr">
        <is>
          <t>unidad</t>
        </is>
      </c>
      <c r="I444" s="7" t="inlineStr">
        <is>
          <t>Instalaciones</t>
        </is>
      </c>
      <c r="J444" s="7" t="inlineStr">
        <is>
          <t>estandar</t>
        </is>
      </c>
      <c r="K444" s="7" t="inlineStr">
        <is>
          <t>importado</t>
        </is>
      </c>
      <c r="L444" s="7" t="inlineStr">
        <is>
          <t>Verificado</t>
        </is>
      </c>
      <c r="M444" s="8" t="n">
        <v>1</v>
      </c>
      <c r="N444" s="9" t="n">
        <v>373.94</v>
      </c>
      <c r="O444" s="9" t="n">
        <v>373.94</v>
      </c>
      <c r="P444" s="9" t="n">
        <v>373.94</v>
      </c>
      <c r="Q444" s="7" t="inlineStr">
        <is>
          <t>Sí</t>
        </is>
      </c>
      <c r="R444" s="9">
        <f>IF(N444="","",IF(Q444="Sí",ROUND(N444/1.18,2),N444))</f>
        <v/>
      </c>
      <c r="S444" s="7" t="inlineStr">
        <is>
          <t>2026-09-09</t>
        </is>
      </c>
      <c r="T444" s="5" t="inlineStr">
        <is>
          <t>1 cotización de proveedores</t>
        </is>
      </c>
    </row>
    <row r="445">
      <c r="A445" s="7" t="inlineStr">
        <is>
          <t>MAT-09-033</t>
        </is>
      </c>
      <c r="B445" s="7" t="inlineStr">
        <is>
          <t>Materiales</t>
        </is>
      </c>
      <c r="C445" s="7" t="inlineStr">
        <is>
          <t>Plomería, sanitarios y gas</t>
        </is>
      </c>
      <c r="D445" s="5" t="inlineStr">
        <is>
          <t>Cabeza para Ducha 5 Funciones</t>
        </is>
      </c>
      <c r="E445" s="5" t="inlineStr">
        <is>
          <t>marca AQUINA · referencia P01703</t>
        </is>
      </c>
      <c r="F445" s="5" t="inlineStr">
        <is>
          <t>Material retirado en almacén</t>
        </is>
      </c>
      <c r="G445" s="5" t="inlineStr">
        <is>
          <t>ducha, regadera, cabezal</t>
        </is>
      </c>
      <c r="H445" s="7" t="inlineStr">
        <is>
          <t>unidad</t>
        </is>
      </c>
      <c r="I445" s="7" t="inlineStr">
        <is>
          <t>Instalaciones</t>
        </is>
      </c>
      <c r="J445" s="7" t="inlineStr">
        <is>
          <t>estandar</t>
        </is>
      </c>
      <c r="K445" s="7" t="inlineStr">
        <is>
          <t>importado</t>
        </is>
      </c>
      <c r="L445" s="7" t="inlineStr">
        <is>
          <t>Verificado</t>
        </is>
      </c>
      <c r="M445" s="8" t="n">
        <v>1</v>
      </c>
      <c r="N445" s="9" t="n">
        <v>401.38</v>
      </c>
      <c r="O445" s="9" t="n">
        <v>401.38</v>
      </c>
      <c r="P445" s="9" t="n">
        <v>401.38</v>
      </c>
      <c r="Q445" s="7" t="inlineStr">
        <is>
          <t>Sí</t>
        </is>
      </c>
      <c r="R445" s="9">
        <f>IF(N445="","",IF(Q445="Sí",ROUND(N445/1.18,2),N445))</f>
        <v/>
      </c>
      <c r="S445" s="7" t="inlineStr">
        <is>
          <t>2026-09-09</t>
        </is>
      </c>
      <c r="T445" s="5" t="inlineStr">
        <is>
          <t>1 cotización de proveedores</t>
        </is>
      </c>
    </row>
    <row r="446">
      <c r="A446" s="7" t="inlineStr">
        <is>
          <t>MAT-09-034</t>
        </is>
      </c>
      <c r="B446" s="7" t="inlineStr">
        <is>
          <t>Materiales</t>
        </is>
      </c>
      <c r="C446" s="7" t="inlineStr">
        <is>
          <t>Plomería, sanitarios y gas</t>
        </is>
      </c>
      <c r="D446" s="5" t="inlineStr">
        <is>
          <t>Cabeza De Ducha Red Cromo / Verde</t>
        </is>
      </c>
      <c r="E446" s="5" t="inlineStr">
        <is>
          <t>marca TILBY-GR · referencia TB2236-4</t>
        </is>
      </c>
      <c r="F446" s="5" t="inlineStr">
        <is>
          <t>Material retirado en almacén</t>
        </is>
      </c>
      <c r="G446" s="5" t="inlineStr">
        <is>
          <t>ducha, regadera, cabezal</t>
        </is>
      </c>
      <c r="H446" s="7" t="inlineStr">
        <is>
          <t>unidad</t>
        </is>
      </c>
      <c r="I446" s="7" t="inlineStr">
        <is>
          <t>Instalaciones</t>
        </is>
      </c>
      <c r="J446" s="7" t="inlineStr">
        <is>
          <t>estandar</t>
        </is>
      </c>
      <c r="K446" s="7" t="inlineStr">
        <is>
          <t>importado</t>
        </is>
      </c>
      <c r="L446" s="7" t="inlineStr">
        <is>
          <t>Verificado</t>
        </is>
      </c>
      <c r="M446" s="8" t="n">
        <v>1</v>
      </c>
      <c r="N446" s="9" t="n">
        <v>404.04</v>
      </c>
      <c r="O446" s="9" t="n">
        <v>404.04</v>
      </c>
      <c r="P446" s="9" t="n">
        <v>404.04</v>
      </c>
      <c r="Q446" s="7" t="inlineStr">
        <is>
          <t>Sí</t>
        </is>
      </c>
      <c r="R446" s="9">
        <f>IF(N446="","",IF(Q446="Sí",ROUND(N446/1.18,2),N446))</f>
        <v/>
      </c>
      <c r="S446" s="7" t="inlineStr">
        <is>
          <t>2026-09-09</t>
        </is>
      </c>
      <c r="T446" s="5" t="inlineStr">
        <is>
          <t>1 cotización de proveedores</t>
        </is>
      </c>
    </row>
    <row r="447">
      <c r="A447" s="7" t="inlineStr">
        <is>
          <t>MAT-09-035</t>
        </is>
      </c>
      <c r="B447" s="7" t="inlineStr">
        <is>
          <t>Materiales</t>
        </is>
      </c>
      <c r="C447" s="7" t="inlineStr">
        <is>
          <t>Plomería, sanitarios y gas</t>
        </is>
      </c>
      <c r="D447" s="5" t="inlineStr">
        <is>
          <t>Ducha para bañera</t>
        </is>
      </c>
      <c r="E447" s="5" t="inlineStr">
        <is>
          <t>marca AQUINA · referencia P01325</t>
        </is>
      </c>
      <c r="F447" s="5" t="inlineStr">
        <is>
          <t>Material retirado en almacén</t>
        </is>
      </c>
      <c r="G447" s="5" t="inlineStr">
        <is>
          <t>ducha, regadera, cabezal</t>
        </is>
      </c>
      <c r="H447" s="7" t="inlineStr">
        <is>
          <t>unidad</t>
        </is>
      </c>
      <c r="I447" s="7" t="inlineStr">
        <is>
          <t>Instalaciones</t>
        </is>
      </c>
      <c r="J447" s="7" t="inlineStr">
        <is>
          <t>estandar</t>
        </is>
      </c>
      <c r="K447" s="7" t="inlineStr">
        <is>
          <t>importado</t>
        </is>
      </c>
      <c r="L447" s="7" t="inlineStr">
        <is>
          <t>Verificado</t>
        </is>
      </c>
      <c r="M447" s="8" t="n">
        <v>1</v>
      </c>
      <c r="N447" s="9" t="n">
        <v>501.54</v>
      </c>
      <c r="O447" s="9" t="n">
        <v>501.54</v>
      </c>
      <c r="P447" s="9" t="n">
        <v>501.54</v>
      </c>
      <c r="Q447" s="7" t="inlineStr">
        <is>
          <t>Sí</t>
        </is>
      </c>
      <c r="R447" s="9">
        <f>IF(N447="","",IF(Q447="Sí",ROUND(N447/1.18,2),N447))</f>
        <v/>
      </c>
      <c r="S447" s="7" t="inlineStr">
        <is>
          <t>2026-09-09</t>
        </is>
      </c>
      <c r="T447" s="5" t="inlineStr">
        <is>
          <t>1 cotización de proveedores</t>
        </is>
      </c>
    </row>
    <row r="448">
      <c r="A448" s="7" t="inlineStr">
        <is>
          <t>MAT-09-036</t>
        </is>
      </c>
      <c r="B448" s="7" t="inlineStr">
        <is>
          <t>Materiales</t>
        </is>
      </c>
      <c r="C448" s="7" t="inlineStr">
        <is>
          <t>Plomería, sanitarios y gas</t>
        </is>
      </c>
      <c r="D448" s="5" t="inlineStr">
        <is>
          <t>Cabeza De Ducha</t>
        </is>
      </c>
      <c r="E448" s="5" t="inlineStr">
        <is>
          <t>marca EZ-FLO/USA · referencia 15036</t>
        </is>
      </c>
      <c r="F448" s="5" t="inlineStr">
        <is>
          <t>Material retirado en almacén</t>
        </is>
      </c>
      <c r="G448" s="5" t="inlineStr">
        <is>
          <t>ducha, regadera, cabezal</t>
        </is>
      </c>
      <c r="H448" s="7" t="inlineStr">
        <is>
          <t>unidad</t>
        </is>
      </c>
      <c r="I448" s="7" t="inlineStr">
        <is>
          <t>Instalaciones</t>
        </is>
      </c>
      <c r="J448" s="7" t="inlineStr">
        <is>
          <t>estandar</t>
        </is>
      </c>
      <c r="K448" s="7" t="inlineStr">
        <is>
          <t>importado</t>
        </is>
      </c>
      <c r="L448" s="7" t="inlineStr">
        <is>
          <t>Verificado</t>
        </is>
      </c>
      <c r="M448" s="8" t="n">
        <v>1</v>
      </c>
      <c r="N448" s="9" t="n">
        <v>352.19</v>
      </c>
      <c r="O448" s="9" t="n">
        <v>195.95</v>
      </c>
      <c r="P448" s="9" t="n">
        <v>508.43</v>
      </c>
      <c r="Q448" s="7" t="inlineStr">
        <is>
          <t>Sí</t>
        </is>
      </c>
      <c r="R448" s="9">
        <f>IF(N448="","",IF(Q448="Sí",ROUND(N448/1.18,2),N448))</f>
        <v/>
      </c>
      <c r="S448" s="7" t="inlineStr">
        <is>
          <t>2026-09-09</t>
        </is>
      </c>
      <c r="T448" s="5" t="inlineStr">
        <is>
          <t>2 cotizaciones de proveedores</t>
        </is>
      </c>
    </row>
    <row r="449">
      <c r="A449" s="7" t="inlineStr">
        <is>
          <t>MAT-09-037</t>
        </is>
      </c>
      <c r="B449" s="7" t="inlineStr">
        <is>
          <t>Materiales</t>
        </is>
      </c>
      <c r="C449" s="7" t="inlineStr">
        <is>
          <t>Plomería, sanitarios y gas</t>
        </is>
      </c>
      <c r="D449" s="5" t="inlineStr">
        <is>
          <t>Manguera Cromada Plastica</t>
        </is>
      </c>
      <c r="E449" s="5" t="inlineStr">
        <is>
          <t>marca EZ-FLO/EASTMAN · referencia 15078</t>
        </is>
      </c>
      <c r="F449" s="5" t="inlineStr">
        <is>
          <t>Material retirado en almacén</t>
        </is>
      </c>
      <c r="G449" s="5" t="inlineStr">
        <is>
          <t>ducha, regadera, cabezal</t>
        </is>
      </c>
      <c r="H449" s="7" t="inlineStr">
        <is>
          <t>unidad</t>
        </is>
      </c>
      <c r="I449" s="7" t="inlineStr">
        <is>
          <t>Instalaciones</t>
        </is>
      </c>
      <c r="J449" s="7" t="inlineStr">
        <is>
          <t>estandar</t>
        </is>
      </c>
      <c r="K449" s="7" t="inlineStr">
        <is>
          <t>importado</t>
        </is>
      </c>
      <c r="L449" s="7" t="inlineStr">
        <is>
          <t>Verificado</t>
        </is>
      </c>
      <c r="M449" s="8" t="n">
        <v>1</v>
      </c>
      <c r="N449" s="9" t="n">
        <v>511.64</v>
      </c>
      <c r="O449" s="9" t="n">
        <v>511.64</v>
      </c>
      <c r="P449" s="9" t="n">
        <v>511.64</v>
      </c>
      <c r="Q449" s="7" t="inlineStr">
        <is>
          <t>Sí</t>
        </is>
      </c>
      <c r="R449" s="9">
        <f>IF(N449="","",IF(Q449="Sí",ROUND(N449/1.18,2),N449))</f>
        <v/>
      </c>
      <c r="S449" s="7" t="inlineStr">
        <is>
          <t>2026-09-09</t>
        </is>
      </c>
      <c r="T449" s="5" t="inlineStr">
        <is>
          <t>1 cotización de proveedores</t>
        </is>
      </c>
    </row>
    <row r="450">
      <c r="A450" s="7" t="inlineStr">
        <is>
          <t>MAT-09-038</t>
        </is>
      </c>
      <c r="B450" s="7" t="inlineStr">
        <is>
          <t>Materiales</t>
        </is>
      </c>
      <c r="C450" s="7" t="inlineStr">
        <is>
          <t>Plomería, sanitarios y gas</t>
        </is>
      </c>
      <c r="D450" s="5" t="inlineStr">
        <is>
          <t>Cabeza De Ducha Red + D. Mano</t>
        </is>
      </c>
      <c r="E450" s="5" t="inlineStr">
        <is>
          <t>marca TILBY-GR · referencia TB2216</t>
        </is>
      </c>
      <c r="F450" s="5" t="inlineStr">
        <is>
          <t>Material retirado en almacén</t>
        </is>
      </c>
      <c r="G450" s="5" t="inlineStr">
        <is>
          <t>ducha, regadera, cabezal</t>
        </is>
      </c>
      <c r="H450" s="7" t="inlineStr">
        <is>
          <t>unidad</t>
        </is>
      </c>
      <c r="I450" s="7" t="inlineStr">
        <is>
          <t>Instalaciones</t>
        </is>
      </c>
      <c r="J450" s="7" t="inlineStr">
        <is>
          <t>estandar</t>
        </is>
      </c>
      <c r="K450" s="7" t="inlineStr">
        <is>
          <t>importado</t>
        </is>
      </c>
      <c r="L450" s="7" t="inlineStr">
        <is>
          <t>Verificado</t>
        </is>
      </c>
      <c r="M450" s="8" t="n">
        <v>1</v>
      </c>
      <c r="N450" s="9" t="n">
        <v>535.05</v>
      </c>
      <c r="O450" s="9" t="n">
        <v>535.05</v>
      </c>
      <c r="P450" s="9" t="n">
        <v>535.05</v>
      </c>
      <c r="Q450" s="7" t="inlineStr">
        <is>
          <t>Sí</t>
        </is>
      </c>
      <c r="R450" s="9">
        <f>IF(N450="","",IF(Q450="Sí",ROUND(N450/1.18,2),N450))</f>
        <v/>
      </c>
      <c r="S450" s="7" t="inlineStr">
        <is>
          <t>2026-09-09</t>
        </is>
      </c>
      <c r="T450" s="5" t="inlineStr">
        <is>
          <t>1 cotización de proveedores</t>
        </is>
      </c>
    </row>
    <row r="451">
      <c r="A451" s="7" t="inlineStr">
        <is>
          <t>MAT-09-039</t>
        </is>
      </c>
      <c r="B451" s="7" t="inlineStr">
        <is>
          <t>Materiales</t>
        </is>
      </c>
      <c r="C451" s="7" t="inlineStr">
        <is>
          <t>Plomería, sanitarios y gas</t>
        </is>
      </c>
      <c r="D451" s="5" t="inlineStr">
        <is>
          <t>Barra Deslizable para Ducha Negra</t>
        </is>
      </c>
      <c r="E451" s="5" t="inlineStr">
        <is>
          <t>marca TILBY-GR · referencia SB18050-1-B</t>
        </is>
      </c>
      <c r="F451" s="5" t="inlineStr">
        <is>
          <t>Material retirado en almacén</t>
        </is>
      </c>
      <c r="G451" s="5" t="inlineStr">
        <is>
          <t>ducha, regadera, cabezal</t>
        </is>
      </c>
      <c r="H451" s="7" t="inlineStr">
        <is>
          <t>unidad</t>
        </is>
      </c>
      <c r="I451" s="7" t="inlineStr">
        <is>
          <t>Instalaciones</t>
        </is>
      </c>
      <c r="J451" s="7" t="inlineStr">
        <is>
          <t>estandar</t>
        </is>
      </c>
      <c r="K451" s="7" t="inlineStr">
        <is>
          <t>importado</t>
        </is>
      </c>
      <c r="L451" s="7" t="inlineStr">
        <is>
          <t>Verificado</t>
        </is>
      </c>
      <c r="M451" s="8" t="n">
        <v>1</v>
      </c>
      <c r="N451" s="9" t="n">
        <v>553.61</v>
      </c>
      <c r="O451" s="9" t="n">
        <v>553.61</v>
      </c>
      <c r="P451" s="9" t="n">
        <v>553.61</v>
      </c>
      <c r="Q451" s="7" t="inlineStr">
        <is>
          <t>Sí</t>
        </is>
      </c>
      <c r="R451" s="9">
        <f>IF(N451="","",IF(Q451="Sí",ROUND(N451/1.18,2),N451))</f>
        <v/>
      </c>
      <c r="S451" s="7" t="inlineStr">
        <is>
          <t>2026-09-09</t>
        </is>
      </c>
      <c r="T451" s="5" t="inlineStr">
        <is>
          <t>1 cotización de proveedores</t>
        </is>
      </c>
    </row>
    <row r="452">
      <c r="A452" s="7" t="inlineStr">
        <is>
          <t>MAT-09-040</t>
        </is>
      </c>
      <c r="B452" s="7" t="inlineStr">
        <is>
          <t>Materiales</t>
        </is>
      </c>
      <c r="C452" s="7" t="inlineStr">
        <is>
          <t>Plomería, sanitarios y gas</t>
        </is>
      </c>
      <c r="D452" s="5" t="inlineStr">
        <is>
          <t>Ducha Tipo Teléfono P01720</t>
        </is>
      </c>
      <c r="E452" s="5" t="inlineStr">
        <is>
          <t>marca AQUINA · referencia P01720</t>
        </is>
      </c>
      <c r="F452" s="5" t="inlineStr">
        <is>
          <t>Material retirado en almacén</t>
        </is>
      </c>
      <c r="G452" s="5" t="inlineStr">
        <is>
          <t>ducha, regadera, cabezal</t>
        </is>
      </c>
      <c r="H452" s="7" t="inlineStr">
        <is>
          <t>unidad</t>
        </is>
      </c>
      <c r="I452" s="7" t="inlineStr">
        <is>
          <t>Instalaciones</t>
        </is>
      </c>
      <c r="J452" s="7" t="inlineStr">
        <is>
          <t>estandar</t>
        </is>
      </c>
      <c r="K452" s="7" t="inlineStr">
        <is>
          <t>importado</t>
        </is>
      </c>
      <c r="L452" s="7" t="inlineStr">
        <is>
          <t>Verificado</t>
        </is>
      </c>
      <c r="M452" s="8" t="n">
        <v>1</v>
      </c>
      <c r="N452" s="9" t="n">
        <v>559.28</v>
      </c>
      <c r="O452" s="9" t="n">
        <v>559.28</v>
      </c>
      <c r="P452" s="9" t="n">
        <v>559.28</v>
      </c>
      <c r="Q452" s="7" t="inlineStr">
        <is>
          <t>Sí</t>
        </is>
      </c>
      <c r="R452" s="9">
        <f>IF(N452="","",IF(Q452="Sí",ROUND(N452/1.18,2),N452))</f>
        <v/>
      </c>
      <c r="S452" s="7" t="inlineStr">
        <is>
          <t>2026-09-09</t>
        </is>
      </c>
      <c r="T452" s="5" t="inlineStr">
        <is>
          <t>1 cotización de proveedores</t>
        </is>
      </c>
    </row>
    <row r="453">
      <c r="A453" s="7" t="inlineStr">
        <is>
          <t>MAT-09-041</t>
        </is>
      </c>
      <c r="B453" s="7" t="inlineStr">
        <is>
          <t>Materiales</t>
        </is>
      </c>
      <c r="C453" s="7" t="inlineStr">
        <is>
          <t>Plomería, sanitarios y gas</t>
        </is>
      </c>
      <c r="D453" s="5" t="inlineStr">
        <is>
          <t>Cabeza De Ducha Cuadrada</t>
        </is>
      </c>
      <c r="E453" s="5" t="inlineStr">
        <is>
          <t>marca TILBY-GR · referencia TB2228</t>
        </is>
      </c>
      <c r="F453" s="5" t="inlineStr">
        <is>
          <t>Material retirado en almacén</t>
        </is>
      </c>
      <c r="G453" s="5" t="inlineStr">
        <is>
          <t>ducha, regadera, cabezal</t>
        </is>
      </c>
      <c r="H453" s="7" t="inlineStr">
        <is>
          <t>unidad</t>
        </is>
      </c>
      <c r="I453" s="7" t="inlineStr">
        <is>
          <t>Instalaciones</t>
        </is>
      </c>
      <c r="J453" s="7" t="inlineStr">
        <is>
          <t>estandar</t>
        </is>
      </c>
      <c r="K453" s="7" t="inlineStr">
        <is>
          <t>importado</t>
        </is>
      </c>
      <c r="L453" s="7" t="inlineStr">
        <is>
          <t>Verificado</t>
        </is>
      </c>
      <c r="M453" s="8" t="n">
        <v>1</v>
      </c>
      <c r="N453" s="9" t="n">
        <v>562.46</v>
      </c>
      <c r="O453" s="9" t="n">
        <v>562.46</v>
      </c>
      <c r="P453" s="9" t="n">
        <v>562.46</v>
      </c>
      <c r="Q453" s="7" t="inlineStr">
        <is>
          <t>Sí</t>
        </is>
      </c>
      <c r="R453" s="9">
        <f>IF(N453="","",IF(Q453="Sí",ROUND(N453/1.18,2),N453))</f>
        <v/>
      </c>
      <c r="S453" s="7" t="inlineStr">
        <is>
          <t>2026-09-09</t>
        </is>
      </c>
      <c r="T453" s="5" t="inlineStr">
        <is>
          <t>1 cotización de proveedores</t>
        </is>
      </c>
    </row>
    <row r="454">
      <c r="A454" s="7" t="inlineStr">
        <is>
          <t>MAT-09-042</t>
        </is>
      </c>
      <c r="B454" s="7" t="inlineStr">
        <is>
          <t>Materiales</t>
        </is>
      </c>
      <c r="C454" s="7" t="inlineStr">
        <is>
          <t>Plomería, sanitarios y gas</t>
        </is>
      </c>
      <c r="D454" s="5" t="inlineStr">
        <is>
          <t>Cabeza para Ducha Redonda</t>
        </is>
      </c>
      <c r="E454" s="5" t="inlineStr">
        <is>
          <t>marca AQUINA · referencia P017088"</t>
        </is>
      </c>
      <c r="F454" s="5" t="inlineStr">
        <is>
          <t>Material retirado en almacén</t>
        </is>
      </c>
      <c r="G454" s="5" t="inlineStr">
        <is>
          <t>ducha, regadera, cabezal</t>
        </is>
      </c>
      <c r="H454" s="7" t="inlineStr">
        <is>
          <t>unidad</t>
        </is>
      </c>
      <c r="I454" s="7" t="inlineStr">
        <is>
          <t>Instalaciones</t>
        </is>
      </c>
      <c r="J454" s="7" t="inlineStr">
        <is>
          <t>estandar</t>
        </is>
      </c>
      <c r="K454" s="7" t="inlineStr">
        <is>
          <t>importado</t>
        </is>
      </c>
      <c r="L454" s="7" t="inlineStr">
        <is>
          <t>Verificado</t>
        </is>
      </c>
      <c r="M454" s="8" t="n">
        <v>1</v>
      </c>
      <c r="N454" s="9" t="n">
        <v>678.49</v>
      </c>
      <c r="O454" s="9" t="n">
        <v>678.49</v>
      </c>
      <c r="P454" s="9" t="n">
        <v>678.49</v>
      </c>
      <c r="Q454" s="7" t="inlineStr">
        <is>
          <t>Sí</t>
        </is>
      </c>
      <c r="R454" s="9">
        <f>IF(N454="","",IF(Q454="Sí",ROUND(N454/1.18,2),N454))</f>
        <v/>
      </c>
      <c r="S454" s="7" t="inlineStr">
        <is>
          <t>2026-09-09</t>
        </is>
      </c>
      <c r="T454" s="5" t="inlineStr">
        <is>
          <t>1 cotización de proveedores</t>
        </is>
      </c>
    </row>
    <row r="455">
      <c r="A455" s="7" t="inlineStr">
        <is>
          <t>MAT-09-043</t>
        </is>
      </c>
      <c r="B455" s="7" t="inlineStr">
        <is>
          <t>Materiales</t>
        </is>
      </c>
      <c r="C455" s="7" t="inlineStr">
        <is>
          <t>Plomería, sanitarios y gas</t>
        </is>
      </c>
      <c r="D455" s="5" t="inlineStr">
        <is>
          <t>Ducha tipo Telefono Completa</t>
        </is>
      </c>
      <c r="E455" s="5" t="inlineStr">
        <is>
          <t>marca EZ-FLO/EASTMAN · referencia 90103/15878</t>
        </is>
      </c>
      <c r="F455" s="5" t="inlineStr">
        <is>
          <t>Material retirado en almacén</t>
        </is>
      </c>
      <c r="G455" s="5" t="inlineStr">
        <is>
          <t>ducha, regadera, cabezal</t>
        </is>
      </c>
      <c r="H455" s="7" t="inlineStr">
        <is>
          <t>unidad</t>
        </is>
      </c>
      <c r="I455" s="7" t="inlineStr">
        <is>
          <t>Instalaciones</t>
        </is>
      </c>
      <c r="J455" s="7" t="inlineStr">
        <is>
          <t>estandar</t>
        </is>
      </c>
      <c r="K455" s="7" t="inlineStr">
        <is>
          <t>importado</t>
        </is>
      </c>
      <c r="L455" s="7" t="inlineStr">
        <is>
          <t>Verificado</t>
        </is>
      </c>
      <c r="M455" s="8" t="n">
        <v>1</v>
      </c>
      <c r="N455" s="9" t="n">
        <v>712.46</v>
      </c>
      <c r="O455" s="9" t="n">
        <v>475.26</v>
      </c>
      <c r="P455" s="9" t="n">
        <v>1482.99</v>
      </c>
      <c r="Q455" s="7" t="inlineStr">
        <is>
          <t>Sí</t>
        </is>
      </c>
      <c r="R455" s="9">
        <f>IF(N455="","",IF(Q455="Sí",ROUND(N455/1.18,2),N455))</f>
        <v/>
      </c>
      <c r="S455" s="7" t="inlineStr">
        <is>
          <t>2026-09-09</t>
        </is>
      </c>
      <c r="T455" s="5" t="inlineStr">
        <is>
          <t>3 cotizaciones de proveedores</t>
        </is>
      </c>
    </row>
    <row r="456">
      <c r="A456" s="7" t="inlineStr">
        <is>
          <t>MAT-09-044</t>
        </is>
      </c>
      <c r="B456" s="7" t="inlineStr">
        <is>
          <t>Materiales</t>
        </is>
      </c>
      <c r="C456" s="7" t="inlineStr">
        <is>
          <t>Plomería, sanitarios y gas</t>
        </is>
      </c>
      <c r="D456" s="5" t="inlineStr">
        <is>
          <t>Ducha Telefono con Manguera 8 Funciones</t>
        </is>
      </c>
      <c r="E456" s="5" t="inlineStr">
        <is>
          <t>marca AQUINA · referencia P01722</t>
        </is>
      </c>
      <c r="F456" s="5" t="inlineStr">
        <is>
          <t>Material retirado en almacén</t>
        </is>
      </c>
      <c r="G456" s="5" t="inlineStr">
        <is>
          <t>ducha, regadera, cabezal</t>
        </is>
      </c>
      <c r="H456" s="7" t="inlineStr">
        <is>
          <t>unidad</t>
        </is>
      </c>
      <c r="I456" s="7" t="inlineStr">
        <is>
          <t>Instalaciones</t>
        </is>
      </c>
      <c r="J456" s="7" t="inlineStr">
        <is>
          <t>estandar</t>
        </is>
      </c>
      <c r="K456" s="7" t="inlineStr">
        <is>
          <t>importado</t>
        </is>
      </c>
      <c r="L456" s="7" t="inlineStr">
        <is>
          <t>Verificado</t>
        </is>
      </c>
      <c r="M456" s="8" t="n">
        <v>1</v>
      </c>
      <c r="N456" s="9" t="n">
        <v>730.86</v>
      </c>
      <c r="O456" s="9" t="n">
        <v>730.86</v>
      </c>
      <c r="P456" s="9" t="n">
        <v>730.86</v>
      </c>
      <c r="Q456" s="7" t="inlineStr">
        <is>
          <t>Sí</t>
        </is>
      </c>
      <c r="R456" s="9">
        <f>IF(N456="","",IF(Q456="Sí",ROUND(N456/1.18,2),N456))</f>
        <v/>
      </c>
      <c r="S456" s="7" t="inlineStr">
        <is>
          <t>2026-09-09</t>
        </is>
      </c>
      <c r="T456" s="5" t="inlineStr">
        <is>
          <t>1 cotización de proveedores</t>
        </is>
      </c>
    </row>
    <row r="457">
      <c r="A457" s="7" t="inlineStr">
        <is>
          <t>MAT-09-045</t>
        </is>
      </c>
      <c r="B457" s="7" t="inlineStr">
        <is>
          <t>Materiales</t>
        </is>
      </c>
      <c r="C457" s="7" t="inlineStr">
        <is>
          <t>Plomería, sanitarios y gas</t>
        </is>
      </c>
      <c r="D457" s="5" t="inlineStr">
        <is>
          <t>Ducha Telefono con Manguera 3 Funciones</t>
        </is>
      </c>
      <c r="E457" s="5" t="inlineStr">
        <is>
          <t>marca AQUINA · referencia P01721</t>
        </is>
      </c>
      <c r="F457" s="5" t="inlineStr">
        <is>
          <t>Material retirado en almacén</t>
        </is>
      </c>
      <c r="G457" s="5" t="inlineStr">
        <is>
          <t>ducha, regadera, cabezal</t>
        </is>
      </c>
      <c r="H457" s="7" t="inlineStr">
        <is>
          <t>unidad</t>
        </is>
      </c>
      <c r="I457" s="7" t="inlineStr">
        <is>
          <t>Instalaciones</t>
        </is>
      </c>
      <c r="J457" s="7" t="inlineStr">
        <is>
          <t>estandar</t>
        </is>
      </c>
      <c r="K457" s="7" t="inlineStr">
        <is>
          <t>importado</t>
        </is>
      </c>
      <c r="L457" s="7" t="inlineStr">
        <is>
          <t>Verificado</t>
        </is>
      </c>
      <c r="M457" s="8" t="n">
        <v>1</v>
      </c>
      <c r="N457" s="9" t="n">
        <v>924.2</v>
      </c>
      <c r="O457" s="9" t="n">
        <v>764.03</v>
      </c>
      <c r="P457" s="9" t="n">
        <v>1084.36</v>
      </c>
      <c r="Q457" s="7" t="inlineStr">
        <is>
          <t>Sí</t>
        </is>
      </c>
      <c r="R457" s="9">
        <f>IF(N457="","",IF(Q457="Sí",ROUND(N457/1.18,2),N457))</f>
        <v/>
      </c>
      <c r="S457" s="7" t="inlineStr">
        <is>
          <t>2026-09-09</t>
        </is>
      </c>
      <c r="T457" s="5" t="inlineStr">
        <is>
          <t>2 cotizaciones de proveedores</t>
        </is>
      </c>
    </row>
    <row r="458">
      <c r="A458" s="7" t="inlineStr">
        <is>
          <t>MAT-09-046</t>
        </is>
      </c>
      <c r="B458" s="7" t="inlineStr">
        <is>
          <t>Materiales</t>
        </is>
      </c>
      <c r="C458" s="7" t="inlineStr">
        <is>
          <t>Plomería, sanitarios y gas</t>
        </is>
      </c>
      <c r="D458" s="5" t="inlineStr">
        <is>
          <t>Barra Deslizante Para Duchas</t>
        </is>
      </c>
      <c r="E458" s="5" t="inlineStr">
        <is>
          <t>marca INEX · referencia A98089/A89089</t>
        </is>
      </c>
      <c r="F458" s="5" t="inlineStr">
        <is>
          <t>Material retirado en almacén</t>
        </is>
      </c>
      <c r="G458" s="5" t="inlineStr">
        <is>
          <t>ducha, regadera, cabezal</t>
        </is>
      </c>
      <c r="H458" s="7" t="inlineStr">
        <is>
          <t>unidad</t>
        </is>
      </c>
      <c r="I458" s="7" t="inlineStr">
        <is>
          <t>Instalaciones</t>
        </is>
      </c>
      <c r="J458" s="7" t="inlineStr">
        <is>
          <t>estandar</t>
        </is>
      </c>
      <c r="K458" s="7" t="inlineStr">
        <is>
          <t>importado</t>
        </is>
      </c>
      <c r="L458" s="7" t="inlineStr">
        <is>
          <t>Verificado</t>
        </is>
      </c>
      <c r="M458" s="8" t="n">
        <v>1</v>
      </c>
      <c r="N458" s="9" t="n">
        <v>783.73</v>
      </c>
      <c r="O458" s="9" t="n">
        <v>783.73</v>
      </c>
      <c r="P458" s="9" t="n">
        <v>783.73</v>
      </c>
      <c r="Q458" s="7" t="inlineStr">
        <is>
          <t>Sí</t>
        </is>
      </c>
      <c r="R458" s="9">
        <f>IF(N458="","",IF(Q458="Sí",ROUND(N458/1.18,2),N458))</f>
        <v/>
      </c>
      <c r="S458" s="7" t="inlineStr">
        <is>
          <t>2026-09-09</t>
        </is>
      </c>
      <c r="T458" s="5" t="inlineStr">
        <is>
          <t>1 cotización de proveedores</t>
        </is>
      </c>
    </row>
    <row r="459">
      <c r="A459" s="7" t="inlineStr">
        <is>
          <t>MAT-09-047</t>
        </is>
      </c>
      <c r="B459" s="7" t="inlineStr">
        <is>
          <t>Materiales</t>
        </is>
      </c>
      <c r="C459" s="7" t="inlineStr">
        <is>
          <t>Plomería, sanitarios y gas</t>
        </is>
      </c>
      <c r="D459" s="5" t="inlineStr">
        <is>
          <t>Ducha Redonda 5 Funciones</t>
        </is>
      </c>
      <c r="E459" s="5" t="inlineStr">
        <is>
          <t>marca AQUINA · referencia P01704</t>
        </is>
      </c>
      <c r="F459" s="5" t="inlineStr">
        <is>
          <t>Material retirado en almacén</t>
        </is>
      </c>
      <c r="G459" s="5" t="inlineStr">
        <is>
          <t>ducha, regadera, cabezal</t>
        </is>
      </c>
      <c r="H459" s="7" t="inlineStr">
        <is>
          <t>unidad</t>
        </is>
      </c>
      <c r="I459" s="7" t="inlineStr">
        <is>
          <t>Instalaciones</t>
        </is>
      </c>
      <c r="J459" s="7" t="inlineStr">
        <is>
          <t>estandar</t>
        </is>
      </c>
      <c r="K459" s="7" t="inlineStr">
        <is>
          <t>importado</t>
        </is>
      </c>
      <c r="L459" s="7" t="inlineStr">
        <is>
          <t>Verificado</t>
        </is>
      </c>
      <c r="M459" s="8" t="n">
        <v>1</v>
      </c>
      <c r="N459" s="9" t="n">
        <v>835.29</v>
      </c>
      <c r="O459" s="9" t="n">
        <v>835.29</v>
      </c>
      <c r="P459" s="9" t="n">
        <v>835.29</v>
      </c>
      <c r="Q459" s="7" t="inlineStr">
        <is>
          <t>Sí</t>
        </is>
      </c>
      <c r="R459" s="9">
        <f>IF(N459="","",IF(Q459="Sí",ROUND(N459/1.18,2),N459))</f>
        <v/>
      </c>
      <c r="S459" s="7" t="inlineStr">
        <is>
          <t>2026-09-09</t>
        </is>
      </c>
      <c r="T459" s="5" t="inlineStr">
        <is>
          <t>1 cotización de proveedores</t>
        </is>
      </c>
    </row>
    <row r="460">
      <c r="A460" s="7" t="inlineStr">
        <is>
          <t>MAT-09-048</t>
        </is>
      </c>
      <c r="B460" s="7" t="inlineStr">
        <is>
          <t>Materiales</t>
        </is>
      </c>
      <c r="C460" s="7" t="inlineStr">
        <is>
          <t>Plomería, sanitarios y gas</t>
        </is>
      </c>
      <c r="D460" s="5" t="inlineStr">
        <is>
          <t>Ducha con Brazo Y Cubrefalta</t>
        </is>
      </c>
      <c r="E460" s="5" t="inlineStr">
        <is>
          <t>marca INEX · referencia 15029</t>
        </is>
      </c>
      <c r="F460" s="5" t="inlineStr">
        <is>
          <t>Material retirado en almacén</t>
        </is>
      </c>
      <c r="G460" s="5" t="inlineStr">
        <is>
          <t>ducha, regadera, cabezal</t>
        </is>
      </c>
      <c r="H460" s="7" t="inlineStr">
        <is>
          <t>unidad</t>
        </is>
      </c>
      <c r="I460" s="7" t="inlineStr">
        <is>
          <t>Instalaciones</t>
        </is>
      </c>
      <c r="J460" s="7" t="inlineStr">
        <is>
          <t>estandar</t>
        </is>
      </c>
      <c r="K460" s="7" t="inlineStr">
        <is>
          <t>importado</t>
        </is>
      </c>
      <c r="L460" s="7" t="inlineStr">
        <is>
          <t>Verificado</t>
        </is>
      </c>
      <c r="M460" s="8" t="n">
        <v>1</v>
      </c>
      <c r="N460" s="9" t="n">
        <v>895.38</v>
      </c>
      <c r="O460" s="9" t="n">
        <v>895.38</v>
      </c>
      <c r="P460" s="9" t="n">
        <v>895.38</v>
      </c>
      <c r="Q460" s="7" t="inlineStr">
        <is>
          <t>Sí</t>
        </is>
      </c>
      <c r="R460" s="9">
        <f>IF(N460="","",IF(Q460="Sí",ROUND(N460/1.18,2),N460))</f>
        <v/>
      </c>
      <c r="S460" s="7" t="inlineStr">
        <is>
          <t>2026-09-09</t>
        </is>
      </c>
      <c r="T460" s="5" t="inlineStr">
        <is>
          <t>1 cotización de proveedores</t>
        </is>
      </c>
    </row>
    <row r="461">
      <c r="A461" s="7" t="inlineStr">
        <is>
          <t>MAT-09-049</t>
        </is>
      </c>
      <c r="B461" s="7" t="inlineStr">
        <is>
          <t>Materiales</t>
        </is>
      </c>
      <c r="C461" s="7" t="inlineStr">
        <is>
          <t>Plomería, sanitarios y gas</t>
        </is>
      </c>
      <c r="D461" s="5" t="inlineStr">
        <is>
          <t>Ducha Higienica 55-Chattaf-F</t>
        </is>
      </c>
      <c r="E461" s="5" t="inlineStr">
        <is>
          <t>marca INEX · referencia 96136</t>
        </is>
      </c>
      <c r="F461" s="5" t="inlineStr">
        <is>
          <t>Material retirado en almacén</t>
        </is>
      </c>
      <c r="G461" s="5" t="inlineStr">
        <is>
          <t>ducha, regadera, cabezal</t>
        </is>
      </c>
      <c r="H461" s="7" t="inlineStr">
        <is>
          <t>unidad</t>
        </is>
      </c>
      <c r="I461" s="7" t="inlineStr">
        <is>
          <t>Instalaciones</t>
        </is>
      </c>
      <c r="J461" s="7" t="inlineStr">
        <is>
          <t>estandar</t>
        </is>
      </c>
      <c r="K461" s="7" t="inlineStr">
        <is>
          <t>importado</t>
        </is>
      </c>
      <c r="L461" s="7" t="inlineStr">
        <is>
          <t>Verificado</t>
        </is>
      </c>
      <c r="M461" s="8" t="n">
        <v>1</v>
      </c>
      <c r="N461" s="9" t="n">
        <v>1152.18</v>
      </c>
      <c r="O461" s="9" t="n">
        <v>1152.18</v>
      </c>
      <c r="P461" s="9" t="n">
        <v>1152.18</v>
      </c>
      <c r="Q461" s="7" t="inlineStr">
        <is>
          <t>Sí</t>
        </is>
      </c>
      <c r="R461" s="9">
        <f>IF(N461="","",IF(Q461="Sí",ROUND(N461/1.18,2),N461))</f>
        <v/>
      </c>
      <c r="S461" s="7" t="inlineStr">
        <is>
          <t>2026-09-09</t>
        </is>
      </c>
      <c r="T461" s="5" t="inlineStr">
        <is>
          <t>1 cotización de proveedores</t>
        </is>
      </c>
    </row>
    <row r="462">
      <c r="A462" s="7" t="inlineStr">
        <is>
          <t>MAT-09-050</t>
        </is>
      </c>
      <c r="B462" s="7" t="inlineStr">
        <is>
          <t>Materiales</t>
        </is>
      </c>
      <c r="C462" s="7" t="inlineStr">
        <is>
          <t>Plomería, sanitarios y gas</t>
        </is>
      </c>
      <c r="D462" s="5" t="inlineStr">
        <is>
          <t>Ducha Telefono con Manguera 5 Funciones</t>
        </is>
      </c>
      <c r="E462" s="5" t="inlineStr">
        <is>
          <t>marca AQUINA · referencia P01724</t>
        </is>
      </c>
      <c r="F462" s="5" t="inlineStr">
        <is>
          <t>Material retirado en almacén</t>
        </is>
      </c>
      <c r="G462" s="5" t="inlineStr">
        <is>
          <t>ducha, regadera, cabezal</t>
        </is>
      </c>
      <c r="H462" s="7" t="inlineStr">
        <is>
          <t>unidad</t>
        </is>
      </c>
      <c r="I462" s="7" t="inlineStr">
        <is>
          <t>Instalaciones</t>
        </is>
      </c>
      <c r="J462" s="7" t="inlineStr">
        <is>
          <t>estandar</t>
        </is>
      </c>
      <c r="K462" s="7" t="inlineStr">
        <is>
          <t>importado</t>
        </is>
      </c>
      <c r="L462" s="7" t="inlineStr">
        <is>
          <t>Verificado</t>
        </is>
      </c>
      <c r="M462" s="8" t="n">
        <v>1</v>
      </c>
      <c r="N462" s="9" t="n">
        <v>1338.18</v>
      </c>
      <c r="O462" s="9" t="n">
        <v>1338.18</v>
      </c>
      <c r="P462" s="9" t="n">
        <v>1338.18</v>
      </c>
      <c r="Q462" s="7" t="inlineStr">
        <is>
          <t>Sí</t>
        </is>
      </c>
      <c r="R462" s="9">
        <f>IF(N462="","",IF(Q462="Sí",ROUND(N462/1.18,2),N462))</f>
        <v/>
      </c>
      <c r="S462" s="7" t="inlineStr">
        <is>
          <t>2026-09-09</t>
        </is>
      </c>
      <c r="T462" s="5" t="inlineStr">
        <is>
          <t>1 cotización de proveedores</t>
        </is>
      </c>
    </row>
    <row r="463">
      <c r="A463" s="7" t="inlineStr">
        <is>
          <t>MAT-09-051</t>
        </is>
      </c>
      <c r="B463" s="7" t="inlineStr">
        <is>
          <t>Materiales</t>
        </is>
      </c>
      <c r="C463" s="7" t="inlineStr">
        <is>
          <t>Plomería, sanitarios y gas</t>
        </is>
      </c>
      <c r="D463" s="5" t="inlineStr">
        <is>
          <t>Barra Deslizable para Ducha</t>
        </is>
      </c>
      <c r="E463" s="5" t="inlineStr">
        <is>
          <t>marca TILBY-GR · referencia TB2156BN-1</t>
        </is>
      </c>
      <c r="F463" s="5" t="inlineStr">
        <is>
          <t>Material retirado en almacén</t>
        </is>
      </c>
      <c r="G463" s="5" t="inlineStr">
        <is>
          <t>ducha, regadera, cabezal</t>
        </is>
      </c>
      <c r="H463" s="7" t="inlineStr">
        <is>
          <t>unidad</t>
        </is>
      </c>
      <c r="I463" s="7" t="inlineStr">
        <is>
          <t>Instalaciones</t>
        </is>
      </c>
      <c r="J463" s="7" t="inlineStr">
        <is>
          <t>estandar</t>
        </is>
      </c>
      <c r="K463" s="7" t="inlineStr">
        <is>
          <t>importado</t>
        </is>
      </c>
      <c r="L463" s="7" t="inlineStr">
        <is>
          <t>Verificado</t>
        </is>
      </c>
      <c r="M463" s="8" t="n">
        <v>1</v>
      </c>
      <c r="N463" s="9" t="n">
        <v>1110.55</v>
      </c>
      <c r="O463" s="9" t="n">
        <v>806.08</v>
      </c>
      <c r="P463" s="9" t="n">
        <v>1415.01</v>
      </c>
      <c r="Q463" s="7" t="inlineStr">
        <is>
          <t>Sí</t>
        </is>
      </c>
      <c r="R463" s="9">
        <f>IF(N463="","",IF(Q463="Sí",ROUND(N463/1.18,2),N463))</f>
        <v/>
      </c>
      <c r="S463" s="7" t="inlineStr">
        <is>
          <t>2026-09-09</t>
        </is>
      </c>
      <c r="T463" s="5" t="inlineStr">
        <is>
          <t>2 cotizaciones de proveedores</t>
        </is>
      </c>
    </row>
    <row r="464">
      <c r="A464" s="7" t="inlineStr">
        <is>
          <t>MAT-09-052</t>
        </is>
      </c>
      <c r="B464" s="7" t="inlineStr">
        <is>
          <t>Materiales</t>
        </is>
      </c>
      <c r="C464" s="7" t="inlineStr">
        <is>
          <t>Plomería, sanitarios y gas</t>
        </is>
      </c>
      <c r="D464" s="5" t="inlineStr">
        <is>
          <t>Cabeza De Ducha 4"</t>
        </is>
      </c>
      <c r="E464" s="5" t="inlineStr">
        <is>
          <t>marca EZ-FLO/USA · referencia 15113</t>
        </is>
      </c>
      <c r="F464" s="5" t="inlineStr">
        <is>
          <t>Material retirado en almacén</t>
        </is>
      </c>
      <c r="G464" s="5" t="inlineStr">
        <is>
          <t>ducha, regadera, cabezal</t>
        </is>
      </c>
      <c r="H464" s="7" t="inlineStr">
        <is>
          <t>unidad</t>
        </is>
      </c>
      <c r="I464" s="7" t="inlineStr">
        <is>
          <t>Instalaciones</t>
        </is>
      </c>
      <c r="J464" s="7" t="inlineStr">
        <is>
          <t>estandar</t>
        </is>
      </c>
      <c r="K464" s="7" t="inlineStr">
        <is>
          <t>importado</t>
        </is>
      </c>
      <c r="L464" s="7" t="inlineStr">
        <is>
          <t>Verificado</t>
        </is>
      </c>
      <c r="M464" s="8" t="n">
        <v>1</v>
      </c>
      <c r="N464" s="9" t="n">
        <v>1660.9</v>
      </c>
      <c r="O464" s="9" t="n">
        <v>1660.9</v>
      </c>
      <c r="P464" s="9" t="n">
        <v>1660.9</v>
      </c>
      <c r="Q464" s="7" t="inlineStr">
        <is>
          <t>Sí</t>
        </is>
      </c>
      <c r="R464" s="9">
        <f>IF(N464="","",IF(Q464="Sí",ROUND(N464/1.18,2),N464))</f>
        <v/>
      </c>
      <c r="S464" s="7" t="inlineStr">
        <is>
          <t>2026-09-09</t>
        </is>
      </c>
      <c r="T464" s="5" t="inlineStr">
        <is>
          <t>1 cotización de proveedores</t>
        </is>
      </c>
    </row>
    <row r="465">
      <c r="A465" s="7" t="inlineStr">
        <is>
          <t>MAT-09-053</t>
        </is>
      </c>
      <c r="B465" s="7" t="inlineStr">
        <is>
          <t>Materiales</t>
        </is>
      </c>
      <c r="C465" s="7" t="inlineStr">
        <is>
          <t>Plomería, sanitarios y gas</t>
        </is>
      </c>
      <c r="D465" s="5" t="inlineStr">
        <is>
          <t>Ducha Barra Exter. Cabeza Red</t>
        </is>
      </c>
      <c r="E465" s="5" t="inlineStr">
        <is>
          <t>marca TILBY-GR · referencia TB2216</t>
        </is>
      </c>
      <c r="F465" s="5" t="inlineStr">
        <is>
          <t>Material retirado en almacén</t>
        </is>
      </c>
      <c r="G465" s="5" t="inlineStr">
        <is>
          <t>ducha, regadera, cabezal</t>
        </is>
      </c>
      <c r="H465" s="7" t="inlineStr">
        <is>
          <t>unidad</t>
        </is>
      </c>
      <c r="I465" s="7" t="inlineStr">
        <is>
          <t>Instalaciones</t>
        </is>
      </c>
      <c r="J465" s="7" t="inlineStr">
        <is>
          <t>estandar</t>
        </is>
      </c>
      <c r="K465" s="7" t="inlineStr">
        <is>
          <t>importado</t>
        </is>
      </c>
      <c r="L465" s="7" t="inlineStr">
        <is>
          <t>Verificado</t>
        </is>
      </c>
      <c r="M465" s="8" t="n">
        <v>1</v>
      </c>
      <c r="N465" s="9" t="n">
        <v>3637.18</v>
      </c>
      <c r="O465" s="9" t="n">
        <v>3180</v>
      </c>
      <c r="P465" s="9" t="n">
        <v>6509.26</v>
      </c>
      <c r="Q465" s="7" t="inlineStr">
        <is>
          <t>Sí</t>
        </is>
      </c>
      <c r="R465" s="9">
        <f>IF(N465="","",IF(Q465="Sí",ROUND(N465/1.18,2),N465))</f>
        <v/>
      </c>
      <c r="S465" s="7" t="inlineStr">
        <is>
          <t>2026-09-09</t>
        </is>
      </c>
      <c r="T465" s="5" t="inlineStr">
        <is>
          <t>3 cotizaciones de proveedores</t>
        </is>
      </c>
    </row>
    <row r="466">
      <c r="A466" s="7" t="inlineStr">
        <is>
          <t>MAT-09-054</t>
        </is>
      </c>
      <c r="B466" s="7" t="inlineStr">
        <is>
          <t>Materiales</t>
        </is>
      </c>
      <c r="C466" s="7" t="inlineStr">
        <is>
          <t>Plomería, sanitarios y gas</t>
        </is>
      </c>
      <c r="D466" s="5" t="inlineStr">
        <is>
          <t>Barra Ducha Ext 4 Op. Cabeza Cuad. Negro</t>
        </is>
      </c>
      <c r="E466" s="5" t="inlineStr">
        <is>
          <t>marca INEX · referencia D191STL</t>
        </is>
      </c>
      <c r="F466" s="5" t="inlineStr">
        <is>
          <t>Material retirado en almacén</t>
        </is>
      </c>
      <c r="G466" s="5" t="inlineStr">
        <is>
          <t>ducha, regadera, cabezal</t>
        </is>
      </c>
      <c r="H466" s="7" t="inlineStr">
        <is>
          <t>unidad</t>
        </is>
      </c>
      <c r="I466" s="7" t="inlineStr">
        <is>
          <t>Instalaciones</t>
        </is>
      </c>
      <c r="J466" s="7" t="inlineStr">
        <is>
          <t>estandar</t>
        </is>
      </c>
      <c r="K466" s="7" t="inlineStr">
        <is>
          <t>importado</t>
        </is>
      </c>
      <c r="L466" s="7" t="inlineStr">
        <is>
          <t>Verificado</t>
        </is>
      </c>
      <c r="M466" s="8" t="n">
        <v>1</v>
      </c>
      <c r="N466" s="9" t="n">
        <v>10189.3</v>
      </c>
      <c r="O466" s="9" t="n">
        <v>10189.3</v>
      </c>
      <c r="P466" s="9" t="n">
        <v>10189.3</v>
      </c>
      <c r="Q466" s="7" t="inlineStr">
        <is>
          <t>Sí</t>
        </is>
      </c>
      <c r="R466" s="9">
        <f>IF(N466="","",IF(Q466="Sí",ROUND(N466/1.18,2),N466))</f>
        <v/>
      </c>
      <c r="S466" s="7" t="inlineStr">
        <is>
          <t>2026-09-09</t>
        </is>
      </c>
      <c r="T466" s="5" t="inlineStr">
        <is>
          <t>1 cotización de proveedores</t>
        </is>
      </c>
    </row>
    <row r="467">
      <c r="A467" s="7" t="inlineStr">
        <is>
          <t>MAT-09-055</t>
        </is>
      </c>
      <c r="B467" s="7" t="inlineStr">
        <is>
          <t>Materiales</t>
        </is>
      </c>
      <c r="C467" s="7" t="inlineStr">
        <is>
          <t>Plomería, sanitarios y gas</t>
        </is>
      </c>
      <c r="D467" s="5" t="inlineStr">
        <is>
          <t>Barra Ducha Ext 4 Op. Cabeza redondo Negro</t>
        </is>
      </c>
      <c r="E467" s="5" t="inlineStr">
        <is>
          <t>marca INEX · referencia D192STL</t>
        </is>
      </c>
      <c r="F467" s="5" t="inlineStr">
        <is>
          <t>Material retirado en almacén</t>
        </is>
      </c>
      <c r="G467" s="5" t="inlineStr">
        <is>
          <t>ducha, regadera, cabezal</t>
        </is>
      </c>
      <c r="H467" s="7" t="inlineStr">
        <is>
          <t>unidad</t>
        </is>
      </c>
      <c r="I467" s="7" t="inlineStr">
        <is>
          <t>Instalaciones</t>
        </is>
      </c>
      <c r="J467" s="7" t="inlineStr">
        <is>
          <t>estandar</t>
        </is>
      </c>
      <c r="K467" s="7" t="inlineStr">
        <is>
          <t>importado</t>
        </is>
      </c>
      <c r="L467" s="7" t="inlineStr">
        <is>
          <t>Verificado</t>
        </is>
      </c>
      <c r="M467" s="8" t="n">
        <v>1</v>
      </c>
      <c r="N467" s="9" t="n">
        <v>10200.42</v>
      </c>
      <c r="O467" s="9" t="n">
        <v>10200.42</v>
      </c>
      <c r="P467" s="9" t="n">
        <v>10200.42</v>
      </c>
      <c r="Q467" s="7" t="inlineStr">
        <is>
          <t>Sí</t>
        </is>
      </c>
      <c r="R467" s="9">
        <f>IF(N467="","",IF(Q467="Sí",ROUND(N467/1.18,2),N467))</f>
        <v/>
      </c>
      <c r="S467" s="7" t="inlineStr">
        <is>
          <t>2026-09-09</t>
        </is>
      </c>
      <c r="T467" s="5" t="inlineStr">
        <is>
          <t>1 cotización de proveedores</t>
        </is>
      </c>
    </row>
    <row r="468">
      <c r="A468" s="7" t="inlineStr">
        <is>
          <t>MAT-09-056</t>
        </is>
      </c>
      <c r="B468" s="7" t="inlineStr">
        <is>
          <t>Materiales</t>
        </is>
      </c>
      <c r="C468" s="7" t="inlineStr">
        <is>
          <t>Plomería, sanitarios y gas</t>
        </is>
      </c>
      <c r="D468" s="5" t="inlineStr">
        <is>
          <t>Ducha Barra Ext Inx Pro 2 Op Gris Soporte</t>
        </is>
      </c>
      <c r="E468" s="5" t="inlineStr">
        <is>
          <t>marca INEX · referencia INX-1553-S</t>
        </is>
      </c>
      <c r="F468" s="5" t="inlineStr">
        <is>
          <t>Material retirado en almacén</t>
        </is>
      </c>
      <c r="G468" s="5" t="inlineStr">
        <is>
          <t>ducha, regadera, cabezal</t>
        </is>
      </c>
      <c r="H468" s="7" t="inlineStr">
        <is>
          <t>unidad</t>
        </is>
      </c>
      <c r="I468" s="7" t="inlineStr">
        <is>
          <t>Instalaciones</t>
        </is>
      </c>
      <c r="J468" s="7" t="inlineStr">
        <is>
          <t>estandar</t>
        </is>
      </c>
      <c r="K468" s="7" t="inlineStr">
        <is>
          <t>importado</t>
        </is>
      </c>
      <c r="L468" s="7" t="inlineStr">
        <is>
          <t>Verificado</t>
        </is>
      </c>
      <c r="M468" s="8" t="n">
        <v>1</v>
      </c>
      <c r="N468" s="9" t="n">
        <v>10542.24</v>
      </c>
      <c r="O468" s="9" t="n">
        <v>10542.24</v>
      </c>
      <c r="P468" s="9" t="n">
        <v>10542.24</v>
      </c>
      <c r="Q468" s="7" t="inlineStr">
        <is>
          <t>Sí</t>
        </is>
      </c>
      <c r="R468" s="9">
        <f>IF(N468="","",IF(Q468="Sí",ROUND(N468/1.18,2),N468))</f>
        <v/>
      </c>
      <c r="S468" s="7" t="inlineStr">
        <is>
          <t>2026-09-09</t>
        </is>
      </c>
      <c r="T468" s="5" t="inlineStr">
        <is>
          <t>1 cotización de proveedores</t>
        </is>
      </c>
    </row>
    <row r="469">
      <c r="A469" s="7" t="inlineStr">
        <is>
          <t>MAT-09-057</t>
        </is>
      </c>
      <c r="B469" s="7" t="inlineStr">
        <is>
          <t>Materiales</t>
        </is>
      </c>
      <c r="C469" s="7" t="inlineStr">
        <is>
          <t>Plomería, sanitarios y gas</t>
        </is>
      </c>
      <c r="D469" s="5" t="inlineStr">
        <is>
          <t>Ducha De Barra Exterior Paris</t>
        </is>
      </c>
      <c r="E469" s="5" t="inlineStr">
        <is>
          <t>marca TILBY-GR · referencia TB2151BN</t>
        </is>
      </c>
      <c r="F469" s="5" t="inlineStr">
        <is>
          <t>Material retirado en almacén</t>
        </is>
      </c>
      <c r="G469" s="5" t="inlineStr">
        <is>
          <t>ducha, regadera, cabezal</t>
        </is>
      </c>
      <c r="H469" s="7" t="inlineStr">
        <is>
          <t>unidad</t>
        </is>
      </c>
      <c r="I469" s="7" t="inlineStr">
        <is>
          <t>Instalaciones</t>
        </is>
      </c>
      <c r="J469" s="7" t="inlineStr">
        <is>
          <t>estandar</t>
        </is>
      </c>
      <c r="K469" s="7" t="inlineStr">
        <is>
          <t>importado</t>
        </is>
      </c>
      <c r="L469" s="7" t="inlineStr">
        <is>
          <t>Verificado</t>
        </is>
      </c>
      <c r="M469" s="8" t="n">
        <v>1</v>
      </c>
      <c r="N469" s="9" t="n">
        <v>12179.57</v>
      </c>
      <c r="O469" s="9" t="n">
        <v>12179.57</v>
      </c>
      <c r="P469" s="9" t="n">
        <v>12179.57</v>
      </c>
      <c r="Q469" s="7" t="inlineStr">
        <is>
          <t>Sí</t>
        </is>
      </c>
      <c r="R469" s="9">
        <f>IF(N469="","",IF(Q469="Sí",ROUND(N469/1.18,2),N469))</f>
        <v/>
      </c>
      <c r="S469" s="7" t="inlineStr">
        <is>
          <t>2026-09-09</t>
        </is>
      </c>
      <c r="T469" s="5" t="inlineStr">
        <is>
          <t>1 cotización de proveedores</t>
        </is>
      </c>
    </row>
    <row r="470">
      <c r="A470" s="7" t="inlineStr">
        <is>
          <t>MAT-09-058</t>
        </is>
      </c>
      <c r="B470" s="7" t="inlineStr">
        <is>
          <t>Materiales</t>
        </is>
      </c>
      <c r="C470" s="7" t="inlineStr">
        <is>
          <t>Plomería, sanitarios y gas</t>
        </is>
      </c>
      <c r="D470" s="5" t="inlineStr">
        <is>
          <t>Ducha Barra Exter. Cab. Cuad. Cromo</t>
        </is>
      </c>
      <c r="E470" s="5" t="inlineStr">
        <is>
          <t>marca TILBY-GR · referencia TB23SW63</t>
        </is>
      </c>
      <c r="F470" s="5" t="inlineStr">
        <is>
          <t>Material retirado en almacén</t>
        </is>
      </c>
      <c r="G470" s="5" t="inlineStr">
        <is>
          <t>ducha, regadera, cabezal</t>
        </is>
      </c>
      <c r="H470" s="7" t="inlineStr">
        <is>
          <t>unidad</t>
        </is>
      </c>
      <c r="I470" s="7" t="inlineStr">
        <is>
          <t>Instalaciones</t>
        </is>
      </c>
      <c r="J470" s="7" t="inlineStr">
        <is>
          <t>estandar</t>
        </is>
      </c>
      <c r="K470" s="7" t="inlineStr">
        <is>
          <t>importado</t>
        </is>
      </c>
      <c r="L470" s="7" t="inlineStr">
        <is>
          <t>Verificado</t>
        </is>
      </c>
      <c r="M470" s="8" t="n">
        <v>1</v>
      </c>
      <c r="N470" s="9" t="n">
        <v>9604.32</v>
      </c>
      <c r="O470" s="9" t="n">
        <v>9360.4</v>
      </c>
      <c r="P470" s="9" t="n">
        <v>14479.76</v>
      </c>
      <c r="Q470" s="7" t="inlineStr">
        <is>
          <t>Sí</t>
        </is>
      </c>
      <c r="R470" s="9">
        <f>IF(N470="","",IF(Q470="Sí",ROUND(N470/1.18,2),N470))</f>
        <v/>
      </c>
      <c r="S470" s="7" t="inlineStr">
        <is>
          <t>2026-09-09</t>
        </is>
      </c>
      <c r="T470" s="5" t="inlineStr">
        <is>
          <t>3 cotizaciones de proveedores</t>
        </is>
      </c>
    </row>
    <row r="471">
      <c r="A471" s="7" t="inlineStr">
        <is>
          <t>MAT-09-059</t>
        </is>
      </c>
      <c r="B471" s="7" t="inlineStr">
        <is>
          <t>Materiales</t>
        </is>
      </c>
      <c r="C471" s="7" t="inlineStr">
        <is>
          <t>Plomería, sanitarios y gas</t>
        </is>
      </c>
      <c r="D471" s="5" t="inlineStr">
        <is>
          <t>Columna De Ducha 165 x 200 Mm</t>
        </is>
      </c>
      <c r="E471" s="5" t="inlineStr">
        <is>
          <t>marca GTSHOWER · referencia S8879</t>
        </is>
      </c>
      <c r="F471" s="5" t="inlineStr">
        <is>
          <t>Material retirado en almacén</t>
        </is>
      </c>
      <c r="G471" s="5" t="inlineStr">
        <is>
          <t>ducha, regadera, cabezal</t>
        </is>
      </c>
      <c r="H471" s="7" t="inlineStr">
        <is>
          <t>unidad</t>
        </is>
      </c>
      <c r="I471" s="7" t="inlineStr">
        <is>
          <t>Instalaciones</t>
        </is>
      </c>
      <c r="J471" s="7" t="inlineStr">
        <is>
          <t>estandar</t>
        </is>
      </c>
      <c r="K471" s="7" t="inlineStr">
        <is>
          <t>importado</t>
        </is>
      </c>
      <c r="L471" s="7" t="inlineStr">
        <is>
          <t>Verificado</t>
        </is>
      </c>
      <c r="M471" s="8" t="n">
        <v>1</v>
      </c>
      <c r="N471" s="9" t="n">
        <v>15783.49</v>
      </c>
      <c r="O471" s="9" t="n">
        <v>15783.49</v>
      </c>
      <c r="P471" s="9" t="n">
        <v>15783.49</v>
      </c>
      <c r="Q471" s="7" t="inlineStr">
        <is>
          <t>Sí</t>
        </is>
      </c>
      <c r="R471" s="9">
        <f>IF(N471="","",IF(Q471="Sí",ROUND(N471/1.18,2),N471))</f>
        <v/>
      </c>
      <c r="S471" s="7" t="inlineStr">
        <is>
          <t>2026-09-09</t>
        </is>
      </c>
      <c r="T471" s="5" t="inlineStr">
        <is>
          <t>1 cotización de proveedores</t>
        </is>
      </c>
    </row>
    <row r="472">
      <c r="A472" s="7" t="inlineStr">
        <is>
          <t>MAT-09-060</t>
        </is>
      </c>
      <c r="B472" s="7" t="inlineStr">
        <is>
          <t>Materiales</t>
        </is>
      </c>
      <c r="C472" s="7" t="inlineStr">
        <is>
          <t>Plomería, sanitarios y gas</t>
        </is>
      </c>
      <c r="D472" s="5" t="inlineStr">
        <is>
          <t>Ducha Barra Ext Inx Pro 4 Op Gris Cuad</t>
        </is>
      </c>
      <c r="E472" s="5" t="inlineStr">
        <is>
          <t>marca INEX · referencia INX-1551-BS</t>
        </is>
      </c>
      <c r="F472" s="5" t="inlineStr">
        <is>
          <t>Material retirado en almacén</t>
        </is>
      </c>
      <c r="G472" s="5" t="inlineStr">
        <is>
          <t>ducha, regadera, cabezal</t>
        </is>
      </c>
      <c r="H472" s="7" t="inlineStr">
        <is>
          <t>unidad</t>
        </is>
      </c>
      <c r="I472" s="7" t="inlineStr">
        <is>
          <t>Instalaciones</t>
        </is>
      </c>
      <c r="J472" s="7" t="inlineStr">
        <is>
          <t>estandar</t>
        </is>
      </c>
      <c r="K472" s="7" t="inlineStr">
        <is>
          <t>importado</t>
        </is>
      </c>
      <c r="L472" s="7" t="inlineStr">
        <is>
          <t>Verificado</t>
        </is>
      </c>
      <c r="M472" s="8" t="n">
        <v>1</v>
      </c>
      <c r="N472" s="9" t="n">
        <v>16111.04</v>
      </c>
      <c r="O472" s="9" t="n">
        <v>16111.04</v>
      </c>
      <c r="P472" s="9" t="n">
        <v>16111.04</v>
      </c>
      <c r="Q472" s="7" t="inlineStr">
        <is>
          <t>Sí</t>
        </is>
      </c>
      <c r="R472" s="9">
        <f>IF(N472="","",IF(Q472="Sí",ROUND(N472/1.18,2),N472))</f>
        <v/>
      </c>
      <c r="S472" s="7" t="inlineStr">
        <is>
          <t>2026-09-09</t>
        </is>
      </c>
      <c r="T472" s="5" t="inlineStr">
        <is>
          <t>1 cotización de proveedores</t>
        </is>
      </c>
    </row>
    <row r="473">
      <c r="A473" s="7" t="inlineStr">
        <is>
          <t>MAT-09-061</t>
        </is>
      </c>
      <c r="B473" s="7" t="inlineStr">
        <is>
          <t>Materiales</t>
        </is>
      </c>
      <c r="C473" s="7" t="inlineStr">
        <is>
          <t>Plomería, sanitarios y gas</t>
        </is>
      </c>
      <c r="D473" s="5" t="inlineStr">
        <is>
          <t>Ducha Barra Ext Inx Pro 4 Op Gris Red</t>
        </is>
      </c>
      <c r="E473" s="5" t="inlineStr">
        <is>
          <t>marca INEX · referencia INX-1552-BSR</t>
        </is>
      </c>
      <c r="F473" s="5" t="inlineStr">
        <is>
          <t>Material retirado en almacén</t>
        </is>
      </c>
      <c r="G473" s="5" t="inlineStr">
        <is>
          <t>ducha, regadera, cabezal</t>
        </is>
      </c>
      <c r="H473" s="7" t="inlineStr">
        <is>
          <t>unidad</t>
        </is>
      </c>
      <c r="I473" s="7" t="inlineStr">
        <is>
          <t>Instalaciones</t>
        </is>
      </c>
      <c r="J473" s="7" t="inlineStr">
        <is>
          <t>estandar</t>
        </is>
      </c>
      <c r="K473" s="7" t="inlineStr">
        <is>
          <t>importado</t>
        </is>
      </c>
      <c r="L473" s="7" t="inlineStr">
        <is>
          <t>Verificado</t>
        </is>
      </c>
      <c r="M473" s="8" t="n">
        <v>1</v>
      </c>
      <c r="N473" s="9" t="n">
        <v>16111.04</v>
      </c>
      <c r="O473" s="9" t="n">
        <v>16111.04</v>
      </c>
      <c r="P473" s="9" t="n">
        <v>16111.04</v>
      </c>
      <c r="Q473" s="7" t="inlineStr">
        <is>
          <t>Sí</t>
        </is>
      </c>
      <c r="R473" s="9">
        <f>IF(N473="","",IF(Q473="Sí",ROUND(N473/1.18,2),N473))</f>
        <v/>
      </c>
      <c r="S473" s="7" t="inlineStr">
        <is>
          <t>2026-09-09</t>
        </is>
      </c>
      <c r="T473" s="5" t="inlineStr">
        <is>
          <t>1 cotización de proveedores</t>
        </is>
      </c>
    </row>
    <row r="474">
      <c r="A474" s="7" t="inlineStr">
        <is>
          <t>MAT-09-062</t>
        </is>
      </c>
      <c r="B474" s="7" t="inlineStr">
        <is>
          <t>Materiales</t>
        </is>
      </c>
      <c r="C474" s="7" t="inlineStr">
        <is>
          <t>Plomería, sanitarios y gas</t>
        </is>
      </c>
      <c r="D474" s="5" t="inlineStr">
        <is>
          <t>Columna De Ducha 155 x 210 Mm</t>
        </is>
      </c>
      <c r="E474" s="5" t="inlineStr">
        <is>
          <t>marca GTSHOWER · referencia S9801</t>
        </is>
      </c>
      <c r="F474" s="5" t="inlineStr">
        <is>
          <t>Material retirado en almacén</t>
        </is>
      </c>
      <c r="G474" s="5" t="inlineStr">
        <is>
          <t>ducha, regadera, cabezal</t>
        </is>
      </c>
      <c r="H474" s="7" t="inlineStr">
        <is>
          <t>unidad</t>
        </is>
      </c>
      <c r="I474" s="7" t="inlineStr">
        <is>
          <t>Instalaciones</t>
        </is>
      </c>
      <c r="J474" s="7" t="inlineStr">
        <is>
          <t>estandar</t>
        </is>
      </c>
      <c r="K474" s="7" t="inlineStr">
        <is>
          <t>importado</t>
        </is>
      </c>
      <c r="L474" s="7" t="inlineStr">
        <is>
          <t>Verificado</t>
        </is>
      </c>
      <c r="M474" s="8" t="n">
        <v>1</v>
      </c>
      <c r="N474" s="9" t="n">
        <v>13760.03</v>
      </c>
      <c r="O474" s="9" t="n">
        <v>11281.28</v>
      </c>
      <c r="P474" s="9" t="n">
        <v>16238.78</v>
      </c>
      <c r="Q474" s="7" t="inlineStr">
        <is>
          <t>Sí</t>
        </is>
      </c>
      <c r="R474" s="9">
        <f>IF(N474="","",IF(Q474="Sí",ROUND(N474/1.18,2),N474))</f>
        <v/>
      </c>
      <c r="S474" s="7" t="inlineStr">
        <is>
          <t>2026-09-09</t>
        </is>
      </c>
      <c r="T474" s="5" t="inlineStr">
        <is>
          <t>2 cotizaciones de proveedores</t>
        </is>
      </c>
    </row>
    <row r="475">
      <c r="A475" s="7" t="inlineStr">
        <is>
          <t>MAT-09-063</t>
        </is>
      </c>
      <c r="B475" s="7" t="inlineStr">
        <is>
          <t>Materiales</t>
        </is>
      </c>
      <c r="C475" s="7" t="inlineStr">
        <is>
          <t>Plomería, sanitarios y gas</t>
        </is>
      </c>
      <c r="D475" s="5" t="inlineStr">
        <is>
          <t>Barra Exterior Minimalista Virgen Cromo</t>
        </is>
      </c>
      <c r="E475" s="5" t="inlineStr">
        <is>
          <t>marca INEX · referencia EDD77177CR</t>
        </is>
      </c>
      <c r="F475" s="5" t="inlineStr">
        <is>
          <t>Material retirado en almacén</t>
        </is>
      </c>
      <c r="G475" s="5" t="inlineStr">
        <is>
          <t>ducha, regadera, cabezal</t>
        </is>
      </c>
      <c r="H475" s="7" t="inlineStr">
        <is>
          <t>unidad</t>
        </is>
      </c>
      <c r="I475" s="7" t="inlineStr">
        <is>
          <t>Instalaciones</t>
        </is>
      </c>
      <c r="J475" s="7" t="inlineStr">
        <is>
          <t>estandar</t>
        </is>
      </c>
      <c r="K475" s="7" t="inlineStr">
        <is>
          <t>importado</t>
        </is>
      </c>
      <c r="L475" s="7" t="inlineStr">
        <is>
          <t>Verificado</t>
        </is>
      </c>
      <c r="M475" s="8" t="n">
        <v>1</v>
      </c>
      <c r="N475" s="9" t="n">
        <v>25137.69</v>
      </c>
      <c r="O475" s="9" t="n">
        <v>25137.69</v>
      </c>
      <c r="P475" s="9" t="n">
        <v>25137.69</v>
      </c>
      <c r="Q475" s="7" t="inlineStr">
        <is>
          <t>Sí</t>
        </is>
      </c>
      <c r="R475" s="9">
        <f>IF(N475="","",IF(Q475="Sí",ROUND(N475/1.18,2),N475))</f>
        <v/>
      </c>
      <c r="S475" s="7" t="inlineStr">
        <is>
          <t>2026-09-09</t>
        </is>
      </c>
      <c r="T475" s="5" t="inlineStr">
        <is>
          <t>1 cotización de proveedores</t>
        </is>
      </c>
    </row>
    <row r="476">
      <c r="A476" s="7" t="inlineStr">
        <is>
          <t>MAT-09-064</t>
        </is>
      </c>
      <c r="B476" s="7" t="inlineStr">
        <is>
          <t>Materiales</t>
        </is>
      </c>
      <c r="C476" s="7" t="inlineStr">
        <is>
          <t>Plomería, sanitarios y gas</t>
        </is>
      </c>
      <c r="D476" s="5" t="inlineStr">
        <is>
          <t>Barra De Ducha Coc Silver Chrome</t>
        </is>
      </c>
      <c r="E476" s="5" t="inlineStr">
        <is>
          <t>marca INEX · referencia M770DCR</t>
        </is>
      </c>
      <c r="F476" s="5" t="inlineStr">
        <is>
          <t>Material retirado en almacén</t>
        </is>
      </c>
      <c r="G476" s="5" t="inlineStr">
        <is>
          <t>ducha, regadera, cabezal</t>
        </is>
      </c>
      <c r="H476" s="7" t="inlineStr">
        <is>
          <t>unidad</t>
        </is>
      </c>
      <c r="I476" s="7" t="inlineStr">
        <is>
          <t>Instalaciones</t>
        </is>
      </c>
      <c r="J476" s="7" t="inlineStr">
        <is>
          <t>estandar</t>
        </is>
      </c>
      <c r="K476" s="7" t="inlineStr">
        <is>
          <t>importado</t>
        </is>
      </c>
      <c r="L476" s="7" t="inlineStr">
        <is>
          <t>Verificado</t>
        </is>
      </c>
      <c r="M476" s="8" t="n">
        <v>1</v>
      </c>
      <c r="N476" s="9" t="n">
        <v>25445.08</v>
      </c>
      <c r="O476" s="9" t="n">
        <v>25445.08</v>
      </c>
      <c r="P476" s="9" t="n">
        <v>25445.08</v>
      </c>
      <c r="Q476" s="7" t="inlineStr">
        <is>
          <t>Sí</t>
        </is>
      </c>
      <c r="R476" s="9">
        <f>IF(N476="","",IF(Q476="Sí",ROUND(N476/1.18,2),N476))</f>
        <v/>
      </c>
      <c r="S476" s="7" t="inlineStr">
        <is>
          <t>2026-09-09</t>
        </is>
      </c>
      <c r="T476" s="5" t="inlineStr">
        <is>
          <t>1 cotización de proveedores</t>
        </is>
      </c>
    </row>
    <row r="477">
      <c r="A477" s="7" t="inlineStr">
        <is>
          <t>MAT-09-065</t>
        </is>
      </c>
      <c r="B477" s="7" t="inlineStr">
        <is>
          <t>Materiales</t>
        </is>
      </c>
      <c r="C477" s="7" t="inlineStr">
        <is>
          <t>Plomería, sanitarios y gas</t>
        </is>
      </c>
      <c r="D477" s="5" t="inlineStr">
        <is>
          <t>Barra De Baño Ducha Coc Silver Chrome</t>
        </is>
      </c>
      <c r="E477" s="5" t="inlineStr">
        <is>
          <t>marca INEX · referencia M771DCR</t>
        </is>
      </c>
      <c r="F477" s="5" t="inlineStr">
        <is>
          <t>Material retirado en almacén</t>
        </is>
      </c>
      <c r="G477" s="5" t="inlineStr">
        <is>
          <t>ducha, regadera, cabezal</t>
        </is>
      </c>
      <c r="H477" s="7" t="inlineStr">
        <is>
          <t>unidad</t>
        </is>
      </c>
      <c r="I477" s="7" t="inlineStr">
        <is>
          <t>Instalaciones</t>
        </is>
      </c>
      <c r="J477" s="7" t="inlineStr">
        <is>
          <t>estandar</t>
        </is>
      </c>
      <c r="K477" s="7" t="inlineStr">
        <is>
          <t>importado</t>
        </is>
      </c>
      <c r="L477" s="7" t="inlineStr">
        <is>
          <t>Verificado</t>
        </is>
      </c>
      <c r="M477" s="8" t="n">
        <v>1</v>
      </c>
      <c r="N477" s="9" t="n">
        <v>27491.73</v>
      </c>
      <c r="O477" s="9" t="n">
        <v>27491.73</v>
      </c>
      <c r="P477" s="9" t="n">
        <v>27491.73</v>
      </c>
      <c r="Q477" s="7" t="inlineStr">
        <is>
          <t>Sí</t>
        </is>
      </c>
      <c r="R477" s="9">
        <f>IF(N477="","",IF(Q477="Sí",ROUND(N477/1.18,2),N477))</f>
        <v/>
      </c>
      <c r="S477" s="7" t="inlineStr">
        <is>
          <t>2026-09-09</t>
        </is>
      </c>
      <c r="T477" s="5" t="inlineStr">
        <is>
          <t>1 cotización de proveedores</t>
        </is>
      </c>
    </row>
    <row r="478">
      <c r="A478" s="7" t="inlineStr">
        <is>
          <t>MAT-09-066</t>
        </is>
      </c>
      <c r="B478" s="7" t="inlineStr">
        <is>
          <t>Materiales</t>
        </is>
      </c>
      <c r="C478" s="7" t="inlineStr">
        <is>
          <t>Plomería, sanitarios y gas</t>
        </is>
      </c>
      <c r="D478" s="5" t="inlineStr">
        <is>
          <t>Barra Exterior Minimalista Virgen Black</t>
        </is>
      </c>
      <c r="E478" s="5" t="inlineStr">
        <is>
          <t>marca INEX · referencia EDD77177BLK</t>
        </is>
      </c>
      <c r="F478" s="5" t="inlineStr">
        <is>
          <t>Material retirado en almacén</t>
        </is>
      </c>
      <c r="G478" s="5" t="inlineStr">
        <is>
          <t>ducha, regadera, cabezal</t>
        </is>
      </c>
      <c r="H478" s="7" t="inlineStr">
        <is>
          <t>unidad</t>
        </is>
      </c>
      <c r="I478" s="7" t="inlineStr">
        <is>
          <t>Instalaciones</t>
        </is>
      </c>
      <c r="J478" s="7" t="inlineStr">
        <is>
          <t>estandar</t>
        </is>
      </c>
      <c r="K478" s="7" t="inlineStr">
        <is>
          <t>importado</t>
        </is>
      </c>
      <c r="L478" s="7" t="inlineStr">
        <is>
          <t>Verificado</t>
        </is>
      </c>
      <c r="M478" s="8" t="n">
        <v>1</v>
      </c>
      <c r="N478" s="9" t="n">
        <v>28335.12</v>
      </c>
      <c r="O478" s="9" t="n">
        <v>28335.12</v>
      </c>
      <c r="P478" s="9" t="n">
        <v>28335.12</v>
      </c>
      <c r="Q478" s="7" t="inlineStr">
        <is>
          <t>Sí</t>
        </is>
      </c>
      <c r="R478" s="9">
        <f>IF(N478="","",IF(Q478="Sí",ROUND(N478/1.18,2),N478))</f>
        <v/>
      </c>
      <c r="S478" s="7" t="inlineStr">
        <is>
          <t>2026-09-09</t>
        </is>
      </c>
      <c r="T478" s="5" t="inlineStr">
        <is>
          <t>1 cotización de proveedores</t>
        </is>
      </c>
    </row>
    <row r="479">
      <c r="A479" s="7" t="inlineStr">
        <is>
          <t>MAT-09-067</t>
        </is>
      </c>
      <c r="B479" s="7" t="inlineStr">
        <is>
          <t>Materiales</t>
        </is>
      </c>
      <c r="C479" s="7" t="inlineStr">
        <is>
          <t>Plomería, sanitarios y gas</t>
        </is>
      </c>
      <c r="D479" s="5" t="inlineStr">
        <is>
          <t>Barra De Baño Ducha Coc Negro Cobalto</t>
        </is>
      </c>
      <c r="E479" s="5" t="inlineStr">
        <is>
          <t>marca INEX · referencia M771DBK</t>
        </is>
      </c>
      <c r="F479" s="5" t="inlineStr">
        <is>
          <t>Material retirado en almacén</t>
        </is>
      </c>
      <c r="G479" s="5" t="inlineStr">
        <is>
          <t>ducha, regadera, cabezal</t>
        </is>
      </c>
      <c r="H479" s="7" t="inlineStr">
        <is>
          <t>unidad</t>
        </is>
      </c>
      <c r="I479" s="7" t="inlineStr">
        <is>
          <t>Instalaciones</t>
        </is>
      </c>
      <c r="J479" s="7" t="inlineStr">
        <is>
          <t>estandar</t>
        </is>
      </c>
      <c r="K479" s="7" t="inlineStr">
        <is>
          <t>importado</t>
        </is>
      </c>
      <c r="L479" s="7" t="inlineStr">
        <is>
          <t>Verificado</t>
        </is>
      </c>
      <c r="M479" s="8" t="n">
        <v>1</v>
      </c>
      <c r="N479" s="9" t="n">
        <v>29022.19</v>
      </c>
      <c r="O479" s="9" t="n">
        <v>29022.19</v>
      </c>
      <c r="P479" s="9" t="n">
        <v>29022.19</v>
      </c>
      <c r="Q479" s="7" t="inlineStr">
        <is>
          <t>Sí</t>
        </is>
      </c>
      <c r="R479" s="9">
        <f>IF(N479="","",IF(Q479="Sí",ROUND(N479/1.18,2),N479))</f>
        <v/>
      </c>
      <c r="S479" s="7" t="inlineStr">
        <is>
          <t>2026-09-09</t>
        </is>
      </c>
      <c r="T479" s="5" t="inlineStr">
        <is>
          <t>1 cotización de proveedores</t>
        </is>
      </c>
    </row>
    <row r="480">
      <c r="A480" s="7" t="inlineStr">
        <is>
          <t>MAT-09-068</t>
        </is>
      </c>
      <c r="B480" s="7" t="inlineStr">
        <is>
          <t>Materiales</t>
        </is>
      </c>
      <c r="C480" s="7" t="inlineStr">
        <is>
          <t>Plomería, sanitarios y gas</t>
        </is>
      </c>
      <c r="D480" s="5" t="inlineStr">
        <is>
          <t>Columna Ducha Expuesta con Regadera</t>
        </is>
      </c>
      <c r="E480" s="5" t="inlineStr">
        <is>
          <t>marca HELVEX · referencia ALS9409002-C</t>
        </is>
      </c>
      <c r="F480" s="5" t="inlineStr">
        <is>
          <t>Material retirado en almacén</t>
        </is>
      </c>
      <c r="G480" s="5" t="inlineStr">
        <is>
          <t>ducha, regadera, cabezal</t>
        </is>
      </c>
      <c r="H480" s="7" t="inlineStr">
        <is>
          <t>unidad</t>
        </is>
      </c>
      <c r="I480" s="7" t="inlineStr">
        <is>
          <t>Instalaciones</t>
        </is>
      </c>
      <c r="J480" s="7" t="inlineStr">
        <is>
          <t>estandar</t>
        </is>
      </c>
      <c r="K480" s="7" t="inlineStr">
        <is>
          <t>importado</t>
        </is>
      </c>
      <c r="L480" s="7" t="inlineStr">
        <is>
          <t>Verificado</t>
        </is>
      </c>
      <c r="M480" s="8" t="n">
        <v>1</v>
      </c>
      <c r="N480" s="9" t="n">
        <v>40738.17</v>
      </c>
      <c r="O480" s="9" t="n">
        <v>40738.17</v>
      </c>
      <c r="P480" s="9" t="n">
        <v>40738.17</v>
      </c>
      <c r="Q480" s="7" t="inlineStr">
        <is>
          <t>Sí</t>
        </is>
      </c>
      <c r="R480" s="9">
        <f>IF(N480="","",IF(Q480="Sí",ROUND(N480/1.18,2),N480))</f>
        <v/>
      </c>
      <c r="S480" s="7" t="inlineStr">
        <is>
          <t>2026-09-09</t>
        </is>
      </c>
      <c r="T480" s="5" t="inlineStr">
        <is>
          <t>1 cotización de proveedores</t>
        </is>
      </c>
    </row>
    <row r="481">
      <c r="A481" s="7" t="inlineStr">
        <is>
          <t>MAT-09-069</t>
        </is>
      </c>
      <c r="B481" s="7" t="inlineStr">
        <is>
          <t>Materiales</t>
        </is>
      </c>
      <c r="C481" s="7" t="inlineStr">
        <is>
          <t>Plomería, sanitarios y gas</t>
        </is>
      </c>
      <c r="D481" s="5" t="inlineStr">
        <is>
          <t>Mezcladora Mono Ducha con Salida</t>
        </is>
      </c>
      <c r="E481" s="5" t="inlineStr">
        <is>
          <t>marca TILBY-GR · referencia TBZ21C3</t>
        </is>
      </c>
      <c r="F481" s="5" t="inlineStr">
        <is>
          <t>Material retirado en almacén</t>
        </is>
      </c>
      <c r="G481" s="5" t="inlineStr">
        <is>
          <t>mezcladora, grifería de ducha</t>
        </is>
      </c>
      <c r="H481" s="7" t="inlineStr">
        <is>
          <t>unidad</t>
        </is>
      </c>
      <c r="I481" s="7" t="inlineStr">
        <is>
          <t>Instalaciones</t>
        </is>
      </c>
      <c r="J481" s="7" t="inlineStr">
        <is>
          <t>estandar</t>
        </is>
      </c>
      <c r="K481" s="7" t="inlineStr">
        <is>
          <t>importado</t>
        </is>
      </c>
      <c r="L481" s="7" t="inlineStr">
        <is>
          <t>Verificado</t>
        </is>
      </c>
      <c r="M481" s="8" t="n">
        <v>1</v>
      </c>
      <c r="N481" s="9" t="n">
        <v>2603.89</v>
      </c>
      <c r="O481" s="9" t="n">
        <v>2603.89</v>
      </c>
      <c r="P481" s="9" t="n">
        <v>2603.89</v>
      </c>
      <c r="Q481" s="7" t="inlineStr">
        <is>
          <t>Sí</t>
        </is>
      </c>
      <c r="R481" s="9">
        <f>IF(N481="","",IF(Q481="Sí",ROUND(N481/1.18,2),N481))</f>
        <v/>
      </c>
      <c r="S481" s="7" t="inlineStr">
        <is>
          <t>2026-09-09</t>
        </is>
      </c>
      <c r="T481" s="5" t="inlineStr">
        <is>
          <t>1 cotización de proveedores</t>
        </is>
      </c>
    </row>
    <row r="482">
      <c r="A482" s="7" t="inlineStr">
        <is>
          <t>MAT-09-070</t>
        </is>
      </c>
      <c r="B482" s="7" t="inlineStr">
        <is>
          <t>Materiales</t>
        </is>
      </c>
      <c r="C482" s="7" t="inlineStr">
        <is>
          <t>Plomería, sanitarios y gas</t>
        </is>
      </c>
      <c r="D482" s="5" t="inlineStr">
        <is>
          <t>Mezcladora Ducha Stelo Milan Gris Met</t>
        </is>
      </c>
      <c r="E482" s="5" t="inlineStr">
        <is>
          <t>marca INEX · referencia D182STL</t>
        </is>
      </c>
      <c r="F482" s="5" t="inlineStr">
        <is>
          <t>Material retirado en almacén</t>
        </is>
      </c>
      <c r="G482" s="5" t="inlineStr">
        <is>
          <t>mezcladora, grifería de ducha</t>
        </is>
      </c>
      <c r="H482" s="7" t="inlineStr">
        <is>
          <t>unidad</t>
        </is>
      </c>
      <c r="I482" s="7" t="inlineStr">
        <is>
          <t>Instalaciones</t>
        </is>
      </c>
      <c r="J482" s="7" t="inlineStr">
        <is>
          <t>estandar</t>
        </is>
      </c>
      <c r="K482" s="7" t="inlineStr">
        <is>
          <t>importado</t>
        </is>
      </c>
      <c r="L482" s="7" t="inlineStr">
        <is>
          <t>Verificado</t>
        </is>
      </c>
      <c r="M482" s="8" t="n">
        <v>1</v>
      </c>
      <c r="N482" s="9" t="n">
        <v>5024.64</v>
      </c>
      <c r="O482" s="9" t="n">
        <v>5024.64</v>
      </c>
      <c r="P482" s="9" t="n">
        <v>5024.64</v>
      </c>
      <c r="Q482" s="7" t="inlineStr">
        <is>
          <t>Sí</t>
        </is>
      </c>
      <c r="R482" s="9">
        <f>IF(N482="","",IF(Q482="Sí",ROUND(N482/1.18,2),N482))</f>
        <v/>
      </c>
      <c r="S482" s="7" t="inlineStr">
        <is>
          <t>2026-09-09</t>
        </is>
      </c>
      <c r="T482" s="5" t="inlineStr">
        <is>
          <t>1 cotización de proveedores</t>
        </is>
      </c>
    </row>
    <row r="483">
      <c r="A483" s="7" t="inlineStr">
        <is>
          <t>MAT-09-071</t>
        </is>
      </c>
      <c r="B483" s="7" t="inlineStr">
        <is>
          <t>Materiales</t>
        </is>
      </c>
      <c r="C483" s="7" t="inlineStr">
        <is>
          <t>Plomería, sanitarios y gas</t>
        </is>
      </c>
      <c r="D483" s="5" t="inlineStr">
        <is>
          <t>Mezcladora Ducha Stelo Milan Cromo</t>
        </is>
      </c>
      <c r="E483" s="5" t="inlineStr">
        <is>
          <t>marca INEX · referencia D181STL</t>
        </is>
      </c>
      <c r="F483" s="5" t="inlineStr">
        <is>
          <t>Material retirado en almacén</t>
        </is>
      </c>
      <c r="G483" s="5" t="inlineStr">
        <is>
          <t>mezcladora, grifería de ducha</t>
        </is>
      </c>
      <c r="H483" s="7" t="inlineStr">
        <is>
          <t>unidad</t>
        </is>
      </c>
      <c r="I483" s="7" t="inlineStr">
        <is>
          <t>Instalaciones</t>
        </is>
      </c>
      <c r="J483" s="7" t="inlineStr">
        <is>
          <t>estandar</t>
        </is>
      </c>
      <c r="K483" s="7" t="inlineStr">
        <is>
          <t>importado</t>
        </is>
      </c>
      <c r="L483" s="7" t="inlineStr">
        <is>
          <t>Verificado</t>
        </is>
      </c>
      <c r="M483" s="8" t="n">
        <v>1</v>
      </c>
      <c r="N483" s="9" t="n">
        <v>5025.94</v>
      </c>
      <c r="O483" s="9" t="n">
        <v>5025.94</v>
      </c>
      <c r="P483" s="9" t="n">
        <v>5025.94</v>
      </c>
      <c r="Q483" s="7" t="inlineStr">
        <is>
          <t>Sí</t>
        </is>
      </c>
      <c r="R483" s="9">
        <f>IF(N483="","",IF(Q483="Sí",ROUND(N483/1.18,2),N483))</f>
        <v/>
      </c>
      <c r="S483" s="7" t="inlineStr">
        <is>
          <t>2026-09-09</t>
        </is>
      </c>
      <c r="T483" s="5" t="inlineStr">
        <is>
          <t>1 cotización de proveedores</t>
        </is>
      </c>
    </row>
    <row r="484">
      <c r="A484" s="7" t="inlineStr">
        <is>
          <t>MAT-09-072</t>
        </is>
      </c>
      <c r="B484" s="7" t="inlineStr">
        <is>
          <t>Materiales</t>
        </is>
      </c>
      <c r="C484" s="7" t="inlineStr">
        <is>
          <t>Plomería, sanitarios y gas</t>
        </is>
      </c>
      <c r="D484" s="5" t="inlineStr">
        <is>
          <t>Mezcladora monomando Barra Ext. New Belice</t>
        </is>
      </c>
      <c r="E484" s="5" t="inlineStr">
        <is>
          <t>marca INEX · referencia 96170</t>
        </is>
      </c>
      <c r="F484" s="5" t="inlineStr">
        <is>
          <t>Material retirado en almacén</t>
        </is>
      </c>
      <c r="G484" s="5" t="inlineStr">
        <is>
          <t>mezcladora, grifería de ducha</t>
        </is>
      </c>
      <c r="H484" s="7" t="inlineStr">
        <is>
          <t>unidad</t>
        </is>
      </c>
      <c r="I484" s="7" t="inlineStr">
        <is>
          <t>Instalaciones</t>
        </is>
      </c>
      <c r="J484" s="7" t="inlineStr">
        <is>
          <t>estandar</t>
        </is>
      </c>
      <c r="K484" s="7" t="inlineStr">
        <is>
          <t>importado</t>
        </is>
      </c>
      <c r="L484" s="7" t="inlineStr">
        <is>
          <t>Verificado</t>
        </is>
      </c>
      <c r="M484" s="8" t="n">
        <v>1</v>
      </c>
      <c r="N484" s="9" t="n">
        <v>12165.91</v>
      </c>
      <c r="O484" s="9" t="n">
        <v>12165.91</v>
      </c>
      <c r="P484" s="9" t="n">
        <v>12165.91</v>
      </c>
      <c r="Q484" s="7" t="inlineStr">
        <is>
          <t>Sí</t>
        </is>
      </c>
      <c r="R484" s="9">
        <f>IF(N484="","",IF(Q484="Sí",ROUND(N484/1.18,2),N484))</f>
        <v/>
      </c>
      <c r="S484" s="7" t="inlineStr">
        <is>
          <t>2026-09-09</t>
        </is>
      </c>
      <c r="T484" s="5" t="inlineStr">
        <is>
          <t>1 cotización de proveedores</t>
        </is>
      </c>
    </row>
    <row r="485">
      <c r="A485" s="7" t="inlineStr">
        <is>
          <t>MAT-12-009</t>
        </is>
      </c>
      <c r="B485" s="7" t="inlineStr">
        <is>
          <t>Materiales</t>
        </is>
      </c>
      <c r="C485" s="7" t="inlineStr">
        <is>
          <t>Pintura y acabados</t>
        </is>
      </c>
      <c r="D485" s="5" t="inlineStr">
        <is>
          <t>Estuco para interiores, funda de 35 libras</t>
        </is>
      </c>
      <c r="E485" s="5" t="inlineStr">
        <is>
          <t>Masilla en polvo para alisar paredes interiores · funda de 35 libras</t>
        </is>
      </c>
      <c r="F485" s="5" t="inlineStr">
        <is>
          <t>Material retirado en almacén</t>
        </is>
      </c>
      <c r="G485" s="5" t="inlineStr">
        <is>
          <t>estuco, masilla de pared</t>
        </is>
      </c>
      <c r="H485" s="7" t="inlineStr">
        <is>
          <t>funda</t>
        </is>
      </c>
      <c r="I485" s="7" t="inlineStr">
        <is>
          <t>Terminación de superficies</t>
        </is>
      </c>
      <c r="J485" s="7" t="inlineStr">
        <is>
          <t>estandar</t>
        </is>
      </c>
      <c r="K485" s="7" t="inlineStr">
        <is>
          <t>nacional</t>
        </is>
      </c>
      <c r="L485" s="7" t="inlineStr">
        <is>
          <t>Verificado</t>
        </is>
      </c>
      <c r="M485" s="8" t="n">
        <v>2</v>
      </c>
      <c r="N485" s="9" t="n">
        <v>510.56</v>
      </c>
      <c r="O485" s="9" t="n">
        <v>331.11</v>
      </c>
      <c r="P485" s="9" t="n">
        <v>690</v>
      </c>
      <c r="Q485" s="7" t="inlineStr">
        <is>
          <t>Sí</t>
        </is>
      </c>
      <c r="R485" s="9">
        <f>IF(N485="","",IF(Q485="Sí",ROUND(N485/1.18,2),N485))</f>
        <v/>
      </c>
      <c r="S485" s="7" t="inlineStr">
        <is>
          <t>2026-09-09</t>
        </is>
      </c>
      <c r="T485" s="5" t="inlineStr">
        <is>
          <t>2 cotizaciones de proveedores</t>
        </is>
      </c>
    </row>
    <row r="486">
      <c r="A486" s="7" t="inlineStr">
        <is>
          <t>MAT-13-011</t>
        </is>
      </c>
      <c r="B486" s="7" t="inlineStr">
        <is>
          <t>Materiales</t>
        </is>
      </c>
      <c r="C486" s="7" t="inlineStr">
        <is>
          <t>Plafones y construcción liviana</t>
        </is>
      </c>
      <c r="D486" s="5" t="inlineStr">
        <is>
          <t>Angular 10' T-Grid Plafon</t>
        </is>
      </c>
      <c r="E486" s="5" t="inlineStr">
        <is>
          <t>marca INNOMATE · metal · 10'</t>
        </is>
      </c>
      <c r="F486" s="5" t="inlineStr">
        <is>
          <t>Material retirado en almacén</t>
        </is>
      </c>
      <c r="G486" s="5" t="inlineStr">
        <is>
          <t>perfilería de plafón, T-grid</t>
        </is>
      </c>
      <c r="H486" s="7" t="inlineStr">
        <is>
          <t>unidad</t>
        </is>
      </c>
      <c r="I486" s="7" t="inlineStr">
        <is>
          <t>Terminación de superficies</t>
        </is>
      </c>
      <c r="J486" s="7" t="inlineStr">
        <is>
          <t>estandar</t>
        </is>
      </c>
      <c r="K486" s="7" t="inlineStr">
        <is>
          <t>importado</t>
        </is>
      </c>
      <c r="L486" s="7" t="inlineStr">
        <is>
          <t>Verificado</t>
        </is>
      </c>
      <c r="M486" s="8" t="n">
        <v>1</v>
      </c>
      <c r="N486" s="9" t="n">
        <v>98</v>
      </c>
      <c r="O486" s="9" t="n">
        <v>98</v>
      </c>
      <c r="P486" s="9" t="n">
        <v>98</v>
      </c>
      <c r="Q486" s="7" t="inlineStr">
        <is>
          <t>Sí</t>
        </is>
      </c>
      <c r="R486" s="9">
        <f>IF(N486="","",IF(Q486="Sí",ROUND(N486/1.18,2),N486))</f>
        <v/>
      </c>
      <c r="S486" s="7" t="inlineStr">
        <is>
          <t>2026-09-09</t>
        </is>
      </c>
      <c r="T486" s="5" t="inlineStr">
        <is>
          <t>1 cotización de proveedores</t>
        </is>
      </c>
    </row>
    <row r="487">
      <c r="A487" s="7" t="inlineStr">
        <is>
          <t>MAT-13-012</t>
        </is>
      </c>
      <c r="B487" s="7" t="inlineStr">
        <is>
          <t>Materiales</t>
        </is>
      </c>
      <c r="C487" s="7" t="inlineStr">
        <is>
          <t>Plafones y construcción liviana</t>
        </is>
      </c>
      <c r="D487" s="5" t="inlineStr">
        <is>
          <t>Cross Tee 2' T-Grid Plafon</t>
        </is>
      </c>
      <c r="E487" s="5" t="inlineStr">
        <is>
          <t>marca INNOMATE · metal · 2'</t>
        </is>
      </c>
      <c r="F487" s="5" t="inlineStr">
        <is>
          <t>Material retirado en almacén</t>
        </is>
      </c>
      <c r="G487" s="5" t="inlineStr">
        <is>
          <t>perfilería de plafón, T-grid</t>
        </is>
      </c>
      <c r="H487" s="7" t="inlineStr">
        <is>
          <t>unidad</t>
        </is>
      </c>
      <c r="I487" s="7" t="inlineStr">
        <is>
          <t>Terminación de superficies</t>
        </is>
      </c>
      <c r="J487" s="7" t="inlineStr">
        <is>
          <t>estandar</t>
        </is>
      </c>
      <c r="K487" s="7" t="inlineStr">
        <is>
          <t>importado</t>
        </is>
      </c>
      <c r="L487" s="7" t="inlineStr">
        <is>
          <t>Verificado</t>
        </is>
      </c>
      <c r="M487" s="8" t="n">
        <v>1</v>
      </c>
      <c r="N487" s="9" t="n">
        <v>26</v>
      </c>
      <c r="O487" s="9" t="n">
        <v>26</v>
      </c>
      <c r="P487" s="9" t="n">
        <v>26</v>
      </c>
      <c r="Q487" s="7" t="inlineStr">
        <is>
          <t>Sí</t>
        </is>
      </c>
      <c r="R487" s="9">
        <f>IF(N487="","",IF(Q487="Sí",ROUND(N487/1.18,2),N487))</f>
        <v/>
      </c>
      <c r="S487" s="7" t="inlineStr">
        <is>
          <t>2026-09-09</t>
        </is>
      </c>
      <c r="T487" s="5" t="inlineStr">
        <is>
          <t>1 cotización de proveedores</t>
        </is>
      </c>
    </row>
    <row r="488">
      <c r="A488" s="7" t="inlineStr">
        <is>
          <t>MAT-13-013</t>
        </is>
      </c>
      <c r="B488" s="7" t="inlineStr">
        <is>
          <t>Materiales</t>
        </is>
      </c>
      <c r="C488" s="7" t="inlineStr">
        <is>
          <t>Plafones y construcción liviana</t>
        </is>
      </c>
      <c r="D488" s="5" t="inlineStr">
        <is>
          <t>Cross Tee 4' T-Grid Plafon</t>
        </is>
      </c>
      <c r="E488" s="5" t="inlineStr">
        <is>
          <t>marca INNOMATE · metal · 4'</t>
        </is>
      </c>
      <c r="F488" s="5" t="inlineStr">
        <is>
          <t>Material retirado en almacén</t>
        </is>
      </c>
      <c r="G488" s="5" t="inlineStr">
        <is>
          <t>perfilería de plafón, T-grid</t>
        </is>
      </c>
      <c r="H488" s="7" t="inlineStr">
        <is>
          <t>unidad</t>
        </is>
      </c>
      <c r="I488" s="7" t="inlineStr">
        <is>
          <t>Terminación de superficies</t>
        </is>
      </c>
      <c r="J488" s="7" t="inlineStr">
        <is>
          <t>estandar</t>
        </is>
      </c>
      <c r="K488" s="7" t="inlineStr">
        <is>
          <t>importado</t>
        </is>
      </c>
      <c r="L488" s="7" t="inlineStr">
        <is>
          <t>Verificado</t>
        </is>
      </c>
      <c r="M488" s="8" t="n">
        <v>1</v>
      </c>
      <c r="N488" s="9" t="n">
        <v>56</v>
      </c>
      <c r="O488" s="9" t="n">
        <v>56</v>
      </c>
      <c r="P488" s="9" t="n">
        <v>56</v>
      </c>
      <c r="Q488" s="7" t="inlineStr">
        <is>
          <t>Sí</t>
        </is>
      </c>
      <c r="R488" s="9">
        <f>IF(N488="","",IF(Q488="Sí",ROUND(N488/1.18,2),N488))</f>
        <v/>
      </c>
      <c r="S488" s="7" t="inlineStr">
        <is>
          <t>2026-09-09</t>
        </is>
      </c>
      <c r="T488" s="5" t="inlineStr">
        <is>
          <t>1 cotización de proveedores</t>
        </is>
      </c>
    </row>
    <row r="489">
      <c r="A489" s="7" t="inlineStr">
        <is>
          <t>MAT-13-014</t>
        </is>
      </c>
      <c r="B489" s="7" t="inlineStr">
        <is>
          <t>Materiales</t>
        </is>
      </c>
      <c r="C489" s="7" t="inlineStr">
        <is>
          <t>Plafones y construcción liviana</t>
        </is>
      </c>
      <c r="D489" s="5" t="inlineStr">
        <is>
          <t>Durmiente Plafon 2-1 / 2" X 10 calibre 25</t>
        </is>
      </c>
      <c r="E489" s="5" t="inlineStr">
        <is>
          <t>marca INNOMATE · yeso · 2-1/2"X10 · Calibre 25</t>
        </is>
      </c>
      <c r="F489" s="5" t="inlineStr">
        <is>
          <t>Material retirado en almacén</t>
        </is>
      </c>
      <c r="G489" s="5" t="inlineStr">
        <is>
          <t>durmiente, perfilería de plafón</t>
        </is>
      </c>
      <c r="H489" s="7" t="inlineStr">
        <is>
          <t>unidad</t>
        </is>
      </c>
      <c r="I489" s="7" t="inlineStr">
        <is>
          <t>Terminación de superficies</t>
        </is>
      </c>
      <c r="J489" s="7" t="inlineStr">
        <is>
          <t>estandar</t>
        </is>
      </c>
      <c r="K489" s="7" t="inlineStr">
        <is>
          <t>importado</t>
        </is>
      </c>
      <c r="L489" s="7" t="inlineStr">
        <is>
          <t>Verificado</t>
        </is>
      </c>
      <c r="M489" s="8" t="n">
        <v>1</v>
      </c>
      <c r="N489" s="9" t="n">
        <v>149</v>
      </c>
      <c r="O489" s="9" t="n">
        <v>149</v>
      </c>
      <c r="P489" s="9" t="n">
        <v>149</v>
      </c>
      <c r="Q489" s="7" t="inlineStr">
        <is>
          <t>Sí</t>
        </is>
      </c>
      <c r="R489" s="9">
        <f>IF(N489="","",IF(Q489="Sí",ROUND(N489/1.18,2),N489))</f>
        <v/>
      </c>
      <c r="S489" s="7" t="inlineStr">
        <is>
          <t>2026-09-09</t>
        </is>
      </c>
      <c r="T489" s="5" t="inlineStr">
        <is>
          <t>1 cotización de proveedores</t>
        </is>
      </c>
    </row>
    <row r="490">
      <c r="A490" s="7" t="inlineStr">
        <is>
          <t>MAT-13-015</t>
        </is>
      </c>
      <c r="B490" s="7" t="inlineStr">
        <is>
          <t>Materiales</t>
        </is>
      </c>
      <c r="C490" s="7" t="inlineStr">
        <is>
          <t>Plafones y construcción liviana</t>
        </is>
      </c>
      <c r="D490" s="5" t="inlineStr">
        <is>
          <t>Main Tee 12' T-Grid Plafon</t>
        </is>
      </c>
      <c r="E490" s="5" t="inlineStr">
        <is>
          <t>marca INNOMATE · yeso · 12'</t>
        </is>
      </c>
      <c r="F490" s="5" t="inlineStr">
        <is>
          <t>Material retirado en almacén</t>
        </is>
      </c>
      <c r="G490" s="5" t="inlineStr">
        <is>
          <t>perfilería de plafón, T-grid</t>
        </is>
      </c>
      <c r="H490" s="7" t="inlineStr">
        <is>
          <t>unidad</t>
        </is>
      </c>
      <c r="I490" s="7" t="inlineStr">
        <is>
          <t>Terminación de superficies</t>
        </is>
      </c>
      <c r="J490" s="7" t="inlineStr">
        <is>
          <t>estandar</t>
        </is>
      </c>
      <c r="K490" s="7" t="inlineStr">
        <is>
          <t>importado</t>
        </is>
      </c>
      <c r="L490" s="7" t="inlineStr">
        <is>
          <t>Verificado</t>
        </is>
      </c>
      <c r="M490" s="8" t="n">
        <v>1</v>
      </c>
      <c r="N490" s="9" t="n">
        <v>186</v>
      </c>
      <c r="O490" s="9" t="n">
        <v>186</v>
      </c>
      <c r="P490" s="9" t="n">
        <v>186</v>
      </c>
      <c r="Q490" s="7" t="inlineStr">
        <is>
          <t>Sí</t>
        </is>
      </c>
      <c r="R490" s="9">
        <f>IF(N490="","",IF(Q490="Sí",ROUND(N490/1.18,2),N490))</f>
        <v/>
      </c>
      <c r="S490" s="7" t="inlineStr">
        <is>
          <t>2026-09-09</t>
        </is>
      </c>
      <c r="T490" s="5" t="inlineStr">
        <is>
          <t>1 cotización de proveedores</t>
        </is>
      </c>
    </row>
    <row r="491">
      <c r="A491" s="7" t="inlineStr">
        <is>
          <t>MAT-13-016</t>
        </is>
      </c>
      <c r="B491" s="7" t="inlineStr">
        <is>
          <t>Materiales</t>
        </is>
      </c>
      <c r="C491" s="7" t="inlineStr">
        <is>
          <t>Plafones y construcción liviana</t>
        </is>
      </c>
      <c r="D491" s="5" t="inlineStr">
        <is>
          <t>Parales 2-1 / 2"X10 calibre25 plafón</t>
        </is>
      </c>
      <c r="E491" s="5" t="inlineStr">
        <is>
          <t>marca INNOMATE · metal · 2-1/2"X10 · Calibre 25</t>
        </is>
      </c>
      <c r="F491" s="5" t="inlineStr">
        <is>
          <t>Material retirado en almacén</t>
        </is>
      </c>
      <c r="G491" s="5" t="inlineStr">
        <is>
          <t>paral, stud, perfilería</t>
        </is>
      </c>
      <c r="H491" s="7" t="inlineStr">
        <is>
          <t>unidad</t>
        </is>
      </c>
      <c r="I491" s="7" t="inlineStr">
        <is>
          <t>Terminación de superficies</t>
        </is>
      </c>
      <c r="J491" s="7" t="inlineStr">
        <is>
          <t>estandar</t>
        </is>
      </c>
      <c r="K491" s="7" t="inlineStr">
        <is>
          <t>importado</t>
        </is>
      </c>
      <c r="L491" s="7" t="inlineStr">
        <is>
          <t>Verificado</t>
        </is>
      </c>
      <c r="M491" s="8" t="n">
        <v>1</v>
      </c>
      <c r="N491" s="9" t="n">
        <v>185</v>
      </c>
      <c r="O491" s="9" t="n">
        <v>185</v>
      </c>
      <c r="P491" s="9" t="n">
        <v>185</v>
      </c>
      <c r="Q491" s="7" t="inlineStr">
        <is>
          <t>Sí</t>
        </is>
      </c>
      <c r="R491" s="9">
        <f>IF(N491="","",IF(Q491="Sí",ROUND(N491/1.18,2),N491))</f>
        <v/>
      </c>
      <c r="S491" s="7" t="inlineStr">
        <is>
          <t>2026-09-09</t>
        </is>
      </c>
      <c r="T491" s="5" t="inlineStr">
        <is>
          <t>1 cotización de proveedores</t>
        </is>
      </c>
    </row>
    <row r="492">
      <c r="A492" s="7" t="inlineStr">
        <is>
          <t>MAT-13-017</t>
        </is>
      </c>
      <c r="B492" s="7" t="inlineStr">
        <is>
          <t>Materiales</t>
        </is>
      </c>
      <c r="C492" s="7" t="inlineStr">
        <is>
          <t>Plafones y construcción liviana</t>
        </is>
      </c>
      <c r="D492" s="5" t="inlineStr">
        <is>
          <t>Plafon PVC Blanco 2 x 4' Cs-605 x 1219 x 7</t>
        </is>
      </c>
      <c r="E492" s="5" t="inlineStr">
        <is>
          <t>marca INNOMATE · pvc · 2X4'</t>
        </is>
      </c>
      <c r="F492" s="5" t="inlineStr">
        <is>
          <t>Material retirado en almacén</t>
        </is>
      </c>
      <c r="G492" s="5" t="inlineStr">
        <is>
          <t>plafón</t>
        </is>
      </c>
      <c r="H492" s="7" t="inlineStr">
        <is>
          <t>unidad</t>
        </is>
      </c>
      <c r="I492" s="7" t="inlineStr">
        <is>
          <t>Terminación de superficies</t>
        </is>
      </c>
      <c r="J492" s="7" t="inlineStr">
        <is>
          <t>estandar</t>
        </is>
      </c>
      <c r="K492" s="7" t="inlineStr">
        <is>
          <t>importado</t>
        </is>
      </c>
      <c r="L492" s="7" t="inlineStr">
        <is>
          <t>Verificado</t>
        </is>
      </c>
      <c r="M492" s="8" t="n">
        <v>1</v>
      </c>
      <c r="N492" s="9" t="n">
        <v>202</v>
      </c>
      <c r="O492" s="9" t="n">
        <v>202</v>
      </c>
      <c r="P492" s="9" t="n">
        <v>202</v>
      </c>
      <c r="Q492" s="7" t="inlineStr">
        <is>
          <t>Sí</t>
        </is>
      </c>
      <c r="R492" s="9">
        <f>IF(N492="","",IF(Q492="Sí",ROUND(N492/1.18,2),N492))</f>
        <v/>
      </c>
      <c r="S492" s="7" t="inlineStr">
        <is>
          <t>2026-09-09</t>
        </is>
      </c>
      <c r="T492" s="5" t="inlineStr">
        <is>
          <t>1 cotización de proveedores</t>
        </is>
      </c>
    </row>
    <row r="493">
      <c r="A493" s="7" t="inlineStr">
        <is>
          <t>MAT-13-018</t>
        </is>
      </c>
      <c r="B493" s="7" t="inlineStr">
        <is>
          <t>Materiales</t>
        </is>
      </c>
      <c r="C493" s="7" t="inlineStr">
        <is>
          <t>Plafones y construcción liviana</t>
        </is>
      </c>
      <c r="D493" s="5" t="inlineStr">
        <is>
          <t>Plafon PVC Blanco Machihembrado Cs-250 x 5800 x 7 Mm (19’)</t>
        </is>
      </c>
      <c r="E493" s="5" t="inlineStr">
        <is>
          <t>marca INNOMATE · pvc · 250X5800X7MM</t>
        </is>
      </c>
      <c r="F493" s="5" t="inlineStr">
        <is>
          <t>Material retirado en almacén</t>
        </is>
      </c>
      <c r="G493" s="5" t="inlineStr">
        <is>
          <t>plafón</t>
        </is>
      </c>
      <c r="H493" s="7" t="inlineStr">
        <is>
          <t>unidad</t>
        </is>
      </c>
      <c r="I493" s="7" t="inlineStr">
        <is>
          <t>Terminación de superficies</t>
        </is>
      </c>
      <c r="J493" s="7" t="inlineStr">
        <is>
          <t>estandar</t>
        </is>
      </c>
      <c r="K493" s="7" t="inlineStr">
        <is>
          <t>importado</t>
        </is>
      </c>
      <c r="L493" s="7" t="inlineStr">
        <is>
          <t>Verificado</t>
        </is>
      </c>
      <c r="M493" s="8" t="n">
        <v>1</v>
      </c>
      <c r="N493" s="9" t="n">
        <v>375</v>
      </c>
      <c r="O493" s="9" t="n">
        <v>375</v>
      </c>
      <c r="P493" s="9" t="n">
        <v>375</v>
      </c>
      <c r="Q493" s="7" t="inlineStr">
        <is>
          <t>Sí</t>
        </is>
      </c>
      <c r="R493" s="9">
        <f>IF(N493="","",IF(Q493="Sí",ROUND(N493/1.18,2),N493))</f>
        <v/>
      </c>
      <c r="S493" s="7" t="inlineStr">
        <is>
          <t>2026-09-09</t>
        </is>
      </c>
      <c r="T493" s="5" t="inlineStr">
        <is>
          <t>1 cotización de proveedores</t>
        </is>
      </c>
    </row>
    <row r="494">
      <c r="A494" s="7" t="inlineStr">
        <is>
          <t>MAT-13-019</t>
        </is>
      </c>
      <c r="B494" s="7" t="inlineStr">
        <is>
          <t>Materiales</t>
        </is>
      </c>
      <c r="C494" s="7" t="inlineStr">
        <is>
          <t>Plafones y construcción liviana</t>
        </is>
      </c>
      <c r="D494" s="5" t="inlineStr">
        <is>
          <t>Plafon Vinyl Yeso Liso 2 x 4' 7 mm A154</t>
        </is>
      </c>
      <c r="E494" s="5" t="inlineStr">
        <is>
          <t>marca INNOMATE · vinil · 2X4' · liso</t>
        </is>
      </c>
      <c r="F494" s="5" t="inlineStr">
        <is>
          <t>Material retirado en almacén</t>
        </is>
      </c>
      <c r="G494" s="5" t="inlineStr">
        <is>
          <t>plafón</t>
        </is>
      </c>
      <c r="H494" s="7" t="inlineStr">
        <is>
          <t>unidad</t>
        </is>
      </c>
      <c r="I494" s="7" t="inlineStr">
        <is>
          <t>Terminación de superficies</t>
        </is>
      </c>
      <c r="J494" s="7" t="inlineStr">
        <is>
          <t>estandar</t>
        </is>
      </c>
      <c r="K494" s="7" t="inlineStr">
        <is>
          <t>importado</t>
        </is>
      </c>
      <c r="L494" s="7" t="inlineStr">
        <is>
          <t>Verificado</t>
        </is>
      </c>
      <c r="M494" s="8" t="n">
        <v>1</v>
      </c>
      <c r="N494" s="9" t="n">
        <v>295</v>
      </c>
      <c r="O494" s="9" t="n">
        <v>295</v>
      </c>
      <c r="P494" s="9" t="n">
        <v>295</v>
      </c>
      <c r="Q494" s="7" t="inlineStr">
        <is>
          <t>Sí</t>
        </is>
      </c>
      <c r="R494" s="9">
        <f>IF(N494="","",IF(Q494="Sí",ROUND(N494/1.18,2),N494))</f>
        <v/>
      </c>
      <c r="S494" s="7" t="inlineStr">
        <is>
          <t>2026-09-09</t>
        </is>
      </c>
      <c r="T494" s="5" t="inlineStr">
        <is>
          <t>1 cotización de proveedores</t>
        </is>
      </c>
    </row>
    <row r="495">
      <c r="A495" s="7" t="inlineStr">
        <is>
          <t>MAT-13-020</t>
        </is>
      </c>
      <c r="B495" s="7" t="inlineStr">
        <is>
          <t>Materiales</t>
        </is>
      </c>
      <c r="C495" s="7" t="inlineStr">
        <is>
          <t>Plafones y construcción liviana</t>
        </is>
      </c>
      <c r="D495" s="5" t="inlineStr">
        <is>
          <t>Carton Piedra 4'X8' 3.2 mm 1 / 8"</t>
        </is>
      </c>
      <c r="E495" s="5" t="inlineStr">
        <is>
          <t>marca INNOMATE · carton · 4'X8' 3X2Mm 1/8" · 1/8"</t>
        </is>
      </c>
      <c r="F495" s="5" t="inlineStr">
        <is>
          <t>Material retirado en almacén</t>
        </is>
      </c>
      <c r="G495" s="5" t="inlineStr">
        <is>
          <t>cartón piedra</t>
        </is>
      </c>
      <c r="H495" s="7" t="inlineStr">
        <is>
          <t>unidad</t>
        </is>
      </c>
      <c r="I495" s="7" t="inlineStr">
        <is>
          <t>Terminación de superficies</t>
        </is>
      </c>
      <c r="J495" s="7" t="inlineStr">
        <is>
          <t>estandar</t>
        </is>
      </c>
      <c r="K495" s="7" t="inlineStr">
        <is>
          <t>importado</t>
        </is>
      </c>
      <c r="L495" s="7" t="inlineStr">
        <is>
          <t>Verificado</t>
        </is>
      </c>
      <c r="M495" s="8" t="n">
        <v>1</v>
      </c>
      <c r="N495" s="9" t="n">
        <v>495</v>
      </c>
      <c r="O495" s="9" t="n">
        <v>495</v>
      </c>
      <c r="P495" s="9" t="n">
        <v>495</v>
      </c>
      <c r="Q495" s="7" t="inlineStr">
        <is>
          <t>Sí</t>
        </is>
      </c>
      <c r="R495" s="9">
        <f>IF(N495="","",IF(Q495="Sí",ROUND(N495/1.18,2),N495))</f>
        <v/>
      </c>
      <c r="S495" s="7" t="inlineStr">
        <is>
          <t>2026-09-09</t>
        </is>
      </c>
      <c r="T495" s="5" t="inlineStr">
        <is>
          <t>1 cotización de proveedores</t>
        </is>
      </c>
    </row>
    <row r="496">
      <c r="A496" s="7" t="inlineStr">
        <is>
          <t>MAT-16-003</t>
        </is>
      </c>
      <c r="B496" s="7" t="inlineStr">
        <is>
          <t>Materiales</t>
        </is>
      </c>
      <c r="C496" s="7" t="inlineStr">
        <is>
          <t>Cámaras y videovigilancia</t>
        </is>
      </c>
      <c r="D496" s="5" t="inlineStr">
        <is>
          <t>Camara Hdcvi Domo 2 Mp 2.8 Mm Cooper Sdl</t>
        </is>
      </c>
      <c r="E496" s="5" t="inlineStr">
        <is>
          <t>marca DAHUA · accesorios intelegentes · referencia DH-HAC-T1A21N-U-IL-A</t>
        </is>
      </c>
      <c r="F496" s="5" t="inlineStr">
        <is>
          <t>Material retirado en almacén</t>
        </is>
      </c>
      <c r="G496" s="5" t="inlineStr"/>
      <c r="H496" s="7" t="inlineStr">
        <is>
          <t>unidad</t>
        </is>
      </c>
      <c r="I496" s="7" t="inlineStr">
        <is>
          <t>Estructura</t>
        </is>
      </c>
      <c r="J496" s="7" t="inlineStr">
        <is>
          <t>estandar</t>
        </is>
      </c>
      <c r="K496" s="7" t="inlineStr">
        <is>
          <t>importado</t>
        </is>
      </c>
      <c r="L496" s="7" t="inlineStr">
        <is>
          <t>Verificado</t>
        </is>
      </c>
      <c r="M496" s="8" t="n">
        <v>1</v>
      </c>
      <c r="N496" s="9" t="n">
        <v>740.01</v>
      </c>
      <c r="O496" s="9" t="n">
        <v>740.01</v>
      </c>
      <c r="P496" s="9" t="n">
        <v>740.01</v>
      </c>
      <c r="Q496" s="7" t="inlineStr">
        <is>
          <t>Sí</t>
        </is>
      </c>
      <c r="R496" s="9">
        <f>IF(N496="","",IF(Q496="Sí",ROUND(N496/1.18,2),N496))</f>
        <v/>
      </c>
      <c r="S496" s="7" t="inlineStr">
        <is>
          <t>2026-09-09</t>
        </is>
      </c>
      <c r="T496" s="5" t="inlineStr">
        <is>
          <t>1 cotización de proveedores</t>
        </is>
      </c>
    </row>
    <row r="497">
      <c r="A497" s="7" t="inlineStr">
        <is>
          <t>MAT-16-004</t>
        </is>
      </c>
      <c r="B497" s="7" t="inlineStr">
        <is>
          <t>Materiales</t>
        </is>
      </c>
      <c r="C497" s="7" t="inlineStr">
        <is>
          <t>Cámaras y videovigilancia</t>
        </is>
      </c>
      <c r="D497" s="5" t="inlineStr">
        <is>
          <t>Camara Hdcvi Domo 5 Mp 2.8 Mm Cooper Sdl</t>
        </is>
      </c>
      <c r="E497" s="5" t="inlineStr">
        <is>
          <t>marca DAHUA · accesorios intelegentes · referencia DH-HAC-T1A51N-U-IL-A</t>
        </is>
      </c>
      <c r="F497" s="5" t="inlineStr">
        <is>
          <t>Material retirado en almacén</t>
        </is>
      </c>
      <c r="G497" s="5" t="inlineStr"/>
      <c r="H497" s="7" t="inlineStr">
        <is>
          <t>unidad</t>
        </is>
      </c>
      <c r="I497" s="7" t="inlineStr">
        <is>
          <t>Estructura</t>
        </is>
      </c>
      <c r="J497" s="7" t="inlineStr">
        <is>
          <t>estandar</t>
        </is>
      </c>
      <c r="K497" s="7" t="inlineStr">
        <is>
          <t>importado</t>
        </is>
      </c>
      <c r="L497" s="7" t="inlineStr">
        <is>
          <t>Verificado</t>
        </is>
      </c>
      <c r="M497" s="8" t="n">
        <v>1</v>
      </c>
      <c r="N497" s="9" t="n">
        <v>1368.3</v>
      </c>
      <c r="O497" s="9" t="n">
        <v>1368.3</v>
      </c>
      <c r="P497" s="9" t="n">
        <v>1368.3</v>
      </c>
      <c r="Q497" s="7" t="inlineStr">
        <is>
          <t>Sí</t>
        </is>
      </c>
      <c r="R497" s="9">
        <f>IF(N497="","",IF(Q497="Sí",ROUND(N497/1.18,2),N497))</f>
        <v/>
      </c>
      <c r="S497" s="7" t="inlineStr">
        <is>
          <t>2026-09-09</t>
        </is>
      </c>
      <c r="T497" s="5" t="inlineStr">
        <is>
          <t>1 cotización de proveedores</t>
        </is>
      </c>
    </row>
    <row r="498">
      <c r="A498" s="7" t="inlineStr">
        <is>
          <t>MAT-16-005</t>
        </is>
      </c>
      <c r="B498" s="7" t="inlineStr">
        <is>
          <t>Materiales</t>
        </is>
      </c>
      <c r="C498" s="7" t="inlineStr">
        <is>
          <t>Cámaras y videovigilancia</t>
        </is>
      </c>
      <c r="D498" s="5" t="inlineStr">
        <is>
          <t>Camara Hdcvi Bullet 5 Mp 2.8 Mm Cooper Sdl</t>
        </is>
      </c>
      <c r="E498" s="5" t="inlineStr">
        <is>
          <t>marca DAHUA · accesorios intelegentes · referencia DH-HAC-B1A51N-U-IL-A</t>
        </is>
      </c>
      <c r="F498" s="5" t="inlineStr">
        <is>
          <t>Material retirado en almacén</t>
        </is>
      </c>
      <c r="G498" s="5" t="inlineStr"/>
      <c r="H498" s="7" t="inlineStr">
        <is>
          <t>unidad</t>
        </is>
      </c>
      <c r="I498" s="7" t="inlineStr">
        <is>
          <t>Estructura</t>
        </is>
      </c>
      <c r="J498" s="7" t="inlineStr">
        <is>
          <t>estandar</t>
        </is>
      </c>
      <c r="K498" s="7" t="inlineStr">
        <is>
          <t>importado</t>
        </is>
      </c>
      <c r="L498" s="7" t="inlineStr">
        <is>
          <t>Verificado</t>
        </is>
      </c>
      <c r="M498" s="8" t="n">
        <v>1</v>
      </c>
      <c r="N498" s="9" t="n">
        <v>1394.08</v>
      </c>
      <c r="O498" s="9" t="n">
        <v>1394.08</v>
      </c>
      <c r="P498" s="9" t="n">
        <v>1394.08</v>
      </c>
      <c r="Q498" s="7" t="inlineStr">
        <is>
          <t>Sí</t>
        </is>
      </c>
      <c r="R498" s="9">
        <f>IF(N498="","",IF(Q498="Sí",ROUND(N498/1.18,2),N498))</f>
        <v/>
      </c>
      <c r="S498" s="7" t="inlineStr">
        <is>
          <t>2026-09-09</t>
        </is>
      </c>
      <c r="T498" s="5" t="inlineStr">
        <is>
          <t>1 cotización de proveedores</t>
        </is>
      </c>
    </row>
    <row r="499">
      <c r="A499" s="7" t="inlineStr">
        <is>
          <t>MAT-16-006</t>
        </is>
      </c>
      <c r="B499" s="7" t="inlineStr">
        <is>
          <t>Materiales</t>
        </is>
      </c>
      <c r="C499" s="7" t="inlineStr">
        <is>
          <t>Cámaras y videovigilancia</t>
        </is>
      </c>
      <c r="D499" s="5" t="inlineStr">
        <is>
          <t>Camara Inalambr Smart Inte 2 Mp 1080P</t>
        </is>
      </c>
      <c r="E499" s="5" t="inlineStr">
        <is>
          <t>marca UNNO · camaras domesticas · referencia CM1408WT/CM1418WT</t>
        </is>
      </c>
      <c r="F499" s="5" t="inlineStr">
        <is>
          <t>Material retirado en almacén</t>
        </is>
      </c>
      <c r="G499" s="5" t="inlineStr"/>
      <c r="H499" s="7" t="inlineStr">
        <is>
          <t>unidad</t>
        </is>
      </c>
      <c r="I499" s="7" t="inlineStr">
        <is>
          <t>Estructura</t>
        </is>
      </c>
      <c r="J499" s="7" t="inlineStr">
        <is>
          <t>estandar</t>
        </is>
      </c>
      <c r="K499" s="7" t="inlineStr">
        <is>
          <t>importado</t>
        </is>
      </c>
      <c r="L499" s="7" t="inlineStr">
        <is>
          <t>Verificado</t>
        </is>
      </c>
      <c r="M499" s="8" t="n">
        <v>1</v>
      </c>
      <c r="N499" s="9" t="n">
        <v>1576.87</v>
      </c>
      <c r="O499" s="9" t="n">
        <v>1576.87</v>
      </c>
      <c r="P499" s="9" t="n">
        <v>1576.87</v>
      </c>
      <c r="Q499" s="7" t="inlineStr">
        <is>
          <t>Sí</t>
        </is>
      </c>
      <c r="R499" s="9">
        <f>IF(N499="","",IF(Q499="Sí",ROUND(N499/1.18,2),N499))</f>
        <v/>
      </c>
      <c r="S499" s="7" t="inlineStr">
        <is>
          <t>2026-09-09</t>
        </is>
      </c>
      <c r="T499" s="5" t="inlineStr">
        <is>
          <t>1 cotización de proveedores</t>
        </is>
      </c>
    </row>
    <row r="500">
      <c r="A500" s="7" t="inlineStr">
        <is>
          <t>MAT-16-007</t>
        </is>
      </c>
      <c r="B500" s="7" t="inlineStr">
        <is>
          <t>Materiales</t>
        </is>
      </c>
      <c r="C500" s="7" t="inlineStr">
        <is>
          <t>Cámaras y videovigilancia</t>
        </is>
      </c>
      <c r="D500" s="5" t="inlineStr">
        <is>
          <t>Camara tipo Domo 2 Mp 3.6 Mm Exterior Serie4</t>
        </is>
      </c>
      <c r="E500" s="5" t="inlineStr">
        <is>
          <t>marca CCTV CORE · camaras domo · referencia COR-H2TRF</t>
        </is>
      </c>
      <c r="F500" s="5" t="inlineStr">
        <is>
          <t>Material retirado en almacén</t>
        </is>
      </c>
      <c r="G500" s="5" t="inlineStr"/>
      <c r="H500" s="7" t="inlineStr">
        <is>
          <t>unidad</t>
        </is>
      </c>
      <c r="I500" s="7" t="inlineStr">
        <is>
          <t>Estructura</t>
        </is>
      </c>
      <c r="J500" s="7" t="inlineStr">
        <is>
          <t>estandar</t>
        </is>
      </c>
      <c r="K500" s="7" t="inlineStr">
        <is>
          <t>importado</t>
        </is>
      </c>
      <c r="L500" s="7" t="inlineStr">
        <is>
          <t>Verificado</t>
        </is>
      </c>
      <c r="M500" s="8" t="n">
        <v>1</v>
      </c>
      <c r="N500" s="9" t="n">
        <v>1649.1</v>
      </c>
      <c r="O500" s="9" t="n">
        <v>1649.1</v>
      </c>
      <c r="P500" s="9" t="n">
        <v>1649.1</v>
      </c>
      <c r="Q500" s="7" t="inlineStr">
        <is>
          <t>Sí</t>
        </is>
      </c>
      <c r="R500" s="9">
        <f>IF(N500="","",IF(Q500="Sí",ROUND(N500/1.18,2),N500))</f>
        <v/>
      </c>
      <c r="S500" s="7" t="inlineStr">
        <is>
          <t>2026-09-09</t>
        </is>
      </c>
      <c r="T500" s="5" t="inlineStr">
        <is>
          <t>1 cotización de proveedores</t>
        </is>
      </c>
    </row>
    <row r="501">
      <c r="A501" s="7" t="inlineStr">
        <is>
          <t>MAT-16-008</t>
        </is>
      </c>
      <c r="B501" s="7" t="inlineStr">
        <is>
          <t>Materiales</t>
        </is>
      </c>
      <c r="C501" s="7" t="inlineStr">
        <is>
          <t>Cámaras y videovigilancia</t>
        </is>
      </c>
      <c r="D501" s="5" t="inlineStr">
        <is>
          <t>Cam Hdcvi Bullet 2 Mp 2.8 Mm Sdl Mic Ir40M</t>
        </is>
      </c>
      <c r="E501" s="5" t="inlineStr">
        <is>
          <t>marca DAHUA · camaras bullet · referencia DH-HAC-HFW1200TLMN</t>
        </is>
      </c>
      <c r="F501" s="5" t="inlineStr">
        <is>
          <t>Material retirado en almacén</t>
        </is>
      </c>
      <c r="G501" s="5" t="inlineStr"/>
      <c r="H501" s="7" t="inlineStr">
        <is>
          <t>unidad</t>
        </is>
      </c>
      <c r="I501" s="7" t="inlineStr">
        <is>
          <t>Estructura</t>
        </is>
      </c>
      <c r="J501" s="7" t="inlineStr">
        <is>
          <t>estandar</t>
        </is>
      </c>
      <c r="K501" s="7" t="inlineStr">
        <is>
          <t>importado</t>
        </is>
      </c>
      <c r="L501" s="7" t="inlineStr">
        <is>
          <t>Verificado</t>
        </is>
      </c>
      <c r="M501" s="8" t="n">
        <v>1</v>
      </c>
      <c r="N501" s="9" t="n">
        <v>1784.16</v>
      </c>
      <c r="O501" s="9" t="n">
        <v>1784.16</v>
      </c>
      <c r="P501" s="9" t="n">
        <v>1784.16</v>
      </c>
      <c r="Q501" s="7" t="inlineStr">
        <is>
          <t>Sí</t>
        </is>
      </c>
      <c r="R501" s="9">
        <f>IF(N501="","",IF(Q501="Sí",ROUND(N501/1.18,2),N501))</f>
        <v/>
      </c>
      <c r="S501" s="7" t="inlineStr">
        <is>
          <t>2026-09-09</t>
        </is>
      </c>
      <c r="T501" s="5" t="inlineStr">
        <is>
          <t>1 cotización de proveedores</t>
        </is>
      </c>
    </row>
    <row r="502">
      <c r="A502" s="7" t="inlineStr">
        <is>
          <t>MAT-16-009</t>
        </is>
      </c>
      <c r="B502" s="7" t="inlineStr">
        <is>
          <t>Materiales</t>
        </is>
      </c>
      <c r="C502" s="7" t="inlineStr">
        <is>
          <t>Cámaras y videovigilancia</t>
        </is>
      </c>
      <c r="D502" s="5" t="inlineStr">
        <is>
          <t>Camara Seg. Bullet Hdcvi Hfw2220 Rn (2</t>
        </is>
      </c>
      <c r="E502" s="5" t="inlineStr">
        <is>
          <t>camaras domesticas · referencia 116788</t>
        </is>
      </c>
      <c r="F502" s="5" t="inlineStr">
        <is>
          <t>Material retirado en almacén</t>
        </is>
      </c>
      <c r="G502" s="5" t="inlineStr"/>
      <c r="H502" s="7" t="inlineStr">
        <is>
          <t>unidad</t>
        </is>
      </c>
      <c r="I502" s="7" t="inlineStr">
        <is>
          <t>Estructura</t>
        </is>
      </c>
      <c r="J502" s="7" t="inlineStr">
        <is>
          <t>estandar</t>
        </is>
      </c>
      <c r="K502" s="7" t="inlineStr">
        <is>
          <t>importado</t>
        </is>
      </c>
      <c r="L502" s="7" t="inlineStr">
        <is>
          <t>Verificado</t>
        </is>
      </c>
      <c r="M502" s="8" t="n">
        <v>1</v>
      </c>
      <c r="N502" s="9" t="n">
        <v>2191.4</v>
      </c>
      <c r="O502" s="9" t="n">
        <v>2191.4</v>
      </c>
      <c r="P502" s="9" t="n">
        <v>2191.4</v>
      </c>
      <c r="Q502" s="7" t="inlineStr">
        <is>
          <t>Sí</t>
        </is>
      </c>
      <c r="R502" s="9">
        <f>IF(N502="","",IF(Q502="Sí",ROUND(N502/1.18,2),N502))</f>
        <v/>
      </c>
      <c r="S502" s="7" t="inlineStr">
        <is>
          <t>2026-09-09</t>
        </is>
      </c>
      <c r="T502" s="5" t="inlineStr">
        <is>
          <t>1 cotización de proveedores</t>
        </is>
      </c>
    </row>
    <row r="503">
      <c r="A503" s="7" t="inlineStr">
        <is>
          <t>MAT-16-010</t>
        </is>
      </c>
      <c r="B503" s="7" t="inlineStr">
        <is>
          <t>Materiales</t>
        </is>
      </c>
      <c r="C503" s="7" t="inlineStr">
        <is>
          <t>Cámaras y videovigilancia</t>
        </is>
      </c>
      <c r="D503" s="5" t="inlineStr">
        <is>
          <t>Camara Seguridad Wi-Fi Hd 360 con Fuente</t>
        </is>
      </c>
      <c r="E503" s="5" t="inlineStr">
        <is>
          <t>marca SONOFF · camaras domesticas · referencia 4663GK-200MP2-B</t>
        </is>
      </c>
      <c r="F503" s="5" t="inlineStr">
        <is>
          <t>Material retirado en almacén</t>
        </is>
      </c>
      <c r="G503" s="5" t="inlineStr"/>
      <c r="H503" s="7" t="inlineStr">
        <is>
          <t>unidad</t>
        </is>
      </c>
      <c r="I503" s="7" t="inlineStr">
        <is>
          <t>Estructura</t>
        </is>
      </c>
      <c r="J503" s="7" t="inlineStr">
        <is>
          <t>estandar</t>
        </is>
      </c>
      <c r="K503" s="7" t="inlineStr">
        <is>
          <t>importado</t>
        </is>
      </c>
      <c r="L503" s="7" t="inlineStr">
        <is>
          <t>Verificado</t>
        </is>
      </c>
      <c r="M503" s="8" t="n">
        <v>1</v>
      </c>
      <c r="N503" s="9" t="n">
        <v>2548.17</v>
      </c>
      <c r="O503" s="9" t="n">
        <v>2548.17</v>
      </c>
      <c r="P503" s="9" t="n">
        <v>2548.17</v>
      </c>
      <c r="Q503" s="7" t="inlineStr">
        <is>
          <t>Sí</t>
        </is>
      </c>
      <c r="R503" s="9">
        <f>IF(N503="","",IF(Q503="Sí",ROUND(N503/1.18,2),N503))</f>
        <v/>
      </c>
      <c r="S503" s="7" t="inlineStr">
        <is>
          <t>2026-09-09</t>
        </is>
      </c>
      <c r="T503" s="5" t="inlineStr">
        <is>
          <t>1 cotización de proveedores</t>
        </is>
      </c>
    </row>
    <row r="504">
      <c r="A504" s="7" t="inlineStr">
        <is>
          <t>MAT-16-011</t>
        </is>
      </c>
      <c r="B504" s="7" t="inlineStr">
        <is>
          <t>Materiales</t>
        </is>
      </c>
      <c r="C504" s="7" t="inlineStr">
        <is>
          <t>Cámaras y videovigilancia</t>
        </is>
      </c>
      <c r="D504" s="5" t="inlineStr">
        <is>
          <t>Camara Turr 2 Mp Lente Fijo Turrent 2.8 Mm</t>
        </is>
      </c>
      <c r="E504" s="5" t="inlineStr">
        <is>
          <t>marca STD · camaras turret · referencia IPC-T122-APF28-SC</t>
        </is>
      </c>
      <c r="F504" s="5" t="inlineStr">
        <is>
          <t>Material retirado en almacén</t>
        </is>
      </c>
      <c r="G504" s="5" t="inlineStr"/>
      <c r="H504" s="7" t="inlineStr">
        <is>
          <t>unidad</t>
        </is>
      </c>
      <c r="I504" s="7" t="inlineStr">
        <is>
          <t>Estructura</t>
        </is>
      </c>
      <c r="J504" s="7" t="inlineStr">
        <is>
          <t>estandar</t>
        </is>
      </c>
      <c r="K504" s="7" t="inlineStr">
        <is>
          <t>importado</t>
        </is>
      </c>
      <c r="L504" s="7" t="inlineStr">
        <is>
          <t>Verificado</t>
        </is>
      </c>
      <c r="M504" s="8" t="n">
        <v>1</v>
      </c>
      <c r="N504" s="9" t="n">
        <v>2549.16</v>
      </c>
      <c r="O504" s="9" t="n">
        <v>2549.16</v>
      </c>
      <c r="P504" s="9" t="n">
        <v>2549.16</v>
      </c>
      <c r="Q504" s="7" t="inlineStr">
        <is>
          <t>Sí</t>
        </is>
      </c>
      <c r="R504" s="9">
        <f>IF(N504="","",IF(Q504="Sí",ROUND(N504/1.18,2),N504))</f>
        <v/>
      </c>
      <c r="S504" s="7" t="inlineStr">
        <is>
          <t>2026-09-09</t>
        </is>
      </c>
      <c r="T504" s="5" t="inlineStr">
        <is>
          <t>1 cotización de proveedores</t>
        </is>
      </c>
    </row>
    <row r="505">
      <c r="A505" s="7" t="inlineStr">
        <is>
          <t>MAT-16-012</t>
        </is>
      </c>
      <c r="B505" s="7" t="inlineStr">
        <is>
          <t>Materiales</t>
        </is>
      </c>
      <c r="C505" s="7" t="inlineStr">
        <is>
          <t>Cámaras y videovigilancia</t>
        </is>
      </c>
      <c r="D505" s="5" t="inlineStr">
        <is>
          <t>Camara tipo Bullet Anal. Hybrid Ahd 100' Ir</t>
        </is>
      </c>
      <c r="E505" s="5" t="inlineStr">
        <is>
          <t>marca CCTV CORE · camaras bullet · referencia COR-HF97</t>
        </is>
      </c>
      <c r="F505" s="5" t="inlineStr">
        <is>
          <t>Material retirado en almacén</t>
        </is>
      </c>
      <c r="G505" s="5" t="inlineStr"/>
      <c r="H505" s="7" t="inlineStr">
        <is>
          <t>unidad</t>
        </is>
      </c>
      <c r="I505" s="7" t="inlineStr">
        <is>
          <t>Estructura</t>
        </is>
      </c>
      <c r="J505" s="7" t="inlineStr">
        <is>
          <t>estandar</t>
        </is>
      </c>
      <c r="K505" s="7" t="inlineStr">
        <is>
          <t>importado</t>
        </is>
      </c>
      <c r="L505" s="7" t="inlineStr">
        <is>
          <t>Verificado</t>
        </is>
      </c>
      <c r="M505" s="8" t="n">
        <v>1</v>
      </c>
      <c r="N505" s="9" t="n">
        <v>2588.72</v>
      </c>
      <c r="O505" s="9" t="n">
        <v>2588.72</v>
      </c>
      <c r="P505" s="9" t="n">
        <v>2588.72</v>
      </c>
      <c r="Q505" s="7" t="inlineStr">
        <is>
          <t>Sí</t>
        </is>
      </c>
      <c r="R505" s="9">
        <f>IF(N505="","",IF(Q505="Sí",ROUND(N505/1.18,2),N505))</f>
        <v/>
      </c>
      <c r="S505" s="7" t="inlineStr">
        <is>
          <t>2026-09-09</t>
        </is>
      </c>
      <c r="T505" s="5" t="inlineStr">
        <is>
          <t>1 cotización de proveedores</t>
        </is>
      </c>
    </row>
    <row r="506">
      <c r="A506" s="7" t="inlineStr">
        <is>
          <t>MAT-16-013</t>
        </is>
      </c>
      <c r="B506" s="7" t="inlineStr">
        <is>
          <t>Materiales</t>
        </is>
      </c>
      <c r="C506" s="7" t="inlineStr">
        <is>
          <t>Cámaras y videovigilancia</t>
        </is>
      </c>
      <c r="D506" s="5" t="inlineStr">
        <is>
          <t>Camara Domo 2 Mp Lente Fijo 2.8 Mm</t>
        </is>
      </c>
      <c r="E506" s="5" t="inlineStr">
        <is>
          <t>marca STD · camaras domo · referencia IPC-D122-PF28-SC</t>
        </is>
      </c>
      <c r="F506" s="5" t="inlineStr">
        <is>
          <t>Material retirado en almacén</t>
        </is>
      </c>
      <c r="G506" s="5" t="inlineStr"/>
      <c r="H506" s="7" t="inlineStr">
        <is>
          <t>unidad</t>
        </is>
      </c>
      <c r="I506" s="7" t="inlineStr">
        <is>
          <t>Estructura</t>
        </is>
      </c>
      <c r="J506" s="7" t="inlineStr">
        <is>
          <t>estandar</t>
        </is>
      </c>
      <c r="K506" s="7" t="inlineStr">
        <is>
          <t>importado</t>
        </is>
      </c>
      <c r="L506" s="7" t="inlineStr">
        <is>
          <t>Verificado</t>
        </is>
      </c>
      <c r="M506" s="8" t="n">
        <v>1</v>
      </c>
      <c r="N506" s="9" t="n">
        <v>2705.84</v>
      </c>
      <c r="O506" s="9" t="n">
        <v>2705.84</v>
      </c>
      <c r="P506" s="9" t="n">
        <v>2705.84</v>
      </c>
      <c r="Q506" s="7" t="inlineStr">
        <is>
          <t>Sí</t>
        </is>
      </c>
      <c r="R506" s="9">
        <f>IF(N506="","",IF(Q506="Sí",ROUND(N506/1.18,2),N506))</f>
        <v/>
      </c>
      <c r="S506" s="7" t="inlineStr">
        <is>
          <t>2026-09-09</t>
        </is>
      </c>
      <c r="T506" s="5" t="inlineStr">
        <is>
          <t>1 cotización de proveedores</t>
        </is>
      </c>
    </row>
    <row r="507">
      <c r="A507" s="7" t="inlineStr">
        <is>
          <t>MAT-16-014</t>
        </is>
      </c>
      <c r="B507" s="7" t="inlineStr">
        <is>
          <t>Materiales</t>
        </is>
      </c>
      <c r="C507" s="7" t="inlineStr">
        <is>
          <t>Cámaras y videovigilancia</t>
        </is>
      </c>
      <c r="D507" s="5" t="inlineStr">
        <is>
          <t>Camara 2 Mp 3.6 Mm Net PoE</t>
        </is>
      </c>
      <c r="E507" s="5" t="inlineStr">
        <is>
          <t>marca CCTV CORE · camaras bullet · referencia COR-IP2BM</t>
        </is>
      </c>
      <c r="F507" s="5" t="inlineStr">
        <is>
          <t>Material retirado en almacén</t>
        </is>
      </c>
      <c r="G507" s="5" t="inlineStr"/>
      <c r="H507" s="7" t="inlineStr">
        <is>
          <t>unidad</t>
        </is>
      </c>
      <c r="I507" s="7" t="inlineStr">
        <is>
          <t>Estructura</t>
        </is>
      </c>
      <c r="J507" s="7" t="inlineStr">
        <is>
          <t>estandar</t>
        </is>
      </c>
      <c r="K507" s="7" t="inlineStr">
        <is>
          <t>importado</t>
        </is>
      </c>
      <c r="L507" s="7" t="inlineStr">
        <is>
          <t>Verificado</t>
        </is>
      </c>
      <c r="M507" s="8" t="n">
        <v>1</v>
      </c>
      <c r="N507" s="9" t="n">
        <v>2810.59</v>
      </c>
      <c r="O507" s="9" t="n">
        <v>2810.59</v>
      </c>
      <c r="P507" s="9" t="n">
        <v>2810.59</v>
      </c>
      <c r="Q507" s="7" t="inlineStr">
        <is>
          <t>Sí</t>
        </is>
      </c>
      <c r="R507" s="9">
        <f>IF(N507="","",IF(Q507="Sí",ROUND(N507/1.18,2),N507))</f>
        <v/>
      </c>
      <c r="S507" s="7" t="inlineStr">
        <is>
          <t>2026-09-09</t>
        </is>
      </c>
      <c r="T507" s="5" t="inlineStr">
        <is>
          <t>1 cotización de proveedores</t>
        </is>
      </c>
    </row>
    <row r="508">
      <c r="A508" s="7" t="inlineStr">
        <is>
          <t>MAT-16-015</t>
        </is>
      </c>
      <c r="B508" s="7" t="inlineStr">
        <is>
          <t>Materiales</t>
        </is>
      </c>
      <c r="C508" s="7" t="inlineStr">
        <is>
          <t>Cámaras y videovigilancia</t>
        </is>
      </c>
      <c r="D508" s="5" t="inlineStr">
        <is>
          <t>Camara Turret 4 Mp Ip67 Smart Ir Uniarch</t>
        </is>
      </c>
      <c r="E508" s="5" t="inlineStr">
        <is>
          <t>marca STD · camaras turret · referencia T124-APF28</t>
        </is>
      </c>
      <c r="F508" s="5" t="inlineStr">
        <is>
          <t>Material retirado en almacén</t>
        </is>
      </c>
      <c r="G508" s="5" t="inlineStr"/>
      <c r="H508" s="7" t="inlineStr">
        <is>
          <t>unidad</t>
        </is>
      </c>
      <c r="I508" s="7" t="inlineStr">
        <is>
          <t>Estructura</t>
        </is>
      </c>
      <c r="J508" s="7" t="inlineStr">
        <is>
          <t>estandar</t>
        </is>
      </c>
      <c r="K508" s="7" t="inlineStr">
        <is>
          <t>importado</t>
        </is>
      </c>
      <c r="L508" s="7" t="inlineStr">
        <is>
          <t>Verificado</t>
        </is>
      </c>
      <c r="M508" s="8" t="n">
        <v>1</v>
      </c>
      <c r="N508" s="9" t="n">
        <v>3073.06</v>
      </c>
      <c r="O508" s="9" t="n">
        <v>3073.06</v>
      </c>
      <c r="P508" s="9" t="n">
        <v>3073.06</v>
      </c>
      <c r="Q508" s="7" t="inlineStr">
        <is>
          <t>Sí</t>
        </is>
      </c>
      <c r="R508" s="9">
        <f>IF(N508="","",IF(Q508="Sí",ROUND(N508/1.18,2),N508))</f>
        <v/>
      </c>
      <c r="S508" s="7" t="inlineStr">
        <is>
          <t>2026-09-09</t>
        </is>
      </c>
      <c r="T508" s="5" t="inlineStr">
        <is>
          <t>1 cotización de proveedores</t>
        </is>
      </c>
    </row>
    <row r="509">
      <c r="A509" s="7" t="inlineStr">
        <is>
          <t>MAT-16-016</t>
        </is>
      </c>
      <c r="B509" s="7" t="inlineStr">
        <is>
          <t>Materiales</t>
        </is>
      </c>
      <c r="C509" s="7" t="inlineStr">
        <is>
          <t>Cámaras y videovigilancia</t>
        </is>
      </c>
      <c r="D509" s="5" t="inlineStr">
        <is>
          <t>Camara Bullet Wifi IP 2 Mp 2,8 Mm Zoom 16X</t>
        </is>
      </c>
      <c r="E509" s="5" t="inlineStr">
        <is>
          <t>marca VESTA · camaras bullet · referencia VESTA-293</t>
        </is>
      </c>
      <c r="F509" s="5" t="inlineStr">
        <is>
          <t>Material retirado en almacén</t>
        </is>
      </c>
      <c r="G509" s="5" t="inlineStr"/>
      <c r="H509" s="7" t="inlineStr">
        <is>
          <t>unidad</t>
        </is>
      </c>
      <c r="I509" s="7" t="inlineStr">
        <is>
          <t>Estructura</t>
        </is>
      </c>
      <c r="J509" s="7" t="inlineStr">
        <is>
          <t>estandar</t>
        </is>
      </c>
      <c r="K509" s="7" t="inlineStr">
        <is>
          <t>importado</t>
        </is>
      </c>
      <c r="L509" s="7" t="inlineStr">
        <is>
          <t>Verificado</t>
        </is>
      </c>
      <c r="M509" s="8" t="n">
        <v>1</v>
      </c>
      <c r="N509" s="9" t="n">
        <v>3079.43</v>
      </c>
      <c r="O509" s="9" t="n">
        <v>3079.43</v>
      </c>
      <c r="P509" s="9" t="n">
        <v>3079.43</v>
      </c>
      <c r="Q509" s="7" t="inlineStr">
        <is>
          <t>Sí</t>
        </is>
      </c>
      <c r="R509" s="9">
        <f>IF(N509="","",IF(Q509="Sí",ROUND(N509/1.18,2),N509))</f>
        <v/>
      </c>
      <c r="S509" s="7" t="inlineStr">
        <is>
          <t>2026-09-09</t>
        </is>
      </c>
      <c r="T509" s="5" t="inlineStr">
        <is>
          <t>1 cotización de proveedores</t>
        </is>
      </c>
    </row>
    <row r="510">
      <c r="A510" s="7" t="inlineStr">
        <is>
          <t>MAT-16-017</t>
        </is>
      </c>
      <c r="B510" s="7" t="inlineStr">
        <is>
          <t>Materiales</t>
        </is>
      </c>
      <c r="C510" s="7" t="inlineStr">
        <is>
          <t>Cámaras y videovigilancia</t>
        </is>
      </c>
      <c r="D510" s="5" t="inlineStr">
        <is>
          <t>Camara Bullet 4 Mp 2.8 Mm</t>
        </is>
      </c>
      <c r="E510" s="5" t="inlineStr">
        <is>
          <t>marca SECTECH · camaras bullet · referencia STD-B124-APF28</t>
        </is>
      </c>
      <c r="F510" s="5" t="inlineStr">
        <is>
          <t>Material retirado en almacén</t>
        </is>
      </c>
      <c r="G510" s="5" t="inlineStr"/>
      <c r="H510" s="7" t="inlineStr">
        <is>
          <t>unidad</t>
        </is>
      </c>
      <c r="I510" s="7" t="inlineStr">
        <is>
          <t>Estructura</t>
        </is>
      </c>
      <c r="J510" s="7" t="inlineStr">
        <is>
          <t>estandar</t>
        </is>
      </c>
      <c r="K510" s="7" t="inlineStr">
        <is>
          <t>importado</t>
        </is>
      </c>
      <c r="L510" s="7" t="inlineStr">
        <is>
          <t>Verificado</t>
        </is>
      </c>
      <c r="M510" s="8" t="n">
        <v>1</v>
      </c>
      <c r="N510" s="9" t="n">
        <v>3087.35</v>
      </c>
      <c r="O510" s="9" t="n">
        <v>3087.35</v>
      </c>
      <c r="P510" s="9" t="n">
        <v>3087.35</v>
      </c>
      <c r="Q510" s="7" t="inlineStr">
        <is>
          <t>Sí</t>
        </is>
      </c>
      <c r="R510" s="9">
        <f>IF(N510="","",IF(Q510="Sí",ROUND(N510/1.18,2),N510))</f>
        <v/>
      </c>
      <c r="S510" s="7" t="inlineStr">
        <is>
          <t>2026-09-09</t>
        </is>
      </c>
      <c r="T510" s="5" t="inlineStr">
        <is>
          <t>1 cotización de proveedores</t>
        </is>
      </c>
    </row>
    <row r="511">
      <c r="A511" s="7" t="inlineStr">
        <is>
          <t>MAT-16-018</t>
        </is>
      </c>
      <c r="B511" s="7" t="inlineStr">
        <is>
          <t>Materiales</t>
        </is>
      </c>
      <c r="C511" s="7" t="inlineStr">
        <is>
          <t>Cámaras y videovigilancia</t>
        </is>
      </c>
      <c r="D511" s="5" t="inlineStr">
        <is>
          <t>Camara tipo Domo 5 Mp 2.8 Mm Wide Medallion</t>
        </is>
      </c>
      <c r="E511" s="5" t="inlineStr">
        <is>
          <t>marca CCTV CORE · camaras domo · referencia COR-H5TRF</t>
        </is>
      </c>
      <c r="F511" s="5" t="inlineStr">
        <is>
          <t>Material retirado en almacén</t>
        </is>
      </c>
      <c r="G511" s="5" t="inlineStr"/>
      <c r="H511" s="7" t="inlineStr">
        <is>
          <t>unidad</t>
        </is>
      </c>
      <c r="I511" s="7" t="inlineStr">
        <is>
          <t>Estructura</t>
        </is>
      </c>
      <c r="J511" s="7" t="inlineStr">
        <is>
          <t>estandar</t>
        </is>
      </c>
      <c r="K511" s="7" t="inlineStr">
        <is>
          <t>importado</t>
        </is>
      </c>
      <c r="L511" s="7" t="inlineStr">
        <is>
          <t>Verificado</t>
        </is>
      </c>
      <c r="M511" s="8" t="n">
        <v>1</v>
      </c>
      <c r="N511" s="9" t="n">
        <v>3402.29</v>
      </c>
      <c r="O511" s="9" t="n">
        <v>3402.29</v>
      </c>
      <c r="P511" s="9" t="n">
        <v>3402.29</v>
      </c>
      <c r="Q511" s="7" t="inlineStr">
        <is>
          <t>Sí</t>
        </is>
      </c>
      <c r="R511" s="9">
        <f>IF(N511="","",IF(Q511="Sí",ROUND(N511/1.18,2),N511))</f>
        <v/>
      </c>
      <c r="S511" s="7" t="inlineStr">
        <is>
          <t>2026-09-09</t>
        </is>
      </c>
      <c r="T511" s="5" t="inlineStr">
        <is>
          <t>1 cotización de proveedores</t>
        </is>
      </c>
    </row>
    <row r="512">
      <c r="A512" s="7" t="inlineStr">
        <is>
          <t>MAT-16-019</t>
        </is>
      </c>
      <c r="B512" s="7" t="inlineStr">
        <is>
          <t>Materiales</t>
        </is>
      </c>
      <c r="C512" s="7" t="inlineStr">
        <is>
          <t>Cámaras y videovigilancia</t>
        </is>
      </c>
      <c r="D512" s="5" t="inlineStr">
        <is>
          <t>Camara IP Pt para Interior 5 Mp Bidirecional</t>
        </is>
      </c>
      <c r="E512" s="5" t="inlineStr">
        <is>
          <t>marca DAHUA · camaras domesticas · referencia DH-IPC-H5BP-0360B</t>
        </is>
      </c>
      <c r="F512" s="5" t="inlineStr">
        <is>
          <t>Material retirado en almacén</t>
        </is>
      </c>
      <c r="G512" s="5" t="inlineStr"/>
      <c r="H512" s="7" t="inlineStr">
        <is>
          <t>unidad</t>
        </is>
      </c>
      <c r="I512" s="7" t="inlineStr">
        <is>
          <t>Estructura</t>
        </is>
      </c>
      <c r="J512" s="7" t="inlineStr">
        <is>
          <t>estandar</t>
        </is>
      </c>
      <c r="K512" s="7" t="inlineStr">
        <is>
          <t>importado</t>
        </is>
      </c>
      <c r="L512" s="7" t="inlineStr">
        <is>
          <t>Verificado</t>
        </is>
      </c>
      <c r="M512" s="8" t="n">
        <v>1</v>
      </c>
      <c r="N512" s="9" t="n">
        <v>3414.74</v>
      </c>
      <c r="O512" s="9" t="n">
        <v>3414.74</v>
      </c>
      <c r="P512" s="9" t="n">
        <v>3414.74</v>
      </c>
      <c r="Q512" s="7" t="inlineStr">
        <is>
          <t>Sí</t>
        </is>
      </c>
      <c r="R512" s="9">
        <f>IF(N512="","",IF(Q512="Sí",ROUND(N512/1.18,2),N512))</f>
        <v/>
      </c>
      <c r="S512" s="7" t="inlineStr">
        <is>
          <t>2026-09-09</t>
        </is>
      </c>
      <c r="T512" s="5" t="inlineStr">
        <is>
          <t>1 cotización de proveedores</t>
        </is>
      </c>
    </row>
    <row r="513">
      <c r="A513" s="7" t="inlineStr">
        <is>
          <t>MAT-16-020</t>
        </is>
      </c>
      <c r="B513" s="7" t="inlineStr">
        <is>
          <t>Materiales</t>
        </is>
      </c>
      <c r="C513" s="7" t="inlineStr">
        <is>
          <t>Cámaras y videovigilancia</t>
        </is>
      </c>
      <c r="D513" s="5" t="inlineStr">
        <is>
          <t>Camara IP Domo 2 Mp Wifi Entry Full Color</t>
        </is>
      </c>
      <c r="E513" s="5" t="inlineStr">
        <is>
          <t>marca DAHUA · accesorios intelegentes · referencia DH-T2A-LED</t>
        </is>
      </c>
      <c r="F513" s="5" t="inlineStr">
        <is>
          <t>Material retirado en almacén</t>
        </is>
      </c>
      <c r="G513" s="5" t="inlineStr"/>
      <c r="H513" s="7" t="inlineStr">
        <is>
          <t>unidad</t>
        </is>
      </c>
      <c r="I513" s="7" t="inlineStr">
        <is>
          <t>Estructura</t>
        </is>
      </c>
      <c r="J513" s="7" t="inlineStr">
        <is>
          <t>estandar</t>
        </is>
      </c>
      <c r="K513" s="7" t="inlineStr">
        <is>
          <t>importado</t>
        </is>
      </c>
      <c r="L513" s="7" t="inlineStr">
        <is>
          <t>Verificado</t>
        </is>
      </c>
      <c r="M513" s="8" t="n">
        <v>1</v>
      </c>
      <c r="N513" s="9" t="n">
        <v>3433.59</v>
      </c>
      <c r="O513" s="9" t="n">
        <v>3433.59</v>
      </c>
      <c r="P513" s="9" t="n">
        <v>3433.59</v>
      </c>
      <c r="Q513" s="7" t="inlineStr">
        <is>
          <t>Sí</t>
        </is>
      </c>
      <c r="R513" s="9">
        <f>IF(N513="","",IF(Q513="Sí",ROUND(N513/1.18,2),N513))</f>
        <v/>
      </c>
      <c r="S513" s="7" t="inlineStr">
        <is>
          <t>2026-09-09</t>
        </is>
      </c>
      <c r="T513" s="5" t="inlineStr">
        <is>
          <t>1 cotización de proveedores</t>
        </is>
      </c>
    </row>
    <row r="514">
      <c r="A514" s="7" t="inlineStr">
        <is>
          <t>MAT-16-021</t>
        </is>
      </c>
      <c r="B514" s="7" t="inlineStr">
        <is>
          <t>Materiales</t>
        </is>
      </c>
      <c r="C514" s="7" t="inlineStr">
        <is>
          <t>Cámaras y videovigilancia</t>
        </is>
      </c>
      <c r="D514" s="5" t="inlineStr">
        <is>
          <t>Camara tipo Bullet 5 Mp exterior Medallion 2.8 Mm</t>
        </is>
      </c>
      <c r="E514" s="5" t="inlineStr">
        <is>
          <t>marca CCTV CORE · camaras bullet · referencia COR-H5BF</t>
        </is>
      </c>
      <c r="F514" s="5" t="inlineStr">
        <is>
          <t>Material retirado en almacén</t>
        </is>
      </c>
      <c r="G514" s="5" t="inlineStr"/>
      <c r="H514" s="7" t="inlineStr">
        <is>
          <t>unidad</t>
        </is>
      </c>
      <c r="I514" s="7" t="inlineStr">
        <is>
          <t>Estructura</t>
        </is>
      </c>
      <c r="J514" s="7" t="inlineStr">
        <is>
          <t>estandar</t>
        </is>
      </c>
      <c r="K514" s="7" t="inlineStr">
        <is>
          <t>importado</t>
        </is>
      </c>
      <c r="L514" s="7" t="inlineStr">
        <is>
          <t>Verificado</t>
        </is>
      </c>
      <c r="M514" s="8" t="n">
        <v>1</v>
      </c>
      <c r="N514" s="9" t="n">
        <v>3442.71</v>
      </c>
      <c r="O514" s="9" t="n">
        <v>3442.71</v>
      </c>
      <c r="P514" s="9" t="n">
        <v>3442.71</v>
      </c>
      <c r="Q514" s="7" t="inlineStr">
        <is>
          <t>Sí</t>
        </is>
      </c>
      <c r="R514" s="9">
        <f>IF(N514="","",IF(Q514="Sí",ROUND(N514/1.18,2),N514))</f>
        <v/>
      </c>
      <c r="S514" s="7" t="inlineStr">
        <is>
          <t>2026-09-09</t>
        </is>
      </c>
      <c r="T514" s="5" t="inlineStr">
        <is>
          <t>1 cotización de proveedores</t>
        </is>
      </c>
    </row>
    <row r="515">
      <c r="A515" s="7" t="inlineStr">
        <is>
          <t>MAT-16-022</t>
        </is>
      </c>
      <c r="B515" s="7" t="inlineStr">
        <is>
          <t>Materiales</t>
        </is>
      </c>
      <c r="C515" s="7" t="inlineStr">
        <is>
          <t>Cámaras y videovigilancia</t>
        </is>
      </c>
      <c r="D515" s="5" t="inlineStr">
        <is>
          <t>Camara IP Domo 2 Mp 2.8 Mm Entry</t>
        </is>
      </c>
      <c r="E515" s="5" t="inlineStr">
        <is>
          <t>marca DAHUA · camaras domo · referencia DH-IPC-HDBW1230E-S5</t>
        </is>
      </c>
      <c r="F515" s="5" t="inlineStr">
        <is>
          <t>Material retirado en almacén</t>
        </is>
      </c>
      <c r="G515" s="5" t="inlineStr"/>
      <c r="H515" s="7" t="inlineStr">
        <is>
          <t>unidad</t>
        </is>
      </c>
      <c r="I515" s="7" t="inlineStr">
        <is>
          <t>Estructura</t>
        </is>
      </c>
      <c r="J515" s="7" t="inlineStr">
        <is>
          <t>estandar</t>
        </is>
      </c>
      <c r="K515" s="7" t="inlineStr">
        <is>
          <t>importado</t>
        </is>
      </c>
      <c r="L515" s="7" t="inlineStr">
        <is>
          <t>Verificado</t>
        </is>
      </c>
      <c r="M515" s="8" t="n">
        <v>1</v>
      </c>
      <c r="N515" s="9" t="n">
        <v>3489.15</v>
      </c>
      <c r="O515" s="9" t="n">
        <v>3489.15</v>
      </c>
      <c r="P515" s="9" t="n">
        <v>3489.15</v>
      </c>
      <c r="Q515" s="7" t="inlineStr">
        <is>
          <t>Sí</t>
        </is>
      </c>
      <c r="R515" s="9">
        <f>IF(N515="","",IF(Q515="Sí",ROUND(N515/1.18,2),N515))</f>
        <v/>
      </c>
      <c r="S515" s="7" t="inlineStr">
        <is>
          <t>2026-09-09</t>
        </is>
      </c>
      <c r="T515" s="5" t="inlineStr">
        <is>
          <t>1 cotización de proveedores</t>
        </is>
      </c>
    </row>
    <row r="516">
      <c r="A516" s="7" t="inlineStr">
        <is>
          <t>MAT-16-023</t>
        </is>
      </c>
      <c r="B516" s="7" t="inlineStr">
        <is>
          <t>Materiales</t>
        </is>
      </c>
      <c r="C516" s="7" t="inlineStr">
        <is>
          <t>Cámaras y videovigilancia</t>
        </is>
      </c>
      <c r="D516" s="5" t="inlineStr">
        <is>
          <t>Camara Domo IP 5 Mp 2.8 Mm Ip67 PoE con Mic</t>
        </is>
      </c>
      <c r="E516" s="5" t="inlineStr">
        <is>
          <t>marca STD · camaras domo · referencia IPC-D125-PF28-SC</t>
        </is>
      </c>
      <c r="F516" s="5" t="inlineStr">
        <is>
          <t>Material retirado en almacén</t>
        </is>
      </c>
      <c r="G516" s="5" t="inlineStr"/>
      <c r="H516" s="7" t="inlineStr">
        <is>
          <t>unidad</t>
        </is>
      </c>
      <c r="I516" s="7" t="inlineStr">
        <is>
          <t>Estructura</t>
        </is>
      </c>
      <c r="J516" s="7" t="inlineStr">
        <is>
          <t>estandar</t>
        </is>
      </c>
      <c r="K516" s="7" t="inlineStr">
        <is>
          <t>importado</t>
        </is>
      </c>
      <c r="L516" s="7" t="inlineStr">
        <is>
          <t>Verificado</t>
        </is>
      </c>
      <c r="M516" s="8" t="n">
        <v>1</v>
      </c>
      <c r="N516" s="9" t="n">
        <v>3618.09</v>
      </c>
      <c r="O516" s="9" t="n">
        <v>3618.09</v>
      </c>
      <c r="P516" s="9" t="n">
        <v>3618.09</v>
      </c>
      <c r="Q516" s="7" t="inlineStr">
        <is>
          <t>Sí</t>
        </is>
      </c>
      <c r="R516" s="9">
        <f>IF(N516="","",IF(Q516="Sí",ROUND(N516/1.18,2),N516))</f>
        <v/>
      </c>
      <c r="S516" s="7" t="inlineStr">
        <is>
          <t>2026-09-09</t>
        </is>
      </c>
      <c r="T516" s="5" t="inlineStr">
        <is>
          <t>1 cotización de proveedores</t>
        </is>
      </c>
    </row>
    <row r="517">
      <c r="A517" s="7" t="inlineStr">
        <is>
          <t>MAT-16-024</t>
        </is>
      </c>
      <c r="B517" s="7" t="inlineStr">
        <is>
          <t>Materiales</t>
        </is>
      </c>
      <c r="C517" s="7" t="inlineStr">
        <is>
          <t>Cámaras y videovigilancia</t>
        </is>
      </c>
      <c r="D517" s="5" t="inlineStr">
        <is>
          <t>Camara Domo 4 Mp 2.8 Mm</t>
        </is>
      </c>
      <c r="E517" s="5" t="inlineStr">
        <is>
          <t>marca STD · camaras domo · referencia D124-PF28</t>
        </is>
      </c>
      <c r="F517" s="5" t="inlineStr">
        <is>
          <t>Material retirado en almacén</t>
        </is>
      </c>
      <c r="G517" s="5" t="inlineStr"/>
      <c r="H517" s="7" t="inlineStr">
        <is>
          <t>unidad</t>
        </is>
      </c>
      <c r="I517" s="7" t="inlineStr">
        <is>
          <t>Estructura</t>
        </is>
      </c>
      <c r="J517" s="7" t="inlineStr">
        <is>
          <t>estandar</t>
        </is>
      </c>
      <c r="K517" s="7" t="inlineStr">
        <is>
          <t>importado</t>
        </is>
      </c>
      <c r="L517" s="7" t="inlineStr">
        <is>
          <t>Verificado</t>
        </is>
      </c>
      <c r="M517" s="8" t="n">
        <v>1</v>
      </c>
      <c r="N517" s="9" t="n">
        <v>3695.82</v>
      </c>
      <c r="O517" s="9" t="n">
        <v>3695.82</v>
      </c>
      <c r="P517" s="9" t="n">
        <v>3695.82</v>
      </c>
      <c r="Q517" s="7" t="inlineStr">
        <is>
          <t>Sí</t>
        </is>
      </c>
      <c r="R517" s="9">
        <f>IF(N517="","",IF(Q517="Sí",ROUND(N517/1.18,2),N517))</f>
        <v/>
      </c>
      <c r="S517" s="7" t="inlineStr">
        <is>
          <t>2026-09-09</t>
        </is>
      </c>
      <c r="T517" s="5" t="inlineStr">
        <is>
          <t>1 cotización de proveedores</t>
        </is>
      </c>
    </row>
    <row r="518">
      <c r="A518" s="7" t="inlineStr">
        <is>
          <t>MAT-16-025</t>
        </is>
      </c>
      <c r="B518" s="7" t="inlineStr">
        <is>
          <t>Materiales</t>
        </is>
      </c>
      <c r="C518" s="7" t="inlineStr">
        <is>
          <t>Cámaras y videovigilancia</t>
        </is>
      </c>
      <c r="D518" s="5" t="inlineStr">
        <is>
          <t>Camara Turret 5 Mp Lente Fijo 2.8 Mm</t>
        </is>
      </c>
      <c r="E518" s="5" t="inlineStr">
        <is>
          <t>marca STD · camaras turret · referencia IPC-T125-APF28-SC</t>
        </is>
      </c>
      <c r="F518" s="5" t="inlineStr">
        <is>
          <t>Material retirado en almacén</t>
        </is>
      </c>
      <c r="G518" s="5" t="inlineStr"/>
      <c r="H518" s="7" t="inlineStr">
        <is>
          <t>unidad</t>
        </is>
      </c>
      <c r="I518" s="7" t="inlineStr">
        <is>
          <t>Estructura</t>
        </is>
      </c>
      <c r="J518" s="7" t="inlineStr">
        <is>
          <t>estandar</t>
        </is>
      </c>
      <c r="K518" s="7" t="inlineStr">
        <is>
          <t>importado</t>
        </is>
      </c>
      <c r="L518" s="7" t="inlineStr">
        <is>
          <t>Verificado</t>
        </is>
      </c>
      <c r="M518" s="8" t="n">
        <v>1</v>
      </c>
      <c r="N518" s="9" t="n">
        <v>3714.5</v>
      </c>
      <c r="O518" s="9" t="n">
        <v>3714.5</v>
      </c>
      <c r="P518" s="9" t="n">
        <v>3714.5</v>
      </c>
      <c r="Q518" s="7" t="inlineStr">
        <is>
          <t>Sí</t>
        </is>
      </c>
      <c r="R518" s="9">
        <f>IF(N518="","",IF(Q518="Sí",ROUND(N518/1.18,2),N518))</f>
        <v/>
      </c>
      <c r="S518" s="7" t="inlineStr">
        <is>
          <t>2026-09-09</t>
        </is>
      </c>
      <c r="T518" s="5" t="inlineStr">
        <is>
          <t>1 cotización de proveedores</t>
        </is>
      </c>
    </row>
    <row r="519">
      <c r="A519" s="7" t="inlineStr">
        <is>
          <t>MAT-16-026</t>
        </is>
      </c>
      <c r="B519" s="7" t="inlineStr">
        <is>
          <t>Materiales</t>
        </is>
      </c>
      <c r="C519" s="7" t="inlineStr">
        <is>
          <t>Cámaras y videovigilancia</t>
        </is>
      </c>
      <c r="D519" s="5" t="inlineStr">
        <is>
          <t>Camara De Video Home Kit Hub G2H Pro</t>
        </is>
      </c>
      <c r="E519" s="5" t="inlineStr">
        <is>
          <t>marca AQARA · camaras domesticas · referencia CH-C01</t>
        </is>
      </c>
      <c r="F519" s="5" t="inlineStr">
        <is>
          <t>Material retirado en almacén</t>
        </is>
      </c>
      <c r="G519" s="5" t="inlineStr"/>
      <c r="H519" s="7" t="inlineStr">
        <is>
          <t>unidad</t>
        </is>
      </c>
      <c r="I519" s="7" t="inlineStr">
        <is>
          <t>Estructura</t>
        </is>
      </c>
      <c r="J519" s="7" t="inlineStr">
        <is>
          <t>estandar</t>
        </is>
      </c>
      <c r="K519" s="7" t="inlineStr">
        <is>
          <t>importado</t>
        </is>
      </c>
      <c r="L519" s="7" t="inlineStr">
        <is>
          <t>Verificado</t>
        </is>
      </c>
      <c r="M519" s="8" t="n">
        <v>1</v>
      </c>
      <c r="N519" s="9" t="n">
        <v>4136.01</v>
      </c>
      <c r="O519" s="9" t="n">
        <v>4136.01</v>
      </c>
      <c r="P519" s="9" t="n">
        <v>4136.01</v>
      </c>
      <c r="Q519" s="7" t="inlineStr">
        <is>
          <t>Sí</t>
        </is>
      </c>
      <c r="R519" s="9">
        <f>IF(N519="","",IF(Q519="Sí",ROUND(N519/1.18,2),N519))</f>
        <v/>
      </c>
      <c r="S519" s="7" t="inlineStr">
        <is>
          <t>2026-09-09</t>
        </is>
      </c>
      <c r="T519" s="5" t="inlineStr">
        <is>
          <t>1 cotización de proveedores</t>
        </is>
      </c>
    </row>
    <row r="520">
      <c r="A520" s="7" t="inlineStr">
        <is>
          <t>MAT-16-027</t>
        </is>
      </c>
      <c r="B520" s="7" t="inlineStr">
        <is>
          <t>Materiales</t>
        </is>
      </c>
      <c r="C520" s="7" t="inlineStr">
        <is>
          <t>Cámaras y videovigilancia</t>
        </is>
      </c>
      <c r="D520" s="5" t="inlineStr">
        <is>
          <t>Camara Domo 2 Mp Vf 2.8-12 Mm</t>
        </is>
      </c>
      <c r="E520" s="5" t="inlineStr">
        <is>
          <t>marca STD · camaras domo · referencia IPC-D312-APKZ-SC</t>
        </is>
      </c>
      <c r="F520" s="5" t="inlineStr">
        <is>
          <t>Material retirado en almacén</t>
        </is>
      </c>
      <c r="G520" s="5" t="inlineStr"/>
      <c r="H520" s="7" t="inlineStr">
        <is>
          <t>unidad</t>
        </is>
      </c>
      <c r="I520" s="7" t="inlineStr">
        <is>
          <t>Estructura</t>
        </is>
      </c>
      <c r="J520" s="7" t="inlineStr">
        <is>
          <t>estandar</t>
        </is>
      </c>
      <c r="K520" s="7" t="inlineStr">
        <is>
          <t>importado</t>
        </is>
      </c>
      <c r="L520" s="7" t="inlineStr">
        <is>
          <t>Verificado</t>
        </is>
      </c>
      <c r="M520" s="8" t="n">
        <v>1</v>
      </c>
      <c r="N520" s="9" t="n">
        <v>4592.19</v>
      </c>
      <c r="O520" s="9" t="n">
        <v>4592.19</v>
      </c>
      <c r="P520" s="9" t="n">
        <v>4592.19</v>
      </c>
      <c r="Q520" s="7" t="inlineStr">
        <is>
          <t>Sí</t>
        </is>
      </c>
      <c r="R520" s="9">
        <f>IF(N520="","",IF(Q520="Sí",ROUND(N520/1.18,2),N520))</f>
        <v/>
      </c>
      <c r="S520" s="7" t="inlineStr">
        <is>
          <t>2026-09-09</t>
        </is>
      </c>
      <c r="T520" s="5" t="inlineStr">
        <is>
          <t>1 cotización de proveedores</t>
        </is>
      </c>
    </row>
    <row r="521">
      <c r="A521" s="7" t="inlineStr">
        <is>
          <t>MAT-16-028</t>
        </is>
      </c>
      <c r="B521" s="7" t="inlineStr">
        <is>
          <t>Materiales</t>
        </is>
      </c>
      <c r="C521" s="7" t="inlineStr">
        <is>
          <t>Cámaras y videovigilancia</t>
        </is>
      </c>
      <c r="D521" s="5" t="inlineStr">
        <is>
          <t>Camara IP Bullet 2 Mp 2.8 Mm Wizsense Sdl</t>
        </is>
      </c>
      <c r="E521" s="5" t="inlineStr">
        <is>
          <t>marca DAHUA · camaras domo · referencia DH-IPC-HFW2249S-S-IL</t>
        </is>
      </c>
      <c r="F521" s="5" t="inlineStr">
        <is>
          <t>Material retirado en almacén</t>
        </is>
      </c>
      <c r="G521" s="5" t="inlineStr"/>
      <c r="H521" s="7" t="inlineStr">
        <is>
          <t>unidad</t>
        </is>
      </c>
      <c r="I521" s="7" t="inlineStr">
        <is>
          <t>Estructura</t>
        </is>
      </c>
      <c r="J521" s="7" t="inlineStr">
        <is>
          <t>estandar</t>
        </is>
      </c>
      <c r="K521" s="7" t="inlineStr">
        <is>
          <t>importado</t>
        </is>
      </c>
      <c r="L521" s="7" t="inlineStr">
        <is>
          <t>Verificado</t>
        </is>
      </c>
      <c r="M521" s="8" t="n">
        <v>1</v>
      </c>
      <c r="N521" s="9" t="n">
        <v>4606.9</v>
      </c>
      <c r="O521" s="9" t="n">
        <v>4606.9</v>
      </c>
      <c r="P521" s="9" t="n">
        <v>4606.9</v>
      </c>
      <c r="Q521" s="7" t="inlineStr">
        <is>
          <t>Sí</t>
        </is>
      </c>
      <c r="R521" s="9">
        <f>IF(N521="","",IF(Q521="Sí",ROUND(N521/1.18,2),N521))</f>
        <v/>
      </c>
      <c r="S521" s="7" t="inlineStr">
        <is>
          <t>2026-09-09</t>
        </is>
      </c>
      <c r="T521" s="5" t="inlineStr">
        <is>
          <t>1 cotización de proveedores</t>
        </is>
      </c>
    </row>
    <row r="522">
      <c r="A522" s="7" t="inlineStr">
        <is>
          <t>MAT-16-029</t>
        </is>
      </c>
      <c r="B522" s="7" t="inlineStr">
        <is>
          <t>Materiales</t>
        </is>
      </c>
      <c r="C522" s="7" t="inlineStr">
        <is>
          <t>Cámaras y videovigilancia</t>
        </is>
      </c>
      <c r="D522" s="5" t="inlineStr">
        <is>
          <t>Camara Turret 2 Mp Vf</t>
        </is>
      </c>
      <c r="E522" s="5" t="inlineStr">
        <is>
          <t>marca STD · camaras turret · referencia IPC-T312-APKZ-SC</t>
        </is>
      </c>
      <c r="F522" s="5" t="inlineStr">
        <is>
          <t>Material retirado en almacén</t>
        </is>
      </c>
      <c r="G522" s="5" t="inlineStr"/>
      <c r="H522" s="7" t="inlineStr">
        <is>
          <t>unidad</t>
        </is>
      </c>
      <c r="I522" s="7" t="inlineStr">
        <is>
          <t>Estructura</t>
        </is>
      </c>
      <c r="J522" s="7" t="inlineStr">
        <is>
          <t>estandar</t>
        </is>
      </c>
      <c r="K522" s="7" t="inlineStr">
        <is>
          <t>importado</t>
        </is>
      </c>
      <c r="L522" s="7" t="inlineStr">
        <is>
          <t>Verificado</t>
        </is>
      </c>
      <c r="M522" s="8" t="n">
        <v>1</v>
      </c>
      <c r="N522" s="9" t="n">
        <v>4679.99</v>
      </c>
      <c r="O522" s="9" t="n">
        <v>4679.99</v>
      </c>
      <c r="P522" s="9" t="n">
        <v>4679.99</v>
      </c>
      <c r="Q522" s="7" t="inlineStr">
        <is>
          <t>Sí</t>
        </is>
      </c>
      <c r="R522" s="9">
        <f>IF(N522="","",IF(Q522="Sí",ROUND(N522/1.18,2),N522))</f>
        <v/>
      </c>
      <c r="S522" s="7" t="inlineStr">
        <is>
          <t>2026-09-09</t>
        </is>
      </c>
      <c r="T522" s="5" t="inlineStr">
        <is>
          <t>1 cotización de proveedores</t>
        </is>
      </c>
    </row>
    <row r="523">
      <c r="A523" s="7" t="inlineStr">
        <is>
          <t>MAT-16-030</t>
        </is>
      </c>
      <c r="B523" s="7" t="inlineStr">
        <is>
          <t>Materiales</t>
        </is>
      </c>
      <c r="C523" s="7" t="inlineStr">
        <is>
          <t>Cámaras y videovigilancia</t>
        </is>
      </c>
      <c r="D523" s="5" t="inlineStr">
        <is>
          <t>Camara 2 Mp Net</t>
        </is>
      </c>
      <c r="E523" s="5" t="inlineStr">
        <is>
          <t>marca CCTV CORE · camaras domo · referencia COR-IP2TRF</t>
        </is>
      </c>
      <c r="F523" s="5" t="inlineStr">
        <is>
          <t>Material retirado en almacén</t>
        </is>
      </c>
      <c r="G523" s="5" t="inlineStr"/>
      <c r="H523" s="7" t="inlineStr">
        <is>
          <t>unidad</t>
        </is>
      </c>
      <c r="I523" s="7" t="inlineStr">
        <is>
          <t>Estructura</t>
        </is>
      </c>
      <c r="J523" s="7" t="inlineStr">
        <is>
          <t>estandar</t>
        </is>
      </c>
      <c r="K523" s="7" t="inlineStr">
        <is>
          <t>importado</t>
        </is>
      </c>
      <c r="L523" s="7" t="inlineStr">
        <is>
          <t>Verificado</t>
        </is>
      </c>
      <c r="M523" s="8" t="n">
        <v>1</v>
      </c>
      <c r="N523" s="9" t="n">
        <v>4807.61</v>
      </c>
      <c r="O523" s="9" t="n">
        <v>4807.61</v>
      </c>
      <c r="P523" s="9" t="n">
        <v>4807.61</v>
      </c>
      <c r="Q523" s="7" t="inlineStr">
        <is>
          <t>Sí</t>
        </is>
      </c>
      <c r="R523" s="9">
        <f>IF(N523="","",IF(Q523="Sí",ROUND(N523/1.18,2),N523))</f>
        <v/>
      </c>
      <c r="S523" s="7" t="inlineStr">
        <is>
          <t>2026-09-09</t>
        </is>
      </c>
      <c r="T523" s="5" t="inlineStr">
        <is>
          <t>1 cotización de proveedores</t>
        </is>
      </c>
    </row>
    <row r="524">
      <c r="A524" s="7" t="inlineStr">
        <is>
          <t>MAT-16-031</t>
        </is>
      </c>
      <c r="B524" s="7" t="inlineStr">
        <is>
          <t>Materiales</t>
        </is>
      </c>
      <c r="C524" s="7" t="inlineStr">
        <is>
          <t>Cámaras y videovigilancia</t>
        </is>
      </c>
      <c r="D524" s="5" t="inlineStr">
        <is>
          <t>Camara Bullet 2 Mp Lente Fija 2.8 Mm</t>
        </is>
      </c>
      <c r="E524" s="5" t="inlineStr">
        <is>
          <t>marca STD · camaras bullet · referencia IPC-B122-APF28-SC</t>
        </is>
      </c>
      <c r="F524" s="5" t="inlineStr">
        <is>
          <t>Material retirado en almacén</t>
        </is>
      </c>
      <c r="G524" s="5" t="inlineStr"/>
      <c r="H524" s="7" t="inlineStr">
        <is>
          <t>unidad</t>
        </is>
      </c>
      <c r="I524" s="7" t="inlineStr">
        <is>
          <t>Estructura</t>
        </is>
      </c>
      <c r="J524" s="7" t="inlineStr">
        <is>
          <t>estandar</t>
        </is>
      </c>
      <c r="K524" s="7" t="inlineStr">
        <is>
          <t>importado</t>
        </is>
      </c>
      <c r="L524" s="7" t="inlineStr">
        <is>
          <t>Verificado</t>
        </is>
      </c>
      <c r="M524" s="8" t="n">
        <v>1</v>
      </c>
      <c r="N524" s="9" t="n">
        <v>4918.58</v>
      </c>
      <c r="O524" s="9" t="n">
        <v>4918.58</v>
      </c>
      <c r="P524" s="9" t="n">
        <v>4918.58</v>
      </c>
      <c r="Q524" s="7" t="inlineStr">
        <is>
          <t>Sí</t>
        </is>
      </c>
      <c r="R524" s="9">
        <f>IF(N524="","",IF(Q524="Sí",ROUND(N524/1.18,2),N524))</f>
        <v/>
      </c>
      <c r="S524" s="7" t="inlineStr">
        <is>
          <t>2026-09-09</t>
        </is>
      </c>
      <c r="T524" s="5" t="inlineStr">
        <is>
          <t>1 cotización de proveedores</t>
        </is>
      </c>
    </row>
    <row r="525">
      <c r="A525" s="7" t="inlineStr">
        <is>
          <t>MAT-16-032</t>
        </is>
      </c>
      <c r="B525" s="7" t="inlineStr">
        <is>
          <t>Materiales</t>
        </is>
      </c>
      <c r="C525" s="7" t="inlineStr">
        <is>
          <t>Cámaras y videovigilancia</t>
        </is>
      </c>
      <c r="D525" s="5" t="inlineStr">
        <is>
          <t>Camara Domo Fixed Eyeball 4 Mp 2.8 Mm</t>
        </is>
      </c>
      <c r="E525" s="5" t="inlineStr">
        <is>
          <t>marca STD · camaras domo · referencia SC-3243-IGS-F28</t>
        </is>
      </c>
      <c r="F525" s="5" t="inlineStr">
        <is>
          <t>Material retirado en almacén</t>
        </is>
      </c>
      <c r="G525" s="5" t="inlineStr"/>
      <c r="H525" s="7" t="inlineStr">
        <is>
          <t>unidad</t>
        </is>
      </c>
      <c r="I525" s="7" t="inlineStr">
        <is>
          <t>Estructura</t>
        </is>
      </c>
      <c r="J525" s="7" t="inlineStr">
        <is>
          <t>estandar</t>
        </is>
      </c>
      <c r="K525" s="7" t="inlineStr">
        <is>
          <t>importado</t>
        </is>
      </c>
      <c r="L525" s="7" t="inlineStr">
        <is>
          <t>Verificado</t>
        </is>
      </c>
      <c r="M525" s="8" t="n">
        <v>1</v>
      </c>
      <c r="N525" s="9" t="n">
        <v>5009.67</v>
      </c>
      <c r="O525" s="9" t="n">
        <v>5009.67</v>
      </c>
      <c r="P525" s="9" t="n">
        <v>5009.67</v>
      </c>
      <c r="Q525" s="7" t="inlineStr">
        <is>
          <t>Sí</t>
        </is>
      </c>
      <c r="R525" s="9">
        <f>IF(N525="","",IF(Q525="Sí",ROUND(N525/1.18,2),N525))</f>
        <v/>
      </c>
      <c r="S525" s="7" t="inlineStr">
        <is>
          <t>2026-09-09</t>
        </is>
      </c>
      <c r="T525" s="5" t="inlineStr">
        <is>
          <t>1 cotización de proveedores</t>
        </is>
      </c>
    </row>
    <row r="526">
      <c r="A526" s="7" t="inlineStr">
        <is>
          <t>MAT-16-033</t>
        </is>
      </c>
      <c r="B526" s="7" t="inlineStr">
        <is>
          <t>Materiales</t>
        </is>
      </c>
      <c r="C526" s="7" t="inlineStr">
        <is>
          <t>Cámaras y videovigilancia</t>
        </is>
      </c>
      <c r="D526" s="5" t="inlineStr">
        <is>
          <t>Camara Domo Ir Fixed Eyeball 4 Mp</t>
        </is>
      </c>
      <c r="E526" s="5" t="inlineStr">
        <is>
          <t>marca STD · camaras domo · referencia SC-3143-IGS-F28</t>
        </is>
      </c>
      <c r="F526" s="5" t="inlineStr">
        <is>
          <t>Material retirado en almacén</t>
        </is>
      </c>
      <c r="G526" s="5" t="inlineStr"/>
      <c r="H526" s="7" t="inlineStr">
        <is>
          <t>unidad</t>
        </is>
      </c>
      <c r="I526" s="7" t="inlineStr">
        <is>
          <t>Estructura</t>
        </is>
      </c>
      <c r="J526" s="7" t="inlineStr">
        <is>
          <t>estandar</t>
        </is>
      </c>
      <c r="K526" s="7" t="inlineStr">
        <is>
          <t>importado</t>
        </is>
      </c>
      <c r="L526" s="7" t="inlineStr">
        <is>
          <t>Verificado</t>
        </is>
      </c>
      <c r="M526" s="8" t="n">
        <v>1</v>
      </c>
      <c r="N526" s="9" t="n">
        <v>5040.65</v>
      </c>
      <c r="O526" s="9" t="n">
        <v>5040.65</v>
      </c>
      <c r="P526" s="9" t="n">
        <v>5040.65</v>
      </c>
      <c r="Q526" s="7" t="inlineStr">
        <is>
          <t>Sí</t>
        </is>
      </c>
      <c r="R526" s="9">
        <f>IF(N526="","",IF(Q526="Sí",ROUND(N526/1.18,2),N526))</f>
        <v/>
      </c>
      <c r="S526" s="7" t="inlineStr">
        <is>
          <t>2026-09-09</t>
        </is>
      </c>
      <c r="T526" s="5" t="inlineStr">
        <is>
          <t>1 cotización de proveedores</t>
        </is>
      </c>
    </row>
    <row r="527">
      <c r="A527" s="7" t="inlineStr">
        <is>
          <t>MAT-16-034</t>
        </is>
      </c>
      <c r="B527" s="7" t="inlineStr">
        <is>
          <t>Materiales</t>
        </is>
      </c>
      <c r="C527" s="7" t="inlineStr">
        <is>
          <t>Cámaras y videovigilancia</t>
        </is>
      </c>
      <c r="D527" s="5" t="inlineStr">
        <is>
          <t>Camara Inala Smart Ext 2 Mp 1080P Reflect</t>
        </is>
      </c>
      <c r="E527" s="5" t="inlineStr">
        <is>
          <t>marca UNNO · camaras pir · referencia CM1412WT</t>
        </is>
      </c>
      <c r="F527" s="5" t="inlineStr">
        <is>
          <t>Material retirado en almacén</t>
        </is>
      </c>
      <c r="G527" s="5" t="inlineStr"/>
      <c r="H527" s="7" t="inlineStr">
        <is>
          <t>unidad</t>
        </is>
      </c>
      <c r="I527" s="7" t="inlineStr">
        <is>
          <t>Estructura</t>
        </is>
      </c>
      <c r="J527" s="7" t="inlineStr">
        <is>
          <t>estandar</t>
        </is>
      </c>
      <c r="K527" s="7" t="inlineStr">
        <is>
          <t>importado</t>
        </is>
      </c>
      <c r="L527" s="7" t="inlineStr">
        <is>
          <t>Verificado</t>
        </is>
      </c>
      <c r="M527" s="8" t="n">
        <v>1</v>
      </c>
      <c r="N527" s="9" t="n">
        <v>5421.17</v>
      </c>
      <c r="O527" s="9" t="n">
        <v>5421.17</v>
      </c>
      <c r="P527" s="9" t="n">
        <v>5421.17</v>
      </c>
      <c r="Q527" s="7" t="inlineStr">
        <is>
          <t>Sí</t>
        </is>
      </c>
      <c r="R527" s="9">
        <f>IF(N527="","",IF(Q527="Sí",ROUND(N527/1.18,2),N527))</f>
        <v/>
      </c>
      <c r="S527" s="7" t="inlineStr">
        <is>
          <t>2026-09-09</t>
        </is>
      </c>
      <c r="T527" s="5" t="inlineStr">
        <is>
          <t>1 cotización de proveedores</t>
        </is>
      </c>
    </row>
    <row r="528">
      <c r="A528" s="7" t="inlineStr">
        <is>
          <t>MAT-16-035</t>
        </is>
      </c>
      <c r="B528" s="7" t="inlineStr">
        <is>
          <t>Materiales</t>
        </is>
      </c>
      <c r="C528" s="7" t="inlineStr">
        <is>
          <t>Cámaras y videovigilancia</t>
        </is>
      </c>
      <c r="D528" s="5" t="inlineStr">
        <is>
          <t>Camara Turret 5 Mp Vf</t>
        </is>
      </c>
      <c r="E528" s="5" t="inlineStr">
        <is>
          <t>marca STD · camaras turret · referencia IPC-T315-APKZ-SC</t>
        </is>
      </c>
      <c r="F528" s="5" t="inlineStr">
        <is>
          <t>Material retirado en almacén</t>
        </is>
      </c>
      <c r="G528" s="5" t="inlineStr"/>
      <c r="H528" s="7" t="inlineStr">
        <is>
          <t>unidad</t>
        </is>
      </c>
      <c r="I528" s="7" t="inlineStr">
        <is>
          <t>Estructura</t>
        </is>
      </c>
      <c r="J528" s="7" t="inlineStr">
        <is>
          <t>estandar</t>
        </is>
      </c>
      <c r="K528" s="7" t="inlineStr">
        <is>
          <t>importado</t>
        </is>
      </c>
      <c r="L528" s="7" t="inlineStr">
        <is>
          <t>Verificado</t>
        </is>
      </c>
      <c r="M528" s="8" t="n">
        <v>1</v>
      </c>
      <c r="N528" s="9" t="n">
        <v>5427.13</v>
      </c>
      <c r="O528" s="9" t="n">
        <v>5427.13</v>
      </c>
      <c r="P528" s="9" t="n">
        <v>5427.13</v>
      </c>
      <c r="Q528" s="7" t="inlineStr">
        <is>
          <t>Sí</t>
        </is>
      </c>
      <c r="R528" s="9">
        <f>IF(N528="","",IF(Q528="Sí",ROUND(N528/1.18,2),N528))</f>
        <v/>
      </c>
      <c r="S528" s="7" t="inlineStr">
        <is>
          <t>2026-09-09</t>
        </is>
      </c>
      <c r="T528" s="5" t="inlineStr">
        <is>
          <t>1 cotización de proveedores</t>
        </is>
      </c>
    </row>
    <row r="529">
      <c r="A529" s="7" t="inlineStr">
        <is>
          <t>MAT-16-036</t>
        </is>
      </c>
      <c r="B529" s="7" t="inlineStr">
        <is>
          <t>Materiales</t>
        </is>
      </c>
      <c r="C529" s="7" t="inlineStr">
        <is>
          <t>Cámaras y videovigilancia</t>
        </is>
      </c>
      <c r="D529" s="5" t="inlineStr">
        <is>
          <t>Camara Domo 5 Mp Vf 2.8-12 Mm</t>
        </is>
      </c>
      <c r="E529" s="5" t="inlineStr">
        <is>
          <t>marca STD · camaras domo · referencia IPC-D315-APKZ-SC</t>
        </is>
      </c>
      <c r="F529" s="5" t="inlineStr">
        <is>
          <t>Material retirado en almacén</t>
        </is>
      </c>
      <c r="G529" s="5" t="inlineStr"/>
      <c r="H529" s="7" t="inlineStr">
        <is>
          <t>unidad</t>
        </is>
      </c>
      <c r="I529" s="7" t="inlineStr">
        <is>
          <t>Estructura</t>
        </is>
      </c>
      <c r="J529" s="7" t="inlineStr">
        <is>
          <t>estandar</t>
        </is>
      </c>
      <c r="K529" s="7" t="inlineStr">
        <is>
          <t>importado</t>
        </is>
      </c>
      <c r="L529" s="7" t="inlineStr">
        <is>
          <t>Verificado</t>
        </is>
      </c>
      <c r="M529" s="8" t="n">
        <v>1</v>
      </c>
      <c r="N529" s="9" t="n">
        <v>5448.59</v>
      </c>
      <c r="O529" s="9" t="n">
        <v>5448.59</v>
      </c>
      <c r="P529" s="9" t="n">
        <v>5448.59</v>
      </c>
      <c r="Q529" s="7" t="inlineStr">
        <is>
          <t>Sí</t>
        </is>
      </c>
      <c r="R529" s="9">
        <f>IF(N529="","",IF(Q529="Sí",ROUND(N529/1.18,2),N529))</f>
        <v/>
      </c>
      <c r="S529" s="7" t="inlineStr">
        <is>
          <t>2026-09-09</t>
        </is>
      </c>
      <c r="T529" s="5" t="inlineStr">
        <is>
          <t>1 cotización de proveedores</t>
        </is>
      </c>
    </row>
    <row r="530">
      <c r="A530" s="7" t="inlineStr">
        <is>
          <t>MAT-16-037</t>
        </is>
      </c>
      <c r="B530" s="7" t="inlineStr">
        <is>
          <t>Materiales</t>
        </is>
      </c>
      <c r="C530" s="7" t="inlineStr">
        <is>
          <t>Cámaras y videovigilancia</t>
        </is>
      </c>
      <c r="D530" s="5" t="inlineStr">
        <is>
          <t>Camara tipo Bullet Net exterior Ir 1920 Hx1080V</t>
        </is>
      </c>
      <c r="E530" s="5" t="inlineStr">
        <is>
          <t>marca CCTV CORE · camaras bullet · referencia COR-IP2BF</t>
        </is>
      </c>
      <c r="F530" s="5" t="inlineStr">
        <is>
          <t>Material retirado en almacén</t>
        </is>
      </c>
      <c r="G530" s="5" t="inlineStr"/>
      <c r="H530" s="7" t="inlineStr">
        <is>
          <t>unidad</t>
        </is>
      </c>
      <c r="I530" s="7" t="inlineStr">
        <is>
          <t>Estructura</t>
        </is>
      </c>
      <c r="J530" s="7" t="inlineStr">
        <is>
          <t>estandar</t>
        </is>
      </c>
      <c r="K530" s="7" t="inlineStr">
        <is>
          <t>importado</t>
        </is>
      </c>
      <c r="L530" s="7" t="inlineStr">
        <is>
          <t>Verificado</t>
        </is>
      </c>
      <c r="M530" s="8" t="n">
        <v>1</v>
      </c>
      <c r="N530" s="9" t="n">
        <v>5547.25</v>
      </c>
      <c r="O530" s="9" t="n">
        <v>5547.25</v>
      </c>
      <c r="P530" s="9" t="n">
        <v>5547.25</v>
      </c>
      <c r="Q530" s="7" t="inlineStr">
        <is>
          <t>Sí</t>
        </is>
      </c>
      <c r="R530" s="9">
        <f>IF(N530="","",IF(Q530="Sí",ROUND(N530/1.18,2),N530))</f>
        <v/>
      </c>
      <c r="S530" s="7" t="inlineStr">
        <is>
          <t>2026-09-09</t>
        </is>
      </c>
      <c r="T530" s="5" t="inlineStr">
        <is>
          <t>1 cotización de proveedores</t>
        </is>
      </c>
    </row>
    <row r="531">
      <c r="A531" s="7" t="inlineStr">
        <is>
          <t>MAT-16-038</t>
        </is>
      </c>
      <c r="B531" s="7" t="inlineStr">
        <is>
          <t>Materiales</t>
        </is>
      </c>
      <c r="C531" s="7" t="inlineStr">
        <is>
          <t>Cámaras y videovigilancia</t>
        </is>
      </c>
      <c r="D531" s="5" t="inlineStr">
        <is>
          <t>Camara Bullet 5 Mp Lente Vf 2.8 Mm</t>
        </is>
      </c>
      <c r="E531" s="5" t="inlineStr">
        <is>
          <t>marca STD · camaras bullet · referencia IPC-B315-APKZ-SC</t>
        </is>
      </c>
      <c r="F531" s="5" t="inlineStr">
        <is>
          <t>Material retirado en almacén</t>
        </is>
      </c>
      <c r="G531" s="5" t="inlineStr"/>
      <c r="H531" s="7" t="inlineStr">
        <is>
          <t>unidad</t>
        </is>
      </c>
      <c r="I531" s="7" t="inlineStr">
        <is>
          <t>Estructura</t>
        </is>
      </c>
      <c r="J531" s="7" t="inlineStr">
        <is>
          <t>estandar</t>
        </is>
      </c>
      <c r="K531" s="7" t="inlineStr">
        <is>
          <t>importado</t>
        </is>
      </c>
      <c r="L531" s="7" t="inlineStr">
        <is>
          <t>Verificado</t>
        </is>
      </c>
      <c r="M531" s="8" t="n">
        <v>1</v>
      </c>
      <c r="N531" s="9" t="n">
        <v>5675.9</v>
      </c>
      <c r="O531" s="9" t="n">
        <v>5675.9</v>
      </c>
      <c r="P531" s="9" t="n">
        <v>5675.9</v>
      </c>
      <c r="Q531" s="7" t="inlineStr">
        <is>
          <t>Sí</t>
        </is>
      </c>
      <c r="R531" s="9">
        <f>IF(N531="","",IF(Q531="Sí",ROUND(N531/1.18,2),N531))</f>
        <v/>
      </c>
      <c r="S531" s="7" t="inlineStr">
        <is>
          <t>2026-09-09</t>
        </is>
      </c>
      <c r="T531" s="5" t="inlineStr">
        <is>
          <t>1 cotización de proveedores</t>
        </is>
      </c>
    </row>
    <row r="532">
      <c r="A532" s="7" t="inlineStr">
        <is>
          <t>MAT-16-039</t>
        </is>
      </c>
      <c r="B532" s="7" t="inlineStr">
        <is>
          <t>Materiales</t>
        </is>
      </c>
      <c r="C532" s="7" t="inlineStr">
        <is>
          <t>Cámaras y videovigilancia</t>
        </is>
      </c>
      <c r="D532" s="5" t="inlineStr">
        <is>
          <t>Camara Domo Fixed Eyeball 5 Mp 2.8 Mm</t>
        </is>
      </c>
      <c r="E532" s="5" t="inlineStr">
        <is>
          <t>marca STD · camaras domo · referencia SC-3253-IGS-F28</t>
        </is>
      </c>
      <c r="F532" s="5" t="inlineStr">
        <is>
          <t>Material retirado en almacén</t>
        </is>
      </c>
      <c r="G532" s="5" t="inlineStr"/>
      <c r="H532" s="7" t="inlineStr">
        <is>
          <t>unidad</t>
        </is>
      </c>
      <c r="I532" s="7" t="inlineStr">
        <is>
          <t>Estructura</t>
        </is>
      </c>
      <c r="J532" s="7" t="inlineStr">
        <is>
          <t>estandar</t>
        </is>
      </c>
      <c r="K532" s="7" t="inlineStr">
        <is>
          <t>importado</t>
        </is>
      </c>
      <c r="L532" s="7" t="inlineStr">
        <is>
          <t>Verificado</t>
        </is>
      </c>
      <c r="M532" s="8" t="n">
        <v>1</v>
      </c>
      <c r="N532" s="9" t="n">
        <v>6122.92</v>
      </c>
      <c r="O532" s="9" t="n">
        <v>6122.92</v>
      </c>
      <c r="P532" s="9" t="n">
        <v>6122.92</v>
      </c>
      <c r="Q532" s="7" t="inlineStr">
        <is>
          <t>Sí</t>
        </is>
      </c>
      <c r="R532" s="9">
        <f>IF(N532="","",IF(Q532="Sí",ROUND(N532/1.18,2),N532))</f>
        <v/>
      </c>
      <c r="S532" s="7" t="inlineStr">
        <is>
          <t>2026-09-09</t>
        </is>
      </c>
      <c r="T532" s="5" t="inlineStr">
        <is>
          <t>1 cotización de proveedores</t>
        </is>
      </c>
    </row>
    <row r="533">
      <c r="A533" s="7" t="inlineStr">
        <is>
          <t>MAT-16-040</t>
        </is>
      </c>
      <c r="B533" s="7" t="inlineStr">
        <is>
          <t>Materiales</t>
        </is>
      </c>
      <c r="C533" s="7" t="inlineStr">
        <is>
          <t>Cámaras y videovigilancia</t>
        </is>
      </c>
      <c r="D533" s="5" t="inlineStr">
        <is>
          <t>Camara tipo Domo 5 Mp 2.8 Mm Ir Varifocal</t>
        </is>
      </c>
      <c r="E533" s="5" t="inlineStr">
        <is>
          <t>marca CCTV CORE · camaras domo · referencia COR-H5TRV</t>
        </is>
      </c>
      <c r="F533" s="5" t="inlineStr">
        <is>
          <t>Material retirado en almacén</t>
        </is>
      </c>
      <c r="G533" s="5" t="inlineStr"/>
      <c r="H533" s="7" t="inlineStr">
        <is>
          <t>unidad</t>
        </is>
      </c>
      <c r="I533" s="7" t="inlineStr">
        <is>
          <t>Estructura</t>
        </is>
      </c>
      <c r="J533" s="7" t="inlineStr">
        <is>
          <t>estandar</t>
        </is>
      </c>
      <c r="K533" s="7" t="inlineStr">
        <is>
          <t>importado</t>
        </is>
      </c>
      <c r="L533" s="7" t="inlineStr">
        <is>
          <t>Verificado</t>
        </is>
      </c>
      <c r="M533" s="8" t="n">
        <v>1</v>
      </c>
      <c r="N533" s="9" t="n">
        <v>7248.37</v>
      </c>
      <c r="O533" s="9" t="n">
        <v>7248.37</v>
      </c>
      <c r="P533" s="9" t="n">
        <v>7248.37</v>
      </c>
      <c r="Q533" s="7" t="inlineStr">
        <is>
          <t>Sí</t>
        </is>
      </c>
      <c r="R533" s="9">
        <f>IF(N533="","",IF(Q533="Sí",ROUND(N533/1.18,2),N533))</f>
        <v/>
      </c>
      <c r="S533" s="7" t="inlineStr">
        <is>
          <t>2026-09-09</t>
        </is>
      </c>
      <c r="T533" s="5" t="inlineStr">
        <is>
          <t>1 cotización de proveedores</t>
        </is>
      </c>
    </row>
    <row r="534">
      <c r="A534" s="7" t="inlineStr">
        <is>
          <t>MAT-16-041</t>
        </is>
      </c>
      <c r="B534" s="7" t="inlineStr">
        <is>
          <t>Materiales</t>
        </is>
      </c>
      <c r="C534" s="7" t="inlineStr">
        <is>
          <t>Cámaras y videovigilancia</t>
        </is>
      </c>
      <c r="D534" s="5" t="inlineStr">
        <is>
          <t>Camara 2 Mp Net 2.8-12 Mm</t>
        </is>
      </c>
      <c r="E534" s="5" t="inlineStr">
        <is>
          <t>marca CCTV CORE · camaras domo · referencia COR-IP2TRV</t>
        </is>
      </c>
      <c r="F534" s="5" t="inlineStr">
        <is>
          <t>Material retirado en almacén</t>
        </is>
      </c>
      <c r="G534" s="5" t="inlineStr"/>
      <c r="H534" s="7" t="inlineStr">
        <is>
          <t>unidad</t>
        </is>
      </c>
      <c r="I534" s="7" t="inlineStr">
        <is>
          <t>Estructura</t>
        </is>
      </c>
      <c r="J534" s="7" t="inlineStr">
        <is>
          <t>estandar</t>
        </is>
      </c>
      <c r="K534" s="7" t="inlineStr">
        <is>
          <t>importado</t>
        </is>
      </c>
      <c r="L534" s="7" t="inlineStr">
        <is>
          <t>Verificado</t>
        </is>
      </c>
      <c r="M534" s="8" t="n">
        <v>1</v>
      </c>
      <c r="N534" s="9" t="n">
        <v>7322.31</v>
      </c>
      <c r="O534" s="9" t="n">
        <v>7322.31</v>
      </c>
      <c r="P534" s="9" t="n">
        <v>7322.31</v>
      </c>
      <c r="Q534" s="7" t="inlineStr">
        <is>
          <t>Sí</t>
        </is>
      </c>
      <c r="R534" s="9">
        <f>IF(N534="","",IF(Q534="Sí",ROUND(N534/1.18,2),N534))</f>
        <v/>
      </c>
      <c r="S534" s="7" t="inlineStr">
        <is>
          <t>2026-09-09</t>
        </is>
      </c>
      <c r="T534" s="5" t="inlineStr">
        <is>
          <t>1 cotización de proveedores</t>
        </is>
      </c>
    </row>
    <row r="535">
      <c r="A535" s="7" t="inlineStr">
        <is>
          <t>MAT-16-042</t>
        </is>
      </c>
      <c r="B535" s="7" t="inlineStr">
        <is>
          <t>Materiales</t>
        </is>
      </c>
      <c r="C535" s="7" t="inlineStr">
        <is>
          <t>Cámaras y videovigilancia</t>
        </is>
      </c>
      <c r="D535" s="5" t="inlineStr">
        <is>
          <t>Camara 5 Mp Net Ir 2.8 Mm</t>
        </is>
      </c>
      <c r="E535" s="5" t="inlineStr">
        <is>
          <t>marca CCTV CORE · camaras domo · referencia COR-IP5TRF</t>
        </is>
      </c>
      <c r="F535" s="5" t="inlineStr">
        <is>
          <t>Material retirado en almacén</t>
        </is>
      </c>
      <c r="G535" s="5" t="inlineStr"/>
      <c r="H535" s="7" t="inlineStr">
        <is>
          <t>unidad</t>
        </is>
      </c>
      <c r="I535" s="7" t="inlineStr">
        <is>
          <t>Estructura</t>
        </is>
      </c>
      <c r="J535" s="7" t="inlineStr">
        <is>
          <t>estandar</t>
        </is>
      </c>
      <c r="K535" s="7" t="inlineStr">
        <is>
          <t>importado</t>
        </is>
      </c>
      <c r="L535" s="7" t="inlineStr">
        <is>
          <t>Verificado</t>
        </is>
      </c>
      <c r="M535" s="8" t="n">
        <v>1</v>
      </c>
      <c r="N535" s="9" t="n">
        <v>7322.31</v>
      </c>
      <c r="O535" s="9" t="n">
        <v>7322.31</v>
      </c>
      <c r="P535" s="9" t="n">
        <v>7322.31</v>
      </c>
      <c r="Q535" s="7" t="inlineStr">
        <is>
          <t>Sí</t>
        </is>
      </c>
      <c r="R535" s="9">
        <f>IF(N535="","",IF(Q535="Sí",ROUND(N535/1.18,2),N535))</f>
        <v/>
      </c>
      <c r="S535" s="7" t="inlineStr">
        <is>
          <t>2026-09-09</t>
        </is>
      </c>
      <c r="T535" s="5" t="inlineStr">
        <is>
          <t>1 cotización de proveedores</t>
        </is>
      </c>
    </row>
    <row r="536">
      <c r="A536" s="7" t="inlineStr">
        <is>
          <t>MAT-16-043</t>
        </is>
      </c>
      <c r="B536" s="7" t="inlineStr">
        <is>
          <t>Materiales</t>
        </is>
      </c>
      <c r="C536" s="7" t="inlineStr">
        <is>
          <t>Cámaras y videovigilancia</t>
        </is>
      </c>
      <c r="D536" s="5" t="inlineStr">
        <is>
          <t>Camara tipo Bullet 5 Mp exterior Net 2.8 Mm</t>
        </is>
      </c>
      <c r="E536" s="5" t="inlineStr">
        <is>
          <t>marca CCTV CORE · camaras bullet · referencia COR-IP5BF</t>
        </is>
      </c>
      <c r="F536" s="5" t="inlineStr">
        <is>
          <t>Material retirado en almacén</t>
        </is>
      </c>
      <c r="G536" s="5" t="inlineStr"/>
      <c r="H536" s="7" t="inlineStr">
        <is>
          <t>unidad</t>
        </is>
      </c>
      <c r="I536" s="7" t="inlineStr">
        <is>
          <t>Estructura</t>
        </is>
      </c>
      <c r="J536" s="7" t="inlineStr">
        <is>
          <t>estandar</t>
        </is>
      </c>
      <c r="K536" s="7" t="inlineStr">
        <is>
          <t>importado</t>
        </is>
      </c>
      <c r="L536" s="7" t="inlineStr">
        <is>
          <t>Verificado</t>
        </is>
      </c>
      <c r="M536" s="8" t="n">
        <v>1</v>
      </c>
      <c r="N536" s="9" t="n">
        <v>7322.31</v>
      </c>
      <c r="O536" s="9" t="n">
        <v>7322.31</v>
      </c>
      <c r="P536" s="9" t="n">
        <v>7322.31</v>
      </c>
      <c r="Q536" s="7" t="inlineStr">
        <is>
          <t>Sí</t>
        </is>
      </c>
      <c r="R536" s="9">
        <f>IF(N536="","",IF(Q536="Sí",ROUND(N536/1.18,2),N536))</f>
        <v/>
      </c>
      <c r="S536" s="7" t="inlineStr">
        <is>
          <t>2026-09-09</t>
        </is>
      </c>
      <c r="T536" s="5" t="inlineStr">
        <is>
          <t>1 cotización de proveedores</t>
        </is>
      </c>
    </row>
    <row r="537">
      <c r="A537" s="7" t="inlineStr">
        <is>
          <t>MAT-16-044</t>
        </is>
      </c>
      <c r="B537" s="7" t="inlineStr">
        <is>
          <t>Materiales</t>
        </is>
      </c>
      <c r="C537" s="7" t="inlineStr">
        <is>
          <t>Cámaras y videovigilancia</t>
        </is>
      </c>
      <c r="D537" s="5" t="inlineStr">
        <is>
          <t>Camara Domo Motorizada 4 Mp 2.8-12 Mm</t>
        </is>
      </c>
      <c r="E537" s="5" t="inlineStr">
        <is>
          <t>marca STD · camaras domo · referencia SC-3743F-IGZ</t>
        </is>
      </c>
      <c r="F537" s="5" t="inlineStr">
        <is>
          <t>Material retirado en almacén</t>
        </is>
      </c>
      <c r="G537" s="5" t="inlineStr"/>
      <c r="H537" s="7" t="inlineStr">
        <is>
          <t>unidad</t>
        </is>
      </c>
      <c r="I537" s="7" t="inlineStr">
        <is>
          <t>Estructura</t>
        </is>
      </c>
      <c r="J537" s="7" t="inlineStr">
        <is>
          <t>estandar</t>
        </is>
      </c>
      <c r="K537" s="7" t="inlineStr">
        <is>
          <t>importado</t>
        </is>
      </c>
      <c r="L537" s="7" t="inlineStr">
        <is>
          <t>Verificado</t>
        </is>
      </c>
      <c r="M537" s="8" t="n">
        <v>1</v>
      </c>
      <c r="N537" s="9" t="n">
        <v>8268.27</v>
      </c>
      <c r="O537" s="9" t="n">
        <v>8268.27</v>
      </c>
      <c r="P537" s="9" t="n">
        <v>8268.27</v>
      </c>
      <c r="Q537" s="7" t="inlineStr">
        <is>
          <t>Sí</t>
        </is>
      </c>
      <c r="R537" s="9">
        <f>IF(N537="","",IF(Q537="Sí",ROUND(N537/1.18,2),N537))</f>
        <v/>
      </c>
      <c r="S537" s="7" t="inlineStr">
        <is>
          <t>2026-09-09</t>
        </is>
      </c>
      <c r="T537" s="5" t="inlineStr">
        <is>
          <t>1 cotización de proveedores</t>
        </is>
      </c>
    </row>
    <row r="538">
      <c r="A538" s="7" t="inlineStr">
        <is>
          <t>MAT-16-045</t>
        </is>
      </c>
      <c r="B538" s="7" t="inlineStr">
        <is>
          <t>Materiales</t>
        </is>
      </c>
      <c r="C538" s="7" t="inlineStr">
        <is>
          <t>Cámaras y videovigilancia</t>
        </is>
      </c>
      <c r="D538" s="5" t="inlineStr">
        <is>
          <t>Camara Bullet 2 Mp 2.8-12 Mm</t>
        </is>
      </c>
      <c r="E538" s="5" t="inlineStr">
        <is>
          <t>marca SECTECH · camaras bullet · referencia B312-APKZ</t>
        </is>
      </c>
      <c r="F538" s="5" t="inlineStr">
        <is>
          <t>Material retirado en almacén</t>
        </is>
      </c>
      <c r="G538" s="5" t="inlineStr"/>
      <c r="H538" s="7" t="inlineStr">
        <is>
          <t>unidad</t>
        </is>
      </c>
      <c r="I538" s="7" t="inlineStr">
        <is>
          <t>Estructura</t>
        </is>
      </c>
      <c r="J538" s="7" t="inlineStr">
        <is>
          <t>estandar</t>
        </is>
      </c>
      <c r="K538" s="7" t="inlineStr">
        <is>
          <t>importado</t>
        </is>
      </c>
      <c r="L538" s="7" t="inlineStr">
        <is>
          <t>Verificado</t>
        </is>
      </c>
      <c r="M538" s="8" t="n">
        <v>1</v>
      </c>
      <c r="N538" s="9" t="n">
        <v>8594.82</v>
      </c>
      <c r="O538" s="9" t="n">
        <v>8594.82</v>
      </c>
      <c r="P538" s="9" t="n">
        <v>8594.82</v>
      </c>
      <c r="Q538" s="7" t="inlineStr">
        <is>
          <t>Sí</t>
        </is>
      </c>
      <c r="R538" s="9">
        <f>IF(N538="","",IF(Q538="Sí",ROUND(N538/1.18,2),N538))</f>
        <v/>
      </c>
      <c r="S538" s="7" t="inlineStr">
        <is>
          <t>2026-09-09</t>
        </is>
      </c>
      <c r="T538" s="5" t="inlineStr">
        <is>
          <t>1 cotización de proveedores</t>
        </is>
      </c>
    </row>
    <row r="539">
      <c r="A539" s="7" t="inlineStr">
        <is>
          <t>MAT-16-046</t>
        </is>
      </c>
      <c r="B539" s="7" t="inlineStr">
        <is>
          <t>Materiales</t>
        </is>
      </c>
      <c r="C539" s="7" t="inlineStr">
        <is>
          <t>Cámaras y videovigilancia</t>
        </is>
      </c>
      <c r="D539" s="5" t="inlineStr">
        <is>
          <t>Camara 2 Mp 2.8-12 Mm Net Autofocus</t>
        </is>
      </c>
      <c r="E539" s="5" t="inlineStr">
        <is>
          <t>marca CCTV CORE · camaras bullet · referencia COR-IP2BV</t>
        </is>
      </c>
      <c r="F539" s="5" t="inlineStr">
        <is>
          <t>Material retirado en almacén</t>
        </is>
      </c>
      <c r="G539" s="5" t="inlineStr"/>
      <c r="H539" s="7" t="inlineStr">
        <is>
          <t>unidad</t>
        </is>
      </c>
      <c r="I539" s="7" t="inlineStr">
        <is>
          <t>Estructura</t>
        </is>
      </c>
      <c r="J539" s="7" t="inlineStr">
        <is>
          <t>estandar</t>
        </is>
      </c>
      <c r="K539" s="7" t="inlineStr">
        <is>
          <t>importado</t>
        </is>
      </c>
      <c r="L539" s="7" t="inlineStr">
        <is>
          <t>Verificado</t>
        </is>
      </c>
      <c r="M539" s="8" t="n">
        <v>1</v>
      </c>
      <c r="N539" s="9" t="n">
        <v>8801.58</v>
      </c>
      <c r="O539" s="9" t="n">
        <v>8801.58</v>
      </c>
      <c r="P539" s="9" t="n">
        <v>8801.58</v>
      </c>
      <c r="Q539" s="7" t="inlineStr">
        <is>
          <t>Sí</t>
        </is>
      </c>
      <c r="R539" s="9">
        <f>IF(N539="","",IF(Q539="Sí",ROUND(N539/1.18,2),N539))</f>
        <v/>
      </c>
      <c r="S539" s="7" t="inlineStr">
        <is>
          <t>2026-09-09</t>
        </is>
      </c>
      <c r="T539" s="5" t="inlineStr">
        <is>
          <t>1 cotización de proveedores</t>
        </is>
      </c>
    </row>
    <row r="540">
      <c r="A540" s="7" t="inlineStr">
        <is>
          <t>MAT-16-047</t>
        </is>
      </c>
      <c r="B540" s="7" t="inlineStr">
        <is>
          <t>Materiales</t>
        </is>
      </c>
      <c r="C540" s="7" t="inlineStr">
        <is>
          <t>Cámaras y videovigilancia</t>
        </is>
      </c>
      <c r="D540" s="5" t="inlineStr">
        <is>
          <t>Camara Bullet 4 Mp</t>
        </is>
      </c>
      <c r="E540" s="5" t="inlineStr">
        <is>
          <t>marca SECTECH · camaras bullet · referencia IPC-B124-APF28-SC</t>
        </is>
      </c>
      <c r="F540" s="5" t="inlineStr">
        <is>
          <t>Material retirado en almacén</t>
        </is>
      </c>
      <c r="G540" s="5" t="inlineStr"/>
      <c r="H540" s="7" t="inlineStr">
        <is>
          <t>unidad</t>
        </is>
      </c>
      <c r="I540" s="7" t="inlineStr">
        <is>
          <t>Estructura</t>
        </is>
      </c>
      <c r="J540" s="7" t="inlineStr">
        <is>
          <t>estandar</t>
        </is>
      </c>
      <c r="K540" s="7" t="inlineStr">
        <is>
          <t>importado</t>
        </is>
      </c>
      <c r="L540" s="7" t="inlineStr">
        <is>
          <t>Verificado</t>
        </is>
      </c>
      <c r="M540" s="8" t="n">
        <v>1</v>
      </c>
      <c r="N540" s="9" t="n">
        <v>9064.129999999999</v>
      </c>
      <c r="O540" s="9" t="n">
        <v>9064.129999999999</v>
      </c>
      <c r="P540" s="9" t="n">
        <v>9064.129999999999</v>
      </c>
      <c r="Q540" s="7" t="inlineStr">
        <is>
          <t>Sí</t>
        </is>
      </c>
      <c r="R540" s="9">
        <f>IF(N540="","",IF(Q540="Sí",ROUND(N540/1.18,2),N540))</f>
        <v/>
      </c>
      <c r="S540" s="7" t="inlineStr">
        <is>
          <t>2026-09-09</t>
        </is>
      </c>
      <c r="T540" s="5" t="inlineStr">
        <is>
          <t>1 cotización de proveedores</t>
        </is>
      </c>
    </row>
    <row r="541">
      <c r="A541" s="7" t="inlineStr">
        <is>
          <t>MAT-16-048</t>
        </is>
      </c>
      <c r="B541" s="7" t="inlineStr">
        <is>
          <t>Materiales</t>
        </is>
      </c>
      <c r="C541" s="7" t="inlineStr">
        <is>
          <t>Cámaras y videovigilancia</t>
        </is>
      </c>
      <c r="D541" s="5" t="inlineStr">
        <is>
          <t>Camara 5 Mp exterior Net 360 Gr Pano.</t>
        </is>
      </c>
      <c r="E541" s="5" t="inlineStr">
        <is>
          <t>marca CCTV CORE · camaras ojo de pez · referencia COR-IP5FISH</t>
        </is>
      </c>
      <c r="F541" s="5" t="inlineStr">
        <is>
          <t>Material retirado en almacén</t>
        </is>
      </c>
      <c r="G541" s="5" t="inlineStr"/>
      <c r="H541" s="7" t="inlineStr">
        <is>
          <t>unidad</t>
        </is>
      </c>
      <c r="I541" s="7" t="inlineStr">
        <is>
          <t>Estructura</t>
        </is>
      </c>
      <c r="J541" s="7" t="inlineStr">
        <is>
          <t>estandar</t>
        </is>
      </c>
      <c r="K541" s="7" t="inlineStr">
        <is>
          <t>importado</t>
        </is>
      </c>
      <c r="L541" s="7" t="inlineStr">
        <is>
          <t>Verificado</t>
        </is>
      </c>
      <c r="M541" s="8" t="n">
        <v>1</v>
      </c>
      <c r="N541" s="9" t="n">
        <v>11020.47</v>
      </c>
      <c r="O541" s="9" t="n">
        <v>11020.47</v>
      </c>
      <c r="P541" s="9" t="n">
        <v>11020.47</v>
      </c>
      <c r="Q541" s="7" t="inlineStr">
        <is>
          <t>Sí</t>
        </is>
      </c>
      <c r="R541" s="9">
        <f>IF(N541="","",IF(Q541="Sí",ROUND(N541/1.18,2),N541))</f>
        <v/>
      </c>
      <c r="S541" s="7" t="inlineStr">
        <is>
          <t>2026-09-09</t>
        </is>
      </c>
      <c r="T541" s="5" t="inlineStr">
        <is>
          <t>1 cotización de proveedores</t>
        </is>
      </c>
    </row>
    <row r="542">
      <c r="A542" s="7" t="inlineStr">
        <is>
          <t>MAT-16-049</t>
        </is>
      </c>
      <c r="B542" s="7" t="inlineStr">
        <is>
          <t>Materiales</t>
        </is>
      </c>
      <c r="C542" s="7" t="inlineStr">
        <is>
          <t>Cámaras y videovigilancia</t>
        </is>
      </c>
      <c r="D542" s="5" t="inlineStr">
        <is>
          <t>Camara 5 Mp Medallion 2.8-12 Mm Net Varif.</t>
        </is>
      </c>
      <c r="E542" s="5" t="inlineStr">
        <is>
          <t>marca CCTV CORE · camaras domo · referencia COR-IP5TRV</t>
        </is>
      </c>
      <c r="F542" s="5" t="inlineStr">
        <is>
          <t>Material retirado en almacén</t>
        </is>
      </c>
      <c r="G542" s="5" t="inlineStr"/>
      <c r="H542" s="7" t="inlineStr">
        <is>
          <t>unidad</t>
        </is>
      </c>
      <c r="I542" s="7" t="inlineStr">
        <is>
          <t>Estructura</t>
        </is>
      </c>
      <c r="J542" s="7" t="inlineStr">
        <is>
          <t>estandar</t>
        </is>
      </c>
      <c r="K542" s="7" t="inlineStr">
        <is>
          <t>importado</t>
        </is>
      </c>
      <c r="L542" s="7" t="inlineStr">
        <is>
          <t>Verificado</t>
        </is>
      </c>
      <c r="M542" s="8" t="n">
        <v>1</v>
      </c>
      <c r="N542" s="9" t="n">
        <v>11760.12</v>
      </c>
      <c r="O542" s="9" t="n">
        <v>11760.12</v>
      </c>
      <c r="P542" s="9" t="n">
        <v>11760.12</v>
      </c>
      <c r="Q542" s="7" t="inlineStr">
        <is>
          <t>Sí</t>
        </is>
      </c>
      <c r="R542" s="9">
        <f>IF(N542="","",IF(Q542="Sí",ROUND(N542/1.18,2),N542))</f>
        <v/>
      </c>
      <c r="S542" s="7" t="inlineStr">
        <is>
          <t>2026-09-09</t>
        </is>
      </c>
      <c r="T542" s="5" t="inlineStr">
        <is>
          <t>1 cotización de proveedores</t>
        </is>
      </c>
    </row>
    <row r="543">
      <c r="A543" s="7" t="inlineStr">
        <is>
          <t>MAT-16-050</t>
        </is>
      </c>
      <c r="B543" s="7" t="inlineStr">
        <is>
          <t>Materiales</t>
        </is>
      </c>
      <c r="C543" s="7" t="inlineStr">
        <is>
          <t>Cámaras y videovigilancia</t>
        </is>
      </c>
      <c r="D543" s="5" t="inlineStr">
        <is>
          <t>Camara 5 Mp Net 2.8-12 Mm</t>
        </is>
      </c>
      <c r="E543" s="5" t="inlineStr">
        <is>
          <t>marca CCTV CORE · camaras bullet · referencia COR-IP5BV</t>
        </is>
      </c>
      <c r="F543" s="5" t="inlineStr">
        <is>
          <t>Material retirado en almacén</t>
        </is>
      </c>
      <c r="G543" s="5" t="inlineStr"/>
      <c r="H543" s="7" t="inlineStr">
        <is>
          <t>unidad</t>
        </is>
      </c>
      <c r="I543" s="7" t="inlineStr">
        <is>
          <t>Estructura</t>
        </is>
      </c>
      <c r="J543" s="7" t="inlineStr">
        <is>
          <t>estandar</t>
        </is>
      </c>
      <c r="K543" s="7" t="inlineStr">
        <is>
          <t>importado</t>
        </is>
      </c>
      <c r="L543" s="7" t="inlineStr">
        <is>
          <t>Verificado</t>
        </is>
      </c>
      <c r="M543" s="8" t="n">
        <v>1</v>
      </c>
      <c r="N543" s="9" t="n">
        <v>12499.73</v>
      </c>
      <c r="O543" s="9" t="n">
        <v>12499.73</v>
      </c>
      <c r="P543" s="9" t="n">
        <v>12499.73</v>
      </c>
      <c r="Q543" s="7" t="inlineStr">
        <is>
          <t>Sí</t>
        </is>
      </c>
      <c r="R543" s="9">
        <f>IF(N543="","",IF(Q543="Sí",ROUND(N543/1.18,2),N543))</f>
        <v/>
      </c>
      <c r="S543" s="7" t="inlineStr">
        <is>
          <t>2026-09-09</t>
        </is>
      </c>
      <c r="T543" s="5" t="inlineStr">
        <is>
          <t>1 cotización de proveedores</t>
        </is>
      </c>
    </row>
    <row r="544">
      <c r="A544" s="7" t="inlineStr">
        <is>
          <t>MAT-16-051</t>
        </is>
      </c>
      <c r="B544" s="7" t="inlineStr">
        <is>
          <t>Materiales</t>
        </is>
      </c>
      <c r="C544" s="7" t="inlineStr">
        <is>
          <t>Cámaras y videovigilancia</t>
        </is>
      </c>
      <c r="D544" s="5" t="inlineStr">
        <is>
          <t>Flexidome IP Micro 3000I Domo Fijo 130 Gr</t>
        </is>
      </c>
      <c r="E544" s="5" t="inlineStr">
        <is>
          <t>marca BOSCH · camaras domo · referencia NDV-3502-F02</t>
        </is>
      </c>
      <c r="F544" s="5" t="inlineStr">
        <is>
          <t>Material retirado en almacén</t>
        </is>
      </c>
      <c r="G544" s="5" t="inlineStr"/>
      <c r="H544" s="7" t="inlineStr">
        <is>
          <t>unidad</t>
        </is>
      </c>
      <c r="I544" s="7" t="inlineStr">
        <is>
          <t>Estructura</t>
        </is>
      </c>
      <c r="J544" s="7" t="inlineStr">
        <is>
          <t>estandar</t>
        </is>
      </c>
      <c r="K544" s="7" t="inlineStr">
        <is>
          <t>importado</t>
        </is>
      </c>
      <c r="L544" s="7" t="inlineStr">
        <is>
          <t>Verificado</t>
        </is>
      </c>
      <c r="M544" s="8" t="n">
        <v>1</v>
      </c>
      <c r="N544" s="9" t="n">
        <v>12992.17</v>
      </c>
      <c r="O544" s="9" t="n">
        <v>12992.17</v>
      </c>
      <c r="P544" s="9" t="n">
        <v>12992.17</v>
      </c>
      <c r="Q544" s="7" t="inlineStr">
        <is>
          <t>Sí</t>
        </is>
      </c>
      <c r="R544" s="9">
        <f>IF(N544="","",IF(Q544="Sí",ROUND(N544/1.18,2),N544))</f>
        <v/>
      </c>
      <c r="S544" s="7" t="inlineStr">
        <is>
          <t>2026-09-09</t>
        </is>
      </c>
      <c r="T544" s="5" t="inlineStr">
        <is>
          <t>1 cotización de proveedores</t>
        </is>
      </c>
    </row>
    <row r="545">
      <c r="A545" s="7" t="inlineStr">
        <is>
          <t>MAT-16-052</t>
        </is>
      </c>
      <c r="B545" s="7" t="inlineStr">
        <is>
          <t>Materiales</t>
        </is>
      </c>
      <c r="C545" s="7" t="inlineStr">
        <is>
          <t>Cámaras y videovigilancia</t>
        </is>
      </c>
      <c r="D545" s="5" t="inlineStr">
        <is>
          <t>Cam IP Varifocal Motoriz Bullet8 Mp Wizse</t>
        </is>
      </c>
      <c r="E545" s="5" t="inlineStr">
        <is>
          <t>marca DAHUA · camaras bullet · referencia DH-IPC-HFW2841T-ZS</t>
        </is>
      </c>
      <c r="F545" s="5" t="inlineStr">
        <is>
          <t>Material retirado en almacén</t>
        </is>
      </c>
      <c r="G545" s="5" t="inlineStr"/>
      <c r="H545" s="7" t="inlineStr">
        <is>
          <t>unidad</t>
        </is>
      </c>
      <c r="I545" s="7" t="inlineStr">
        <is>
          <t>Estructura</t>
        </is>
      </c>
      <c r="J545" s="7" t="inlineStr">
        <is>
          <t>estandar</t>
        </is>
      </c>
      <c r="K545" s="7" t="inlineStr">
        <is>
          <t>importado</t>
        </is>
      </c>
      <c r="L545" s="7" t="inlineStr">
        <is>
          <t>Verificado</t>
        </is>
      </c>
      <c r="M545" s="8" t="n">
        <v>1</v>
      </c>
      <c r="N545" s="9" t="n">
        <v>13465.71</v>
      </c>
      <c r="O545" s="9" t="n">
        <v>13465.71</v>
      </c>
      <c r="P545" s="9" t="n">
        <v>13465.71</v>
      </c>
      <c r="Q545" s="7" t="inlineStr">
        <is>
          <t>Sí</t>
        </is>
      </c>
      <c r="R545" s="9">
        <f>IF(N545="","",IF(Q545="Sí",ROUND(N545/1.18,2),N545))</f>
        <v/>
      </c>
      <c r="S545" s="7" t="inlineStr">
        <is>
          <t>2026-09-09</t>
        </is>
      </c>
      <c r="T545" s="5" t="inlineStr">
        <is>
          <t>1 cotización de proveedores</t>
        </is>
      </c>
    </row>
    <row r="546">
      <c r="A546" s="7" t="inlineStr">
        <is>
          <t>MAT-16-053</t>
        </is>
      </c>
      <c r="B546" s="7" t="inlineStr">
        <is>
          <t>Materiales</t>
        </is>
      </c>
      <c r="C546" s="7" t="inlineStr">
        <is>
          <t>Cámaras y videovigilancia</t>
        </is>
      </c>
      <c r="D546" s="5" t="inlineStr">
        <is>
          <t>Camara Fija 2 Mp 3-12 Mm Dinion</t>
        </is>
      </c>
      <c r="E546" s="5" t="inlineStr">
        <is>
          <t>marca BOSCH · camaras domesticas · referencia NBN-50022-V3</t>
        </is>
      </c>
      <c r="F546" s="5" t="inlineStr">
        <is>
          <t>Material retirado en almacén</t>
        </is>
      </c>
      <c r="G546" s="5" t="inlineStr"/>
      <c r="H546" s="7" t="inlineStr">
        <is>
          <t>unidad</t>
        </is>
      </c>
      <c r="I546" s="7" t="inlineStr">
        <is>
          <t>Estructura</t>
        </is>
      </c>
      <c r="J546" s="7" t="inlineStr">
        <is>
          <t>estandar</t>
        </is>
      </c>
      <c r="K546" s="7" t="inlineStr">
        <is>
          <t>importado</t>
        </is>
      </c>
      <c r="L546" s="7" t="inlineStr">
        <is>
          <t>Verificado</t>
        </is>
      </c>
      <c r="M546" s="8" t="n">
        <v>1</v>
      </c>
      <c r="N546" s="9" t="n">
        <v>14863.32</v>
      </c>
      <c r="O546" s="9" t="n">
        <v>14863.32</v>
      </c>
      <c r="P546" s="9" t="n">
        <v>14863.32</v>
      </c>
      <c r="Q546" s="7" t="inlineStr">
        <is>
          <t>Sí</t>
        </is>
      </c>
      <c r="R546" s="9">
        <f>IF(N546="","",IF(Q546="Sí",ROUND(N546/1.18,2),N546))</f>
        <v/>
      </c>
      <c r="S546" s="7" t="inlineStr">
        <is>
          <t>2026-09-09</t>
        </is>
      </c>
      <c r="T546" s="5" t="inlineStr">
        <is>
          <t>1 cotización de proveedores</t>
        </is>
      </c>
    </row>
    <row r="547">
      <c r="A547" s="7" t="inlineStr">
        <is>
          <t>MAT-16-054</t>
        </is>
      </c>
      <c r="B547" s="7" t="inlineStr">
        <is>
          <t>Materiales</t>
        </is>
      </c>
      <c r="C547" s="7" t="inlineStr">
        <is>
          <t>Cámaras y videovigilancia</t>
        </is>
      </c>
      <c r="D547" s="5" t="inlineStr">
        <is>
          <t>Camara Solar IP Bullet 4 Mp 4G 2 Da Gen</t>
        </is>
      </c>
      <c r="E547" s="5" t="inlineStr">
        <is>
          <t>marca DAHUA · camaras domo · referencia DH-IPC-HFW2441DG-4G-</t>
        </is>
      </c>
      <c r="F547" s="5" t="inlineStr">
        <is>
          <t>Material retirado en almacén</t>
        </is>
      </c>
      <c r="G547" s="5" t="inlineStr"/>
      <c r="H547" s="7" t="inlineStr">
        <is>
          <t>unidad</t>
        </is>
      </c>
      <c r="I547" s="7" t="inlineStr">
        <is>
          <t>Estructura</t>
        </is>
      </c>
      <c r="J547" s="7" t="inlineStr">
        <is>
          <t>estandar</t>
        </is>
      </c>
      <c r="K547" s="7" t="inlineStr">
        <is>
          <t>importado</t>
        </is>
      </c>
      <c r="L547" s="7" t="inlineStr">
        <is>
          <t>Verificado</t>
        </is>
      </c>
      <c r="M547" s="8" t="n">
        <v>1</v>
      </c>
      <c r="N547" s="9" t="n">
        <v>17705.5</v>
      </c>
      <c r="O547" s="9" t="n">
        <v>17705.5</v>
      </c>
      <c r="P547" s="9" t="n">
        <v>17705.5</v>
      </c>
      <c r="Q547" s="7" t="inlineStr">
        <is>
          <t>Sí</t>
        </is>
      </c>
      <c r="R547" s="9">
        <f>IF(N547="","",IF(Q547="Sí",ROUND(N547/1.18,2),N547))</f>
        <v/>
      </c>
      <c r="S547" s="7" t="inlineStr">
        <is>
          <t>2026-09-09</t>
        </is>
      </c>
      <c r="T547" s="5" t="inlineStr">
        <is>
          <t>1 cotización de proveedores</t>
        </is>
      </c>
    </row>
    <row r="548">
      <c r="A548" s="7" t="inlineStr">
        <is>
          <t>MAT-16-055</t>
        </is>
      </c>
      <c r="B548" s="7" t="inlineStr">
        <is>
          <t>Materiales</t>
        </is>
      </c>
      <c r="C548" s="7" t="inlineStr">
        <is>
          <t>Cámaras y videovigilancia</t>
        </is>
      </c>
      <c r="D548" s="5" t="inlineStr">
        <is>
          <t>Camara Solar PTZ 3 Mp+3 Mp Audio 2 Way 4G</t>
        </is>
      </c>
      <c r="E548" s="5" t="inlineStr">
        <is>
          <t>marca DAHUA · camaras domo · referencia DH-IPC-PTS2649C-3E3Z</t>
        </is>
      </c>
      <c r="F548" s="5" t="inlineStr">
        <is>
          <t>Material retirado en almacén</t>
        </is>
      </c>
      <c r="G548" s="5" t="inlineStr"/>
      <c r="H548" s="7" t="inlineStr">
        <is>
          <t>unidad</t>
        </is>
      </c>
      <c r="I548" s="7" t="inlineStr">
        <is>
          <t>Estructura</t>
        </is>
      </c>
      <c r="J548" s="7" t="inlineStr">
        <is>
          <t>estandar</t>
        </is>
      </c>
      <c r="K548" s="7" t="inlineStr">
        <is>
          <t>importado</t>
        </is>
      </c>
      <c r="L548" s="7" t="inlineStr">
        <is>
          <t>Verificado</t>
        </is>
      </c>
      <c r="M548" s="8" t="n">
        <v>1</v>
      </c>
      <c r="N548" s="9" t="n">
        <v>19602.61</v>
      </c>
      <c r="O548" s="9" t="n">
        <v>19602.61</v>
      </c>
      <c r="P548" s="9" t="n">
        <v>19602.61</v>
      </c>
      <c r="Q548" s="7" t="inlineStr">
        <is>
          <t>Sí</t>
        </is>
      </c>
      <c r="R548" s="9">
        <f>IF(N548="","",IF(Q548="Sí",ROUND(N548/1.18,2),N548))</f>
        <v/>
      </c>
      <c r="S548" s="7" t="inlineStr">
        <is>
          <t>2026-09-09</t>
        </is>
      </c>
      <c r="T548" s="5" t="inlineStr">
        <is>
          <t>1 cotización de proveedores</t>
        </is>
      </c>
    </row>
    <row r="549">
      <c r="A549" s="7" t="inlineStr">
        <is>
          <t>MAT-16-056</t>
        </is>
      </c>
      <c r="B549" s="7" t="inlineStr">
        <is>
          <t>Materiales</t>
        </is>
      </c>
      <c r="C549" s="7" t="inlineStr">
        <is>
          <t>Cámaras y videovigilancia</t>
        </is>
      </c>
      <c r="D549" s="5" t="inlineStr">
        <is>
          <t>Flexidome IP 3000I Ir Domo Fijo 5 Mp Hdr</t>
        </is>
      </c>
      <c r="E549" s="5" t="inlineStr">
        <is>
          <t>marca BOSCH · camaras domo · referencia NDE-3503-AL</t>
        </is>
      </c>
      <c r="F549" s="5" t="inlineStr">
        <is>
          <t>Material retirado en almacén</t>
        </is>
      </c>
      <c r="G549" s="5" t="inlineStr"/>
      <c r="H549" s="7" t="inlineStr">
        <is>
          <t>unidad</t>
        </is>
      </c>
      <c r="I549" s="7" t="inlineStr">
        <is>
          <t>Estructura</t>
        </is>
      </c>
      <c r="J549" s="7" t="inlineStr">
        <is>
          <t>estandar</t>
        </is>
      </c>
      <c r="K549" s="7" t="inlineStr">
        <is>
          <t>importado</t>
        </is>
      </c>
      <c r="L549" s="7" t="inlineStr">
        <is>
          <t>Verificado</t>
        </is>
      </c>
      <c r="M549" s="8" t="n">
        <v>1</v>
      </c>
      <c r="N549" s="9" t="n">
        <v>24325.6</v>
      </c>
      <c r="O549" s="9" t="n">
        <v>24325.6</v>
      </c>
      <c r="P549" s="9" t="n">
        <v>24325.6</v>
      </c>
      <c r="Q549" s="7" t="inlineStr">
        <is>
          <t>Sí</t>
        </is>
      </c>
      <c r="R549" s="9">
        <f>IF(N549="","",IF(Q549="Sí",ROUND(N549/1.18,2),N549))</f>
        <v/>
      </c>
      <c r="S549" s="7" t="inlineStr">
        <is>
          <t>2026-09-09</t>
        </is>
      </c>
      <c r="T549" s="5" t="inlineStr">
        <is>
          <t>1 cotización de proveedores</t>
        </is>
      </c>
    </row>
    <row r="550">
      <c r="A550" s="7" t="inlineStr">
        <is>
          <t>MAT-16-057</t>
        </is>
      </c>
      <c r="B550" s="7" t="inlineStr">
        <is>
          <t>Materiales</t>
        </is>
      </c>
      <c r="C550" s="7" t="inlineStr">
        <is>
          <t>Cámaras y videovigilancia</t>
        </is>
      </c>
      <c r="D550" s="5" t="inlineStr">
        <is>
          <t>Camara Domo IP PTZ 2 Mp 25X Zoom</t>
        </is>
      </c>
      <c r="E550" s="5" t="inlineStr">
        <is>
          <t>marca EPCOM · camaras domo · referencia XPTIE252X</t>
        </is>
      </c>
      <c r="F550" s="5" t="inlineStr">
        <is>
          <t>Material retirado en almacén</t>
        </is>
      </c>
      <c r="G550" s="5" t="inlineStr"/>
      <c r="H550" s="7" t="inlineStr">
        <is>
          <t>unidad</t>
        </is>
      </c>
      <c r="I550" s="7" t="inlineStr">
        <is>
          <t>Estructura</t>
        </is>
      </c>
      <c r="J550" s="7" t="inlineStr">
        <is>
          <t>estandar</t>
        </is>
      </c>
      <c r="K550" s="7" t="inlineStr">
        <is>
          <t>importado</t>
        </is>
      </c>
      <c r="L550" s="7" t="inlineStr">
        <is>
          <t>Verificado</t>
        </is>
      </c>
      <c r="M550" s="8" t="n">
        <v>1</v>
      </c>
      <c r="N550" s="9" t="n">
        <v>30360.56</v>
      </c>
      <c r="O550" s="9" t="n">
        <v>30360.56</v>
      </c>
      <c r="P550" s="9" t="n">
        <v>30360.56</v>
      </c>
      <c r="Q550" s="7" t="inlineStr">
        <is>
          <t>Sí</t>
        </is>
      </c>
      <c r="R550" s="9">
        <f>IF(N550="","",IF(Q550="Sí",ROUND(N550/1.18,2),N550))</f>
        <v/>
      </c>
      <c r="S550" s="7" t="inlineStr">
        <is>
          <t>2026-09-09</t>
        </is>
      </c>
      <c r="T550" s="5" t="inlineStr">
        <is>
          <t>1 cotización de proveedores</t>
        </is>
      </c>
    </row>
    <row r="551">
      <c r="A551" s="7" t="inlineStr">
        <is>
          <t>MAT-16-058</t>
        </is>
      </c>
      <c r="B551" s="7" t="inlineStr">
        <is>
          <t>Materiales</t>
        </is>
      </c>
      <c r="C551" s="7" t="inlineStr">
        <is>
          <t>Cámaras y videovigilancia</t>
        </is>
      </c>
      <c r="D551" s="5" t="inlineStr">
        <is>
          <t>Grabador XVR 16 / 2 Ip 1080N Cooper Ws</t>
        </is>
      </c>
      <c r="E551" s="5" t="inlineStr">
        <is>
          <t>marca DAHUA · accesorios intelegentes · referencia DH-XVR1B16-I</t>
        </is>
      </c>
      <c r="F551" s="5" t="inlineStr">
        <is>
          <t>Material retirado en almacén</t>
        </is>
      </c>
      <c r="G551" s="5" t="inlineStr"/>
      <c r="H551" s="7" t="inlineStr">
        <is>
          <t>unidad</t>
        </is>
      </c>
      <c r="I551" s="7" t="inlineStr">
        <is>
          <t>Estructura</t>
        </is>
      </c>
      <c r="J551" s="7" t="inlineStr">
        <is>
          <t>estandar</t>
        </is>
      </c>
      <c r="K551" s="7" t="inlineStr">
        <is>
          <t>importado</t>
        </is>
      </c>
      <c r="L551" s="7" t="inlineStr">
        <is>
          <t>Verificado</t>
        </is>
      </c>
      <c r="M551" s="8" t="n">
        <v>1</v>
      </c>
      <c r="N551" s="9" t="n">
        <v>6079.41</v>
      </c>
      <c r="O551" s="9" t="n">
        <v>6079.41</v>
      </c>
      <c r="P551" s="9" t="n">
        <v>6079.41</v>
      </c>
      <c r="Q551" s="7" t="inlineStr">
        <is>
          <t>Sí</t>
        </is>
      </c>
      <c r="R551" s="9">
        <f>IF(N551="","",IF(Q551="Sí",ROUND(N551/1.18,2),N551))</f>
        <v/>
      </c>
      <c r="S551" s="7" t="inlineStr">
        <is>
          <t>2026-09-09</t>
        </is>
      </c>
      <c r="T551" s="5" t="inlineStr">
        <is>
          <t>1 cotización de proveedores</t>
        </is>
      </c>
    </row>
    <row r="552">
      <c r="A552" s="7" t="inlineStr">
        <is>
          <t>MAT-16-059</t>
        </is>
      </c>
      <c r="B552" s="7" t="inlineStr">
        <is>
          <t>Materiales</t>
        </is>
      </c>
      <c r="C552" s="7" t="inlineStr">
        <is>
          <t>Cámaras y videovigilancia</t>
        </is>
      </c>
      <c r="D552" s="5" t="inlineStr">
        <is>
          <t>DVR 4 Canales 5 Mpx</t>
        </is>
      </c>
      <c r="E552" s="5" t="inlineStr">
        <is>
          <t>marca CCTV CORE · componentes para camaras · referencia MD4LT</t>
        </is>
      </c>
      <c r="F552" s="5" t="inlineStr">
        <is>
          <t>Material retirado en almacén</t>
        </is>
      </c>
      <c r="G552" s="5" t="inlineStr"/>
      <c r="H552" s="7" t="inlineStr">
        <is>
          <t>unidad</t>
        </is>
      </c>
      <c r="I552" s="7" t="inlineStr">
        <is>
          <t>Estructura</t>
        </is>
      </c>
      <c r="J552" s="7" t="inlineStr">
        <is>
          <t>estandar</t>
        </is>
      </c>
      <c r="K552" s="7" t="inlineStr">
        <is>
          <t>importado</t>
        </is>
      </c>
      <c r="L552" s="7" t="inlineStr">
        <is>
          <t>Verificado</t>
        </is>
      </c>
      <c r="M552" s="8" t="n">
        <v>1</v>
      </c>
      <c r="N552" s="9" t="n">
        <v>6677.44</v>
      </c>
      <c r="O552" s="9" t="n">
        <v>6677.44</v>
      </c>
      <c r="P552" s="9" t="n">
        <v>6677.44</v>
      </c>
      <c r="Q552" s="7" t="inlineStr">
        <is>
          <t>Sí</t>
        </is>
      </c>
      <c r="R552" s="9">
        <f>IF(N552="","",IF(Q552="Sí",ROUND(N552/1.18,2),N552))</f>
        <v/>
      </c>
      <c r="S552" s="7" t="inlineStr">
        <is>
          <t>2026-09-09</t>
        </is>
      </c>
      <c r="T552" s="5" t="inlineStr">
        <is>
          <t>1 cotización de proveedores</t>
        </is>
      </c>
    </row>
    <row r="553">
      <c r="A553" s="7" t="inlineStr">
        <is>
          <t>MAT-16-060</t>
        </is>
      </c>
      <c r="B553" s="7" t="inlineStr">
        <is>
          <t>Materiales</t>
        </is>
      </c>
      <c r="C553" s="7" t="inlineStr">
        <is>
          <t>Cámaras y videovigilancia</t>
        </is>
      </c>
      <c r="D553" s="5" t="inlineStr">
        <is>
          <t>DVR Medallion Ahd 4 Canales 960H</t>
        </is>
      </c>
      <c r="E553" s="5" t="inlineStr">
        <is>
          <t>marca CCTV CORE · componentes para camaras · referencia COR-MD4</t>
        </is>
      </c>
      <c r="F553" s="5" t="inlineStr">
        <is>
          <t>Material retirado en almacén</t>
        </is>
      </c>
      <c r="G553" s="5" t="inlineStr"/>
      <c r="H553" s="7" t="inlineStr">
        <is>
          <t>unidad</t>
        </is>
      </c>
      <c r="I553" s="7" t="inlineStr">
        <is>
          <t>Estructura</t>
        </is>
      </c>
      <c r="J553" s="7" t="inlineStr">
        <is>
          <t>estandar</t>
        </is>
      </c>
      <c r="K553" s="7" t="inlineStr">
        <is>
          <t>importado</t>
        </is>
      </c>
      <c r="L553" s="7" t="inlineStr">
        <is>
          <t>Verificado</t>
        </is>
      </c>
      <c r="M553" s="8" t="n">
        <v>1</v>
      </c>
      <c r="N553" s="9" t="n">
        <v>7438.16</v>
      </c>
      <c r="O553" s="9" t="n">
        <v>7438.16</v>
      </c>
      <c r="P553" s="9" t="n">
        <v>7438.16</v>
      </c>
      <c r="Q553" s="7" t="inlineStr">
        <is>
          <t>Sí</t>
        </is>
      </c>
      <c r="R553" s="9">
        <f>IF(N553="","",IF(Q553="Sí",ROUND(N553/1.18,2),N553))</f>
        <v/>
      </c>
      <c r="S553" s="7" t="inlineStr">
        <is>
          <t>2026-09-09</t>
        </is>
      </c>
      <c r="T553" s="5" t="inlineStr">
        <is>
          <t>1 cotización de proveedores</t>
        </is>
      </c>
    </row>
    <row r="554">
      <c r="A554" s="7" t="inlineStr">
        <is>
          <t>MAT-16-061</t>
        </is>
      </c>
      <c r="B554" s="7" t="inlineStr">
        <is>
          <t>Materiales</t>
        </is>
      </c>
      <c r="C554" s="7" t="inlineStr">
        <is>
          <t>Cámaras y videovigilancia</t>
        </is>
      </c>
      <c r="D554" s="5" t="inlineStr">
        <is>
          <t>Grabador De Video NVR 16 Ch 1U con 16 Poe 8T</t>
        </is>
      </c>
      <c r="E554" s="5" t="inlineStr">
        <is>
          <t>marca STD · componentes para camaras · referencia NVR302-16S-16P</t>
        </is>
      </c>
      <c r="F554" s="5" t="inlineStr">
        <is>
          <t>Material retirado en almacén</t>
        </is>
      </c>
      <c r="G554" s="5" t="inlineStr"/>
      <c r="H554" s="7" t="inlineStr">
        <is>
          <t>unidad</t>
        </is>
      </c>
      <c r="I554" s="7" t="inlineStr">
        <is>
          <t>Estructura</t>
        </is>
      </c>
      <c r="J554" s="7" t="inlineStr">
        <is>
          <t>estandar</t>
        </is>
      </c>
      <c r="K554" s="7" t="inlineStr">
        <is>
          <t>importado</t>
        </is>
      </c>
      <c r="L554" s="7" t="inlineStr">
        <is>
          <t>Verificado</t>
        </is>
      </c>
      <c r="M554" s="8" t="n">
        <v>1</v>
      </c>
      <c r="N554" s="9" t="n">
        <v>17077.39</v>
      </c>
      <c r="O554" s="9" t="n">
        <v>17077.39</v>
      </c>
      <c r="P554" s="9" t="n">
        <v>17077.39</v>
      </c>
      <c r="Q554" s="7" t="inlineStr">
        <is>
          <t>Sí</t>
        </is>
      </c>
      <c r="R554" s="9">
        <f>IF(N554="","",IF(Q554="Sí",ROUND(N554/1.18,2),N554))</f>
        <v/>
      </c>
      <c r="S554" s="7" t="inlineStr">
        <is>
          <t>2026-09-09</t>
        </is>
      </c>
      <c r="T554" s="5" t="inlineStr">
        <is>
          <t>1 cotización de proveedores</t>
        </is>
      </c>
    </row>
    <row r="555">
      <c r="A555" s="7" t="inlineStr">
        <is>
          <t>MAT-16-062</t>
        </is>
      </c>
      <c r="B555" s="7" t="inlineStr">
        <is>
          <t>Materiales</t>
        </is>
      </c>
      <c r="C555" s="7" t="inlineStr">
        <is>
          <t>Cámaras y videovigilancia</t>
        </is>
      </c>
      <c r="D555" s="5" t="inlineStr">
        <is>
          <t>DVR Medallion Ahd 16 Canales</t>
        </is>
      </c>
      <c r="E555" s="5" t="inlineStr">
        <is>
          <t>marca CCTV CORE · componentes para camaras · referencia COR-MD16LT</t>
        </is>
      </c>
      <c r="F555" s="5" t="inlineStr">
        <is>
          <t>Material retirado en almacén</t>
        </is>
      </c>
      <c r="G555" s="5" t="inlineStr"/>
      <c r="H555" s="7" t="inlineStr">
        <is>
          <t>unidad</t>
        </is>
      </c>
      <c r="I555" s="7" t="inlineStr">
        <is>
          <t>Estructura</t>
        </is>
      </c>
      <c r="J555" s="7" t="inlineStr">
        <is>
          <t>estandar</t>
        </is>
      </c>
      <c r="K555" s="7" t="inlineStr">
        <is>
          <t>importado</t>
        </is>
      </c>
      <c r="L555" s="7" t="inlineStr">
        <is>
          <t>Verificado</t>
        </is>
      </c>
      <c r="M555" s="8" t="n">
        <v>1</v>
      </c>
      <c r="N555" s="9" t="n">
        <v>18426.33</v>
      </c>
      <c r="O555" s="9" t="n">
        <v>18426.33</v>
      </c>
      <c r="P555" s="9" t="n">
        <v>18426.33</v>
      </c>
      <c r="Q555" s="7" t="inlineStr">
        <is>
          <t>Sí</t>
        </is>
      </c>
      <c r="R555" s="9">
        <f>IF(N555="","",IF(Q555="Sí",ROUND(N555/1.18,2),N555))</f>
        <v/>
      </c>
      <c r="S555" s="7" t="inlineStr">
        <is>
          <t>2026-09-09</t>
        </is>
      </c>
      <c r="T555" s="5" t="inlineStr">
        <is>
          <t>1 cotización de proveedores</t>
        </is>
      </c>
    </row>
    <row r="556">
      <c r="A556" s="7" t="inlineStr">
        <is>
          <t>MAT-16-063</t>
        </is>
      </c>
      <c r="B556" s="7" t="inlineStr">
        <is>
          <t>Materiales</t>
        </is>
      </c>
      <c r="C556" s="7" t="inlineStr">
        <is>
          <t>Cámaras y videovigilancia</t>
        </is>
      </c>
      <c r="D556" s="5" t="inlineStr">
        <is>
          <t>NVR 32 Ch No PoE Serie 4000-Ei 2 Hdd Wizse</t>
        </is>
      </c>
      <c r="E556" s="5" t="inlineStr">
        <is>
          <t>marca DAHUA · componentes para camaras · referencia DHI-NVR4232-EI</t>
        </is>
      </c>
      <c r="F556" s="5" t="inlineStr">
        <is>
          <t>Material retirado en almacén</t>
        </is>
      </c>
      <c r="G556" s="5" t="inlineStr"/>
      <c r="H556" s="7" t="inlineStr">
        <is>
          <t>unidad</t>
        </is>
      </c>
      <c r="I556" s="7" t="inlineStr">
        <is>
          <t>Estructura</t>
        </is>
      </c>
      <c r="J556" s="7" t="inlineStr">
        <is>
          <t>estandar</t>
        </is>
      </c>
      <c r="K556" s="7" t="inlineStr">
        <is>
          <t>importado</t>
        </is>
      </c>
      <c r="L556" s="7" t="inlineStr">
        <is>
          <t>Verificado</t>
        </is>
      </c>
      <c r="M556" s="8" t="n">
        <v>1</v>
      </c>
      <c r="N556" s="9" t="n">
        <v>20990.22</v>
      </c>
      <c r="O556" s="9" t="n">
        <v>20990.22</v>
      </c>
      <c r="P556" s="9" t="n">
        <v>20990.22</v>
      </c>
      <c r="Q556" s="7" t="inlineStr">
        <is>
          <t>Sí</t>
        </is>
      </c>
      <c r="R556" s="9">
        <f>IF(N556="","",IF(Q556="Sí",ROUND(N556/1.18,2),N556))</f>
        <v/>
      </c>
      <c r="S556" s="7" t="inlineStr">
        <is>
          <t>2026-09-09</t>
        </is>
      </c>
      <c r="T556" s="5" t="inlineStr">
        <is>
          <t>1 cotización de proveedores</t>
        </is>
      </c>
    </row>
    <row r="557">
      <c r="A557" s="7" t="inlineStr">
        <is>
          <t>MAT-16-064</t>
        </is>
      </c>
      <c r="B557" s="7" t="inlineStr">
        <is>
          <t>Materiales</t>
        </is>
      </c>
      <c r="C557" s="7" t="inlineStr">
        <is>
          <t>Cámaras y videovigilancia</t>
        </is>
      </c>
      <c r="D557" s="5" t="inlineStr">
        <is>
          <t>NVR 64 Ch 4K Network Video Recorder</t>
        </is>
      </c>
      <c r="E557" s="5" t="inlineStr">
        <is>
          <t>marca STD · componentes para camaras · referencia NVR308-64X</t>
        </is>
      </c>
      <c r="F557" s="5" t="inlineStr">
        <is>
          <t>Material retirado en almacén</t>
        </is>
      </c>
      <c r="G557" s="5" t="inlineStr"/>
      <c r="H557" s="7" t="inlineStr">
        <is>
          <t>unidad</t>
        </is>
      </c>
      <c r="I557" s="7" t="inlineStr">
        <is>
          <t>Estructura</t>
        </is>
      </c>
      <c r="J557" s="7" t="inlineStr">
        <is>
          <t>estandar</t>
        </is>
      </c>
      <c r="K557" s="7" t="inlineStr">
        <is>
          <t>importado</t>
        </is>
      </c>
      <c r="L557" s="7" t="inlineStr">
        <is>
          <t>Verificado</t>
        </is>
      </c>
      <c r="M557" s="8" t="n">
        <v>1</v>
      </c>
      <c r="N557" s="9" t="n">
        <v>126684.93</v>
      </c>
      <c r="O557" s="9" t="n">
        <v>126684.93</v>
      </c>
      <c r="P557" s="9" t="n">
        <v>126684.93</v>
      </c>
      <c r="Q557" s="7" t="inlineStr">
        <is>
          <t>Sí</t>
        </is>
      </c>
      <c r="R557" s="9">
        <f>IF(N557="","",IF(Q557="Sí",ROUND(N557/1.18,2),N557))</f>
        <v/>
      </c>
      <c r="S557" s="7" t="inlineStr">
        <is>
          <t>2026-09-09</t>
        </is>
      </c>
      <c r="T557" s="5" t="inlineStr">
        <is>
          <t>1 cotización de proveedores</t>
        </is>
      </c>
    </row>
    <row r="558">
      <c r="A558" s="7" t="inlineStr">
        <is>
          <t>MAT-16-065</t>
        </is>
      </c>
      <c r="B558" s="7" t="inlineStr">
        <is>
          <t>Materiales</t>
        </is>
      </c>
      <c r="C558" s="7" t="inlineStr">
        <is>
          <t>Cámaras y videovigilancia</t>
        </is>
      </c>
      <c r="D558" s="5" t="inlineStr">
        <is>
          <t>Disco Duro Skyhawk Sata 1 Tb 5900 Rpm</t>
        </is>
      </c>
      <c r="E558" s="5" t="inlineStr">
        <is>
          <t>marca DAHUA · accesorios intelegentes · referencia ST1000VX012</t>
        </is>
      </c>
      <c r="F558" s="5" t="inlineStr">
        <is>
          <t>Material retirado en almacén</t>
        </is>
      </c>
      <c r="G558" s="5" t="inlineStr"/>
      <c r="H558" s="7" t="inlineStr">
        <is>
          <t>unidad</t>
        </is>
      </c>
      <c r="I558" s="7" t="inlineStr">
        <is>
          <t>Estructura</t>
        </is>
      </c>
      <c r="J558" s="7" t="inlineStr">
        <is>
          <t>estandar</t>
        </is>
      </c>
      <c r="K558" s="7" t="inlineStr">
        <is>
          <t>importado</t>
        </is>
      </c>
      <c r="L558" s="7" t="inlineStr">
        <is>
          <t>Verificado</t>
        </is>
      </c>
      <c r="M558" s="8" t="n">
        <v>1</v>
      </c>
      <c r="N558" s="9" t="n">
        <v>7633.17</v>
      </c>
      <c r="O558" s="9" t="n">
        <v>7633.17</v>
      </c>
      <c r="P558" s="9" t="n">
        <v>7633.17</v>
      </c>
      <c r="Q558" s="7" t="inlineStr">
        <is>
          <t>Sí</t>
        </is>
      </c>
      <c r="R558" s="9">
        <f>IF(N558="","",IF(Q558="Sí",ROUND(N558/1.18,2),N558))</f>
        <v/>
      </c>
      <c r="S558" s="7" t="inlineStr">
        <is>
          <t>2026-09-09</t>
        </is>
      </c>
      <c r="T558" s="5" t="inlineStr">
        <is>
          <t>1 cotización de proveedores</t>
        </is>
      </c>
    </row>
    <row r="559">
      <c r="A559" s="7" t="inlineStr">
        <is>
          <t>MAT-16-066</t>
        </is>
      </c>
      <c r="B559" s="7" t="inlineStr">
        <is>
          <t>Materiales</t>
        </is>
      </c>
      <c r="C559" s="7" t="inlineStr">
        <is>
          <t>Cámaras y videovigilancia</t>
        </is>
      </c>
      <c r="D559" s="5" t="inlineStr">
        <is>
          <t>Disco Duro Sata para Video Vigilancia 8 Tb</t>
        </is>
      </c>
      <c r="E559" s="5" t="inlineStr">
        <is>
          <t>marca MDD · componentes para camaras · referencia WD84PURZ</t>
        </is>
      </c>
      <c r="F559" s="5" t="inlineStr">
        <is>
          <t>Material retirado en almacén</t>
        </is>
      </c>
      <c r="G559" s="5" t="inlineStr"/>
      <c r="H559" s="7" t="inlineStr">
        <is>
          <t>unidad</t>
        </is>
      </c>
      <c r="I559" s="7" t="inlineStr">
        <is>
          <t>Estructura</t>
        </is>
      </c>
      <c r="J559" s="7" t="inlineStr">
        <is>
          <t>estandar</t>
        </is>
      </c>
      <c r="K559" s="7" t="inlineStr">
        <is>
          <t>importado</t>
        </is>
      </c>
      <c r="L559" s="7" t="inlineStr">
        <is>
          <t>Verificado</t>
        </is>
      </c>
      <c r="M559" s="8" t="n">
        <v>1</v>
      </c>
      <c r="N559" s="9" t="n">
        <v>22243.38</v>
      </c>
      <c r="O559" s="9" t="n">
        <v>22243.38</v>
      </c>
      <c r="P559" s="9" t="n">
        <v>22243.38</v>
      </c>
      <c r="Q559" s="7" t="inlineStr">
        <is>
          <t>Sí</t>
        </is>
      </c>
      <c r="R559" s="9">
        <f>IF(N559="","",IF(Q559="Sí",ROUND(N559/1.18,2),N559))</f>
        <v/>
      </c>
      <c r="S559" s="7" t="inlineStr">
        <is>
          <t>2026-09-09</t>
        </is>
      </c>
      <c r="T559" s="5" t="inlineStr">
        <is>
          <t>1 cotización de proveedores</t>
        </is>
      </c>
    </row>
    <row r="560">
      <c r="A560" s="7" t="inlineStr">
        <is>
          <t>MAT-16-067</t>
        </is>
      </c>
      <c r="B560" s="7" t="inlineStr">
        <is>
          <t>Materiales</t>
        </is>
      </c>
      <c r="C560" s="7" t="inlineStr">
        <is>
          <t>Cámaras y videovigilancia</t>
        </is>
      </c>
      <c r="D560" s="5" t="inlineStr">
        <is>
          <t>Monitor Contacto Clase A 4"</t>
        </is>
      </c>
      <c r="E560" s="5" t="inlineStr">
        <is>
          <t>marca BOSCH · componentes para camaras · referencia FLM-325-I4-A</t>
        </is>
      </c>
      <c r="F560" s="5" t="inlineStr">
        <is>
          <t>Material retirado en almacén</t>
        </is>
      </c>
      <c r="G560" s="5" t="inlineStr"/>
      <c r="H560" s="7" t="inlineStr">
        <is>
          <t>unidad</t>
        </is>
      </c>
      <c r="I560" s="7" t="inlineStr">
        <is>
          <t>Instalaciones</t>
        </is>
      </c>
      <c r="J560" s="7" t="inlineStr">
        <is>
          <t>estandar</t>
        </is>
      </c>
      <c r="K560" s="7" t="inlineStr">
        <is>
          <t>importado</t>
        </is>
      </c>
      <c r="L560" s="7" t="inlineStr">
        <is>
          <t>Verificado</t>
        </is>
      </c>
      <c r="M560" s="8" t="n">
        <v>1</v>
      </c>
      <c r="N560" s="9" t="n">
        <v>2707.65</v>
      </c>
      <c r="O560" s="9" t="n">
        <v>2707.65</v>
      </c>
      <c r="P560" s="9" t="n">
        <v>2707.65</v>
      </c>
      <c r="Q560" s="7" t="inlineStr">
        <is>
          <t>Sí</t>
        </is>
      </c>
      <c r="R560" s="9">
        <f>IF(N560="","",IF(Q560="Sí",ROUND(N560/1.18,2),N560))</f>
        <v/>
      </c>
      <c r="S560" s="7" t="inlineStr">
        <is>
          <t>2026-09-09</t>
        </is>
      </c>
      <c r="T560" s="5" t="inlineStr">
        <is>
          <t>1 cotización de proveedores</t>
        </is>
      </c>
    </row>
    <row r="561">
      <c r="A561" s="7" t="inlineStr">
        <is>
          <t>MAT-16-068</t>
        </is>
      </c>
      <c r="B561" s="7" t="inlineStr">
        <is>
          <t>Materiales</t>
        </is>
      </c>
      <c r="C561" s="7" t="inlineStr">
        <is>
          <t>Cámaras y videovigilancia</t>
        </is>
      </c>
      <c r="D561" s="5" t="inlineStr">
        <is>
          <t>Monitor Calidad Del Aire Tvoc</t>
        </is>
      </c>
      <c r="E561" s="5" t="inlineStr">
        <is>
          <t>marca AQARA · componentes para camaras · referencia AAQS-S01</t>
        </is>
      </c>
      <c r="F561" s="5" t="inlineStr">
        <is>
          <t>Material retirado en almacén</t>
        </is>
      </c>
      <c r="G561" s="5" t="inlineStr"/>
      <c r="H561" s="7" t="inlineStr">
        <is>
          <t>unidad</t>
        </is>
      </c>
      <c r="I561" s="7" t="inlineStr">
        <is>
          <t>Instalaciones</t>
        </is>
      </c>
      <c r="J561" s="7" t="inlineStr">
        <is>
          <t>estandar</t>
        </is>
      </c>
      <c r="K561" s="7" t="inlineStr">
        <is>
          <t>importado</t>
        </is>
      </c>
      <c r="L561" s="7" t="inlineStr">
        <is>
          <t>Verificado</t>
        </is>
      </c>
      <c r="M561" s="8" t="n">
        <v>1</v>
      </c>
      <c r="N561" s="9" t="n">
        <v>2976.42</v>
      </c>
      <c r="O561" s="9" t="n">
        <v>2976.42</v>
      </c>
      <c r="P561" s="9" t="n">
        <v>2976.42</v>
      </c>
      <c r="Q561" s="7" t="inlineStr">
        <is>
          <t>Sí</t>
        </is>
      </c>
      <c r="R561" s="9">
        <f>IF(N561="","",IF(Q561="Sí",ROUND(N561/1.18,2),N561))</f>
        <v/>
      </c>
      <c r="S561" s="7" t="inlineStr">
        <is>
          <t>2026-09-09</t>
        </is>
      </c>
      <c r="T561" s="5" t="inlineStr">
        <is>
          <t>1 cotización de proveedores</t>
        </is>
      </c>
    </row>
    <row r="562">
      <c r="A562" s="7" t="inlineStr">
        <is>
          <t>MAT-16-069</t>
        </is>
      </c>
      <c r="B562" s="7" t="inlineStr">
        <is>
          <t>Materiales</t>
        </is>
      </c>
      <c r="C562" s="7" t="inlineStr">
        <is>
          <t>Cámaras y videovigilancia</t>
        </is>
      </c>
      <c r="D562" s="5" t="inlineStr">
        <is>
          <t>Monitor Color De 3.5 Pulgadas</t>
        </is>
      </c>
      <c r="E562" s="5" t="inlineStr">
        <is>
          <t>marca BTICINO · componentes para camaras · referencia 344502</t>
        </is>
      </c>
      <c r="F562" s="5" t="inlineStr">
        <is>
          <t>Material retirado en almacén</t>
        </is>
      </c>
      <c r="G562" s="5" t="inlineStr"/>
      <c r="H562" s="7" t="inlineStr">
        <is>
          <t>unidad</t>
        </is>
      </c>
      <c r="I562" s="7" t="inlineStr">
        <is>
          <t>Instalaciones</t>
        </is>
      </c>
      <c r="J562" s="7" t="inlineStr">
        <is>
          <t>estandar</t>
        </is>
      </c>
      <c r="K562" s="7" t="inlineStr">
        <is>
          <t>importado</t>
        </is>
      </c>
      <c r="L562" s="7" t="inlineStr">
        <is>
          <t>Verificado</t>
        </is>
      </c>
      <c r="M562" s="8" t="n">
        <v>1</v>
      </c>
      <c r="N562" s="9" t="n">
        <v>4362.91</v>
      </c>
      <c r="O562" s="9" t="n">
        <v>4362.91</v>
      </c>
      <c r="P562" s="9" t="n">
        <v>4362.91</v>
      </c>
      <c r="Q562" s="7" t="inlineStr">
        <is>
          <t>Sí</t>
        </is>
      </c>
      <c r="R562" s="9">
        <f>IF(N562="","",IF(Q562="Sí",ROUND(N562/1.18,2),N562))</f>
        <v/>
      </c>
      <c r="S562" s="7" t="inlineStr">
        <is>
          <t>2026-09-09</t>
        </is>
      </c>
      <c r="T562" s="5" t="inlineStr">
        <is>
          <t>1 cotización de proveedores</t>
        </is>
      </c>
    </row>
    <row r="563">
      <c r="A563" s="7" t="inlineStr">
        <is>
          <t>MAT-16-070</t>
        </is>
      </c>
      <c r="B563" s="7" t="inlineStr">
        <is>
          <t>Materiales</t>
        </is>
      </c>
      <c r="C563" s="7" t="inlineStr">
        <is>
          <t>Cámaras y videovigilancia</t>
        </is>
      </c>
      <c r="D563" s="5" t="inlineStr">
        <is>
          <t>Monitor Color sin Telefh / Fre</t>
        </is>
      </c>
      <c r="E563" s="5" t="inlineStr">
        <is>
          <t>marca BTICINO · componentes para camaras · referencia 331851</t>
        </is>
      </c>
      <c r="F563" s="5" t="inlineStr">
        <is>
          <t>Material retirado en almacén</t>
        </is>
      </c>
      <c r="G563" s="5" t="inlineStr"/>
      <c r="H563" s="7" t="inlineStr">
        <is>
          <t>unidad</t>
        </is>
      </c>
      <c r="I563" s="7" t="inlineStr">
        <is>
          <t>Instalaciones</t>
        </is>
      </c>
      <c r="J563" s="7" t="inlineStr">
        <is>
          <t>estandar</t>
        </is>
      </c>
      <c r="K563" s="7" t="inlineStr">
        <is>
          <t>importado</t>
        </is>
      </c>
      <c r="L563" s="7" t="inlineStr">
        <is>
          <t>Verificado</t>
        </is>
      </c>
      <c r="M563" s="8" t="n">
        <v>1</v>
      </c>
      <c r="N563" s="9" t="n">
        <v>5692.64</v>
      </c>
      <c r="O563" s="9" t="n">
        <v>5692.64</v>
      </c>
      <c r="P563" s="9" t="n">
        <v>5692.64</v>
      </c>
      <c r="Q563" s="7" t="inlineStr">
        <is>
          <t>Sí</t>
        </is>
      </c>
      <c r="R563" s="9">
        <f>IF(N563="","",IF(Q563="Sí",ROUND(N563/1.18,2),N563))</f>
        <v/>
      </c>
      <c r="S563" s="7" t="inlineStr">
        <is>
          <t>2026-09-09</t>
        </is>
      </c>
      <c r="T563" s="5" t="inlineStr">
        <is>
          <t>1 cotización de proveedores</t>
        </is>
      </c>
    </row>
    <row r="564">
      <c r="A564" s="7" t="inlineStr">
        <is>
          <t>MAT-16-071</t>
        </is>
      </c>
      <c r="B564" s="7" t="inlineStr">
        <is>
          <t>Materiales</t>
        </is>
      </c>
      <c r="C564" s="7" t="inlineStr">
        <is>
          <t>Cámaras y videovigilancia</t>
        </is>
      </c>
      <c r="D564" s="5" t="inlineStr">
        <is>
          <t>Monitor Color Con Telefcolor</t>
        </is>
      </c>
      <c r="E564" s="5" t="inlineStr">
        <is>
          <t>marca BTICINO · componentes para camaras · referencia 331751</t>
        </is>
      </c>
      <c r="F564" s="5" t="inlineStr">
        <is>
          <t>Material retirado en almacén</t>
        </is>
      </c>
      <c r="G564" s="5" t="inlineStr"/>
      <c r="H564" s="7" t="inlineStr">
        <is>
          <t>unidad</t>
        </is>
      </c>
      <c r="I564" s="7" t="inlineStr">
        <is>
          <t>Instalaciones</t>
        </is>
      </c>
      <c r="J564" s="7" t="inlineStr">
        <is>
          <t>estandar</t>
        </is>
      </c>
      <c r="K564" s="7" t="inlineStr">
        <is>
          <t>importado</t>
        </is>
      </c>
      <c r="L564" s="7" t="inlineStr">
        <is>
          <t>Verificado</t>
        </is>
      </c>
      <c r="M564" s="8" t="n">
        <v>1</v>
      </c>
      <c r="N564" s="9" t="n">
        <v>7129.26</v>
      </c>
      <c r="O564" s="9" t="n">
        <v>7129.26</v>
      </c>
      <c r="P564" s="9" t="n">
        <v>7129.26</v>
      </c>
      <c r="Q564" s="7" t="inlineStr">
        <is>
          <t>Sí</t>
        </is>
      </c>
      <c r="R564" s="9">
        <f>IF(N564="","",IF(Q564="Sí",ROUND(N564/1.18,2),N564))</f>
        <v/>
      </c>
      <c r="S564" s="7" t="inlineStr">
        <is>
          <t>2026-09-09</t>
        </is>
      </c>
      <c r="T564" s="5" t="inlineStr">
        <is>
          <t>1 cotización de proveedores</t>
        </is>
      </c>
    </row>
    <row r="565">
      <c r="A565" s="7" t="inlineStr">
        <is>
          <t>MAT-16-072</t>
        </is>
      </c>
      <c r="B565" s="7" t="inlineStr">
        <is>
          <t>Materiales</t>
        </is>
      </c>
      <c r="C565" s="7" t="inlineStr">
        <is>
          <t>Cámaras y videovigilancia</t>
        </is>
      </c>
      <c r="D565" s="5" t="inlineStr">
        <is>
          <t>Monitor Led CCTV 32 Pulgadas</t>
        </is>
      </c>
      <c r="E565" s="5" t="inlineStr">
        <is>
          <t>marca UNIVIEW · accesorios para camaras · referencia MW3232V-K</t>
        </is>
      </c>
      <c r="F565" s="5" t="inlineStr">
        <is>
          <t>Material retirado en almacén</t>
        </is>
      </c>
      <c r="G565" s="5" t="inlineStr"/>
      <c r="H565" s="7" t="inlineStr">
        <is>
          <t>unidad</t>
        </is>
      </c>
      <c r="I565" s="7" t="inlineStr">
        <is>
          <t>Instalaciones</t>
        </is>
      </c>
      <c r="J565" s="7" t="inlineStr">
        <is>
          <t>estandar</t>
        </is>
      </c>
      <c r="K565" s="7" t="inlineStr">
        <is>
          <t>importado</t>
        </is>
      </c>
      <c r="L565" s="7" t="inlineStr">
        <is>
          <t>Verificado</t>
        </is>
      </c>
      <c r="M565" s="8" t="n">
        <v>1</v>
      </c>
      <c r="N565" s="9" t="n">
        <v>15349.99</v>
      </c>
      <c r="O565" s="9" t="n">
        <v>15349.99</v>
      </c>
      <c r="P565" s="9" t="n">
        <v>15349.99</v>
      </c>
      <c r="Q565" s="7" t="inlineStr">
        <is>
          <t>Sí</t>
        </is>
      </c>
      <c r="R565" s="9">
        <f>IF(N565="","",IF(Q565="Sí",ROUND(N565/1.18,2),N565))</f>
        <v/>
      </c>
      <c r="S565" s="7" t="inlineStr">
        <is>
          <t>2026-09-09</t>
        </is>
      </c>
      <c r="T565" s="5" t="inlineStr">
        <is>
          <t>1 cotización de proveedores</t>
        </is>
      </c>
    </row>
    <row r="566">
      <c r="A566" s="7" t="inlineStr">
        <is>
          <t>MAT-16-073</t>
        </is>
      </c>
      <c r="B566" s="7" t="inlineStr">
        <is>
          <t>Materiales</t>
        </is>
      </c>
      <c r="C566" s="7" t="inlineStr">
        <is>
          <t>Cámaras y videovigilancia</t>
        </is>
      </c>
      <c r="D566" s="5" t="inlineStr">
        <is>
          <t>Kit Camaras 4 Wifi Domo 2 Mp 2.8 Mm con Disc</t>
        </is>
      </c>
      <c r="E566" s="5" t="inlineStr">
        <is>
          <t>marca SECTECH · camaras domesticas · referencia STD/KIT-4CAMDM</t>
        </is>
      </c>
      <c r="F566" s="5" t="inlineStr">
        <is>
          <t>Material retirado en almacén</t>
        </is>
      </c>
      <c r="G566" s="5" t="inlineStr"/>
      <c r="H566" s="7" t="inlineStr">
        <is>
          <t>unidad</t>
        </is>
      </c>
      <c r="I566" s="7" t="inlineStr">
        <is>
          <t>Instalaciones</t>
        </is>
      </c>
      <c r="J566" s="7" t="inlineStr">
        <is>
          <t>estandar</t>
        </is>
      </c>
      <c r="K566" s="7" t="inlineStr">
        <is>
          <t>importado</t>
        </is>
      </c>
      <c r="L566" s="7" t="inlineStr">
        <is>
          <t>Verificado</t>
        </is>
      </c>
      <c r="M566" s="8" t="n">
        <v>1</v>
      </c>
      <c r="N566" s="9" t="n">
        <v>17133.95</v>
      </c>
      <c r="O566" s="9" t="n">
        <v>17133.95</v>
      </c>
      <c r="P566" s="9" t="n">
        <v>17133.95</v>
      </c>
      <c r="Q566" s="7" t="inlineStr">
        <is>
          <t>Sí</t>
        </is>
      </c>
      <c r="R566" s="9">
        <f>IF(N566="","",IF(Q566="Sí",ROUND(N566/1.18,2),N566))</f>
        <v/>
      </c>
      <c r="S566" s="7" t="inlineStr">
        <is>
          <t>2026-09-09</t>
        </is>
      </c>
      <c r="T566" s="5" t="inlineStr">
        <is>
          <t>1 cotización de proveedores</t>
        </is>
      </c>
    </row>
    <row r="567">
      <c r="A567" s="7" t="inlineStr">
        <is>
          <t>MAT-16-074</t>
        </is>
      </c>
      <c r="B567" s="7" t="inlineStr">
        <is>
          <t>Materiales</t>
        </is>
      </c>
      <c r="C567" s="7" t="inlineStr">
        <is>
          <t>Cámaras y videovigilancia</t>
        </is>
      </c>
      <c r="D567" s="5" t="inlineStr">
        <is>
          <t>Kit Camara 4 Wifi Bullet 2 Mp 2.8 Mm con Dis</t>
        </is>
      </c>
      <c r="E567" s="5" t="inlineStr">
        <is>
          <t>marca SECTECH · camaras domesticas · referencia STD/KIT-4CAMBL</t>
        </is>
      </c>
      <c r="F567" s="5" t="inlineStr">
        <is>
          <t>Material retirado en almacén</t>
        </is>
      </c>
      <c r="G567" s="5" t="inlineStr"/>
      <c r="H567" s="7" t="inlineStr">
        <is>
          <t>unidad</t>
        </is>
      </c>
      <c r="I567" s="7" t="inlineStr">
        <is>
          <t>Instalaciones</t>
        </is>
      </c>
      <c r="J567" s="7" t="inlineStr">
        <is>
          <t>estandar</t>
        </is>
      </c>
      <c r="K567" s="7" t="inlineStr">
        <is>
          <t>importado</t>
        </is>
      </c>
      <c r="L567" s="7" t="inlineStr">
        <is>
          <t>Verificado</t>
        </is>
      </c>
      <c r="M567" s="8" t="n">
        <v>1</v>
      </c>
      <c r="N567" s="9" t="n">
        <v>18221.03</v>
      </c>
      <c r="O567" s="9" t="n">
        <v>18221.03</v>
      </c>
      <c r="P567" s="9" t="n">
        <v>18221.03</v>
      </c>
      <c r="Q567" s="7" t="inlineStr">
        <is>
          <t>Sí</t>
        </is>
      </c>
      <c r="R567" s="9">
        <f>IF(N567="","",IF(Q567="Sí",ROUND(N567/1.18,2),N567))</f>
        <v/>
      </c>
      <c r="S567" s="7" t="inlineStr">
        <is>
          <t>2026-09-09</t>
        </is>
      </c>
      <c r="T567" s="5" t="inlineStr">
        <is>
          <t>1 cotización de proveedores</t>
        </is>
      </c>
    </row>
    <row r="568">
      <c r="A568" s="7" t="inlineStr">
        <is>
          <t>MAT-16-075</t>
        </is>
      </c>
      <c r="B568" s="7" t="inlineStr">
        <is>
          <t>Materiales</t>
        </is>
      </c>
      <c r="C568" s="7" t="inlineStr">
        <is>
          <t>Cámaras y videovigilancia</t>
        </is>
      </c>
      <c r="D568" s="5" t="inlineStr">
        <is>
          <t>Cable Patch Cord. UTP Cat 6 Slim 2 Ft Azul</t>
        </is>
      </c>
      <c r="E568" s="5" t="inlineStr">
        <is>
          <t>marca DAHUA · componentes para camaras · referencia PFM972-6U-2FT-S</t>
        </is>
      </c>
      <c r="F568" s="5" t="inlineStr">
        <is>
          <t>Material retirado en almacén</t>
        </is>
      </c>
      <c r="G568" s="5" t="inlineStr"/>
      <c r="H568" s="7" t="inlineStr">
        <is>
          <t>unidad</t>
        </is>
      </c>
      <c r="I568" s="7" t="inlineStr">
        <is>
          <t>Instalaciones</t>
        </is>
      </c>
      <c r="J568" s="7" t="inlineStr">
        <is>
          <t>estandar</t>
        </is>
      </c>
      <c r="K568" s="7" t="inlineStr">
        <is>
          <t>importado</t>
        </is>
      </c>
      <c r="L568" s="7" t="inlineStr">
        <is>
          <t>Verificado</t>
        </is>
      </c>
      <c r="M568" s="8" t="n">
        <v>1</v>
      </c>
      <c r="N568" s="9" t="n">
        <v>108.42</v>
      </c>
      <c r="O568" s="9" t="n">
        <v>108.42</v>
      </c>
      <c r="P568" s="9" t="n">
        <v>108.42</v>
      </c>
      <c r="Q568" s="7" t="inlineStr">
        <is>
          <t>Sí</t>
        </is>
      </c>
      <c r="R568" s="9">
        <f>IF(N568="","",IF(Q568="Sí",ROUND(N568/1.18,2),N568))</f>
        <v/>
      </c>
      <c r="S568" s="7" t="inlineStr">
        <is>
          <t>2026-09-09</t>
        </is>
      </c>
      <c r="T568" s="5" t="inlineStr">
        <is>
          <t>1 cotización de proveedores</t>
        </is>
      </c>
    </row>
    <row r="569">
      <c r="A569" s="7" t="inlineStr">
        <is>
          <t>MAT-16-076</t>
        </is>
      </c>
      <c r="B569" s="7" t="inlineStr">
        <is>
          <t>Materiales</t>
        </is>
      </c>
      <c r="C569" s="7" t="inlineStr">
        <is>
          <t>Cámaras y videovigilancia</t>
        </is>
      </c>
      <c r="D569" s="5" t="inlineStr">
        <is>
          <t>Cable UTP Cat 6 interior Cert. Ul Cobre100%</t>
        </is>
      </c>
      <c r="E569" s="5" t="inlineStr">
        <is>
          <t>marca DAHUA · componentes para camaras · referencia PFM920I-6UN-CN-U-BLA</t>
        </is>
      </c>
      <c r="F569" s="5" t="inlineStr">
        <is>
          <t>Material retirado en almacén</t>
        </is>
      </c>
      <c r="G569" s="5" t="inlineStr"/>
      <c r="H569" s="7" t="inlineStr">
        <is>
          <t>unidad</t>
        </is>
      </c>
      <c r="I569" s="7" t="inlineStr">
        <is>
          <t>Instalaciones</t>
        </is>
      </c>
      <c r="J569" s="7" t="inlineStr">
        <is>
          <t>estandar</t>
        </is>
      </c>
      <c r="K569" s="7" t="inlineStr">
        <is>
          <t>importado</t>
        </is>
      </c>
      <c r="L569" s="7" t="inlineStr">
        <is>
          <t>Verificado</t>
        </is>
      </c>
      <c r="M569" s="8" t="n">
        <v>1</v>
      </c>
      <c r="N569" s="9" t="n">
        <v>11275.77</v>
      </c>
      <c r="O569" s="9" t="n">
        <v>11275.77</v>
      </c>
      <c r="P569" s="9" t="n">
        <v>11275.77</v>
      </c>
      <c r="Q569" s="7" t="inlineStr">
        <is>
          <t>Sí</t>
        </is>
      </c>
      <c r="R569" s="9">
        <f>IF(N569="","",IF(Q569="Sí",ROUND(N569/1.18,2),N569))</f>
        <v/>
      </c>
      <c r="S569" s="7" t="inlineStr">
        <is>
          <t>2026-09-09</t>
        </is>
      </c>
      <c r="T569" s="5" t="inlineStr">
        <is>
          <t>1 cotización de proveedores</t>
        </is>
      </c>
    </row>
    <row r="570">
      <c r="A570" s="7" t="inlineStr">
        <is>
          <t>MAT-16-077</t>
        </is>
      </c>
      <c r="B570" s="7" t="inlineStr">
        <is>
          <t>Materiales</t>
        </is>
      </c>
      <c r="C570" s="7" t="inlineStr">
        <is>
          <t>Cámaras y videovigilancia</t>
        </is>
      </c>
      <c r="D570" s="5" t="inlineStr">
        <is>
          <t>Placa De Pared Modular 10G Max</t>
        </is>
      </c>
      <c r="E570" s="5" t="inlineStr">
        <is>
          <t>marca SIEMON · accesorios para camaras · referencia 10GMX-FPS02-02</t>
        </is>
      </c>
      <c r="F570" s="5" t="inlineStr">
        <is>
          <t>Material retirado en almacén</t>
        </is>
      </c>
      <c r="G570" s="5" t="inlineStr"/>
      <c r="H570" s="7" t="inlineStr">
        <is>
          <t>unidad</t>
        </is>
      </c>
      <c r="I570" s="7" t="inlineStr">
        <is>
          <t>Instalaciones</t>
        </is>
      </c>
      <c r="J570" s="7" t="inlineStr">
        <is>
          <t>estandar</t>
        </is>
      </c>
      <c r="K570" s="7" t="inlineStr">
        <is>
          <t>importado</t>
        </is>
      </c>
      <c r="L570" s="7" t="inlineStr">
        <is>
          <t>Verificado</t>
        </is>
      </c>
      <c r="M570" s="8" t="n">
        <v>1</v>
      </c>
      <c r="N570" s="9" t="n">
        <v>139.7</v>
      </c>
      <c r="O570" s="9" t="n">
        <v>139.7</v>
      </c>
      <c r="P570" s="9" t="n">
        <v>139.7</v>
      </c>
      <c r="Q570" s="7" t="inlineStr">
        <is>
          <t>Sí</t>
        </is>
      </c>
      <c r="R570" s="9">
        <f>IF(N570="","",IF(Q570="Sí",ROUND(N570/1.18,2),N570))</f>
        <v/>
      </c>
      <c r="S570" s="7" t="inlineStr">
        <is>
          <t>2026-09-09</t>
        </is>
      </c>
      <c r="T570" s="5" t="inlineStr">
        <is>
          <t>1 cotización de proveedores</t>
        </is>
      </c>
    </row>
    <row r="571">
      <c r="A571" s="7" t="inlineStr">
        <is>
          <t>MAT-16-078</t>
        </is>
      </c>
      <c r="B571" s="7" t="inlineStr">
        <is>
          <t>Materiales</t>
        </is>
      </c>
      <c r="C571" s="7" t="inlineStr">
        <is>
          <t>Cámaras y videovigilancia</t>
        </is>
      </c>
      <c r="D571" s="5" t="inlineStr">
        <is>
          <t>Placa Interfaz Colgante</t>
        </is>
      </c>
      <c r="E571" s="5" t="inlineStr">
        <is>
          <t>marca BOSCH · componentes para camaras · referencia NDA-5031-PIP</t>
        </is>
      </c>
      <c r="F571" s="5" t="inlineStr">
        <is>
          <t>Material retirado en almacén</t>
        </is>
      </c>
      <c r="G571" s="5" t="inlineStr"/>
      <c r="H571" s="7" t="inlineStr">
        <is>
          <t>unidad</t>
        </is>
      </c>
      <c r="I571" s="7" t="inlineStr">
        <is>
          <t>Instalaciones</t>
        </is>
      </c>
      <c r="J571" s="7" t="inlineStr">
        <is>
          <t>estandar</t>
        </is>
      </c>
      <c r="K571" s="7" t="inlineStr">
        <is>
          <t>importado</t>
        </is>
      </c>
      <c r="L571" s="7" t="inlineStr">
        <is>
          <t>Verificado</t>
        </is>
      </c>
      <c r="M571" s="8" t="n">
        <v>1</v>
      </c>
      <c r="N571" s="9" t="n">
        <v>612.77</v>
      </c>
      <c r="O571" s="9" t="n">
        <v>612.77</v>
      </c>
      <c r="P571" s="9" t="n">
        <v>612.77</v>
      </c>
      <c r="Q571" s="7" t="inlineStr">
        <is>
          <t>Sí</t>
        </is>
      </c>
      <c r="R571" s="9">
        <f>IF(N571="","",IF(Q571="Sí",ROUND(N571/1.18,2),N571))</f>
        <v/>
      </c>
      <c r="S571" s="7" t="inlineStr">
        <is>
          <t>2026-09-09</t>
        </is>
      </c>
      <c r="T571" s="5" t="inlineStr">
        <is>
          <t>1 cotización de proveedores</t>
        </is>
      </c>
    </row>
    <row r="572">
      <c r="A572" s="7" t="inlineStr">
        <is>
          <t>MAT-16-079</t>
        </is>
      </c>
      <c r="B572" s="7" t="inlineStr">
        <is>
          <t>Materiales</t>
        </is>
      </c>
      <c r="C572" s="7" t="inlineStr">
        <is>
          <t>Cámaras y videovigilancia</t>
        </is>
      </c>
      <c r="D572" s="5" t="inlineStr">
        <is>
          <t>Modulo De Expansion Popex Bg-Series</t>
        </is>
      </c>
      <c r="E572" s="5" t="inlineStr">
        <is>
          <t>marca BOSCH · accesorios para camaras · referencia B299</t>
        </is>
      </c>
      <c r="F572" s="5" t="inlineStr">
        <is>
          <t>Material retirado en almacén</t>
        </is>
      </c>
      <c r="G572" s="5" t="inlineStr"/>
      <c r="H572" s="7" t="inlineStr">
        <is>
          <t>unidad</t>
        </is>
      </c>
      <c r="I572" s="7" t="inlineStr">
        <is>
          <t>Instalaciones</t>
        </is>
      </c>
      <c r="J572" s="7" t="inlineStr">
        <is>
          <t>estandar</t>
        </is>
      </c>
      <c r="K572" s="7" t="inlineStr">
        <is>
          <t>importado</t>
        </is>
      </c>
      <c r="L572" s="7" t="inlineStr">
        <is>
          <t>Verificado</t>
        </is>
      </c>
      <c r="M572" s="8" t="n">
        <v>1</v>
      </c>
      <c r="N572" s="9" t="n">
        <v>3481.22</v>
      </c>
      <c r="O572" s="9" t="n">
        <v>3481.22</v>
      </c>
      <c r="P572" s="9" t="n">
        <v>3481.22</v>
      </c>
      <c r="Q572" s="7" t="inlineStr">
        <is>
          <t>Sí</t>
        </is>
      </c>
      <c r="R572" s="9">
        <f>IF(N572="","",IF(Q572="Sí",ROUND(N572/1.18,2),N572))</f>
        <v/>
      </c>
      <c r="S572" s="7" t="inlineStr">
        <is>
          <t>2026-09-09</t>
        </is>
      </c>
      <c r="T572" s="5" t="inlineStr">
        <is>
          <t>1 cotización de proveedores</t>
        </is>
      </c>
    </row>
    <row r="573">
      <c r="A573" s="7" t="inlineStr">
        <is>
          <t>MAT-16-080</t>
        </is>
      </c>
      <c r="B573" s="7" t="inlineStr">
        <is>
          <t>Materiales</t>
        </is>
      </c>
      <c r="C573" s="7" t="inlineStr">
        <is>
          <t>Cámaras y videovigilancia</t>
        </is>
      </c>
      <c r="D573" s="5" t="inlineStr">
        <is>
          <t>Amplificador 240W Todo En Uno</t>
        </is>
      </c>
      <c r="E573" s="5" t="inlineStr">
        <is>
          <t>marca BOSCH · camaras ptz · referencia PLN-6AIO240</t>
        </is>
      </c>
      <c r="F573" s="5" t="inlineStr">
        <is>
          <t>Material retirado en almacén</t>
        </is>
      </c>
      <c r="G573" s="5" t="inlineStr"/>
      <c r="H573" s="7" t="inlineStr">
        <is>
          <t>unidad</t>
        </is>
      </c>
      <c r="I573" s="7" t="inlineStr">
        <is>
          <t>Instalaciones</t>
        </is>
      </c>
      <c r="J573" s="7" t="inlineStr">
        <is>
          <t>estandar</t>
        </is>
      </c>
      <c r="K573" s="7" t="inlineStr">
        <is>
          <t>importado</t>
        </is>
      </c>
      <c r="L573" s="7" t="inlineStr">
        <is>
          <t>Verificado</t>
        </is>
      </c>
      <c r="M573" s="8" t="n">
        <v>1</v>
      </c>
      <c r="N573" s="9" t="n">
        <v>62081.59</v>
      </c>
      <c r="O573" s="9" t="n">
        <v>62081.59</v>
      </c>
      <c r="P573" s="9" t="n">
        <v>62081.59</v>
      </c>
      <c r="Q573" s="7" t="inlineStr">
        <is>
          <t>Sí</t>
        </is>
      </c>
      <c r="R573" s="9">
        <f>IF(N573="","",IF(Q573="Sí",ROUND(N573/1.18,2),N573))</f>
        <v/>
      </c>
      <c r="S573" s="7" t="inlineStr">
        <is>
          <t>2026-09-09</t>
        </is>
      </c>
      <c r="T573" s="5" t="inlineStr">
        <is>
          <t>1 cotización de proveedores</t>
        </is>
      </c>
    </row>
    <row r="574">
      <c r="A574" s="7" t="inlineStr">
        <is>
          <t>MAT-16-081</t>
        </is>
      </c>
      <c r="B574" s="7" t="inlineStr">
        <is>
          <t>Materiales</t>
        </is>
      </c>
      <c r="C574" s="7" t="inlineStr">
        <is>
          <t>Cámaras y videovigilancia</t>
        </is>
      </c>
      <c r="D574" s="5" t="inlineStr">
        <is>
          <t>Soporte Giratorio Para Pared</t>
        </is>
      </c>
      <c r="E574" s="5" t="inlineStr">
        <is>
          <t>marca BOSCH · accesorios para camaras · referencia B335-3</t>
        </is>
      </c>
      <c r="F574" s="5" t="inlineStr">
        <is>
          <t>Material retirado en almacén</t>
        </is>
      </c>
      <c r="G574" s="5" t="inlineStr"/>
      <c r="H574" s="7" t="inlineStr">
        <is>
          <t>unidad</t>
        </is>
      </c>
      <c r="I574" s="7" t="inlineStr">
        <is>
          <t>Instalaciones</t>
        </is>
      </c>
      <c r="J574" s="7" t="inlineStr">
        <is>
          <t>estandar</t>
        </is>
      </c>
      <c r="K574" s="7" t="inlineStr">
        <is>
          <t>importado</t>
        </is>
      </c>
      <c r="L574" s="7" t="inlineStr">
        <is>
          <t>Verificado</t>
        </is>
      </c>
      <c r="M574" s="8" t="n">
        <v>1</v>
      </c>
      <c r="N574" s="9" t="n">
        <v>168.41</v>
      </c>
      <c r="O574" s="9" t="n">
        <v>168.41</v>
      </c>
      <c r="P574" s="9" t="n">
        <v>168.41</v>
      </c>
      <c r="Q574" s="7" t="inlineStr">
        <is>
          <t>Sí</t>
        </is>
      </c>
      <c r="R574" s="9">
        <f>IF(N574="","",IF(Q574="Sí",ROUND(N574/1.18,2),N574))</f>
        <v/>
      </c>
      <c r="S574" s="7" t="inlineStr">
        <is>
          <t>2026-09-09</t>
        </is>
      </c>
      <c r="T574" s="5" t="inlineStr">
        <is>
          <t>1 cotización de proveedores</t>
        </is>
      </c>
    </row>
    <row r="575">
      <c r="A575" s="7" t="inlineStr">
        <is>
          <t>MAT-16-082</t>
        </is>
      </c>
      <c r="B575" s="7" t="inlineStr">
        <is>
          <t>Materiales</t>
        </is>
      </c>
      <c r="C575" s="7" t="inlineStr">
        <is>
          <t>Cámaras y videovigilancia</t>
        </is>
      </c>
      <c r="D575" s="5" t="inlineStr">
        <is>
          <t>Base Estándar Analógica</t>
        </is>
      </c>
      <c r="E575" s="5" t="inlineStr">
        <is>
          <t>marca BOSCH · accesorios para camaras · referencia FAA-440-B6</t>
        </is>
      </c>
      <c r="F575" s="5" t="inlineStr">
        <is>
          <t>Material retirado en almacén</t>
        </is>
      </c>
      <c r="G575" s="5" t="inlineStr"/>
      <c r="H575" s="7" t="inlineStr">
        <is>
          <t>unidad</t>
        </is>
      </c>
      <c r="I575" s="7" t="inlineStr">
        <is>
          <t>Instalaciones</t>
        </is>
      </c>
      <c r="J575" s="7" t="inlineStr">
        <is>
          <t>estandar</t>
        </is>
      </c>
      <c r="K575" s="7" t="inlineStr">
        <is>
          <t>importado</t>
        </is>
      </c>
      <c r="L575" s="7" t="inlineStr">
        <is>
          <t>Verificado</t>
        </is>
      </c>
      <c r="M575" s="8" t="n">
        <v>1</v>
      </c>
      <c r="N575" s="9" t="n">
        <v>331.55</v>
      </c>
      <c r="O575" s="9" t="n">
        <v>331.55</v>
      </c>
      <c r="P575" s="9" t="n">
        <v>331.55</v>
      </c>
      <c r="Q575" s="7" t="inlineStr">
        <is>
          <t>Sí</t>
        </is>
      </c>
      <c r="R575" s="9">
        <f>IF(N575="","",IF(Q575="Sí",ROUND(N575/1.18,2),N575))</f>
        <v/>
      </c>
      <c r="S575" s="7" t="inlineStr">
        <is>
          <t>2026-09-09</t>
        </is>
      </c>
      <c r="T575" s="5" t="inlineStr">
        <is>
          <t>1 cotización de proveedores</t>
        </is>
      </c>
    </row>
    <row r="576">
      <c r="A576" s="7" t="inlineStr">
        <is>
          <t>MAT-16-083</t>
        </is>
      </c>
      <c r="B576" s="7" t="inlineStr">
        <is>
          <t>Materiales</t>
        </is>
      </c>
      <c r="C576" s="7" t="inlineStr">
        <is>
          <t>Cámaras y videovigilancia</t>
        </is>
      </c>
      <c r="D576" s="5" t="inlineStr">
        <is>
          <t>Caja De Conexion 108.6 x 36 Mm</t>
        </is>
      </c>
      <c r="E576" s="5" t="inlineStr">
        <is>
          <t>marca STD · accesorios para camaras · referencia TR-JB03-G-IN</t>
        </is>
      </c>
      <c r="F576" s="5" t="inlineStr">
        <is>
          <t>Material retirado en almacén</t>
        </is>
      </c>
      <c r="G576" s="5" t="inlineStr"/>
      <c r="H576" s="7" t="inlineStr">
        <is>
          <t>unidad</t>
        </is>
      </c>
      <c r="I576" s="7" t="inlineStr">
        <is>
          <t>Instalaciones</t>
        </is>
      </c>
      <c r="J576" s="7" t="inlineStr">
        <is>
          <t>estandar</t>
        </is>
      </c>
      <c r="K576" s="7" t="inlineStr">
        <is>
          <t>importado</t>
        </is>
      </c>
      <c r="L576" s="7" t="inlineStr">
        <is>
          <t>Verificado</t>
        </is>
      </c>
      <c r="M576" s="8" t="n">
        <v>1</v>
      </c>
      <c r="N576" s="9" t="n">
        <v>657.9299999999999</v>
      </c>
      <c r="O576" s="9" t="n">
        <v>657.9299999999999</v>
      </c>
      <c r="P576" s="9" t="n">
        <v>657.9299999999999</v>
      </c>
      <c r="Q576" s="7" t="inlineStr">
        <is>
          <t>Sí</t>
        </is>
      </c>
      <c r="R576" s="9">
        <f>IF(N576="","",IF(Q576="Sí",ROUND(N576/1.18,2),N576))</f>
        <v/>
      </c>
      <c r="S576" s="7" t="inlineStr">
        <is>
          <t>2026-09-09</t>
        </is>
      </c>
      <c r="T576" s="5" t="inlineStr">
        <is>
          <t>1 cotización de proveedores</t>
        </is>
      </c>
    </row>
    <row r="577">
      <c r="A577" s="7" t="inlineStr">
        <is>
          <t>MAT-16-084</t>
        </is>
      </c>
      <c r="B577" s="7" t="inlineStr">
        <is>
          <t>Materiales</t>
        </is>
      </c>
      <c r="C577" s="7" t="inlineStr">
        <is>
          <t>Cámaras y videovigilancia</t>
        </is>
      </c>
      <c r="D577" s="5" t="inlineStr">
        <is>
          <t>Caja De Conexion 117.8 x 36 Mm</t>
        </is>
      </c>
      <c r="E577" s="5" t="inlineStr">
        <is>
          <t>marca STD · accesorios para camaras · referencia TR-JB03-I-IN</t>
        </is>
      </c>
      <c r="F577" s="5" t="inlineStr">
        <is>
          <t>Material retirado en almacén</t>
        </is>
      </c>
      <c r="G577" s="5" t="inlineStr"/>
      <c r="H577" s="7" t="inlineStr">
        <is>
          <t>unidad</t>
        </is>
      </c>
      <c r="I577" s="7" t="inlineStr">
        <is>
          <t>Instalaciones</t>
        </is>
      </c>
      <c r="J577" s="7" t="inlineStr">
        <is>
          <t>estandar</t>
        </is>
      </c>
      <c r="K577" s="7" t="inlineStr">
        <is>
          <t>importado</t>
        </is>
      </c>
      <c r="L577" s="7" t="inlineStr">
        <is>
          <t>Verificado</t>
        </is>
      </c>
      <c r="M577" s="8" t="n">
        <v>1</v>
      </c>
      <c r="N577" s="9" t="n">
        <v>744.11</v>
      </c>
      <c r="O577" s="9" t="n">
        <v>744.11</v>
      </c>
      <c r="P577" s="9" t="n">
        <v>744.11</v>
      </c>
      <c r="Q577" s="7" t="inlineStr">
        <is>
          <t>Sí</t>
        </is>
      </c>
      <c r="R577" s="9">
        <f>IF(N577="","",IF(Q577="Sí",ROUND(N577/1.18,2),N577))</f>
        <v/>
      </c>
      <c r="S577" s="7" t="inlineStr">
        <is>
          <t>2026-09-09</t>
        </is>
      </c>
      <c r="T577" s="5" t="inlineStr">
        <is>
          <t>1 cotización de proveedores</t>
        </is>
      </c>
    </row>
    <row r="578">
      <c r="A578" s="7" t="inlineStr">
        <is>
          <t>MAT-16-085</t>
        </is>
      </c>
      <c r="B578" s="7" t="inlineStr">
        <is>
          <t>Materiales</t>
        </is>
      </c>
      <c r="C578" s="7" t="inlineStr">
        <is>
          <t>Cámaras y videovigilancia</t>
        </is>
      </c>
      <c r="D578" s="5" t="inlineStr">
        <is>
          <t>Caja De Conexion 93 x 93 x 39 Mm</t>
        </is>
      </c>
      <c r="E578" s="5" t="inlineStr">
        <is>
          <t>marca STD · accesorios para camaras · referencia TR-JB05-A-IN</t>
        </is>
      </c>
      <c r="F578" s="5" t="inlineStr">
        <is>
          <t>Material retirado en almacén</t>
        </is>
      </c>
      <c r="G578" s="5" t="inlineStr"/>
      <c r="H578" s="7" t="inlineStr">
        <is>
          <t>unidad</t>
        </is>
      </c>
      <c r="I578" s="7" t="inlineStr">
        <is>
          <t>Instalaciones</t>
        </is>
      </c>
      <c r="J578" s="7" t="inlineStr">
        <is>
          <t>estandar</t>
        </is>
      </c>
      <c r="K578" s="7" t="inlineStr">
        <is>
          <t>importado</t>
        </is>
      </c>
      <c r="L578" s="7" t="inlineStr">
        <is>
          <t>Verificado</t>
        </is>
      </c>
      <c r="M578" s="8" t="n">
        <v>1</v>
      </c>
      <c r="N578" s="9" t="n">
        <v>744.11</v>
      </c>
      <c r="O578" s="9" t="n">
        <v>744.11</v>
      </c>
      <c r="P578" s="9" t="n">
        <v>744.11</v>
      </c>
      <c r="Q578" s="7" t="inlineStr">
        <is>
          <t>Sí</t>
        </is>
      </c>
      <c r="R578" s="9">
        <f>IF(N578="","",IF(Q578="Sí",ROUND(N578/1.18,2),N578))</f>
        <v/>
      </c>
      <c r="S578" s="7" t="inlineStr">
        <is>
          <t>2026-09-09</t>
        </is>
      </c>
      <c r="T578" s="5" t="inlineStr">
        <is>
          <t>1 cotización de proveedores</t>
        </is>
      </c>
    </row>
    <row r="579">
      <c r="A579" s="7" t="inlineStr">
        <is>
          <t>MAT-16-086</t>
        </is>
      </c>
      <c r="B579" s="7" t="inlineStr">
        <is>
          <t>Materiales</t>
        </is>
      </c>
      <c r="C579" s="7" t="inlineStr">
        <is>
          <t>Cámaras y videovigilancia</t>
        </is>
      </c>
      <c r="D579" s="5" t="inlineStr">
        <is>
          <t>Caja De Conexion 126 x 36 Mm</t>
        </is>
      </c>
      <c r="E579" s="5" t="inlineStr">
        <is>
          <t>marca STD · accesorios para camaras · referencia TR-JB03-H-IN</t>
        </is>
      </c>
      <c r="F579" s="5" t="inlineStr">
        <is>
          <t>Material retirado en almacén</t>
        </is>
      </c>
      <c r="G579" s="5" t="inlineStr"/>
      <c r="H579" s="7" t="inlineStr">
        <is>
          <t>unidad</t>
        </is>
      </c>
      <c r="I579" s="7" t="inlineStr">
        <is>
          <t>Instalaciones</t>
        </is>
      </c>
      <c r="J579" s="7" t="inlineStr">
        <is>
          <t>estandar</t>
        </is>
      </c>
      <c r="K579" s="7" t="inlineStr">
        <is>
          <t>importado</t>
        </is>
      </c>
      <c r="L579" s="7" t="inlineStr">
        <is>
          <t>Verificado</t>
        </is>
      </c>
      <c r="M579" s="8" t="n">
        <v>1</v>
      </c>
      <c r="N579" s="9" t="n">
        <v>751.9299999999999</v>
      </c>
      <c r="O579" s="9" t="n">
        <v>751.9299999999999</v>
      </c>
      <c r="P579" s="9" t="n">
        <v>751.9299999999999</v>
      </c>
      <c r="Q579" s="7" t="inlineStr">
        <is>
          <t>Sí</t>
        </is>
      </c>
      <c r="R579" s="9">
        <f>IF(N579="","",IF(Q579="Sí",ROUND(N579/1.18,2),N579))</f>
        <v/>
      </c>
      <c r="S579" s="7" t="inlineStr">
        <is>
          <t>2026-09-09</t>
        </is>
      </c>
      <c r="T579" s="5" t="inlineStr">
        <is>
          <t>1 cotización de proveedores</t>
        </is>
      </c>
    </row>
    <row r="580">
      <c r="A580" s="7" t="inlineStr">
        <is>
          <t>MAT-16-087</t>
        </is>
      </c>
      <c r="B580" s="7" t="inlineStr">
        <is>
          <t>Materiales</t>
        </is>
      </c>
      <c r="C580" s="7" t="inlineStr">
        <is>
          <t>Cámaras y videovigilancia</t>
        </is>
      </c>
      <c r="D580" s="5" t="inlineStr">
        <is>
          <t>Base Para Camara Metalica</t>
        </is>
      </c>
      <c r="E580" s="5" t="inlineStr">
        <is>
          <t>marca DAHUA · accesorios para camaras · referencia BCBLK</t>
        </is>
      </c>
      <c r="F580" s="5" t="inlineStr">
        <is>
          <t>Material retirado en almacén</t>
        </is>
      </c>
      <c r="G580" s="5" t="inlineStr"/>
      <c r="H580" s="7" t="inlineStr">
        <is>
          <t>unidad</t>
        </is>
      </c>
      <c r="I580" s="7" t="inlineStr">
        <is>
          <t>Instalaciones</t>
        </is>
      </c>
      <c r="J580" s="7" t="inlineStr">
        <is>
          <t>estandar</t>
        </is>
      </c>
      <c r="K580" s="7" t="inlineStr">
        <is>
          <t>importado</t>
        </is>
      </c>
      <c r="L580" s="7" t="inlineStr">
        <is>
          <t>Verificado</t>
        </is>
      </c>
      <c r="M580" s="8" t="n">
        <v>1</v>
      </c>
      <c r="N580" s="9" t="n">
        <v>762.66</v>
      </c>
      <c r="O580" s="9" t="n">
        <v>762.66</v>
      </c>
      <c r="P580" s="9" t="n">
        <v>762.66</v>
      </c>
      <c r="Q580" s="7" t="inlineStr">
        <is>
          <t>Sí</t>
        </is>
      </c>
      <c r="R580" s="9">
        <f>IF(N580="","",IF(Q580="Sí",ROUND(N580/1.18,2),N580))</f>
        <v/>
      </c>
      <c r="S580" s="7" t="inlineStr">
        <is>
          <t>2026-09-09</t>
        </is>
      </c>
      <c r="T580" s="5" t="inlineStr">
        <is>
          <t>1 cotización de proveedores</t>
        </is>
      </c>
    </row>
    <row r="581">
      <c r="A581" s="7" t="inlineStr">
        <is>
          <t>MAT-16-088</t>
        </is>
      </c>
      <c r="B581" s="7" t="inlineStr">
        <is>
          <t>Materiales</t>
        </is>
      </c>
      <c r="C581" s="7" t="inlineStr">
        <is>
          <t>Cámaras y videovigilancia</t>
        </is>
      </c>
      <c r="D581" s="5" t="inlineStr">
        <is>
          <t>Soporte Tubo Colgante 12"</t>
        </is>
      </c>
      <c r="E581" s="5" t="inlineStr">
        <is>
          <t>marca BOSCH · accesorios para camaras · referencia NDA-U-PMT</t>
        </is>
      </c>
      <c r="F581" s="5" t="inlineStr">
        <is>
          <t>Material retirado en almacén</t>
        </is>
      </c>
      <c r="G581" s="5" t="inlineStr"/>
      <c r="H581" s="7" t="inlineStr">
        <is>
          <t>unidad</t>
        </is>
      </c>
      <c r="I581" s="7" t="inlineStr">
        <is>
          <t>Instalaciones</t>
        </is>
      </c>
      <c r="J581" s="7" t="inlineStr">
        <is>
          <t>estandar</t>
        </is>
      </c>
      <c r="K581" s="7" t="inlineStr">
        <is>
          <t>importado</t>
        </is>
      </c>
      <c r="L581" s="7" t="inlineStr">
        <is>
          <t>Verificado</t>
        </is>
      </c>
      <c r="M581" s="8" t="n">
        <v>1</v>
      </c>
      <c r="N581" s="9" t="n">
        <v>1068.39</v>
      </c>
      <c r="O581" s="9" t="n">
        <v>1068.39</v>
      </c>
      <c r="P581" s="9" t="n">
        <v>1068.39</v>
      </c>
      <c r="Q581" s="7" t="inlineStr">
        <is>
          <t>Sí</t>
        </is>
      </c>
      <c r="R581" s="9">
        <f>IF(N581="","",IF(Q581="Sí",ROUND(N581/1.18,2),N581))</f>
        <v/>
      </c>
      <c r="S581" s="7" t="inlineStr">
        <is>
          <t>2026-09-09</t>
        </is>
      </c>
      <c r="T581" s="5" t="inlineStr">
        <is>
          <t>1 cotización de proveedores</t>
        </is>
      </c>
    </row>
    <row r="582">
      <c r="A582" s="7" t="inlineStr">
        <is>
          <t>MAT-16-089</t>
        </is>
      </c>
      <c r="B582" s="7" t="inlineStr">
        <is>
          <t>Materiales</t>
        </is>
      </c>
      <c r="C582" s="7" t="inlineStr">
        <is>
          <t>Cámaras y videovigilancia</t>
        </is>
      </c>
      <c r="D582" s="5" t="inlineStr">
        <is>
          <t>Soporte De Pared Y Techo Smb</t>
        </is>
      </c>
      <c r="E582" s="5" t="inlineStr">
        <is>
          <t>marca BOSCH · componentes para camaras · referencia NDA-U-PSMB</t>
        </is>
      </c>
      <c r="F582" s="5" t="inlineStr">
        <is>
          <t>Material retirado en almacén</t>
        </is>
      </c>
      <c r="G582" s="5" t="inlineStr"/>
      <c r="H582" s="7" t="inlineStr">
        <is>
          <t>unidad</t>
        </is>
      </c>
      <c r="I582" s="7" t="inlineStr">
        <is>
          <t>Instalaciones</t>
        </is>
      </c>
      <c r="J582" s="7" t="inlineStr">
        <is>
          <t>estandar</t>
        </is>
      </c>
      <c r="K582" s="7" t="inlineStr">
        <is>
          <t>importado</t>
        </is>
      </c>
      <c r="L582" s="7" t="inlineStr">
        <is>
          <t>Verificado</t>
        </is>
      </c>
      <c r="M582" s="8" t="n">
        <v>1</v>
      </c>
      <c r="N582" s="9" t="n">
        <v>1259.02</v>
      </c>
      <c r="O582" s="9" t="n">
        <v>1259.02</v>
      </c>
      <c r="P582" s="9" t="n">
        <v>1259.02</v>
      </c>
      <c r="Q582" s="7" t="inlineStr">
        <is>
          <t>Sí</t>
        </is>
      </c>
      <c r="R582" s="9">
        <f>IF(N582="","",IF(Q582="Sí",ROUND(N582/1.18,2),N582))</f>
        <v/>
      </c>
      <c r="S582" s="7" t="inlineStr">
        <is>
          <t>2026-09-09</t>
        </is>
      </c>
      <c r="T582" s="5" t="inlineStr">
        <is>
          <t>1 cotización de proveedores</t>
        </is>
      </c>
    </row>
    <row r="583">
      <c r="A583" s="7" t="inlineStr">
        <is>
          <t>MAT-16-090</t>
        </is>
      </c>
      <c r="B583" s="7" t="inlineStr">
        <is>
          <t>Materiales</t>
        </is>
      </c>
      <c r="C583" s="7" t="inlineStr">
        <is>
          <t>Cámaras y videovigilancia</t>
        </is>
      </c>
      <c r="D583" s="5" t="inlineStr">
        <is>
          <t>Base Unica 4 Cables 12 / 24V</t>
        </is>
      </c>
      <c r="E583" s="5" t="inlineStr">
        <is>
          <t>marca BOSCH · accesorios para camaras · referencia F220-B6PS</t>
        </is>
      </c>
      <c r="F583" s="5" t="inlineStr">
        <is>
          <t>Material retirado en almacén</t>
        </is>
      </c>
      <c r="G583" s="5" t="inlineStr"/>
      <c r="H583" s="7" t="inlineStr">
        <is>
          <t>unidad</t>
        </is>
      </c>
      <c r="I583" s="7" t="inlineStr">
        <is>
          <t>Instalaciones</t>
        </is>
      </c>
      <c r="J583" s="7" t="inlineStr">
        <is>
          <t>estandar</t>
        </is>
      </c>
      <c r="K583" s="7" t="inlineStr">
        <is>
          <t>importado</t>
        </is>
      </c>
      <c r="L583" s="7" t="inlineStr">
        <is>
          <t>Verificado</t>
        </is>
      </c>
      <c r="M583" s="8" t="n">
        <v>1</v>
      </c>
      <c r="N583" s="9" t="n">
        <v>1284.74</v>
      </c>
      <c r="O583" s="9" t="n">
        <v>1284.74</v>
      </c>
      <c r="P583" s="9" t="n">
        <v>1284.74</v>
      </c>
      <c r="Q583" s="7" t="inlineStr">
        <is>
          <t>Sí</t>
        </is>
      </c>
      <c r="R583" s="9">
        <f>IF(N583="","",IF(Q583="Sí",ROUND(N583/1.18,2),N583))</f>
        <v/>
      </c>
      <c r="S583" s="7" t="inlineStr">
        <is>
          <t>2026-09-09</t>
        </is>
      </c>
      <c r="T583" s="5" t="inlineStr">
        <is>
          <t>1 cotización de proveedores</t>
        </is>
      </c>
    </row>
    <row r="584">
      <c r="A584" s="7" t="inlineStr">
        <is>
          <t>MAT-16-091</t>
        </is>
      </c>
      <c r="B584" s="7" t="inlineStr">
        <is>
          <t>Materiales</t>
        </is>
      </c>
      <c r="C584" s="7" t="inlineStr">
        <is>
          <t>Cámaras y videovigilancia</t>
        </is>
      </c>
      <c r="D584" s="5" t="inlineStr">
        <is>
          <t>Caja De Conexiones para Camara Bullet</t>
        </is>
      </c>
      <c r="E584" s="5" t="inlineStr">
        <is>
          <t>marca STD · accesorios para camaras · referencia TR-JB05-A-IN</t>
        </is>
      </c>
      <c r="F584" s="5" t="inlineStr">
        <is>
          <t>Material retirado en almacén</t>
        </is>
      </c>
      <c r="G584" s="5" t="inlineStr"/>
      <c r="H584" s="7" t="inlineStr">
        <is>
          <t>unidad</t>
        </is>
      </c>
      <c r="I584" s="7" t="inlineStr">
        <is>
          <t>Instalaciones</t>
        </is>
      </c>
      <c r="J584" s="7" t="inlineStr">
        <is>
          <t>estandar</t>
        </is>
      </c>
      <c r="K584" s="7" t="inlineStr">
        <is>
          <t>importado</t>
        </is>
      </c>
      <c r="L584" s="7" t="inlineStr">
        <is>
          <t>Verificado</t>
        </is>
      </c>
      <c r="M584" s="8" t="n">
        <v>1</v>
      </c>
      <c r="N584" s="9" t="n">
        <v>1286.99</v>
      </c>
      <c r="O584" s="9" t="n">
        <v>1286.99</v>
      </c>
      <c r="P584" s="9" t="n">
        <v>1286.99</v>
      </c>
      <c r="Q584" s="7" t="inlineStr">
        <is>
          <t>Sí</t>
        </is>
      </c>
      <c r="R584" s="9">
        <f>IF(N584="","",IF(Q584="Sí",ROUND(N584/1.18,2),N584))</f>
        <v/>
      </c>
      <c r="S584" s="7" t="inlineStr">
        <is>
          <t>2026-09-09</t>
        </is>
      </c>
      <c r="T584" s="5" t="inlineStr">
        <is>
          <t>1 cotización de proveedores</t>
        </is>
      </c>
    </row>
    <row r="585">
      <c r="A585" s="7" t="inlineStr">
        <is>
          <t>MAT-16-092</t>
        </is>
      </c>
      <c r="B585" s="7" t="inlineStr">
        <is>
          <t>Materiales</t>
        </is>
      </c>
      <c r="C585" s="7" t="inlineStr">
        <is>
          <t>Cámaras y videovigilancia</t>
        </is>
      </c>
      <c r="D585" s="5" t="inlineStr">
        <is>
          <t>Soporte Pared Camara Microdomo</t>
        </is>
      </c>
      <c r="E585" s="5" t="inlineStr">
        <is>
          <t>marca BOSCH · componentes para camaras · referencia NDA-WMT-MICDOME</t>
        </is>
      </c>
      <c r="F585" s="5" t="inlineStr">
        <is>
          <t>Material retirado en almacén</t>
        </is>
      </c>
      <c r="G585" s="5" t="inlineStr"/>
      <c r="H585" s="7" t="inlineStr">
        <is>
          <t>unidad</t>
        </is>
      </c>
      <c r="I585" s="7" t="inlineStr">
        <is>
          <t>Instalaciones</t>
        </is>
      </c>
      <c r="J585" s="7" t="inlineStr">
        <is>
          <t>estandar</t>
        </is>
      </c>
      <c r="K585" s="7" t="inlineStr">
        <is>
          <t>importado</t>
        </is>
      </c>
      <c r="L585" s="7" t="inlineStr">
        <is>
          <t>Verificado</t>
        </is>
      </c>
      <c r="M585" s="8" t="n">
        <v>1</v>
      </c>
      <c r="N585" s="9" t="n">
        <v>1445.97</v>
      </c>
      <c r="O585" s="9" t="n">
        <v>1445.97</v>
      </c>
      <c r="P585" s="9" t="n">
        <v>1445.97</v>
      </c>
      <c r="Q585" s="7" t="inlineStr">
        <is>
          <t>Sí</t>
        </is>
      </c>
      <c r="R585" s="9">
        <f>IF(N585="","",IF(Q585="Sí",ROUND(N585/1.18,2),N585))</f>
        <v/>
      </c>
      <c r="S585" s="7" t="inlineStr">
        <is>
          <t>2026-09-09</t>
        </is>
      </c>
      <c r="T585" s="5" t="inlineStr">
        <is>
          <t>1 cotización de proveedores</t>
        </is>
      </c>
    </row>
    <row r="586">
      <c r="A586" s="7" t="inlineStr">
        <is>
          <t>MAT-16-093</t>
        </is>
      </c>
      <c r="B586" s="7" t="inlineStr">
        <is>
          <t>Materiales</t>
        </is>
      </c>
      <c r="C586" s="7" t="inlineStr">
        <is>
          <t>Cámaras y videovigilancia</t>
        </is>
      </c>
      <c r="D586" s="5" t="inlineStr">
        <is>
          <t>Soporte para Interior Y Exterior</t>
        </is>
      </c>
      <c r="E586" s="5" t="inlineStr">
        <is>
          <t>marca BOSCH · componentes para camaras · referencia LTC9215/00</t>
        </is>
      </c>
      <c r="F586" s="5" t="inlineStr">
        <is>
          <t>Material retirado en almacén</t>
        </is>
      </c>
      <c r="G586" s="5" t="inlineStr"/>
      <c r="H586" s="7" t="inlineStr">
        <is>
          <t>unidad</t>
        </is>
      </c>
      <c r="I586" s="7" t="inlineStr">
        <is>
          <t>Instalaciones</t>
        </is>
      </c>
      <c r="J586" s="7" t="inlineStr">
        <is>
          <t>estandar</t>
        </is>
      </c>
      <c r="K586" s="7" t="inlineStr">
        <is>
          <t>importado</t>
        </is>
      </c>
      <c r="L586" s="7" t="inlineStr">
        <is>
          <t>Verificado</t>
        </is>
      </c>
      <c r="M586" s="8" t="n">
        <v>1</v>
      </c>
      <c r="N586" s="9" t="n">
        <v>1912.8</v>
      </c>
      <c r="O586" s="9" t="n">
        <v>1912.8</v>
      </c>
      <c r="P586" s="9" t="n">
        <v>1912.8</v>
      </c>
      <c r="Q586" s="7" t="inlineStr">
        <is>
          <t>Sí</t>
        </is>
      </c>
      <c r="R586" s="9">
        <f>IF(N586="","",IF(Q586="Sí",ROUND(N586/1.18,2),N586))</f>
        <v/>
      </c>
      <c r="S586" s="7" t="inlineStr">
        <is>
          <t>2026-09-09</t>
        </is>
      </c>
      <c r="T586" s="5" t="inlineStr">
        <is>
          <t>1 cotización de proveedores</t>
        </is>
      </c>
    </row>
    <row r="587">
      <c r="A587" s="7" t="inlineStr">
        <is>
          <t>MAT-16-094</t>
        </is>
      </c>
      <c r="B587" s="7" t="inlineStr">
        <is>
          <t>Materiales</t>
        </is>
      </c>
      <c r="C587" s="7" t="inlineStr">
        <is>
          <t>Cámaras y videovigilancia</t>
        </is>
      </c>
      <c r="D587" s="5" t="inlineStr">
        <is>
          <t>Soporte De Cuello De Ganzo Para Domo PTZ</t>
        </is>
      </c>
      <c r="E587" s="5" t="inlineStr">
        <is>
          <t>marca STD · accesorios para camaras · referencia TR-WE45-B-IN</t>
        </is>
      </c>
      <c r="F587" s="5" t="inlineStr">
        <is>
          <t>Material retirado en almacén</t>
        </is>
      </c>
      <c r="G587" s="5" t="inlineStr"/>
      <c r="H587" s="7" t="inlineStr">
        <is>
          <t>unidad</t>
        </is>
      </c>
      <c r="I587" s="7" t="inlineStr">
        <is>
          <t>Instalaciones</t>
        </is>
      </c>
      <c r="J587" s="7" t="inlineStr">
        <is>
          <t>estandar</t>
        </is>
      </c>
      <c r="K587" s="7" t="inlineStr">
        <is>
          <t>importado</t>
        </is>
      </c>
      <c r="L587" s="7" t="inlineStr">
        <is>
          <t>Verificado</t>
        </is>
      </c>
      <c r="M587" s="8" t="n">
        <v>1</v>
      </c>
      <c r="N587" s="9" t="n">
        <v>4335.82</v>
      </c>
      <c r="O587" s="9" t="n">
        <v>4335.82</v>
      </c>
      <c r="P587" s="9" t="n">
        <v>4335.82</v>
      </c>
      <c r="Q587" s="7" t="inlineStr">
        <is>
          <t>Sí</t>
        </is>
      </c>
      <c r="R587" s="9">
        <f>IF(N587="","",IF(Q587="Sí",ROUND(N587/1.18,2),N587))</f>
        <v/>
      </c>
      <c r="S587" s="7" t="inlineStr">
        <is>
          <t>2026-09-09</t>
        </is>
      </c>
      <c r="T587" s="5" t="inlineStr">
        <is>
          <t>1 cotización de proveedores</t>
        </is>
      </c>
    </row>
    <row r="588">
      <c r="A588" s="7" t="inlineStr">
        <is>
          <t>MAT-16-095</t>
        </is>
      </c>
      <c r="B588" s="7" t="inlineStr">
        <is>
          <t>Materiales</t>
        </is>
      </c>
      <c r="C588" s="7" t="inlineStr">
        <is>
          <t>Cámaras y videovigilancia</t>
        </is>
      </c>
      <c r="D588" s="5" t="inlineStr">
        <is>
          <t>Carcasa Amc Con 1 Raíl Din</t>
        </is>
      </c>
      <c r="E588" s="5" t="inlineStr">
        <is>
          <t>marca BOSCH · accesorios para camaras · referencia AEC-AMC2-UL01</t>
        </is>
      </c>
      <c r="F588" s="5" t="inlineStr">
        <is>
          <t>Material retirado en almacén</t>
        </is>
      </c>
      <c r="G588" s="5" t="inlineStr"/>
      <c r="H588" s="7" t="inlineStr">
        <is>
          <t>unidad</t>
        </is>
      </c>
      <c r="I588" s="7" t="inlineStr">
        <is>
          <t>Instalaciones</t>
        </is>
      </c>
      <c r="J588" s="7" t="inlineStr">
        <is>
          <t>estandar</t>
        </is>
      </c>
      <c r="K588" s="7" t="inlineStr">
        <is>
          <t>importado</t>
        </is>
      </c>
      <c r="L588" s="7" t="inlineStr">
        <is>
          <t>Verificado</t>
        </is>
      </c>
      <c r="M588" s="8" t="n">
        <v>1</v>
      </c>
      <c r="N588" s="9" t="n">
        <v>7086.75</v>
      </c>
      <c r="O588" s="9" t="n">
        <v>7086.75</v>
      </c>
      <c r="P588" s="9" t="n">
        <v>7086.75</v>
      </c>
      <c r="Q588" s="7" t="inlineStr">
        <is>
          <t>Sí</t>
        </is>
      </c>
      <c r="R588" s="9">
        <f>IF(N588="","",IF(Q588="Sí",ROUND(N588/1.18,2),N588))</f>
        <v/>
      </c>
      <c r="S588" s="7" t="inlineStr">
        <is>
          <t>2026-09-09</t>
        </is>
      </c>
      <c r="T588" s="5" t="inlineStr">
        <is>
          <t>1 cotización de proveedores</t>
        </is>
      </c>
    </row>
    <row r="589">
      <c r="A589" s="7" t="inlineStr">
        <is>
          <t>MAT-16-096</t>
        </is>
      </c>
      <c r="B589" s="7" t="inlineStr">
        <is>
          <t>Materiales</t>
        </is>
      </c>
      <c r="C589" s="7" t="inlineStr">
        <is>
          <t>Cámaras y videovigilancia</t>
        </is>
      </c>
      <c r="D589" s="5" t="inlineStr">
        <is>
          <t>Carcasa Amc Con 2 Raíl Din</t>
        </is>
      </c>
      <c r="E589" s="5" t="inlineStr">
        <is>
          <t>marca BOSCH · accesorios para camaras · referencia AEC-AMC2-UL02</t>
        </is>
      </c>
      <c r="F589" s="5" t="inlineStr">
        <is>
          <t>Material retirado en almacén</t>
        </is>
      </c>
      <c r="G589" s="5" t="inlineStr"/>
      <c r="H589" s="7" t="inlineStr">
        <is>
          <t>unidad</t>
        </is>
      </c>
      <c r="I589" s="7" t="inlineStr">
        <is>
          <t>Instalaciones</t>
        </is>
      </c>
      <c r="J589" s="7" t="inlineStr">
        <is>
          <t>estandar</t>
        </is>
      </c>
      <c r="K589" s="7" t="inlineStr">
        <is>
          <t>importado</t>
        </is>
      </c>
      <c r="L589" s="7" t="inlineStr">
        <is>
          <t>Verificado</t>
        </is>
      </c>
      <c r="M589" s="8" t="n">
        <v>1</v>
      </c>
      <c r="N589" s="9" t="n">
        <v>8661.58</v>
      </c>
      <c r="O589" s="9" t="n">
        <v>8661.58</v>
      </c>
      <c r="P589" s="9" t="n">
        <v>8661.58</v>
      </c>
      <c r="Q589" s="7" t="inlineStr">
        <is>
          <t>Sí</t>
        </is>
      </c>
      <c r="R589" s="9">
        <f>IF(N589="","",IF(Q589="Sí",ROUND(N589/1.18,2),N589))</f>
        <v/>
      </c>
      <c r="S589" s="7" t="inlineStr">
        <is>
          <t>2026-09-09</t>
        </is>
      </c>
      <c r="T589" s="5" t="inlineStr">
        <is>
          <t>1 cotización de proveedores</t>
        </is>
      </c>
    </row>
    <row r="590">
      <c r="A590" s="7" t="inlineStr">
        <is>
          <t>MAT-16-097</t>
        </is>
      </c>
      <c r="B590" s="7" t="inlineStr">
        <is>
          <t>Materiales</t>
        </is>
      </c>
      <c r="C590" s="7" t="inlineStr">
        <is>
          <t>Cámaras y videovigilancia</t>
        </is>
      </c>
      <c r="D590" s="5" t="inlineStr">
        <is>
          <t>Switch 8 Puertos 100M PoE+2 Puertos 1000M</t>
        </is>
      </c>
      <c r="E590" s="5" t="inlineStr">
        <is>
          <t>marca WI-TEK · accesorios para camaras · referencia ST-WI-PS226XT</t>
        </is>
      </c>
      <c r="F590" s="5" t="inlineStr">
        <is>
          <t>Material retirado en almacén</t>
        </is>
      </c>
      <c r="G590" s="5" t="inlineStr"/>
      <c r="H590" s="7" t="inlineStr">
        <is>
          <t>unidad</t>
        </is>
      </c>
      <c r="I590" s="7" t="inlineStr">
        <is>
          <t>Instalaciones</t>
        </is>
      </c>
      <c r="J590" s="7" t="inlineStr">
        <is>
          <t>estandar</t>
        </is>
      </c>
      <c r="K590" s="7" t="inlineStr">
        <is>
          <t>importado</t>
        </is>
      </c>
      <c r="L590" s="7" t="inlineStr">
        <is>
          <t>Verificado</t>
        </is>
      </c>
      <c r="M590" s="8" t="n">
        <v>1</v>
      </c>
      <c r="N590" s="9" t="n">
        <v>13694.47</v>
      </c>
      <c r="O590" s="9" t="n">
        <v>13694.47</v>
      </c>
      <c r="P590" s="9" t="n">
        <v>13694.47</v>
      </c>
      <c r="Q590" s="7" t="inlineStr">
        <is>
          <t>Sí</t>
        </is>
      </c>
      <c r="R590" s="9">
        <f>IF(N590="","",IF(Q590="Sí",ROUND(N590/1.18,2),N590))</f>
        <v/>
      </c>
      <c r="S590" s="7" t="inlineStr">
        <is>
          <t>2026-09-09</t>
        </is>
      </c>
      <c r="T590" s="5" t="inlineStr">
        <is>
          <t>1 cotización de proveedores</t>
        </is>
      </c>
    </row>
    <row r="591">
      <c r="A591" s="7" t="inlineStr">
        <is>
          <t>MAT-16-098</t>
        </is>
      </c>
      <c r="B591" s="7" t="inlineStr">
        <is>
          <t>Materiales</t>
        </is>
      </c>
      <c r="C591" s="7" t="inlineStr">
        <is>
          <t>Cámaras y videovigilancia</t>
        </is>
      </c>
      <c r="D591" s="5" t="inlineStr">
        <is>
          <t>Switch 24 Puerto 100M PoE+2 Puertos 1000M</t>
        </is>
      </c>
      <c r="E591" s="5" t="inlineStr">
        <is>
          <t>marca STD · accesorios para camaras · referencia WI-PS526G</t>
        </is>
      </c>
      <c r="F591" s="5" t="inlineStr">
        <is>
          <t>Material retirado en almacén</t>
        </is>
      </c>
      <c r="G591" s="5" t="inlineStr"/>
      <c r="H591" s="7" t="inlineStr">
        <is>
          <t>unidad</t>
        </is>
      </c>
      <c r="I591" s="7" t="inlineStr">
        <is>
          <t>Instalaciones</t>
        </is>
      </c>
      <c r="J591" s="7" t="inlineStr">
        <is>
          <t>estandar</t>
        </is>
      </c>
      <c r="K591" s="7" t="inlineStr">
        <is>
          <t>importado</t>
        </is>
      </c>
      <c r="L591" s="7" t="inlineStr">
        <is>
          <t>Verificado</t>
        </is>
      </c>
      <c r="M591" s="8" t="n">
        <v>1</v>
      </c>
      <c r="N591" s="9" t="n">
        <v>16692.67</v>
      </c>
      <c r="O591" s="9" t="n">
        <v>16692.67</v>
      </c>
      <c r="P591" s="9" t="n">
        <v>16692.67</v>
      </c>
      <c r="Q591" s="7" t="inlineStr">
        <is>
          <t>Sí</t>
        </is>
      </c>
      <c r="R591" s="9">
        <f>IF(N591="","",IF(Q591="Sí",ROUND(N591/1.18,2),N591))</f>
        <v/>
      </c>
      <c r="S591" s="7" t="inlineStr">
        <is>
          <t>2026-09-09</t>
        </is>
      </c>
      <c r="T591" s="5" t="inlineStr">
        <is>
          <t>1 cotización de proveedores</t>
        </is>
      </c>
    </row>
    <row r="592">
      <c r="A592" s="7" t="inlineStr">
        <is>
          <t>MAT-16-099</t>
        </is>
      </c>
      <c r="B592" s="7" t="inlineStr">
        <is>
          <t>Materiales</t>
        </is>
      </c>
      <c r="C592" s="7" t="inlineStr">
        <is>
          <t>Cámaras y videovigilancia</t>
        </is>
      </c>
      <c r="D592" s="5" t="inlineStr">
        <is>
          <t>Receptor Multicanal 5.2 4K Hdvr Av Negro</t>
        </is>
      </c>
      <c r="E592" s="5" t="inlineStr">
        <is>
          <t>marca SONY · camaras ptz · referencia O-STR/DH590</t>
        </is>
      </c>
      <c r="F592" s="5" t="inlineStr">
        <is>
          <t>Material retirado en almacén</t>
        </is>
      </c>
      <c r="G592" s="5" t="inlineStr"/>
      <c r="H592" s="7" t="inlineStr">
        <is>
          <t>unidad</t>
        </is>
      </c>
      <c r="I592" s="7" t="inlineStr">
        <is>
          <t>Instalaciones</t>
        </is>
      </c>
      <c r="J592" s="7" t="inlineStr">
        <is>
          <t>estandar</t>
        </is>
      </c>
      <c r="K592" s="7" t="inlineStr">
        <is>
          <t>importado</t>
        </is>
      </c>
      <c r="L592" s="7" t="inlineStr">
        <is>
          <t>Verificado</t>
        </is>
      </c>
      <c r="M592" s="8" t="n">
        <v>1</v>
      </c>
      <c r="N592" s="9" t="n">
        <v>34654.38</v>
      </c>
      <c r="O592" s="9" t="n">
        <v>34654.38</v>
      </c>
      <c r="P592" s="9" t="n">
        <v>34654.38</v>
      </c>
      <c r="Q592" s="7" t="inlineStr">
        <is>
          <t>Sí</t>
        </is>
      </c>
      <c r="R592" s="9">
        <f>IF(N592="","",IF(Q592="Sí",ROUND(N592/1.18,2),N592))</f>
        <v/>
      </c>
      <c r="S592" s="7" t="inlineStr">
        <is>
          <t>2026-09-09</t>
        </is>
      </c>
      <c r="T592" s="5" t="inlineStr">
        <is>
          <t>1 cotización de proveedores</t>
        </is>
      </c>
    </row>
    <row r="593">
      <c r="A593" s="7" t="inlineStr">
        <is>
          <t>MAT-16-100</t>
        </is>
      </c>
      <c r="B593" s="7" t="inlineStr">
        <is>
          <t>Materiales</t>
        </is>
      </c>
      <c r="C593" s="7" t="inlineStr">
        <is>
          <t>Cámaras y videovigilancia</t>
        </is>
      </c>
      <c r="D593" s="5" t="inlineStr">
        <is>
          <t>Mini Caja De Conexiones para Camara Bullet</t>
        </is>
      </c>
      <c r="E593" s="5" t="inlineStr">
        <is>
          <t>marca STD · accesorios para camaras · referencia TR-JB03-I-IN</t>
        </is>
      </c>
      <c r="F593" s="5" t="inlineStr">
        <is>
          <t>Material retirado en almacén</t>
        </is>
      </c>
      <c r="G593" s="5" t="inlineStr"/>
      <c r="H593" s="7" t="inlineStr">
        <is>
          <t>unidad</t>
        </is>
      </c>
      <c r="I593" s="7" t="inlineStr">
        <is>
          <t>Instalaciones</t>
        </is>
      </c>
      <c r="J593" s="7" t="inlineStr">
        <is>
          <t>estandar</t>
        </is>
      </c>
      <c r="K593" s="7" t="inlineStr">
        <is>
          <t>importado</t>
        </is>
      </c>
      <c r="L593" s="7" t="inlineStr">
        <is>
          <t>Verificado</t>
        </is>
      </c>
      <c r="M593" s="8" t="n">
        <v>1</v>
      </c>
      <c r="N593" s="9" t="n">
        <v>1012.91</v>
      </c>
      <c r="O593" s="9" t="n">
        <v>1012.91</v>
      </c>
      <c r="P593" s="9" t="n">
        <v>1012.91</v>
      </c>
      <c r="Q593" s="7" t="inlineStr">
        <is>
          <t>Sí</t>
        </is>
      </c>
      <c r="R593" s="9">
        <f>IF(N593="","",IF(Q593="Sí",ROUND(N593/1.18,2),N593))</f>
        <v/>
      </c>
      <c r="S593" s="7" t="inlineStr">
        <is>
          <t>2026-09-09</t>
        </is>
      </c>
      <c r="T593" s="5" t="inlineStr">
        <is>
          <t>1 cotización de proveedores</t>
        </is>
      </c>
    </row>
    <row r="594">
      <c r="A594" s="7" t="inlineStr">
        <is>
          <t>MAT-16-101</t>
        </is>
      </c>
      <c r="B594" s="7" t="inlineStr">
        <is>
          <t>Materiales</t>
        </is>
      </c>
      <c r="C594" s="7" t="inlineStr">
        <is>
          <t>Cámaras y videovigilancia</t>
        </is>
      </c>
      <c r="D594" s="5" t="inlineStr">
        <is>
          <t>Homekit Camara De Video Hub</t>
        </is>
      </c>
      <c r="E594" s="5" t="inlineStr">
        <is>
          <t>marca AQARA · camaras domesticas · referencia HUBG3</t>
        </is>
      </c>
      <c r="F594" s="5" t="inlineStr">
        <is>
          <t>Material retirado en almacén</t>
        </is>
      </c>
      <c r="G594" s="5" t="inlineStr"/>
      <c r="H594" s="7" t="inlineStr">
        <is>
          <t>unidad</t>
        </is>
      </c>
      <c r="I594" s="7" t="inlineStr">
        <is>
          <t>Instalaciones</t>
        </is>
      </c>
      <c r="J594" s="7" t="inlineStr">
        <is>
          <t>estandar</t>
        </is>
      </c>
      <c r="K594" s="7" t="inlineStr">
        <is>
          <t>importado</t>
        </is>
      </c>
      <c r="L594" s="7" t="inlineStr">
        <is>
          <t>Verificado</t>
        </is>
      </c>
      <c r="M594" s="8" t="n">
        <v>1</v>
      </c>
      <c r="N594" s="9" t="n">
        <v>6508.12</v>
      </c>
      <c r="O594" s="9" t="n">
        <v>6508.12</v>
      </c>
      <c r="P594" s="9" t="n">
        <v>6508.12</v>
      </c>
      <c r="Q594" s="7" t="inlineStr">
        <is>
          <t>Sí</t>
        </is>
      </c>
      <c r="R594" s="9">
        <f>IF(N594="","",IF(Q594="Sí",ROUND(N594/1.18,2),N594))</f>
        <v/>
      </c>
      <c r="S594" s="7" t="inlineStr">
        <is>
          <t>2026-09-09</t>
        </is>
      </c>
      <c r="T594" s="5" t="inlineStr">
        <is>
          <t>1 cotización de proveedores</t>
        </is>
      </c>
    </row>
    <row r="595">
      <c r="A595" s="7" t="inlineStr">
        <is>
          <t>MAT-18-006</t>
        </is>
      </c>
      <c r="B595" s="7" t="inlineStr">
        <is>
          <t>Materiales</t>
        </is>
      </c>
      <c r="C595" s="7" t="inlineStr">
        <is>
          <t>Exteriores y paisajismo</t>
        </is>
      </c>
      <c r="D595" s="5" t="inlineStr">
        <is>
          <t>Asfalto En Frio Ecofalt Funda 25 kg</t>
        </is>
      </c>
      <c r="E595" s="5" t="inlineStr">
        <is>
          <t>marca ECOFALT · asfalto frio · 25Kg</t>
        </is>
      </c>
      <c r="F595" s="5" t="inlineStr">
        <is>
          <t>Material retirado en almacén</t>
        </is>
      </c>
      <c r="G595" s="5" t="inlineStr">
        <is>
          <t>asfalto en frío</t>
        </is>
      </c>
      <c r="H595" s="7" t="inlineStr">
        <is>
          <t>unidad</t>
        </is>
      </c>
      <c r="I595" s="7" t="inlineStr">
        <is>
          <t>Exteriores</t>
        </is>
      </c>
      <c r="J595" s="7" t="inlineStr">
        <is>
          <t>estandar</t>
        </is>
      </c>
      <c r="K595" s="7" t="inlineStr">
        <is>
          <t>importado</t>
        </is>
      </c>
      <c r="L595" s="7" t="inlineStr">
        <is>
          <t>Verificado</t>
        </is>
      </c>
      <c r="M595" s="8" t="n">
        <v>1</v>
      </c>
      <c r="N595" s="9" t="n">
        <v>1695</v>
      </c>
      <c r="O595" s="9" t="n">
        <v>1695</v>
      </c>
      <c r="P595" s="9" t="n">
        <v>1695</v>
      </c>
      <c r="Q595" s="7" t="inlineStr">
        <is>
          <t>Sí</t>
        </is>
      </c>
      <c r="R595" s="9">
        <f>IF(N595="","",IF(Q595="Sí",ROUND(N595/1.18,2),N595))</f>
        <v/>
      </c>
      <c r="S595" s="7" t="inlineStr">
        <is>
          <t>2026-09-09</t>
        </is>
      </c>
      <c r="T595" s="5" t="inlineStr">
        <is>
          <t>1 cotización de proveedores</t>
        </is>
      </c>
    </row>
    <row r="596">
      <c r="A596" s="7" t="inlineStr">
        <is>
          <t>MAT-19-001</t>
        </is>
      </c>
      <c r="B596" s="7" t="inlineStr">
        <is>
          <t>Materiales</t>
        </is>
      </c>
      <c r="C596" s="7" t="inlineStr">
        <is>
          <t>Perfiles y tubos de acero</t>
        </is>
      </c>
      <c r="D596" s="5" t="inlineStr">
        <is>
          <t>Perfil cuadrado negro 3/4" x 3/4" x 20 pies, pared 1.2 mm</t>
        </is>
      </c>
      <c r="E596" s="5" t="inlineStr">
        <is>
          <t>Tubo estructural de sección cuadrado · 3/4" x 3/4" · pared 1.2 mm · acabado negro</t>
        </is>
      </c>
      <c r="F596" s="5" t="inlineStr">
        <is>
          <t>Material retirado en almacén</t>
        </is>
      </c>
      <c r="G596" s="5" t="inlineStr">
        <is>
          <t>perfilería, tubo cuadrado, HSS</t>
        </is>
      </c>
      <c r="H596" s="7" t="inlineStr">
        <is>
          <t>unidad</t>
        </is>
      </c>
      <c r="I596" s="7" t="inlineStr">
        <is>
          <t>Estructura</t>
        </is>
      </c>
      <c r="J596" s="7" t="inlineStr">
        <is>
          <t>estandar</t>
        </is>
      </c>
      <c r="K596" s="7" t="inlineStr">
        <is>
          <t>importado</t>
        </is>
      </c>
      <c r="L596" s="7" t="inlineStr">
        <is>
          <t>Verificado</t>
        </is>
      </c>
      <c r="M596" s="8" t="n">
        <v>1</v>
      </c>
      <c r="N596" s="9" t="n">
        <v>262.29</v>
      </c>
      <c r="O596" s="9" t="n">
        <v>262.29</v>
      </c>
      <c r="P596" s="9" t="n">
        <v>262.29</v>
      </c>
      <c r="Q596" s="7" t="inlineStr">
        <is>
          <t>Sí</t>
        </is>
      </c>
      <c r="R596" s="9">
        <f>IF(N596="","",IF(Q596="Sí",ROUND(N596/1.18,2),N596))</f>
        <v/>
      </c>
      <c r="S596" s="7" t="inlineStr">
        <is>
          <t>2026-09-09</t>
        </is>
      </c>
      <c r="T596" s="5" t="inlineStr">
        <is>
          <t>1 cotización de proveedores</t>
        </is>
      </c>
    </row>
    <row r="597">
      <c r="A597" s="7" t="inlineStr">
        <is>
          <t>MAT-19-002</t>
        </is>
      </c>
      <c r="B597" s="7" t="inlineStr">
        <is>
          <t>Materiales</t>
        </is>
      </c>
      <c r="C597" s="7" t="inlineStr">
        <is>
          <t>Perfiles y tubos de acero</t>
        </is>
      </c>
      <c r="D597" s="5" t="inlineStr">
        <is>
          <t>Perfil cuadrado negro 3/4" x 3/4" x 20 pies, pared 1.6 mm</t>
        </is>
      </c>
      <c r="E597" s="5" t="inlineStr">
        <is>
          <t>Tubo estructural de sección cuadrado · 3/4" x 3/4" · pared 1.6 mm · acabado negro</t>
        </is>
      </c>
      <c r="F597" s="5" t="inlineStr">
        <is>
          <t>Material retirado en almacén</t>
        </is>
      </c>
      <c r="G597" s="5" t="inlineStr">
        <is>
          <t>perfilería, tubo cuadrado, HSS</t>
        </is>
      </c>
      <c r="H597" s="7" t="inlineStr">
        <is>
          <t>unidad</t>
        </is>
      </c>
      <c r="I597" s="7" t="inlineStr">
        <is>
          <t>Estructura</t>
        </is>
      </c>
      <c r="J597" s="7" t="inlineStr">
        <is>
          <t>estandar</t>
        </is>
      </c>
      <c r="K597" s="7" t="inlineStr">
        <is>
          <t>importado</t>
        </is>
      </c>
      <c r="L597" s="7" t="inlineStr">
        <is>
          <t>Verificado</t>
        </is>
      </c>
      <c r="M597" s="8" t="n">
        <v>1</v>
      </c>
      <c r="N597" s="9" t="n">
        <v>321.76</v>
      </c>
      <c r="O597" s="9" t="n">
        <v>321.76</v>
      </c>
      <c r="P597" s="9" t="n">
        <v>321.76</v>
      </c>
      <c r="Q597" s="7" t="inlineStr">
        <is>
          <t>Sí</t>
        </is>
      </c>
      <c r="R597" s="9">
        <f>IF(N597="","",IF(Q597="Sí",ROUND(N597/1.18,2),N597))</f>
        <v/>
      </c>
      <c r="S597" s="7" t="inlineStr">
        <is>
          <t>2026-09-09</t>
        </is>
      </c>
      <c r="T597" s="5" t="inlineStr">
        <is>
          <t>1 cotización de proveedores</t>
        </is>
      </c>
    </row>
    <row r="598">
      <c r="A598" s="7" t="inlineStr">
        <is>
          <t>MAT-19-003</t>
        </is>
      </c>
      <c r="B598" s="7" t="inlineStr">
        <is>
          <t>Materiales</t>
        </is>
      </c>
      <c r="C598" s="7" t="inlineStr">
        <is>
          <t>Perfiles y tubos de acero</t>
        </is>
      </c>
      <c r="D598" s="5" t="inlineStr">
        <is>
          <t>Perfil cuadrado negro 1" x 1" x 20 pies, pared 1.2 mm</t>
        </is>
      </c>
      <c r="E598" s="5" t="inlineStr">
        <is>
          <t>Tubo estructural de sección cuadrado · 1" x 1" · pared 1.2 mm · acabado negro</t>
        </is>
      </c>
      <c r="F598" s="5" t="inlineStr">
        <is>
          <t>Material retirado en almacén</t>
        </is>
      </c>
      <c r="G598" s="5" t="inlineStr">
        <is>
          <t>perfilería, tubo cuadrado, HSS</t>
        </is>
      </c>
      <c r="H598" s="7" t="inlineStr">
        <is>
          <t>unidad</t>
        </is>
      </c>
      <c r="I598" s="7" t="inlineStr">
        <is>
          <t>Estructura</t>
        </is>
      </c>
      <c r="J598" s="7" t="inlineStr">
        <is>
          <t>estandar</t>
        </is>
      </c>
      <c r="K598" s="7" t="inlineStr">
        <is>
          <t>importado</t>
        </is>
      </c>
      <c r="L598" s="7" t="inlineStr">
        <is>
          <t>Verificado</t>
        </is>
      </c>
      <c r="M598" s="8" t="n">
        <v>1</v>
      </c>
      <c r="N598" s="9" t="n">
        <v>355.58</v>
      </c>
      <c r="O598" s="9" t="n">
        <v>355.58</v>
      </c>
      <c r="P598" s="9" t="n">
        <v>355.58</v>
      </c>
      <c r="Q598" s="7" t="inlineStr">
        <is>
          <t>Sí</t>
        </is>
      </c>
      <c r="R598" s="9">
        <f>IF(N598="","",IF(Q598="Sí",ROUND(N598/1.18,2),N598))</f>
        <v/>
      </c>
      <c r="S598" s="7" t="inlineStr">
        <is>
          <t>2026-09-09</t>
        </is>
      </c>
      <c r="T598" s="5" t="inlineStr">
        <is>
          <t>1 cotización de proveedores</t>
        </is>
      </c>
    </row>
    <row r="599">
      <c r="A599" s="7" t="inlineStr">
        <is>
          <t>MAT-19-004</t>
        </is>
      </c>
      <c r="B599" s="7" t="inlineStr">
        <is>
          <t>Materiales</t>
        </is>
      </c>
      <c r="C599" s="7" t="inlineStr">
        <is>
          <t>Perfiles y tubos de acero</t>
        </is>
      </c>
      <c r="D599" s="5" t="inlineStr">
        <is>
          <t>Perfil cuadrado negro 1 1/4" x 1 1/4" x 20 pies, pared 1.2 mm</t>
        </is>
      </c>
      <c r="E599" s="5" t="inlineStr">
        <is>
          <t>Tubo estructural de sección cuadrado · 1 1/4" x 1 1/4" · pared 1.2 mm · acabado negro</t>
        </is>
      </c>
      <c r="F599" s="5" t="inlineStr">
        <is>
          <t>Material retirado en almacén</t>
        </is>
      </c>
      <c r="G599" s="5" t="inlineStr">
        <is>
          <t>perfilería, tubo cuadrado, HSS</t>
        </is>
      </c>
      <c r="H599" s="7" t="inlineStr">
        <is>
          <t>unidad</t>
        </is>
      </c>
      <c r="I599" s="7" t="inlineStr">
        <is>
          <t>Estructura</t>
        </is>
      </c>
      <c r="J599" s="7" t="inlineStr">
        <is>
          <t>estandar</t>
        </is>
      </c>
      <c r="K599" s="7" t="inlineStr">
        <is>
          <t>importado</t>
        </is>
      </c>
      <c r="L599" s="7" t="inlineStr">
        <is>
          <t>Verificado</t>
        </is>
      </c>
      <c r="M599" s="8" t="n">
        <v>1</v>
      </c>
      <c r="N599" s="9" t="n">
        <v>510.43</v>
      </c>
      <c r="O599" s="9" t="n">
        <v>510.43</v>
      </c>
      <c r="P599" s="9" t="n">
        <v>510.43</v>
      </c>
      <c r="Q599" s="7" t="inlineStr">
        <is>
          <t>Sí</t>
        </is>
      </c>
      <c r="R599" s="9">
        <f>IF(N599="","",IF(Q599="Sí",ROUND(N599/1.18,2),N599))</f>
        <v/>
      </c>
      <c r="S599" s="7" t="inlineStr">
        <is>
          <t>2026-09-09</t>
        </is>
      </c>
      <c r="T599" s="5" t="inlineStr">
        <is>
          <t>1 cotización de proveedores</t>
        </is>
      </c>
    </row>
    <row r="600">
      <c r="A600" s="7" t="inlineStr">
        <is>
          <t>MAT-19-005</t>
        </is>
      </c>
      <c r="B600" s="7" t="inlineStr">
        <is>
          <t>Materiales</t>
        </is>
      </c>
      <c r="C600" s="7" t="inlineStr">
        <is>
          <t>Perfiles y tubos de acero</t>
        </is>
      </c>
      <c r="D600" s="5" t="inlineStr">
        <is>
          <t>Perfil cuadrado negro 1 1/4" x 1 1/4" x 20 pies, pared 1.6 mm</t>
        </is>
      </c>
      <c r="E600" s="5" t="inlineStr">
        <is>
          <t>Tubo estructural de sección cuadrado · 1 1/4" x 1 1/4" · pared 1.6 mm · acabado negro</t>
        </is>
      </c>
      <c r="F600" s="5" t="inlineStr">
        <is>
          <t>Material retirado en almacén</t>
        </is>
      </c>
      <c r="G600" s="5" t="inlineStr">
        <is>
          <t>perfilería, tubo cuadrado, HSS</t>
        </is>
      </c>
      <c r="H600" s="7" t="inlineStr">
        <is>
          <t>unidad</t>
        </is>
      </c>
      <c r="I600" s="7" t="inlineStr">
        <is>
          <t>Estructura</t>
        </is>
      </c>
      <c r="J600" s="7" t="inlineStr">
        <is>
          <t>estandar</t>
        </is>
      </c>
      <c r="K600" s="7" t="inlineStr">
        <is>
          <t>importado</t>
        </is>
      </c>
      <c r="L600" s="7" t="inlineStr">
        <is>
          <t>Verificado</t>
        </is>
      </c>
      <c r="M600" s="8" t="n">
        <v>1</v>
      </c>
      <c r="N600" s="9" t="n">
        <v>556.02</v>
      </c>
      <c r="O600" s="9" t="n">
        <v>556.02</v>
      </c>
      <c r="P600" s="9" t="n">
        <v>556.02</v>
      </c>
      <c r="Q600" s="7" t="inlineStr">
        <is>
          <t>Sí</t>
        </is>
      </c>
      <c r="R600" s="9">
        <f>IF(N600="","",IF(Q600="Sí",ROUND(N600/1.18,2),N600))</f>
        <v/>
      </c>
      <c r="S600" s="7" t="inlineStr">
        <is>
          <t>2026-09-09</t>
        </is>
      </c>
      <c r="T600" s="5" t="inlineStr">
        <is>
          <t>1 cotización de proveedores</t>
        </is>
      </c>
    </row>
    <row r="601">
      <c r="A601" s="7" t="inlineStr">
        <is>
          <t>MAT-19-006</t>
        </is>
      </c>
      <c r="B601" s="7" t="inlineStr">
        <is>
          <t>Materiales</t>
        </is>
      </c>
      <c r="C601" s="7" t="inlineStr">
        <is>
          <t>Perfiles y tubos de acero</t>
        </is>
      </c>
      <c r="D601" s="5" t="inlineStr">
        <is>
          <t>Perfil cuadrado negro 1 1/2" x 1 1/2" x 20 pies, pared 1.2 mm</t>
        </is>
      </c>
      <c r="E601" s="5" t="inlineStr">
        <is>
          <t>Tubo estructural de sección cuadrado · 1 1/2" x 1 1/2" · pared 1.2 mm · acabado negro</t>
        </is>
      </c>
      <c r="F601" s="5" t="inlineStr">
        <is>
          <t>Material retirado en almacén</t>
        </is>
      </c>
      <c r="G601" s="5" t="inlineStr">
        <is>
          <t>perfilería, tubo cuadrado, HSS</t>
        </is>
      </c>
      <c r="H601" s="7" t="inlineStr">
        <is>
          <t>unidad</t>
        </is>
      </c>
      <c r="I601" s="7" t="inlineStr">
        <is>
          <t>Estructura</t>
        </is>
      </c>
      <c r="J601" s="7" t="inlineStr">
        <is>
          <t>estandar</t>
        </is>
      </c>
      <c r="K601" s="7" t="inlineStr">
        <is>
          <t>importado</t>
        </is>
      </c>
      <c r="L601" s="7" t="inlineStr">
        <is>
          <t>Verificado</t>
        </is>
      </c>
      <c r="M601" s="8" t="n">
        <v>1</v>
      </c>
      <c r="N601" s="9" t="n">
        <v>542.15</v>
      </c>
      <c r="O601" s="9" t="n">
        <v>542.15</v>
      </c>
      <c r="P601" s="9" t="n">
        <v>542.15</v>
      </c>
      <c r="Q601" s="7" t="inlineStr">
        <is>
          <t>Sí</t>
        </is>
      </c>
      <c r="R601" s="9">
        <f>IF(N601="","",IF(Q601="Sí",ROUND(N601/1.18,2),N601))</f>
        <v/>
      </c>
      <c r="S601" s="7" t="inlineStr">
        <is>
          <t>2026-09-09</t>
        </is>
      </c>
      <c r="T601" s="5" t="inlineStr">
        <is>
          <t>1 cotización de proveedores</t>
        </is>
      </c>
    </row>
    <row r="602">
      <c r="A602" s="7" t="inlineStr">
        <is>
          <t>MAT-19-007</t>
        </is>
      </c>
      <c r="B602" s="7" t="inlineStr">
        <is>
          <t>Materiales</t>
        </is>
      </c>
      <c r="C602" s="7" t="inlineStr">
        <is>
          <t>Perfiles y tubos de acero</t>
        </is>
      </c>
      <c r="D602" s="5" t="inlineStr">
        <is>
          <t>Perfil cuadrado negro 1 1/2" x 1 1/2" x 20 pies, pared 1.6 mm</t>
        </is>
      </c>
      <c r="E602" s="5" t="inlineStr">
        <is>
          <t>Tubo estructural de sección cuadrado · 1 1/2" x 1 1/2" · pared 1.6 mm · acabado negro</t>
        </is>
      </c>
      <c r="F602" s="5" t="inlineStr">
        <is>
          <t>Material retirado en almacén</t>
        </is>
      </c>
      <c r="G602" s="5" t="inlineStr">
        <is>
          <t>perfilería, tubo cuadrado, HSS</t>
        </is>
      </c>
      <c r="H602" s="7" t="inlineStr">
        <is>
          <t>unidad</t>
        </is>
      </c>
      <c r="I602" s="7" t="inlineStr">
        <is>
          <t>Estructura</t>
        </is>
      </c>
      <c r="J602" s="7" t="inlineStr">
        <is>
          <t>estandar</t>
        </is>
      </c>
      <c r="K602" s="7" t="inlineStr">
        <is>
          <t>importado</t>
        </is>
      </c>
      <c r="L602" s="7" t="inlineStr">
        <is>
          <t>Verificado</t>
        </is>
      </c>
      <c r="M602" s="8" t="n">
        <v>1</v>
      </c>
      <c r="N602" s="9" t="n">
        <v>647.03</v>
      </c>
      <c r="O602" s="9" t="n">
        <v>647.03</v>
      </c>
      <c r="P602" s="9" t="n">
        <v>647.03</v>
      </c>
      <c r="Q602" s="7" t="inlineStr">
        <is>
          <t>Sí</t>
        </is>
      </c>
      <c r="R602" s="9">
        <f>IF(N602="","",IF(Q602="Sí",ROUND(N602/1.18,2),N602))</f>
        <v/>
      </c>
      <c r="S602" s="7" t="inlineStr">
        <is>
          <t>2026-09-09</t>
        </is>
      </c>
      <c r="T602" s="5" t="inlineStr">
        <is>
          <t>1 cotización de proveedores</t>
        </is>
      </c>
    </row>
    <row r="603">
      <c r="A603" s="7" t="inlineStr">
        <is>
          <t>MAT-19-008</t>
        </is>
      </c>
      <c r="B603" s="7" t="inlineStr">
        <is>
          <t>Materiales</t>
        </is>
      </c>
      <c r="C603" s="7" t="inlineStr">
        <is>
          <t>Perfiles y tubos de acero</t>
        </is>
      </c>
      <c r="D603" s="5" t="inlineStr">
        <is>
          <t>Perfil cuadrado negro 2" x 2" x 20 pies, pared 1.6 mm</t>
        </is>
      </c>
      <c r="E603" s="5" t="inlineStr">
        <is>
          <t>Tubo estructural de sección cuadrado · 2" x 2" · pared 1.6 mm · acabado negro</t>
        </is>
      </c>
      <c r="F603" s="5" t="inlineStr">
        <is>
          <t>Material retirado en almacén</t>
        </is>
      </c>
      <c r="G603" s="5" t="inlineStr">
        <is>
          <t>perfilería, tubo cuadrado, HSS</t>
        </is>
      </c>
      <c r="H603" s="7" t="inlineStr">
        <is>
          <t>unidad</t>
        </is>
      </c>
      <c r="I603" s="7" t="inlineStr">
        <is>
          <t>Estructura</t>
        </is>
      </c>
      <c r="J603" s="7" t="inlineStr">
        <is>
          <t>estandar</t>
        </is>
      </c>
      <c r="K603" s="7" t="inlineStr">
        <is>
          <t>importado</t>
        </is>
      </c>
      <c r="L603" s="7" t="inlineStr">
        <is>
          <t>Verificado</t>
        </is>
      </c>
      <c r="M603" s="8" t="n">
        <v>1</v>
      </c>
      <c r="N603" s="9" t="n">
        <v>867.64</v>
      </c>
      <c r="O603" s="9" t="n">
        <v>867.64</v>
      </c>
      <c r="P603" s="9" t="n">
        <v>867.64</v>
      </c>
      <c r="Q603" s="7" t="inlineStr">
        <is>
          <t>Sí</t>
        </is>
      </c>
      <c r="R603" s="9">
        <f>IF(N603="","",IF(Q603="Sí",ROUND(N603/1.18,2),N603))</f>
        <v/>
      </c>
      <c r="S603" s="7" t="inlineStr">
        <is>
          <t>2026-09-09</t>
        </is>
      </c>
      <c r="T603" s="5" t="inlineStr">
        <is>
          <t>1 cotización de proveedores</t>
        </is>
      </c>
    </row>
    <row r="604">
      <c r="A604" s="7" t="inlineStr">
        <is>
          <t>MAT-19-009</t>
        </is>
      </c>
      <c r="B604" s="7" t="inlineStr">
        <is>
          <t>Materiales</t>
        </is>
      </c>
      <c r="C604" s="7" t="inlineStr">
        <is>
          <t>Perfiles y tubos de acero</t>
        </is>
      </c>
      <c r="D604" s="5" t="inlineStr">
        <is>
          <t>Perfil cuadrado negro 3" x 3" x 20 pies, pared 1.6 mm</t>
        </is>
      </c>
      <c r="E604" s="5" t="inlineStr">
        <is>
          <t>Tubo estructural de sección cuadrado · 3" x 3" · pared 1.6 mm · acabado negro</t>
        </is>
      </c>
      <c r="F604" s="5" t="inlineStr">
        <is>
          <t>Material retirado en almacén</t>
        </is>
      </c>
      <c r="G604" s="5" t="inlineStr">
        <is>
          <t>perfilería, tubo cuadrado, HSS</t>
        </is>
      </c>
      <c r="H604" s="7" t="inlineStr">
        <is>
          <t>unidad</t>
        </is>
      </c>
      <c r="I604" s="7" t="inlineStr">
        <is>
          <t>Estructura</t>
        </is>
      </c>
      <c r="J604" s="7" t="inlineStr">
        <is>
          <t>estandar</t>
        </is>
      </c>
      <c r="K604" s="7" t="inlineStr">
        <is>
          <t>importado</t>
        </is>
      </c>
      <c r="L604" s="7" t="inlineStr">
        <is>
          <t>Verificado</t>
        </is>
      </c>
      <c r="M604" s="8" t="n">
        <v>1</v>
      </c>
      <c r="N604" s="9" t="n">
        <v>1319.81</v>
      </c>
      <c r="O604" s="9" t="n">
        <v>1319.81</v>
      </c>
      <c r="P604" s="9" t="n">
        <v>1319.81</v>
      </c>
      <c r="Q604" s="7" t="inlineStr">
        <is>
          <t>Sí</t>
        </is>
      </c>
      <c r="R604" s="9">
        <f>IF(N604="","",IF(Q604="Sí",ROUND(N604/1.18,2),N604))</f>
        <v/>
      </c>
      <c r="S604" s="7" t="inlineStr">
        <is>
          <t>2026-09-09</t>
        </is>
      </c>
      <c r="T604" s="5" t="inlineStr">
        <is>
          <t>1 cotización de proveedores</t>
        </is>
      </c>
    </row>
    <row r="605">
      <c r="A605" s="7" t="inlineStr">
        <is>
          <t>MAT-19-010</t>
        </is>
      </c>
      <c r="B605" s="7" t="inlineStr">
        <is>
          <t>Materiales</t>
        </is>
      </c>
      <c r="C605" s="7" t="inlineStr">
        <is>
          <t>Perfiles y tubos de acero</t>
        </is>
      </c>
      <c r="D605" s="5" t="inlineStr">
        <is>
          <t>Perfil cuadrado galvanizado 3/4" x 3/4" x 20 pies, pared 1.2 mm</t>
        </is>
      </c>
      <c r="E605" s="5" t="inlineStr">
        <is>
          <t>Tubo estructural de sección cuadrado · 3/4" x 3/4" · pared 1.2 mm · acabado galvanizado</t>
        </is>
      </c>
      <c r="F605" s="5" t="inlineStr">
        <is>
          <t>Material retirado en almacén</t>
        </is>
      </c>
      <c r="G605" s="5" t="inlineStr">
        <is>
          <t>perfilería, tubo cuadrado, HSS</t>
        </is>
      </c>
      <c r="H605" s="7" t="inlineStr">
        <is>
          <t>unidad</t>
        </is>
      </c>
      <c r="I605" s="7" t="inlineStr">
        <is>
          <t>Estructura</t>
        </is>
      </c>
      <c r="J605" s="7" t="inlineStr">
        <is>
          <t>estandar</t>
        </is>
      </c>
      <c r="K605" s="7" t="inlineStr">
        <is>
          <t>importado</t>
        </is>
      </c>
      <c r="L605" s="7" t="inlineStr">
        <is>
          <t>Verificado</t>
        </is>
      </c>
      <c r="M605" s="8" t="n">
        <v>1</v>
      </c>
      <c r="N605" s="9" t="n">
        <v>316.11</v>
      </c>
      <c r="O605" s="9" t="n">
        <v>316.11</v>
      </c>
      <c r="P605" s="9" t="n">
        <v>316.11</v>
      </c>
      <c r="Q605" s="7" t="inlineStr">
        <is>
          <t>Sí</t>
        </is>
      </c>
      <c r="R605" s="9">
        <f>IF(N605="","",IF(Q605="Sí",ROUND(N605/1.18,2),N605))</f>
        <v/>
      </c>
      <c r="S605" s="7" t="inlineStr">
        <is>
          <t>2026-09-09</t>
        </is>
      </c>
      <c r="T605" s="5" t="inlineStr">
        <is>
          <t>1 cotización de proveedores</t>
        </is>
      </c>
    </row>
    <row r="606">
      <c r="A606" s="7" t="inlineStr">
        <is>
          <t>MAT-19-011</t>
        </is>
      </c>
      <c r="B606" s="7" t="inlineStr">
        <is>
          <t>Materiales</t>
        </is>
      </c>
      <c r="C606" s="7" t="inlineStr">
        <is>
          <t>Perfiles y tubos de acero</t>
        </is>
      </c>
      <c r="D606" s="5" t="inlineStr">
        <is>
          <t>Perfil cuadrado galvanizado 1" x 1" x 20 pies, pared 1.2 mm</t>
        </is>
      </c>
      <c r="E606" s="5" t="inlineStr">
        <is>
          <t>Tubo estructural de sección cuadrado · 1" x 1" · pared 1.2 mm · acabado galvanizado</t>
        </is>
      </c>
      <c r="F606" s="5" t="inlineStr">
        <is>
          <t>Material retirado en almacén</t>
        </is>
      </c>
      <c r="G606" s="5" t="inlineStr">
        <is>
          <t>perfilería, tubo cuadrado, HSS</t>
        </is>
      </c>
      <c r="H606" s="7" t="inlineStr">
        <is>
          <t>unidad</t>
        </is>
      </c>
      <c r="I606" s="7" t="inlineStr">
        <is>
          <t>Estructura</t>
        </is>
      </c>
      <c r="J606" s="7" t="inlineStr">
        <is>
          <t>estandar</t>
        </is>
      </c>
      <c r="K606" s="7" t="inlineStr">
        <is>
          <t>importado</t>
        </is>
      </c>
      <c r="L606" s="7" t="inlineStr">
        <is>
          <t>Verificado</t>
        </is>
      </c>
      <c r="M606" s="8" t="n">
        <v>1</v>
      </c>
      <c r="N606" s="9" t="n">
        <v>423.74</v>
      </c>
      <c r="O606" s="9" t="n">
        <v>423.74</v>
      </c>
      <c r="P606" s="9" t="n">
        <v>423.74</v>
      </c>
      <c r="Q606" s="7" t="inlineStr">
        <is>
          <t>Sí</t>
        </is>
      </c>
      <c r="R606" s="9">
        <f>IF(N606="","",IF(Q606="Sí",ROUND(N606/1.18,2),N606))</f>
        <v/>
      </c>
      <c r="S606" s="7" t="inlineStr">
        <is>
          <t>2026-09-09</t>
        </is>
      </c>
      <c r="T606" s="5" t="inlineStr">
        <is>
          <t>1 cotización de proveedores</t>
        </is>
      </c>
    </row>
    <row r="607">
      <c r="A607" s="7" t="inlineStr">
        <is>
          <t>MAT-19-012</t>
        </is>
      </c>
      <c r="B607" s="7" t="inlineStr">
        <is>
          <t>Materiales</t>
        </is>
      </c>
      <c r="C607" s="7" t="inlineStr">
        <is>
          <t>Perfiles y tubos de acero</t>
        </is>
      </c>
      <c r="D607" s="5" t="inlineStr">
        <is>
          <t>Perfil cuadrado galvanizado 1" x 1" x 20 pies, pared 1.6 mm</t>
        </is>
      </c>
      <c r="E607" s="5" t="inlineStr">
        <is>
          <t>Tubo estructural de sección cuadrado · 1" x 1" · pared 1.6 mm · acabado galvanizado</t>
        </is>
      </c>
      <c r="F607" s="5" t="inlineStr">
        <is>
          <t>Material retirado en almacén</t>
        </is>
      </c>
      <c r="G607" s="5" t="inlineStr">
        <is>
          <t>perfilería, tubo cuadrado, HSS</t>
        </is>
      </c>
      <c r="H607" s="7" t="inlineStr">
        <is>
          <t>unidad</t>
        </is>
      </c>
      <c r="I607" s="7" t="inlineStr">
        <is>
          <t>Estructura</t>
        </is>
      </c>
      <c r="J607" s="7" t="inlineStr">
        <is>
          <t>estandar</t>
        </is>
      </c>
      <c r="K607" s="7" t="inlineStr">
        <is>
          <t>importado</t>
        </is>
      </c>
      <c r="L607" s="7" t="inlineStr">
        <is>
          <t>Verificado</t>
        </is>
      </c>
      <c r="M607" s="8" t="n">
        <v>1</v>
      </c>
      <c r="N607" s="9" t="n">
        <v>539.74</v>
      </c>
      <c r="O607" s="9" t="n">
        <v>539.74</v>
      </c>
      <c r="P607" s="9" t="n">
        <v>539.74</v>
      </c>
      <c r="Q607" s="7" t="inlineStr">
        <is>
          <t>Sí</t>
        </is>
      </c>
      <c r="R607" s="9">
        <f>IF(N607="","",IF(Q607="Sí",ROUND(N607/1.18,2),N607))</f>
        <v/>
      </c>
      <c r="S607" s="7" t="inlineStr">
        <is>
          <t>2026-09-09</t>
        </is>
      </c>
      <c r="T607" s="5" t="inlineStr">
        <is>
          <t>1 cotización de proveedores</t>
        </is>
      </c>
    </row>
    <row r="608">
      <c r="A608" s="7" t="inlineStr">
        <is>
          <t>MAT-19-013</t>
        </is>
      </c>
      <c r="B608" s="7" t="inlineStr">
        <is>
          <t>Materiales</t>
        </is>
      </c>
      <c r="C608" s="7" t="inlineStr">
        <is>
          <t>Perfiles y tubos de acero</t>
        </is>
      </c>
      <c r="D608" s="5" t="inlineStr">
        <is>
          <t>Perfil cuadrado galvanizado 1 1/4" x 1 1/4" x 20 pies, pared 1.5 mm</t>
        </is>
      </c>
      <c r="E608" s="5" t="inlineStr">
        <is>
          <t>Tubo estructural de sección cuadrado · 1 1/4" x 1 1/4" · pared 1.5 mm · acabado galvanizado</t>
        </is>
      </c>
      <c r="F608" s="5" t="inlineStr">
        <is>
          <t>Material retirado en almacén</t>
        </is>
      </c>
      <c r="G608" s="5" t="inlineStr">
        <is>
          <t>perfilería, tubo cuadrado, HSS</t>
        </is>
      </c>
      <c r="H608" s="7" t="inlineStr">
        <is>
          <t>unidad</t>
        </is>
      </c>
      <c r="I608" s="7" t="inlineStr">
        <is>
          <t>Estructura</t>
        </is>
      </c>
      <c r="J608" s="7" t="inlineStr">
        <is>
          <t>estandar</t>
        </is>
      </c>
      <c r="K608" s="7" t="inlineStr">
        <is>
          <t>importado</t>
        </is>
      </c>
      <c r="L608" s="7" t="inlineStr">
        <is>
          <t>Verificado</t>
        </is>
      </c>
      <c r="M608" s="8" t="n">
        <v>1</v>
      </c>
      <c r="N608" s="9" t="n">
        <v>712.04</v>
      </c>
      <c r="O608" s="9" t="n">
        <v>712.04</v>
      </c>
      <c r="P608" s="9" t="n">
        <v>712.04</v>
      </c>
      <c r="Q608" s="7" t="inlineStr">
        <is>
          <t>Sí</t>
        </is>
      </c>
      <c r="R608" s="9">
        <f>IF(N608="","",IF(Q608="Sí",ROUND(N608/1.18,2),N608))</f>
        <v/>
      </c>
      <c r="S608" s="7" t="inlineStr">
        <is>
          <t>2026-09-09</t>
        </is>
      </c>
      <c r="T608" s="5" t="inlineStr">
        <is>
          <t>1 cotización de proveedores</t>
        </is>
      </c>
    </row>
    <row r="609">
      <c r="A609" s="7" t="inlineStr">
        <is>
          <t>MAT-19-014</t>
        </is>
      </c>
      <c r="B609" s="7" t="inlineStr">
        <is>
          <t>Materiales</t>
        </is>
      </c>
      <c r="C609" s="7" t="inlineStr">
        <is>
          <t>Perfiles y tubos de acero</t>
        </is>
      </c>
      <c r="D609" s="5" t="inlineStr">
        <is>
          <t>Perfil cuadrado galvanizado 1 1/2" x 1 1/2" x 20 pies, pared 1.2 mm</t>
        </is>
      </c>
      <c r="E609" s="5" t="inlineStr">
        <is>
          <t>Tubo estructural de sección cuadrado · 1 1/2" x 1 1/2" · pared 1.2 mm · acabado galvanizado</t>
        </is>
      </c>
      <c r="F609" s="5" t="inlineStr">
        <is>
          <t>Material retirado en almacén</t>
        </is>
      </c>
      <c r="G609" s="5" t="inlineStr">
        <is>
          <t>perfilería, tubo cuadrado, HSS</t>
        </is>
      </c>
      <c r="H609" s="7" t="inlineStr">
        <is>
          <t>unidad</t>
        </is>
      </c>
      <c r="I609" s="7" t="inlineStr">
        <is>
          <t>Estructura</t>
        </is>
      </c>
      <c r="J609" s="7" t="inlineStr">
        <is>
          <t>estandar</t>
        </is>
      </c>
      <c r="K609" s="7" t="inlineStr">
        <is>
          <t>importado</t>
        </is>
      </c>
      <c r="L609" s="7" t="inlineStr">
        <is>
          <t>Verificado</t>
        </is>
      </c>
      <c r="M609" s="8" t="n">
        <v>1</v>
      </c>
      <c r="N609" s="9" t="n">
        <v>648.6799999999999</v>
      </c>
      <c r="O609" s="9" t="n">
        <v>648.6799999999999</v>
      </c>
      <c r="P609" s="9" t="n">
        <v>648.6799999999999</v>
      </c>
      <c r="Q609" s="7" t="inlineStr">
        <is>
          <t>Sí</t>
        </is>
      </c>
      <c r="R609" s="9">
        <f>IF(N609="","",IF(Q609="Sí",ROUND(N609/1.18,2),N609))</f>
        <v/>
      </c>
      <c r="S609" s="7" t="inlineStr">
        <is>
          <t>2026-09-09</t>
        </is>
      </c>
      <c r="T609" s="5" t="inlineStr">
        <is>
          <t>1 cotización de proveedores</t>
        </is>
      </c>
    </row>
    <row r="610">
      <c r="A610" s="7" t="inlineStr">
        <is>
          <t>MAT-19-015</t>
        </is>
      </c>
      <c r="B610" s="7" t="inlineStr">
        <is>
          <t>Materiales</t>
        </is>
      </c>
      <c r="C610" s="7" t="inlineStr">
        <is>
          <t>Perfiles y tubos de acero</t>
        </is>
      </c>
      <c r="D610" s="5" t="inlineStr">
        <is>
          <t>Perfil cuadrado galvanizado 1 1/2" x 1 1/2" x 20 pies, pared 1.6 mm</t>
        </is>
      </c>
      <c r="E610" s="5" t="inlineStr">
        <is>
          <t>Tubo estructural de sección cuadrado · 1 1/2" x 1 1/2" · pared 1.6 mm · acabado galvanizado</t>
        </is>
      </c>
      <c r="F610" s="5" t="inlineStr">
        <is>
          <t>Material retirado en almacén</t>
        </is>
      </c>
      <c r="G610" s="5" t="inlineStr">
        <is>
          <t>perfilería, tubo cuadrado, HSS</t>
        </is>
      </c>
      <c r="H610" s="7" t="inlineStr">
        <is>
          <t>unidad</t>
        </is>
      </c>
      <c r="I610" s="7" t="inlineStr">
        <is>
          <t>Estructura</t>
        </is>
      </c>
      <c r="J610" s="7" t="inlineStr">
        <is>
          <t>estandar</t>
        </is>
      </c>
      <c r="K610" s="7" t="inlineStr">
        <is>
          <t>importado</t>
        </is>
      </c>
      <c r="L610" s="7" t="inlineStr">
        <is>
          <t>Verificado</t>
        </is>
      </c>
      <c r="M610" s="8" t="n">
        <v>1</v>
      </c>
      <c r="N610" s="9" t="n">
        <v>814.53</v>
      </c>
      <c r="O610" s="9" t="n">
        <v>814.53</v>
      </c>
      <c r="P610" s="9" t="n">
        <v>814.53</v>
      </c>
      <c r="Q610" s="7" t="inlineStr">
        <is>
          <t>Sí</t>
        </is>
      </c>
      <c r="R610" s="9">
        <f>IF(N610="","",IF(Q610="Sí",ROUND(N610/1.18,2),N610))</f>
        <v/>
      </c>
      <c r="S610" s="7" t="inlineStr">
        <is>
          <t>2026-09-09</t>
        </is>
      </c>
      <c r="T610" s="5" t="inlineStr">
        <is>
          <t>1 cotización de proveedores</t>
        </is>
      </c>
    </row>
    <row r="611">
      <c r="A611" s="7" t="inlineStr">
        <is>
          <t>MAT-19-016</t>
        </is>
      </c>
      <c r="B611" s="7" t="inlineStr">
        <is>
          <t>Materiales</t>
        </is>
      </c>
      <c r="C611" s="7" t="inlineStr">
        <is>
          <t>Perfiles y tubos de acero</t>
        </is>
      </c>
      <c r="D611" s="5" t="inlineStr">
        <is>
          <t>Perfil cuadrado galvanizado 2" x 2" x 20 pies, pared 1.6 mm</t>
        </is>
      </c>
      <c r="E611" s="5" t="inlineStr">
        <is>
          <t>Tubo estructural de sección cuadrado · 2" x 2" · pared 1.6 mm · acabado galvanizado</t>
        </is>
      </c>
      <c r="F611" s="5" t="inlineStr">
        <is>
          <t>Material retirado en almacén</t>
        </is>
      </c>
      <c r="G611" s="5" t="inlineStr">
        <is>
          <t>perfilería, tubo cuadrado, HSS</t>
        </is>
      </c>
      <c r="H611" s="7" t="inlineStr">
        <is>
          <t>unidad</t>
        </is>
      </c>
      <c r="I611" s="7" t="inlineStr">
        <is>
          <t>Estructura</t>
        </is>
      </c>
      <c r="J611" s="7" t="inlineStr">
        <is>
          <t>estandar</t>
        </is>
      </c>
      <c r="K611" s="7" t="inlineStr">
        <is>
          <t>importado</t>
        </is>
      </c>
      <c r="L611" s="7" t="inlineStr">
        <is>
          <t>Verificado</t>
        </is>
      </c>
      <c r="M611" s="8" t="n">
        <v>1</v>
      </c>
      <c r="N611" s="9" t="n">
        <v>1108.57</v>
      </c>
      <c r="O611" s="9" t="n">
        <v>1108.57</v>
      </c>
      <c r="P611" s="9" t="n">
        <v>1108.57</v>
      </c>
      <c r="Q611" s="7" t="inlineStr">
        <is>
          <t>Sí</t>
        </is>
      </c>
      <c r="R611" s="9">
        <f>IF(N611="","",IF(Q611="Sí",ROUND(N611/1.18,2),N611))</f>
        <v/>
      </c>
      <c r="S611" s="7" t="inlineStr">
        <is>
          <t>2026-09-09</t>
        </is>
      </c>
      <c r="T611" s="5" t="inlineStr">
        <is>
          <t>1 cotización de proveedores</t>
        </is>
      </c>
    </row>
    <row r="612">
      <c r="A612" s="7" t="inlineStr">
        <is>
          <t>MAT-19-017</t>
        </is>
      </c>
      <c r="B612" s="7" t="inlineStr">
        <is>
          <t>Materiales</t>
        </is>
      </c>
      <c r="C612" s="7" t="inlineStr">
        <is>
          <t>Perfiles y tubos de acero</t>
        </is>
      </c>
      <c r="D612" s="5" t="inlineStr">
        <is>
          <t>Perfil cuadrado galvanizado 3" x 3" x 20 pies, pared 1.5 mm</t>
        </is>
      </c>
      <c r="E612" s="5" t="inlineStr">
        <is>
          <t>Tubo estructural de sección cuadrado · 3" x 3" · pared 1.5 mm · acabado galvanizado</t>
        </is>
      </c>
      <c r="F612" s="5" t="inlineStr">
        <is>
          <t>Material retirado en almacén</t>
        </is>
      </c>
      <c r="G612" s="5" t="inlineStr">
        <is>
          <t>perfilería, tubo cuadrado, HSS</t>
        </is>
      </c>
      <c r="H612" s="7" t="inlineStr">
        <is>
          <t>unidad</t>
        </is>
      </c>
      <c r="I612" s="7" t="inlineStr">
        <is>
          <t>Estructura</t>
        </is>
      </c>
      <c r="J612" s="7" t="inlineStr">
        <is>
          <t>estandar</t>
        </is>
      </c>
      <c r="K612" s="7" t="inlineStr">
        <is>
          <t>importado</t>
        </is>
      </c>
      <c r="L612" s="7" t="inlineStr">
        <is>
          <t>Verificado</t>
        </is>
      </c>
      <c r="M612" s="8" t="n">
        <v>1</v>
      </c>
      <c r="N612" s="9" t="n">
        <v>1707.91</v>
      </c>
      <c r="O612" s="9" t="n">
        <v>1707.91</v>
      </c>
      <c r="P612" s="9" t="n">
        <v>1707.91</v>
      </c>
      <c r="Q612" s="7" t="inlineStr">
        <is>
          <t>Sí</t>
        </is>
      </c>
      <c r="R612" s="9">
        <f>IF(N612="","",IF(Q612="Sí",ROUND(N612/1.18,2),N612))</f>
        <v/>
      </c>
      <c r="S612" s="7" t="inlineStr">
        <is>
          <t>2026-09-09</t>
        </is>
      </c>
      <c r="T612" s="5" t="inlineStr">
        <is>
          <t>1 cotización de proveedores</t>
        </is>
      </c>
    </row>
    <row r="613">
      <c r="A613" s="7" t="inlineStr">
        <is>
          <t>MAT-19-018</t>
        </is>
      </c>
      <c r="B613" s="7" t="inlineStr">
        <is>
          <t>Materiales</t>
        </is>
      </c>
      <c r="C613" s="7" t="inlineStr">
        <is>
          <t>Perfiles y tubos de acero</t>
        </is>
      </c>
      <c r="D613" s="5" t="inlineStr">
        <is>
          <t>Perfil rectangular negro 3/4" x 1 1/2" x 20 pies, pared 1.2 mm</t>
        </is>
      </c>
      <c r="E613" s="5" t="inlineStr">
        <is>
          <t>Tubo estructural de sección rectangular · 3/4" x 1 1/2" · pared 1.2 mm · acabado negro</t>
        </is>
      </c>
      <c r="F613" s="5" t="inlineStr">
        <is>
          <t>Material retirado en almacén</t>
        </is>
      </c>
      <c r="G613" s="5" t="inlineStr">
        <is>
          <t>perfilería, tubo cuadrado, HSS</t>
        </is>
      </c>
      <c r="H613" s="7" t="inlineStr">
        <is>
          <t>unidad</t>
        </is>
      </c>
      <c r="I613" s="7" t="inlineStr">
        <is>
          <t>Estructura</t>
        </is>
      </c>
      <c r="J613" s="7" t="inlineStr">
        <is>
          <t>estandar</t>
        </is>
      </c>
      <c r="K613" s="7" t="inlineStr">
        <is>
          <t>importado</t>
        </is>
      </c>
      <c r="L613" s="7" t="inlineStr">
        <is>
          <t>Verificado</t>
        </is>
      </c>
      <c r="M613" s="8" t="n">
        <v>1</v>
      </c>
      <c r="N613" s="9" t="n">
        <v>402.51</v>
      </c>
      <c r="O613" s="9" t="n">
        <v>402.51</v>
      </c>
      <c r="P613" s="9" t="n">
        <v>402.51</v>
      </c>
      <c r="Q613" s="7" t="inlineStr">
        <is>
          <t>Sí</t>
        </is>
      </c>
      <c r="R613" s="9">
        <f>IF(N613="","",IF(Q613="Sí",ROUND(N613/1.18,2),N613))</f>
        <v/>
      </c>
      <c r="S613" s="7" t="inlineStr">
        <is>
          <t>2026-09-09</t>
        </is>
      </c>
      <c r="T613" s="5" t="inlineStr">
        <is>
          <t>1 cotización de proveedores</t>
        </is>
      </c>
    </row>
    <row r="614">
      <c r="A614" s="7" t="inlineStr">
        <is>
          <t>MAT-19-019</t>
        </is>
      </c>
      <c r="B614" s="7" t="inlineStr">
        <is>
          <t>Materiales</t>
        </is>
      </c>
      <c r="C614" s="7" t="inlineStr">
        <is>
          <t>Perfiles y tubos de acero</t>
        </is>
      </c>
      <c r="D614" s="5" t="inlineStr">
        <is>
          <t>Perfil rectangular negro 3/4" x 1 1/2" x 20 pies, pared 1.6 mm</t>
        </is>
      </c>
      <c r="E614" s="5" t="inlineStr">
        <is>
          <t>Tubo estructural de sección rectangular · 3/4" x 1 1/2" · pared 1.6 mm · acabado negro</t>
        </is>
      </c>
      <c r="F614" s="5" t="inlineStr">
        <is>
          <t>Material retirado en almacén</t>
        </is>
      </c>
      <c r="G614" s="5" t="inlineStr">
        <is>
          <t>perfilería, tubo cuadrado, HSS</t>
        </is>
      </c>
      <c r="H614" s="7" t="inlineStr">
        <is>
          <t>unidad</t>
        </is>
      </c>
      <c r="I614" s="7" t="inlineStr">
        <is>
          <t>Estructura</t>
        </is>
      </c>
      <c r="J614" s="7" t="inlineStr">
        <is>
          <t>estandar</t>
        </is>
      </c>
      <c r="K614" s="7" t="inlineStr">
        <is>
          <t>importado</t>
        </is>
      </c>
      <c r="L614" s="7" t="inlineStr">
        <is>
          <t>Verificado</t>
        </is>
      </c>
      <c r="M614" s="8" t="n">
        <v>1</v>
      </c>
      <c r="N614" s="9" t="n">
        <v>472.19</v>
      </c>
      <c r="O614" s="9" t="n">
        <v>472.19</v>
      </c>
      <c r="P614" s="9" t="n">
        <v>472.19</v>
      </c>
      <c r="Q614" s="7" t="inlineStr">
        <is>
          <t>Sí</t>
        </is>
      </c>
      <c r="R614" s="9">
        <f>IF(N614="","",IF(Q614="Sí",ROUND(N614/1.18,2),N614))</f>
        <v/>
      </c>
      <c r="S614" s="7" t="inlineStr">
        <is>
          <t>2026-09-09</t>
        </is>
      </c>
      <c r="T614" s="5" t="inlineStr">
        <is>
          <t>1 cotización de proveedores</t>
        </is>
      </c>
    </row>
    <row r="615">
      <c r="A615" s="7" t="inlineStr">
        <is>
          <t>MAT-19-020</t>
        </is>
      </c>
      <c r="B615" s="7" t="inlineStr">
        <is>
          <t>Materiales</t>
        </is>
      </c>
      <c r="C615" s="7" t="inlineStr">
        <is>
          <t>Perfiles y tubos de acero</t>
        </is>
      </c>
      <c r="D615" s="5" t="inlineStr">
        <is>
          <t>Perfil rectangular negro 2" x 1" x 20 pies, pared 1.2 mm</t>
        </is>
      </c>
      <c r="E615" s="5" t="inlineStr">
        <is>
          <t>Tubo estructural de sección rectangular · 2" x 1" · pared 1.2 mm · acabado negro</t>
        </is>
      </c>
      <c r="F615" s="5" t="inlineStr">
        <is>
          <t>Material retirado en almacén</t>
        </is>
      </c>
      <c r="G615" s="5" t="inlineStr">
        <is>
          <t>perfilería, tubo cuadrado, HSS</t>
        </is>
      </c>
      <c r="H615" s="7" t="inlineStr">
        <is>
          <t>unidad</t>
        </is>
      </c>
      <c r="I615" s="7" t="inlineStr">
        <is>
          <t>Estructura</t>
        </is>
      </c>
      <c r="J615" s="7" t="inlineStr">
        <is>
          <t>estandar</t>
        </is>
      </c>
      <c r="K615" s="7" t="inlineStr">
        <is>
          <t>importado</t>
        </is>
      </c>
      <c r="L615" s="7" t="inlineStr">
        <is>
          <t>Verificado</t>
        </is>
      </c>
      <c r="M615" s="8" t="n">
        <v>1</v>
      </c>
      <c r="N615" s="9" t="n">
        <v>542.15</v>
      </c>
      <c r="O615" s="9" t="n">
        <v>542.15</v>
      </c>
      <c r="P615" s="9" t="n">
        <v>542.15</v>
      </c>
      <c r="Q615" s="7" t="inlineStr">
        <is>
          <t>Sí</t>
        </is>
      </c>
      <c r="R615" s="9">
        <f>IF(N615="","",IF(Q615="Sí",ROUND(N615/1.18,2),N615))</f>
        <v/>
      </c>
      <c r="S615" s="7" t="inlineStr">
        <is>
          <t>2026-09-09</t>
        </is>
      </c>
      <c r="T615" s="5" t="inlineStr">
        <is>
          <t>1 cotización de proveedores</t>
        </is>
      </c>
    </row>
    <row r="616">
      <c r="A616" s="7" t="inlineStr">
        <is>
          <t>MAT-19-021</t>
        </is>
      </c>
      <c r="B616" s="7" t="inlineStr">
        <is>
          <t>Materiales</t>
        </is>
      </c>
      <c r="C616" s="7" t="inlineStr">
        <is>
          <t>Perfiles y tubos de acero</t>
        </is>
      </c>
      <c r="D616" s="5" t="inlineStr">
        <is>
          <t>Perfil rectangular negro 2" x 1" x 20 pies, pared 1.6 mm</t>
        </is>
      </c>
      <c r="E616" s="5" t="inlineStr">
        <is>
          <t>Tubo estructural de sección rectangular · 2" x 1" · pared 1.6 mm · acabado negro</t>
        </is>
      </c>
      <c r="F616" s="5" t="inlineStr">
        <is>
          <t>Material retirado en almacén</t>
        </is>
      </c>
      <c r="G616" s="5" t="inlineStr">
        <is>
          <t>perfilería, tubo cuadrado, HSS</t>
        </is>
      </c>
      <c r="H616" s="7" t="inlineStr">
        <is>
          <t>unidad</t>
        </is>
      </c>
      <c r="I616" s="7" t="inlineStr">
        <is>
          <t>Estructura</t>
        </is>
      </c>
      <c r="J616" s="7" t="inlineStr">
        <is>
          <t>estandar</t>
        </is>
      </c>
      <c r="K616" s="7" t="inlineStr">
        <is>
          <t>importado</t>
        </is>
      </c>
      <c r="L616" s="7" t="inlineStr">
        <is>
          <t>Verificado</t>
        </is>
      </c>
      <c r="M616" s="8" t="n">
        <v>1</v>
      </c>
      <c r="N616" s="9" t="n">
        <v>639.71</v>
      </c>
      <c r="O616" s="9" t="n">
        <v>639.71</v>
      </c>
      <c r="P616" s="9" t="n">
        <v>639.71</v>
      </c>
      <c r="Q616" s="7" t="inlineStr">
        <is>
          <t>Sí</t>
        </is>
      </c>
      <c r="R616" s="9">
        <f>IF(N616="","",IF(Q616="Sí",ROUND(N616/1.18,2),N616))</f>
        <v/>
      </c>
      <c r="S616" s="7" t="inlineStr">
        <is>
          <t>2026-09-09</t>
        </is>
      </c>
      <c r="T616" s="5" t="inlineStr">
        <is>
          <t>1 cotización de proveedores</t>
        </is>
      </c>
    </row>
    <row r="617">
      <c r="A617" s="7" t="inlineStr">
        <is>
          <t>MAT-19-022</t>
        </is>
      </c>
      <c r="B617" s="7" t="inlineStr">
        <is>
          <t>Materiales</t>
        </is>
      </c>
      <c r="C617" s="7" t="inlineStr">
        <is>
          <t>Perfiles y tubos de acero</t>
        </is>
      </c>
      <c r="D617" s="5" t="inlineStr">
        <is>
          <t>Perfil rectangular negro 2" x 3" x 20 pies, pared 1.6 mm</t>
        </is>
      </c>
      <c r="E617" s="5" t="inlineStr">
        <is>
          <t>Tubo estructural de sección rectangular · 2" x 3" · pared 1.6 mm · acabado negro</t>
        </is>
      </c>
      <c r="F617" s="5" t="inlineStr">
        <is>
          <t>Material retirado en almacén</t>
        </is>
      </c>
      <c r="G617" s="5" t="inlineStr">
        <is>
          <t>perfilería, tubo cuadrado, HSS</t>
        </is>
      </c>
      <c r="H617" s="7" t="inlineStr">
        <is>
          <t>unidad</t>
        </is>
      </c>
      <c r="I617" s="7" t="inlineStr">
        <is>
          <t>Estructura</t>
        </is>
      </c>
      <c r="J617" s="7" t="inlineStr">
        <is>
          <t>estandar</t>
        </is>
      </c>
      <c r="K617" s="7" t="inlineStr">
        <is>
          <t>importado</t>
        </is>
      </c>
      <c r="L617" s="7" t="inlineStr">
        <is>
          <t>Verificado</t>
        </is>
      </c>
      <c r="M617" s="8" t="n">
        <v>1</v>
      </c>
      <c r="N617" s="9" t="n">
        <v>1082.3</v>
      </c>
      <c r="O617" s="9" t="n">
        <v>1082.3</v>
      </c>
      <c r="P617" s="9" t="n">
        <v>1082.3</v>
      </c>
      <c r="Q617" s="7" t="inlineStr">
        <is>
          <t>Sí</t>
        </is>
      </c>
      <c r="R617" s="9">
        <f>IF(N617="","",IF(Q617="Sí",ROUND(N617/1.18,2),N617))</f>
        <v/>
      </c>
      <c r="S617" s="7" t="inlineStr">
        <is>
          <t>2026-09-09</t>
        </is>
      </c>
      <c r="T617" s="5" t="inlineStr">
        <is>
          <t>1 cotización de proveedores</t>
        </is>
      </c>
    </row>
    <row r="618">
      <c r="A618" s="7" t="inlineStr">
        <is>
          <t>MAT-19-023</t>
        </is>
      </c>
      <c r="B618" s="7" t="inlineStr">
        <is>
          <t>Materiales</t>
        </is>
      </c>
      <c r="C618" s="7" t="inlineStr">
        <is>
          <t>Perfiles y tubos de acero</t>
        </is>
      </c>
      <c r="D618" s="5" t="inlineStr">
        <is>
          <t>Perfil rectangular negro 2" x 4" x 20 pies, pared 1.6 mm</t>
        </is>
      </c>
      <c r="E618" s="5" t="inlineStr">
        <is>
          <t>Tubo estructural de sección rectangular · 2" x 4" · pared 1.6 mm · acabado negro</t>
        </is>
      </c>
      <c r="F618" s="5" t="inlineStr">
        <is>
          <t>Material retirado en almacén</t>
        </is>
      </c>
      <c r="G618" s="5" t="inlineStr">
        <is>
          <t>perfilería, tubo cuadrado, HSS</t>
        </is>
      </c>
      <c r="H618" s="7" t="inlineStr">
        <is>
          <t>unidad</t>
        </is>
      </c>
      <c r="I618" s="7" t="inlineStr">
        <is>
          <t>Estructura</t>
        </is>
      </c>
      <c r="J618" s="7" t="inlineStr">
        <is>
          <t>estandar</t>
        </is>
      </c>
      <c r="K618" s="7" t="inlineStr">
        <is>
          <t>importado</t>
        </is>
      </c>
      <c r="L618" s="7" t="inlineStr">
        <is>
          <t>Verificado</t>
        </is>
      </c>
      <c r="M618" s="8" t="n">
        <v>1</v>
      </c>
      <c r="N618" s="9" t="n">
        <v>1349.04</v>
      </c>
      <c r="O618" s="9" t="n">
        <v>1349.04</v>
      </c>
      <c r="P618" s="9" t="n">
        <v>1349.04</v>
      </c>
      <c r="Q618" s="7" t="inlineStr">
        <is>
          <t>Sí</t>
        </is>
      </c>
      <c r="R618" s="9">
        <f>IF(N618="","",IF(Q618="Sí",ROUND(N618/1.18,2),N618))</f>
        <v/>
      </c>
      <c r="S618" s="7" t="inlineStr">
        <is>
          <t>2026-09-09</t>
        </is>
      </c>
      <c r="T618" s="5" t="inlineStr">
        <is>
          <t>1 cotización de proveedores</t>
        </is>
      </c>
    </row>
    <row r="619">
      <c r="A619" s="7" t="inlineStr">
        <is>
          <t>MAT-19-024</t>
        </is>
      </c>
      <c r="B619" s="7" t="inlineStr">
        <is>
          <t>Materiales</t>
        </is>
      </c>
      <c r="C619" s="7" t="inlineStr">
        <is>
          <t>Perfiles y tubos de acero</t>
        </is>
      </c>
      <c r="D619" s="5" t="inlineStr">
        <is>
          <t>Perfil rectangular negro 3" x 1 1/2" x 20 pies, pared 1.6 mm</t>
        </is>
      </c>
      <c r="E619" s="5" t="inlineStr">
        <is>
          <t>Tubo estructural de sección rectangular · 3" x 1 1/2" · pared 1.6 mm · acabado negro</t>
        </is>
      </c>
      <c r="F619" s="5" t="inlineStr">
        <is>
          <t>Material retirado en almacén</t>
        </is>
      </c>
      <c r="G619" s="5" t="inlineStr">
        <is>
          <t>perfilería, tubo cuadrado, HSS</t>
        </is>
      </c>
      <c r="H619" s="7" t="inlineStr">
        <is>
          <t>unidad</t>
        </is>
      </c>
      <c r="I619" s="7" t="inlineStr">
        <is>
          <t>Estructura</t>
        </is>
      </c>
      <c r="J619" s="7" t="inlineStr">
        <is>
          <t>estandar</t>
        </is>
      </c>
      <c r="K619" s="7" t="inlineStr">
        <is>
          <t>importado</t>
        </is>
      </c>
      <c r="L619" s="7" t="inlineStr">
        <is>
          <t>Verificado</t>
        </is>
      </c>
      <c r="M619" s="8" t="n">
        <v>1</v>
      </c>
      <c r="N619" s="9" t="n">
        <v>973.59</v>
      </c>
      <c r="O619" s="9" t="n">
        <v>973.59</v>
      </c>
      <c r="P619" s="9" t="n">
        <v>973.59</v>
      </c>
      <c r="Q619" s="7" t="inlineStr">
        <is>
          <t>Sí</t>
        </is>
      </c>
      <c r="R619" s="9">
        <f>IF(N619="","",IF(Q619="Sí",ROUND(N619/1.18,2),N619))</f>
        <v/>
      </c>
      <c r="S619" s="7" t="inlineStr">
        <is>
          <t>2026-09-09</t>
        </is>
      </c>
      <c r="T619" s="5" t="inlineStr">
        <is>
          <t>1 cotización de proveedores</t>
        </is>
      </c>
    </row>
    <row r="620">
      <c r="A620" s="7" t="inlineStr">
        <is>
          <t>MAT-19-025</t>
        </is>
      </c>
      <c r="B620" s="7" t="inlineStr">
        <is>
          <t>Materiales</t>
        </is>
      </c>
      <c r="C620" s="7" t="inlineStr">
        <is>
          <t>Perfiles y tubos de acero</t>
        </is>
      </c>
      <c r="D620" s="5" t="inlineStr">
        <is>
          <t>Perfil rectangular galvanizado 3/4" x 1 1/2" x 20 pies, pared 1.2 mm</t>
        </is>
      </c>
      <c r="E620" s="5" t="inlineStr">
        <is>
          <t>Tubo estructural de sección rectangular · 3/4" x 1 1/2" · pared 1.2 mm · acabado galvanizado</t>
        </is>
      </c>
      <c r="F620" s="5" t="inlineStr">
        <is>
          <t>Material retirado en almacén</t>
        </is>
      </c>
      <c r="G620" s="5" t="inlineStr">
        <is>
          <t>perfilería, tubo cuadrado, HSS</t>
        </is>
      </c>
      <c r="H620" s="7" t="inlineStr">
        <is>
          <t>unidad</t>
        </is>
      </c>
      <c r="I620" s="7" t="inlineStr">
        <is>
          <t>Estructura</t>
        </is>
      </c>
      <c r="J620" s="7" t="inlineStr">
        <is>
          <t>estandar</t>
        </is>
      </c>
      <c r="K620" s="7" t="inlineStr">
        <is>
          <t>importado</t>
        </is>
      </c>
      <c r="L620" s="7" t="inlineStr">
        <is>
          <t>Verificado</t>
        </is>
      </c>
      <c r="M620" s="8" t="n">
        <v>1</v>
      </c>
      <c r="N620" s="9" t="n">
        <v>492.8</v>
      </c>
      <c r="O620" s="9" t="n">
        <v>492.8</v>
      </c>
      <c r="P620" s="9" t="n">
        <v>492.8</v>
      </c>
      <c r="Q620" s="7" t="inlineStr">
        <is>
          <t>Sí</t>
        </is>
      </c>
      <c r="R620" s="9">
        <f>IF(N620="","",IF(Q620="Sí",ROUND(N620/1.18,2),N620))</f>
        <v/>
      </c>
      <c r="S620" s="7" t="inlineStr">
        <is>
          <t>2026-09-09</t>
        </is>
      </c>
      <c r="T620" s="5" t="inlineStr">
        <is>
          <t>1 cotización de proveedores</t>
        </is>
      </c>
    </row>
    <row r="621">
      <c r="A621" s="7" t="inlineStr">
        <is>
          <t>MAT-19-026</t>
        </is>
      </c>
      <c r="B621" s="7" t="inlineStr">
        <is>
          <t>Materiales</t>
        </is>
      </c>
      <c r="C621" s="7" t="inlineStr">
        <is>
          <t>Perfiles y tubos de acero</t>
        </is>
      </c>
      <c r="D621" s="5" t="inlineStr">
        <is>
          <t>Perfil rectangular galvanizado 3/4" x 1 1/2" x 20 pies, pared 1.5 mm</t>
        </is>
      </c>
      <c r="E621" s="5" t="inlineStr">
        <is>
          <t>Tubo estructural de sección rectangular · 3/4" x 1 1/2" · pared 1.5 mm · acabado galvanizado</t>
        </is>
      </c>
      <c r="F621" s="5" t="inlineStr">
        <is>
          <t>Material retirado en almacén</t>
        </is>
      </c>
      <c r="G621" s="5" t="inlineStr">
        <is>
          <t>perfilería, tubo cuadrado, HSS</t>
        </is>
      </c>
      <c r="H621" s="7" t="inlineStr">
        <is>
          <t>unidad</t>
        </is>
      </c>
      <c r="I621" s="7" t="inlineStr">
        <is>
          <t>Estructura</t>
        </is>
      </c>
      <c r="J621" s="7" t="inlineStr">
        <is>
          <t>estandar</t>
        </is>
      </c>
      <c r="K621" s="7" t="inlineStr">
        <is>
          <t>importado</t>
        </is>
      </c>
      <c r="L621" s="7" t="inlineStr">
        <is>
          <t>Verificado</t>
        </is>
      </c>
      <c r="M621" s="8" t="n">
        <v>1</v>
      </c>
      <c r="N621" s="9" t="n">
        <v>626.88</v>
      </c>
      <c r="O621" s="9" t="n">
        <v>626.88</v>
      </c>
      <c r="P621" s="9" t="n">
        <v>626.88</v>
      </c>
      <c r="Q621" s="7" t="inlineStr">
        <is>
          <t>Sí</t>
        </is>
      </c>
      <c r="R621" s="9">
        <f>IF(N621="","",IF(Q621="Sí",ROUND(N621/1.18,2),N621))</f>
        <v/>
      </c>
      <c r="S621" s="7" t="inlineStr">
        <is>
          <t>2026-09-09</t>
        </is>
      </c>
      <c r="T621" s="5" t="inlineStr">
        <is>
          <t>1 cotización de proveedores</t>
        </is>
      </c>
    </row>
    <row r="622">
      <c r="A622" s="7" t="inlineStr">
        <is>
          <t>MAT-19-027</t>
        </is>
      </c>
      <c r="B622" s="7" t="inlineStr">
        <is>
          <t>Materiales</t>
        </is>
      </c>
      <c r="C622" s="7" t="inlineStr">
        <is>
          <t>Perfiles y tubos de acero</t>
        </is>
      </c>
      <c r="D622" s="5" t="inlineStr">
        <is>
          <t>Perfil rectangular galvanizado 2" x 1" x 20 pies, pared 1.2 mm</t>
        </is>
      </c>
      <c r="E622" s="5" t="inlineStr">
        <is>
          <t>Tubo estructural de sección rectangular · 2" x 1" · pared 1.2 mm · acabado galvanizado</t>
        </is>
      </c>
      <c r="F622" s="5" t="inlineStr">
        <is>
          <t>Material retirado en almacén</t>
        </is>
      </c>
      <c r="G622" s="5" t="inlineStr">
        <is>
          <t>perfilería, tubo cuadrado, HSS</t>
        </is>
      </c>
      <c r="H622" s="7" t="inlineStr">
        <is>
          <t>unidad</t>
        </is>
      </c>
      <c r="I622" s="7" t="inlineStr">
        <is>
          <t>Estructura</t>
        </is>
      </c>
      <c r="J622" s="7" t="inlineStr">
        <is>
          <t>estandar</t>
        </is>
      </c>
      <c r="K622" s="7" t="inlineStr">
        <is>
          <t>importado</t>
        </is>
      </c>
      <c r="L622" s="7" t="inlineStr">
        <is>
          <t>Verificado</t>
        </is>
      </c>
      <c r="M622" s="8" t="n">
        <v>1</v>
      </c>
      <c r="N622" s="9" t="n">
        <v>646.73</v>
      </c>
      <c r="O622" s="9" t="n">
        <v>646.73</v>
      </c>
      <c r="P622" s="9" t="n">
        <v>646.73</v>
      </c>
      <c r="Q622" s="7" t="inlineStr">
        <is>
          <t>Sí</t>
        </is>
      </c>
      <c r="R622" s="9">
        <f>IF(N622="","",IF(Q622="Sí",ROUND(N622/1.18,2),N622))</f>
        <v/>
      </c>
      <c r="S622" s="7" t="inlineStr">
        <is>
          <t>2026-09-09</t>
        </is>
      </c>
      <c r="T622" s="5" t="inlineStr">
        <is>
          <t>1 cotización de proveedores</t>
        </is>
      </c>
    </row>
    <row r="623">
      <c r="A623" s="7" t="inlineStr">
        <is>
          <t>MAT-19-028</t>
        </is>
      </c>
      <c r="B623" s="7" t="inlineStr">
        <is>
          <t>Materiales</t>
        </is>
      </c>
      <c r="C623" s="7" t="inlineStr">
        <is>
          <t>Perfiles y tubos de acero</t>
        </is>
      </c>
      <c r="D623" s="5" t="inlineStr">
        <is>
          <t>Perfil rectangular galvanizado 2" x 1" x 20 pies, pared 1.6 mm</t>
        </is>
      </c>
      <c r="E623" s="5" t="inlineStr">
        <is>
          <t>Tubo estructural de sección rectangular · 2" x 1" · pared 1.6 mm · acabado galvanizado</t>
        </is>
      </c>
      <c r="F623" s="5" t="inlineStr">
        <is>
          <t>Material retirado en almacén</t>
        </is>
      </c>
      <c r="G623" s="5" t="inlineStr">
        <is>
          <t>perfilería, tubo cuadrado, HSS</t>
        </is>
      </c>
      <c r="H623" s="7" t="inlineStr">
        <is>
          <t>unidad</t>
        </is>
      </c>
      <c r="I623" s="7" t="inlineStr">
        <is>
          <t>Estructura</t>
        </is>
      </c>
      <c r="J623" s="7" t="inlineStr">
        <is>
          <t>estandar</t>
        </is>
      </c>
      <c r="K623" s="7" t="inlineStr">
        <is>
          <t>importado</t>
        </is>
      </c>
      <c r="L623" s="7" t="inlineStr">
        <is>
          <t>Verificado</t>
        </is>
      </c>
      <c r="M623" s="8" t="n">
        <v>1</v>
      </c>
      <c r="N623" s="9" t="n">
        <v>812.22</v>
      </c>
      <c r="O623" s="9" t="n">
        <v>812.22</v>
      </c>
      <c r="P623" s="9" t="n">
        <v>812.22</v>
      </c>
      <c r="Q623" s="7" t="inlineStr">
        <is>
          <t>Sí</t>
        </is>
      </c>
      <c r="R623" s="9">
        <f>IF(N623="","",IF(Q623="Sí",ROUND(N623/1.18,2),N623))</f>
        <v/>
      </c>
      <c r="S623" s="7" t="inlineStr">
        <is>
          <t>2026-09-09</t>
        </is>
      </c>
      <c r="T623" s="5" t="inlineStr">
        <is>
          <t>1 cotización de proveedores</t>
        </is>
      </c>
    </row>
    <row r="624">
      <c r="A624" s="7" t="inlineStr">
        <is>
          <t>MAT-19-029</t>
        </is>
      </c>
      <c r="B624" s="7" t="inlineStr">
        <is>
          <t>Materiales</t>
        </is>
      </c>
      <c r="C624" s="7" t="inlineStr">
        <is>
          <t>Perfiles y tubos de acero</t>
        </is>
      </c>
      <c r="D624" s="5" t="inlineStr">
        <is>
          <t>Perfil rectangular galvanizado 2" x 3" x 20 pies, pared 1.6 mm</t>
        </is>
      </c>
      <c r="E624" s="5" t="inlineStr">
        <is>
          <t>Tubo estructural de sección rectangular · 2" x 3" · pared 1.6 mm · acabado galvanizado</t>
        </is>
      </c>
      <c r="F624" s="5" t="inlineStr">
        <is>
          <t>Material retirado en almacén</t>
        </is>
      </c>
      <c r="G624" s="5" t="inlineStr">
        <is>
          <t>perfilería, tubo cuadrado, HSS</t>
        </is>
      </c>
      <c r="H624" s="7" t="inlineStr">
        <is>
          <t>unidad</t>
        </is>
      </c>
      <c r="I624" s="7" t="inlineStr">
        <is>
          <t>Estructura</t>
        </is>
      </c>
      <c r="J624" s="7" t="inlineStr">
        <is>
          <t>estandar</t>
        </is>
      </c>
      <c r="K624" s="7" t="inlineStr">
        <is>
          <t>importado</t>
        </is>
      </c>
      <c r="L624" s="7" t="inlineStr">
        <is>
          <t>Verificado</t>
        </is>
      </c>
      <c r="M624" s="8" t="n">
        <v>1</v>
      </c>
      <c r="N624" s="9" t="n">
        <v>1400.9</v>
      </c>
      <c r="O624" s="9" t="n">
        <v>1400.9</v>
      </c>
      <c r="P624" s="9" t="n">
        <v>1400.9</v>
      </c>
      <c r="Q624" s="7" t="inlineStr">
        <is>
          <t>Sí</t>
        </is>
      </c>
      <c r="R624" s="9">
        <f>IF(N624="","",IF(Q624="Sí",ROUND(N624/1.18,2),N624))</f>
        <v/>
      </c>
      <c r="S624" s="7" t="inlineStr">
        <is>
          <t>2026-09-09</t>
        </is>
      </c>
      <c r="T624" s="5" t="inlineStr">
        <is>
          <t>1 cotización de proveedores</t>
        </is>
      </c>
    </row>
    <row r="625">
      <c r="A625" s="7" t="inlineStr">
        <is>
          <t>MAT-19-030</t>
        </is>
      </c>
      <c r="B625" s="7" t="inlineStr">
        <is>
          <t>Materiales</t>
        </is>
      </c>
      <c r="C625" s="7" t="inlineStr">
        <is>
          <t>Perfiles y tubos de acero</t>
        </is>
      </c>
      <c r="D625" s="5" t="inlineStr">
        <is>
          <t>Perfil rectangular galvanizado 2" x 4" x 20 pies, pared 1.6 mm</t>
        </is>
      </c>
      <c r="E625" s="5" t="inlineStr">
        <is>
          <t>Tubo estructural de sección rectangular · 2" x 4" · pared 1.6 mm · acabado galvanizado</t>
        </is>
      </c>
      <c r="F625" s="5" t="inlineStr">
        <is>
          <t>Material retirado en almacén</t>
        </is>
      </c>
      <c r="G625" s="5" t="inlineStr">
        <is>
          <t>perfilería, tubo cuadrado, HSS</t>
        </is>
      </c>
      <c r="H625" s="7" t="inlineStr">
        <is>
          <t>unidad</t>
        </is>
      </c>
      <c r="I625" s="7" t="inlineStr">
        <is>
          <t>Estructura</t>
        </is>
      </c>
      <c r="J625" s="7" t="inlineStr">
        <is>
          <t>estandar</t>
        </is>
      </c>
      <c r="K625" s="7" t="inlineStr">
        <is>
          <t>importado</t>
        </is>
      </c>
      <c r="L625" s="7" t="inlineStr">
        <is>
          <t>Verificado</t>
        </is>
      </c>
      <c r="M625" s="8" t="n">
        <v>1</v>
      </c>
      <c r="N625" s="9" t="n">
        <v>1695.85</v>
      </c>
      <c r="O625" s="9" t="n">
        <v>1695.85</v>
      </c>
      <c r="P625" s="9" t="n">
        <v>1695.85</v>
      </c>
      <c r="Q625" s="7" t="inlineStr">
        <is>
          <t>Sí</t>
        </is>
      </c>
      <c r="R625" s="9">
        <f>IF(N625="","",IF(Q625="Sí",ROUND(N625/1.18,2),N625))</f>
        <v/>
      </c>
      <c r="S625" s="7" t="inlineStr">
        <is>
          <t>2026-09-09</t>
        </is>
      </c>
      <c r="T625" s="5" t="inlineStr">
        <is>
          <t>1 cotización de proveedores</t>
        </is>
      </c>
    </row>
    <row r="626">
      <c r="A626" s="7" t="inlineStr">
        <is>
          <t>MAT-19-031</t>
        </is>
      </c>
      <c r="B626" s="7" t="inlineStr">
        <is>
          <t>Materiales</t>
        </is>
      </c>
      <c r="C626" s="7" t="inlineStr">
        <is>
          <t>Perfiles y tubos de acero</t>
        </is>
      </c>
      <c r="D626" s="5" t="inlineStr">
        <is>
          <t>Perfil rectangular galvanizado 3" x 1 1/2" x 20 pies, pared 1.6 mm</t>
        </is>
      </c>
      <c r="E626" s="5" t="inlineStr">
        <is>
          <t>Tubo estructural de sección rectangular · 3" x 1 1/2" · pared 1.6 mm · acabado galvanizado</t>
        </is>
      </c>
      <c r="F626" s="5" t="inlineStr">
        <is>
          <t>Material retirado en almacén</t>
        </is>
      </c>
      <c r="G626" s="5" t="inlineStr">
        <is>
          <t>perfilería, tubo cuadrado, HSS</t>
        </is>
      </c>
      <c r="H626" s="7" t="inlineStr">
        <is>
          <t>unidad</t>
        </is>
      </c>
      <c r="I626" s="7" t="inlineStr">
        <is>
          <t>Estructura</t>
        </is>
      </c>
      <c r="J626" s="7" t="inlineStr">
        <is>
          <t>estandar</t>
        </is>
      </c>
      <c r="K626" s="7" t="inlineStr">
        <is>
          <t>importado</t>
        </is>
      </c>
      <c r="L626" s="7" t="inlineStr">
        <is>
          <t>Verificado</t>
        </is>
      </c>
      <c r="M626" s="8" t="n">
        <v>1</v>
      </c>
      <c r="N626" s="9" t="n">
        <v>1275.97</v>
      </c>
      <c r="O626" s="9" t="n">
        <v>1275.97</v>
      </c>
      <c r="P626" s="9" t="n">
        <v>1275.97</v>
      </c>
      <c r="Q626" s="7" t="inlineStr">
        <is>
          <t>Sí</t>
        </is>
      </c>
      <c r="R626" s="9">
        <f>IF(N626="","",IF(Q626="Sí",ROUND(N626/1.18,2),N626))</f>
        <v/>
      </c>
      <c r="S626" s="7" t="inlineStr">
        <is>
          <t>2026-09-09</t>
        </is>
      </c>
      <c r="T626" s="5" t="inlineStr">
        <is>
          <t>1 cotización de proveedores</t>
        </is>
      </c>
    </row>
    <row r="627">
      <c r="A627" s="7" t="inlineStr">
        <is>
          <t>MAT-19-032</t>
        </is>
      </c>
      <c r="B627" s="7" t="inlineStr">
        <is>
          <t>Materiales</t>
        </is>
      </c>
      <c r="C627" s="7" t="inlineStr">
        <is>
          <t>Perfiles y tubos de acero</t>
        </is>
      </c>
      <c r="D627" s="5" t="inlineStr">
        <is>
          <t>Tubo negro redondo 1/2" x 20 pies, pared 2.77 mm</t>
        </is>
      </c>
      <c r="E627" s="5" t="inlineStr">
        <is>
          <t>Tubería de acero negro sin recubrimiento · 1/2" · pared 2.77 mm · tramo de 20 pies</t>
        </is>
      </c>
      <c r="F627" s="5" t="inlineStr">
        <is>
          <t>Material retirado en almacén</t>
        </is>
      </c>
      <c r="G627" s="5" t="inlineStr">
        <is>
          <t>tubo de hierro, tubería negra</t>
        </is>
      </c>
      <c r="H627" s="7" t="inlineStr">
        <is>
          <t>unidad</t>
        </is>
      </c>
      <c r="I627" s="7" t="inlineStr">
        <is>
          <t>Estructura</t>
        </is>
      </c>
      <c r="J627" s="7" t="inlineStr">
        <is>
          <t>estandar</t>
        </is>
      </c>
      <c r="K627" s="7" t="inlineStr">
        <is>
          <t>importado</t>
        </is>
      </c>
      <c r="L627" s="7" t="inlineStr">
        <is>
          <t>Verificado</t>
        </is>
      </c>
      <c r="M627" s="8" t="n">
        <v>1</v>
      </c>
      <c r="N627" s="9" t="n">
        <v>620.21</v>
      </c>
      <c r="O627" s="9" t="n">
        <v>620.21</v>
      </c>
      <c r="P627" s="9" t="n">
        <v>620.21</v>
      </c>
      <c r="Q627" s="7" t="inlineStr">
        <is>
          <t>Sí</t>
        </is>
      </c>
      <c r="R627" s="9">
        <f>IF(N627="","",IF(Q627="Sí",ROUND(N627/1.18,2),N627))</f>
        <v/>
      </c>
      <c r="S627" s="7" t="inlineStr">
        <is>
          <t>2026-09-09</t>
        </is>
      </c>
      <c r="T627" s="5" t="inlineStr">
        <is>
          <t>1 cotización de proveedores</t>
        </is>
      </c>
    </row>
    <row r="628">
      <c r="A628" s="7" t="inlineStr">
        <is>
          <t>MAT-19-033</t>
        </is>
      </c>
      <c r="B628" s="7" t="inlineStr">
        <is>
          <t>Materiales</t>
        </is>
      </c>
      <c r="C628" s="7" t="inlineStr">
        <is>
          <t>Perfiles y tubos de acero</t>
        </is>
      </c>
      <c r="D628" s="5" t="inlineStr">
        <is>
          <t>Tubo negro redondo 3/4" x 20 pies, pared 2.87 mm</t>
        </is>
      </c>
      <c r="E628" s="5" t="inlineStr">
        <is>
          <t>Tubería de acero negro sin recubrimiento · 3/4" · pared 2.87 mm · tramo de 20 pies</t>
        </is>
      </c>
      <c r="F628" s="5" t="inlineStr">
        <is>
          <t>Material retirado en almacén</t>
        </is>
      </c>
      <c r="G628" s="5" t="inlineStr">
        <is>
          <t>tubo de hierro, tubería negra</t>
        </is>
      </c>
      <c r="H628" s="7" t="inlineStr">
        <is>
          <t>unidad</t>
        </is>
      </c>
      <c r="I628" s="7" t="inlineStr">
        <is>
          <t>Estructura</t>
        </is>
      </c>
      <c r="J628" s="7" t="inlineStr">
        <is>
          <t>estandar</t>
        </is>
      </c>
      <c r="K628" s="7" t="inlineStr">
        <is>
          <t>importado</t>
        </is>
      </c>
      <c r="L628" s="7" t="inlineStr">
        <is>
          <t>Verificado</t>
        </is>
      </c>
      <c r="M628" s="8" t="n">
        <v>1</v>
      </c>
      <c r="N628" s="9" t="n">
        <v>826</v>
      </c>
      <c r="O628" s="9" t="n">
        <v>826</v>
      </c>
      <c r="P628" s="9" t="n">
        <v>826</v>
      </c>
      <c r="Q628" s="7" t="inlineStr">
        <is>
          <t>Sí</t>
        </is>
      </c>
      <c r="R628" s="9">
        <f>IF(N628="","",IF(Q628="Sí",ROUND(N628/1.18,2),N628))</f>
        <v/>
      </c>
      <c r="S628" s="7" t="inlineStr">
        <is>
          <t>2026-09-09</t>
        </is>
      </c>
      <c r="T628" s="5" t="inlineStr">
        <is>
          <t>1 cotización de proveedores</t>
        </is>
      </c>
    </row>
    <row r="629">
      <c r="A629" s="7" t="inlineStr">
        <is>
          <t>MAT-19-034</t>
        </is>
      </c>
      <c r="B629" s="7" t="inlineStr">
        <is>
          <t>Materiales</t>
        </is>
      </c>
      <c r="C629" s="7" t="inlineStr">
        <is>
          <t>Perfiles y tubos de acero</t>
        </is>
      </c>
      <c r="D629" s="5" t="inlineStr">
        <is>
          <t>Tubo negro redondo 1" x 20 pies, pared 3.38 mm</t>
        </is>
      </c>
      <c r="E629" s="5" t="inlineStr">
        <is>
          <t>Tubería de acero negro sin recubrimiento · 1" · pared 3.38 mm · tramo de 20 pies</t>
        </is>
      </c>
      <c r="F629" s="5" t="inlineStr">
        <is>
          <t>Material retirado en almacén</t>
        </is>
      </c>
      <c r="G629" s="5" t="inlineStr">
        <is>
          <t>tubo de hierro, tubería negra</t>
        </is>
      </c>
      <c r="H629" s="7" t="inlineStr">
        <is>
          <t>unidad</t>
        </is>
      </c>
      <c r="I629" s="7" t="inlineStr">
        <is>
          <t>Estructura</t>
        </is>
      </c>
      <c r="J629" s="7" t="inlineStr">
        <is>
          <t>estandar</t>
        </is>
      </c>
      <c r="K629" s="7" t="inlineStr">
        <is>
          <t>importado</t>
        </is>
      </c>
      <c r="L629" s="7" t="inlineStr">
        <is>
          <t>Verificado</t>
        </is>
      </c>
      <c r="M629" s="8" t="n">
        <v>1</v>
      </c>
      <c r="N629" s="9" t="n">
        <v>1206.29</v>
      </c>
      <c r="O629" s="9" t="n">
        <v>1206.29</v>
      </c>
      <c r="P629" s="9" t="n">
        <v>1206.29</v>
      </c>
      <c r="Q629" s="7" t="inlineStr">
        <is>
          <t>Sí</t>
        </is>
      </c>
      <c r="R629" s="9">
        <f>IF(N629="","",IF(Q629="Sí",ROUND(N629/1.18,2),N629))</f>
        <v/>
      </c>
      <c r="S629" s="7" t="inlineStr">
        <is>
          <t>2026-09-09</t>
        </is>
      </c>
      <c r="T629" s="5" t="inlineStr">
        <is>
          <t>1 cotización de proveedores</t>
        </is>
      </c>
    </row>
    <row r="630">
      <c r="A630" s="7" t="inlineStr">
        <is>
          <t>MAT-19-035</t>
        </is>
      </c>
      <c r="B630" s="7" t="inlineStr">
        <is>
          <t>Materiales</t>
        </is>
      </c>
      <c r="C630" s="7" t="inlineStr">
        <is>
          <t>Perfiles y tubos de acero</t>
        </is>
      </c>
      <c r="D630" s="5" t="inlineStr">
        <is>
          <t>Tubo negro redondo 1 1/4" x 20 pies, pared 3.56 mm</t>
        </is>
      </c>
      <c r="E630" s="5" t="inlineStr">
        <is>
          <t>Tubería de acero negro sin recubrimiento · 1 1/4" · pared 3.56 mm · tramo de 20 pies</t>
        </is>
      </c>
      <c r="F630" s="5" t="inlineStr">
        <is>
          <t>Material retirado en almacén</t>
        </is>
      </c>
      <c r="G630" s="5" t="inlineStr">
        <is>
          <t>tubo de hierro, tubería negra</t>
        </is>
      </c>
      <c r="H630" s="7" t="inlineStr">
        <is>
          <t>unidad</t>
        </is>
      </c>
      <c r="I630" s="7" t="inlineStr">
        <is>
          <t>Estructura</t>
        </is>
      </c>
      <c r="J630" s="7" t="inlineStr">
        <is>
          <t>estandar</t>
        </is>
      </c>
      <c r="K630" s="7" t="inlineStr">
        <is>
          <t>importado</t>
        </is>
      </c>
      <c r="L630" s="7" t="inlineStr">
        <is>
          <t>Verificado</t>
        </is>
      </c>
      <c r="M630" s="8" t="n">
        <v>1</v>
      </c>
      <c r="N630" s="9" t="n">
        <v>1507.57</v>
      </c>
      <c r="O630" s="9" t="n">
        <v>1507.57</v>
      </c>
      <c r="P630" s="9" t="n">
        <v>1507.57</v>
      </c>
      <c r="Q630" s="7" t="inlineStr">
        <is>
          <t>Sí</t>
        </is>
      </c>
      <c r="R630" s="9">
        <f>IF(N630="","",IF(Q630="Sí",ROUND(N630/1.18,2),N630))</f>
        <v/>
      </c>
      <c r="S630" s="7" t="inlineStr">
        <is>
          <t>2026-09-09</t>
        </is>
      </c>
      <c r="T630" s="5" t="inlineStr">
        <is>
          <t>1 cotización de proveedores</t>
        </is>
      </c>
    </row>
    <row r="631">
      <c r="A631" s="7" t="inlineStr">
        <is>
          <t>MAT-19-036</t>
        </is>
      </c>
      <c r="B631" s="7" t="inlineStr">
        <is>
          <t>Materiales</t>
        </is>
      </c>
      <c r="C631" s="7" t="inlineStr">
        <is>
          <t>Perfiles y tubos de acero</t>
        </is>
      </c>
      <c r="D631" s="5" t="inlineStr">
        <is>
          <t>Tubo negro redondo 1 1/2" x 20 pies, pared 3.68 mm</t>
        </is>
      </c>
      <c r="E631" s="5" t="inlineStr">
        <is>
          <t>Tubería de acero negro sin recubrimiento · 1 1/2" · pared 3.68 mm · tramo de 20 pies</t>
        </is>
      </c>
      <c r="F631" s="5" t="inlineStr">
        <is>
          <t>Material retirado en almacén</t>
        </is>
      </c>
      <c r="G631" s="5" t="inlineStr">
        <is>
          <t>tubo de hierro, tubería negra</t>
        </is>
      </c>
      <c r="H631" s="7" t="inlineStr">
        <is>
          <t>unidad</t>
        </is>
      </c>
      <c r="I631" s="7" t="inlineStr">
        <is>
          <t>Estructura</t>
        </is>
      </c>
      <c r="J631" s="7" t="inlineStr">
        <is>
          <t>estandar</t>
        </is>
      </c>
      <c r="K631" s="7" t="inlineStr">
        <is>
          <t>importado</t>
        </is>
      </c>
      <c r="L631" s="7" t="inlineStr">
        <is>
          <t>Verificado</t>
        </is>
      </c>
      <c r="M631" s="8" t="n">
        <v>1</v>
      </c>
      <c r="N631" s="9" t="n">
        <v>1952.51</v>
      </c>
      <c r="O631" s="9" t="n">
        <v>1952.51</v>
      </c>
      <c r="P631" s="9" t="n">
        <v>1952.51</v>
      </c>
      <c r="Q631" s="7" t="inlineStr">
        <is>
          <t>Sí</t>
        </is>
      </c>
      <c r="R631" s="9">
        <f>IF(N631="","",IF(Q631="Sí",ROUND(N631/1.18,2),N631))</f>
        <v/>
      </c>
      <c r="S631" s="7" t="inlineStr">
        <is>
          <t>2026-09-09</t>
        </is>
      </c>
      <c r="T631" s="5" t="inlineStr">
        <is>
          <t>1 cotización de proveedores</t>
        </is>
      </c>
    </row>
    <row r="632">
      <c r="A632" s="7" t="inlineStr">
        <is>
          <t>MAT-19-037</t>
        </is>
      </c>
      <c r="B632" s="7" t="inlineStr">
        <is>
          <t>Materiales</t>
        </is>
      </c>
      <c r="C632" s="7" t="inlineStr">
        <is>
          <t>Perfiles y tubos de acero</t>
        </is>
      </c>
      <c r="D632" s="5" t="inlineStr">
        <is>
          <t>Tubo negro redondo 2" x 20 pies, pared 3.91 mm</t>
        </is>
      </c>
      <c r="E632" s="5" t="inlineStr">
        <is>
          <t>Tubería de acero negro sin recubrimiento · 2" · pared 3.91 mm · tramo de 20 pies</t>
        </is>
      </c>
      <c r="F632" s="5" t="inlineStr">
        <is>
          <t>Material retirado en almacén</t>
        </is>
      </c>
      <c r="G632" s="5" t="inlineStr">
        <is>
          <t>tubo de hierro, tubería negra</t>
        </is>
      </c>
      <c r="H632" s="7" t="inlineStr">
        <is>
          <t>unidad</t>
        </is>
      </c>
      <c r="I632" s="7" t="inlineStr">
        <is>
          <t>Estructura</t>
        </is>
      </c>
      <c r="J632" s="7" t="inlineStr">
        <is>
          <t>estandar</t>
        </is>
      </c>
      <c r="K632" s="7" t="inlineStr">
        <is>
          <t>importado</t>
        </is>
      </c>
      <c r="L632" s="7" t="inlineStr">
        <is>
          <t>Verificado</t>
        </is>
      </c>
      <c r="M632" s="8" t="n">
        <v>1</v>
      </c>
      <c r="N632" s="9" t="n">
        <v>2634.08</v>
      </c>
      <c r="O632" s="9" t="n">
        <v>2634.08</v>
      </c>
      <c r="P632" s="9" t="n">
        <v>2634.08</v>
      </c>
      <c r="Q632" s="7" t="inlineStr">
        <is>
          <t>Sí</t>
        </is>
      </c>
      <c r="R632" s="9">
        <f>IF(N632="","",IF(Q632="Sí",ROUND(N632/1.18,2),N632))</f>
        <v/>
      </c>
      <c r="S632" s="7" t="inlineStr">
        <is>
          <t>2026-09-09</t>
        </is>
      </c>
      <c r="T632" s="5" t="inlineStr">
        <is>
          <t>1 cotización de proveedores</t>
        </is>
      </c>
    </row>
    <row r="633">
      <c r="A633" s="7" t="inlineStr">
        <is>
          <t>MAT-19-038</t>
        </is>
      </c>
      <c r="B633" s="7" t="inlineStr">
        <is>
          <t>Materiales</t>
        </is>
      </c>
      <c r="C633" s="7" t="inlineStr">
        <is>
          <t>Perfiles y tubos de acero</t>
        </is>
      </c>
      <c r="D633" s="5" t="inlineStr">
        <is>
          <t>Tubo negro redondo 2 1/2" x 20 pies</t>
        </is>
      </c>
      <c r="E633" s="5" t="inlineStr">
        <is>
          <t>Tubería de acero negro sin recubrimiento · 2 1/2" · tramo de 20 pies</t>
        </is>
      </c>
      <c r="F633" s="5" t="inlineStr">
        <is>
          <t>Material retirado en almacén</t>
        </is>
      </c>
      <c r="G633" s="5" t="inlineStr">
        <is>
          <t>tubo de hierro, tubería negra</t>
        </is>
      </c>
      <c r="H633" s="7" t="inlineStr">
        <is>
          <t>unidad</t>
        </is>
      </c>
      <c r="I633" s="7" t="inlineStr">
        <is>
          <t>Estructura</t>
        </is>
      </c>
      <c r="J633" s="7" t="inlineStr">
        <is>
          <t>estandar</t>
        </is>
      </c>
      <c r="K633" s="7" t="inlineStr">
        <is>
          <t>importado</t>
        </is>
      </c>
      <c r="L633" s="7" t="inlineStr">
        <is>
          <t>Verificado</t>
        </is>
      </c>
      <c r="M633" s="8" t="n">
        <v>1</v>
      </c>
      <c r="N633" s="9" t="n">
        <v>4173.42</v>
      </c>
      <c r="O633" s="9" t="n">
        <v>4173.42</v>
      </c>
      <c r="P633" s="9" t="n">
        <v>4173.42</v>
      </c>
      <c r="Q633" s="7" t="inlineStr">
        <is>
          <t>Sí</t>
        </is>
      </c>
      <c r="R633" s="9">
        <f>IF(N633="","",IF(Q633="Sí",ROUND(N633/1.18,2),N633))</f>
        <v/>
      </c>
      <c r="S633" s="7" t="inlineStr">
        <is>
          <t>2026-09-09</t>
        </is>
      </c>
      <c r="T633" s="5" t="inlineStr">
        <is>
          <t>1 cotización de proveedores</t>
        </is>
      </c>
    </row>
    <row r="634">
      <c r="A634" s="7" t="inlineStr">
        <is>
          <t>MAT-19-039</t>
        </is>
      </c>
      <c r="B634" s="7" t="inlineStr">
        <is>
          <t>Materiales</t>
        </is>
      </c>
      <c r="C634" s="7" t="inlineStr">
        <is>
          <t>Perfiles y tubos de acero</t>
        </is>
      </c>
      <c r="D634" s="5" t="inlineStr">
        <is>
          <t>Tubo negro redondo 3" x 20 pies</t>
        </is>
      </c>
      <c r="E634" s="5" t="inlineStr">
        <is>
          <t>Tubería de acero negro sin recubrimiento · 3" · tramo de 20 pies</t>
        </is>
      </c>
      <c r="F634" s="5" t="inlineStr">
        <is>
          <t>Material retirado en almacén</t>
        </is>
      </c>
      <c r="G634" s="5" t="inlineStr">
        <is>
          <t>tubo de hierro, tubería negra</t>
        </is>
      </c>
      <c r="H634" s="7" t="inlineStr">
        <is>
          <t>unidad</t>
        </is>
      </c>
      <c r="I634" s="7" t="inlineStr">
        <is>
          <t>Estructura</t>
        </is>
      </c>
      <c r="J634" s="7" t="inlineStr">
        <is>
          <t>estandar</t>
        </is>
      </c>
      <c r="K634" s="7" t="inlineStr">
        <is>
          <t>importado</t>
        </is>
      </c>
      <c r="L634" s="7" t="inlineStr">
        <is>
          <t>Verificado</t>
        </is>
      </c>
      <c r="M634" s="8" t="n">
        <v>1</v>
      </c>
      <c r="N634" s="9" t="n">
        <v>5029.28</v>
      </c>
      <c r="O634" s="9" t="n">
        <v>5029.28</v>
      </c>
      <c r="P634" s="9" t="n">
        <v>5029.28</v>
      </c>
      <c r="Q634" s="7" t="inlineStr">
        <is>
          <t>Sí</t>
        </is>
      </c>
      <c r="R634" s="9">
        <f>IF(N634="","",IF(Q634="Sí",ROUND(N634/1.18,2),N634))</f>
        <v/>
      </c>
      <c r="S634" s="7" t="inlineStr">
        <is>
          <t>2026-09-09</t>
        </is>
      </c>
      <c r="T634" s="5" t="inlineStr">
        <is>
          <t>1 cotización de proveedores</t>
        </is>
      </c>
    </row>
    <row r="635">
      <c r="A635" s="7" t="inlineStr">
        <is>
          <t>MAT-19-040</t>
        </is>
      </c>
      <c r="B635" s="7" t="inlineStr">
        <is>
          <t>Materiales</t>
        </is>
      </c>
      <c r="C635" s="7" t="inlineStr">
        <is>
          <t>Perfiles y tubos de acero</t>
        </is>
      </c>
      <c r="D635" s="5" t="inlineStr">
        <is>
          <t>Tubo negro redondo 8" x 20 pies, pared 6 mm</t>
        </is>
      </c>
      <c r="E635" s="5" t="inlineStr">
        <is>
          <t>Tubería de acero negro sin recubrimiento · 8" · pared 6 mm · tramo de 20 pies</t>
        </is>
      </c>
      <c r="F635" s="5" t="inlineStr">
        <is>
          <t>Material retirado en almacén</t>
        </is>
      </c>
      <c r="G635" s="5" t="inlineStr">
        <is>
          <t>tubo de hierro, tubería negra</t>
        </is>
      </c>
      <c r="H635" s="7" t="inlineStr">
        <is>
          <t>unidad</t>
        </is>
      </c>
      <c r="I635" s="7" t="inlineStr">
        <is>
          <t>Estructura</t>
        </is>
      </c>
      <c r="J635" s="7" t="inlineStr">
        <is>
          <t>estandar</t>
        </is>
      </c>
      <c r="K635" s="7" t="inlineStr">
        <is>
          <t>importado</t>
        </is>
      </c>
      <c r="L635" s="7" t="inlineStr">
        <is>
          <t>Verificado</t>
        </is>
      </c>
      <c r="M635" s="8" t="n">
        <v>1</v>
      </c>
      <c r="N635" s="9" t="n">
        <v>15250.64</v>
      </c>
      <c r="O635" s="9" t="n">
        <v>15250.64</v>
      </c>
      <c r="P635" s="9" t="n">
        <v>15250.64</v>
      </c>
      <c r="Q635" s="7" t="inlineStr">
        <is>
          <t>Sí</t>
        </is>
      </c>
      <c r="R635" s="9">
        <f>IF(N635="","",IF(Q635="Sí",ROUND(N635/1.18,2),N635))</f>
        <v/>
      </c>
      <c r="S635" s="7" t="inlineStr">
        <is>
          <t>2026-09-09</t>
        </is>
      </c>
      <c r="T635" s="5" t="inlineStr">
        <is>
          <t>1 cotización de proveedores</t>
        </is>
      </c>
    </row>
    <row r="636">
      <c r="A636" s="7" t="inlineStr">
        <is>
          <t>MAT-19-041</t>
        </is>
      </c>
      <c r="B636" s="7" t="inlineStr">
        <is>
          <t>Materiales</t>
        </is>
      </c>
      <c r="C636" s="7" t="inlineStr">
        <is>
          <t>Perfiles y tubos de acero</t>
        </is>
      </c>
      <c r="D636" s="5" t="inlineStr">
        <is>
          <t>Tubo negro redondo 8" x 20 pies, pared 6.35 mm</t>
        </is>
      </c>
      <c r="E636" s="5" t="inlineStr">
        <is>
          <t>Tubería de acero negro sin recubrimiento · 8" · pared 6.35 mm · tramo de 20 pies</t>
        </is>
      </c>
      <c r="F636" s="5" t="inlineStr">
        <is>
          <t>Material retirado en almacén</t>
        </is>
      </c>
      <c r="G636" s="5" t="inlineStr">
        <is>
          <t>tubo de hierro, tubería negra</t>
        </is>
      </c>
      <c r="H636" s="7" t="inlineStr">
        <is>
          <t>unidad</t>
        </is>
      </c>
      <c r="I636" s="7" t="inlineStr">
        <is>
          <t>Estructura</t>
        </is>
      </c>
      <c r="J636" s="7" t="inlineStr">
        <is>
          <t>estandar</t>
        </is>
      </c>
      <c r="K636" s="7" t="inlineStr">
        <is>
          <t>importado</t>
        </is>
      </c>
      <c r="L636" s="7" t="inlineStr">
        <is>
          <t>Verificado</t>
        </is>
      </c>
      <c r="M636" s="8" t="n">
        <v>1</v>
      </c>
      <c r="N636" s="9" t="n">
        <v>11671.14</v>
      </c>
      <c r="O636" s="9" t="n">
        <v>11671.14</v>
      </c>
      <c r="P636" s="9" t="n">
        <v>11671.14</v>
      </c>
      <c r="Q636" s="7" t="inlineStr">
        <is>
          <t>Sí</t>
        </is>
      </c>
      <c r="R636" s="9">
        <f>IF(N636="","",IF(Q636="Sí",ROUND(N636/1.18,2),N636))</f>
        <v/>
      </c>
      <c r="S636" s="7" t="inlineStr">
        <is>
          <t>2026-09-09</t>
        </is>
      </c>
      <c r="T636" s="5" t="inlineStr">
        <is>
          <t>1 cotización de proveedores</t>
        </is>
      </c>
    </row>
    <row r="637">
      <c r="A637" s="7" t="inlineStr">
        <is>
          <t>MAT-19-042</t>
        </is>
      </c>
      <c r="B637" s="7" t="inlineStr">
        <is>
          <t>Materiales</t>
        </is>
      </c>
      <c r="C637" s="7" t="inlineStr">
        <is>
          <t>Perfiles y tubos de acero</t>
        </is>
      </c>
      <c r="D637" s="5" t="inlineStr">
        <is>
          <t>Tubo negro redondo 10" x 20 pies, pared 6.00 mm</t>
        </is>
      </c>
      <c r="E637" s="5" t="inlineStr">
        <is>
          <t>Tubería de acero negro sin recubrimiento · 10" · pared 6.00 mm · tramo de 20 pies</t>
        </is>
      </c>
      <c r="F637" s="5" t="inlineStr">
        <is>
          <t>Material retirado en almacén</t>
        </is>
      </c>
      <c r="G637" s="5" t="inlineStr">
        <is>
          <t>tubo de hierro, tubería negra</t>
        </is>
      </c>
      <c r="H637" s="7" t="inlineStr">
        <is>
          <t>unidad</t>
        </is>
      </c>
      <c r="I637" s="7" t="inlineStr">
        <is>
          <t>Estructura</t>
        </is>
      </c>
      <c r="J637" s="7" t="inlineStr">
        <is>
          <t>estandar</t>
        </is>
      </c>
      <c r="K637" s="7" t="inlineStr">
        <is>
          <t>importado</t>
        </is>
      </c>
      <c r="L637" s="7" t="inlineStr">
        <is>
          <t>Verificado</t>
        </is>
      </c>
      <c r="M637" s="8" t="n">
        <v>1</v>
      </c>
      <c r="N637" s="9" t="n">
        <v>18313.02</v>
      </c>
      <c r="O637" s="9" t="n">
        <v>18313.02</v>
      </c>
      <c r="P637" s="9" t="n">
        <v>18313.02</v>
      </c>
      <c r="Q637" s="7" t="inlineStr">
        <is>
          <t>Sí</t>
        </is>
      </c>
      <c r="R637" s="9">
        <f>IF(N637="","",IF(Q637="Sí",ROUND(N637/1.18,2),N637))</f>
        <v/>
      </c>
      <c r="S637" s="7" t="inlineStr">
        <is>
          <t>2026-09-09</t>
        </is>
      </c>
      <c r="T637" s="5" t="inlineStr">
        <is>
          <t>1 cotización de proveedores</t>
        </is>
      </c>
    </row>
    <row r="638">
      <c r="A638" s="7" t="inlineStr">
        <is>
          <t>MAT-19-043</t>
        </is>
      </c>
      <c r="B638" s="7" t="inlineStr">
        <is>
          <t>Materiales</t>
        </is>
      </c>
      <c r="C638" s="7" t="inlineStr">
        <is>
          <t>Perfiles y tubos de acero</t>
        </is>
      </c>
      <c r="D638" s="5" t="inlineStr">
        <is>
          <t>Tubo negro redondo 14" x 20 pies, pared 6 mm</t>
        </is>
      </c>
      <c r="E638" s="5" t="inlineStr">
        <is>
          <t>Tubería de acero negro sin recubrimiento · 14" · pared 6 mm · tramo de 20 pies</t>
        </is>
      </c>
      <c r="F638" s="5" t="inlineStr">
        <is>
          <t>Material retirado en almacén</t>
        </is>
      </c>
      <c r="G638" s="5" t="inlineStr">
        <is>
          <t>tubo de hierro, tubería negra</t>
        </is>
      </c>
      <c r="H638" s="7" t="inlineStr">
        <is>
          <t>unidad</t>
        </is>
      </c>
      <c r="I638" s="7" t="inlineStr">
        <is>
          <t>Estructura</t>
        </is>
      </c>
      <c r="J638" s="7" t="inlineStr">
        <is>
          <t>estandar</t>
        </is>
      </c>
      <c r="K638" s="7" t="inlineStr">
        <is>
          <t>importado</t>
        </is>
      </c>
      <c r="L638" s="7" t="inlineStr">
        <is>
          <t>Verificado</t>
        </is>
      </c>
      <c r="M638" s="8" t="n">
        <v>1</v>
      </c>
      <c r="N638" s="9" t="n">
        <v>27695.11</v>
      </c>
      <c r="O638" s="9" t="n">
        <v>27695.11</v>
      </c>
      <c r="P638" s="9" t="n">
        <v>27695.11</v>
      </c>
      <c r="Q638" s="7" t="inlineStr">
        <is>
          <t>Sí</t>
        </is>
      </c>
      <c r="R638" s="9">
        <f>IF(N638="","",IF(Q638="Sí",ROUND(N638/1.18,2),N638))</f>
        <v/>
      </c>
      <c r="S638" s="7" t="inlineStr">
        <is>
          <t>2026-09-09</t>
        </is>
      </c>
      <c r="T638" s="5" t="inlineStr">
        <is>
          <t>1 cotización de proveedores</t>
        </is>
      </c>
    </row>
    <row r="639">
      <c r="A639" s="7" t="inlineStr">
        <is>
          <t>MAT-19-044</t>
        </is>
      </c>
      <c r="B639" s="7" t="inlineStr">
        <is>
          <t>Materiales</t>
        </is>
      </c>
      <c r="C639" s="7" t="inlineStr">
        <is>
          <t>Perfiles y tubos de acero</t>
        </is>
      </c>
      <c r="D639" s="5" t="inlineStr">
        <is>
          <t>Tubo negro redondo 16" x 20 pies, pared 12.70 mm</t>
        </is>
      </c>
      <c r="E639" s="5" t="inlineStr">
        <is>
          <t>Tubería de acero negro sin recubrimiento · 16" · pared 12.70 mm · tramo de 20 pies</t>
        </is>
      </c>
      <c r="F639" s="5" t="inlineStr">
        <is>
          <t>Material retirado en almacén</t>
        </is>
      </c>
      <c r="G639" s="5" t="inlineStr">
        <is>
          <t>tubo de hierro, tubería negra</t>
        </is>
      </c>
      <c r="H639" s="7" t="inlineStr">
        <is>
          <t>unidad</t>
        </is>
      </c>
      <c r="I639" s="7" t="inlineStr">
        <is>
          <t>Estructura</t>
        </is>
      </c>
      <c r="J639" s="7" t="inlineStr">
        <is>
          <t>estandar</t>
        </is>
      </c>
      <c r="K639" s="7" t="inlineStr">
        <is>
          <t>importado</t>
        </is>
      </c>
      <c r="L639" s="7" t="inlineStr">
        <is>
          <t>Verificado</t>
        </is>
      </c>
      <c r="M639" s="8" t="n">
        <v>1</v>
      </c>
      <c r="N639" s="9" t="n">
        <v>62026.36</v>
      </c>
      <c r="O639" s="9" t="n">
        <v>62026.36</v>
      </c>
      <c r="P639" s="9" t="n">
        <v>62026.36</v>
      </c>
      <c r="Q639" s="7" t="inlineStr">
        <is>
          <t>Sí</t>
        </is>
      </c>
      <c r="R639" s="9">
        <f>IF(N639="","",IF(Q639="Sí",ROUND(N639/1.18,2),N639))</f>
        <v/>
      </c>
      <c r="S639" s="7" t="inlineStr">
        <is>
          <t>2026-09-09</t>
        </is>
      </c>
      <c r="T639" s="5" t="inlineStr">
        <is>
          <t>1 cotización de proveedores</t>
        </is>
      </c>
    </row>
    <row r="640">
      <c r="A640" s="7" t="inlineStr">
        <is>
          <t>MAT-19-045</t>
        </is>
      </c>
      <c r="B640" s="7" t="inlineStr">
        <is>
          <t>Materiales</t>
        </is>
      </c>
      <c r="C640" s="7" t="inlineStr">
        <is>
          <t>Perfiles y tubos de acero</t>
        </is>
      </c>
      <c r="D640" s="5" t="inlineStr">
        <is>
          <t>Correa galvanizada tipo Z 6" x 1/16" x 20 pies</t>
        </is>
      </c>
      <c r="E640" s="5" t="inlineStr">
        <is>
          <t>Perfil Z galvanizado para correas de techo · alma 6" · espesor 1/16" · tramo de 20 pies</t>
        </is>
      </c>
      <c r="F640" s="5" t="inlineStr">
        <is>
          <t>Material retirado en almacén</t>
        </is>
      </c>
      <c r="G640" s="5" t="inlineStr">
        <is>
          <t>correa Z, perlín, larguero de techo</t>
        </is>
      </c>
      <c r="H640" s="7" t="inlineStr">
        <is>
          <t>unidad</t>
        </is>
      </c>
      <c r="I640" s="7" t="inlineStr">
        <is>
          <t>Techos</t>
        </is>
      </c>
      <c r="J640" s="7" t="inlineStr">
        <is>
          <t>estandar</t>
        </is>
      </c>
      <c r="K640" s="7" t="inlineStr">
        <is>
          <t>importado</t>
        </is>
      </c>
      <c r="L640" s="7" t="inlineStr">
        <is>
          <t>Verificado</t>
        </is>
      </c>
      <c r="M640" s="8" t="n">
        <v>1</v>
      </c>
      <c r="N640" s="9" t="n">
        <v>2658</v>
      </c>
      <c r="O640" s="9" t="n">
        <v>2658</v>
      </c>
      <c r="P640" s="9" t="n">
        <v>2658</v>
      </c>
      <c r="Q640" s="7" t="inlineStr">
        <is>
          <t>Sí</t>
        </is>
      </c>
      <c r="R640" s="9">
        <f>IF(N640="","",IF(Q640="Sí",ROUND(N640/1.18,2),N640))</f>
        <v/>
      </c>
      <c r="S640" s="7" t="inlineStr">
        <is>
          <t>2026-09-09</t>
        </is>
      </c>
      <c r="T640" s="5" t="inlineStr">
        <is>
          <t>1 cotización de proveedores</t>
        </is>
      </c>
    </row>
    <row r="641">
      <c r="A641" s="7" t="inlineStr">
        <is>
          <t>MAT-19-046</t>
        </is>
      </c>
      <c r="B641" s="7" t="inlineStr">
        <is>
          <t>Materiales</t>
        </is>
      </c>
      <c r="C641" s="7" t="inlineStr">
        <is>
          <t>Perfiles y tubos de acero</t>
        </is>
      </c>
      <c r="D641" s="5" t="inlineStr">
        <is>
          <t>Correa galvanizada tipo Z 8" x 1/16" x 20 pies</t>
        </is>
      </c>
      <c r="E641" s="5" t="inlineStr">
        <is>
          <t>Perfil Z galvanizado para correas de techo · alma 8" · espesor 1/16" · tramo de 20 pies</t>
        </is>
      </c>
      <c r="F641" s="5" t="inlineStr">
        <is>
          <t>Material retirado en almacén</t>
        </is>
      </c>
      <c r="G641" s="5" t="inlineStr">
        <is>
          <t>correa Z, perlín, larguero de techo</t>
        </is>
      </c>
      <c r="H641" s="7" t="inlineStr">
        <is>
          <t>unidad</t>
        </is>
      </c>
      <c r="I641" s="7" t="inlineStr">
        <is>
          <t>Techos</t>
        </is>
      </c>
      <c r="J641" s="7" t="inlineStr">
        <is>
          <t>estandar</t>
        </is>
      </c>
      <c r="K641" s="7" t="inlineStr">
        <is>
          <t>importado</t>
        </is>
      </c>
      <c r="L641" s="7" t="inlineStr">
        <is>
          <t>Verificado</t>
        </is>
      </c>
      <c r="M641" s="8" t="n">
        <v>1</v>
      </c>
      <c r="N641" s="9" t="n">
        <v>3039.2</v>
      </c>
      <c r="O641" s="9" t="n">
        <v>3039.2</v>
      </c>
      <c r="P641" s="9" t="n">
        <v>3039.2</v>
      </c>
      <c r="Q641" s="7" t="inlineStr">
        <is>
          <t>Sí</t>
        </is>
      </c>
      <c r="R641" s="9">
        <f>IF(N641="","",IF(Q641="Sí",ROUND(N641/1.18,2),N641))</f>
        <v/>
      </c>
      <c r="S641" s="7" t="inlineStr">
        <is>
          <t>2026-09-09</t>
        </is>
      </c>
      <c r="T641" s="5" t="inlineStr">
        <is>
          <t>1 cotización de proveedores</t>
        </is>
      </c>
    </row>
    <row r="642">
      <c r="A642" s="7" t="inlineStr">
        <is>
          <t>MAT-20-001</t>
        </is>
      </c>
      <c r="B642" s="7" t="inlineStr">
        <is>
          <t>Materiales</t>
        </is>
      </c>
      <c r="C642" s="7" t="inlineStr">
        <is>
          <t>Angulares, planchuelas y barras</t>
        </is>
      </c>
      <c r="D642" s="5" t="inlineStr">
        <is>
          <t>Angular Perforado 1-1 / 2 x 1-1 / 2"X10'</t>
        </is>
      </c>
      <c r="E642" s="5" t="inlineStr">
        <is>
          <t>marca INNOMATE · metal · 1-1/2X1-1/2"X10'</t>
        </is>
      </c>
      <c r="F642" s="5" t="inlineStr">
        <is>
          <t>Material retirado en almacén</t>
        </is>
      </c>
      <c r="G642" s="5" t="inlineStr">
        <is>
          <t>angular perforado</t>
        </is>
      </c>
      <c r="H642" s="7" t="inlineStr">
        <is>
          <t>unidad</t>
        </is>
      </c>
      <c r="I642" s="7" t="inlineStr">
        <is>
          <t>Estructura</t>
        </is>
      </c>
      <c r="J642" s="7" t="inlineStr">
        <is>
          <t>estandar</t>
        </is>
      </c>
      <c r="K642" s="7" t="inlineStr">
        <is>
          <t>importado</t>
        </is>
      </c>
      <c r="L642" s="7" t="inlineStr">
        <is>
          <t>Verificado</t>
        </is>
      </c>
      <c r="M642" s="8" t="n">
        <v>1</v>
      </c>
      <c r="N642" s="9" t="n">
        <v>425</v>
      </c>
      <c r="O642" s="9" t="n">
        <v>425</v>
      </c>
      <c r="P642" s="9" t="n">
        <v>425</v>
      </c>
      <c r="Q642" s="7" t="inlineStr">
        <is>
          <t>Sí</t>
        </is>
      </c>
      <c r="R642" s="9">
        <f>IF(N642="","",IF(Q642="Sí",ROUND(N642/1.18,2),N642))</f>
        <v/>
      </c>
      <c r="S642" s="7" t="inlineStr">
        <is>
          <t>2026-09-09</t>
        </is>
      </c>
      <c r="T642" s="5" t="inlineStr">
        <is>
          <t>1 cotización de proveedores</t>
        </is>
      </c>
    </row>
    <row r="643">
      <c r="A643" s="7" t="inlineStr">
        <is>
          <t>MAT-20-002</t>
        </is>
      </c>
      <c r="B643" s="7" t="inlineStr">
        <is>
          <t>Materiales</t>
        </is>
      </c>
      <c r="C643" s="7" t="inlineStr">
        <is>
          <t>Angulares, planchuelas y barras</t>
        </is>
      </c>
      <c r="D643" s="5" t="inlineStr">
        <is>
          <t>Angular Perforado 1-1 / 2 x 1-1 / 2"X8'</t>
        </is>
      </c>
      <c r="E643" s="5" t="inlineStr">
        <is>
          <t>marca INNOMATE · metal · 1-1/2X1-1/2"X8'</t>
        </is>
      </c>
      <c r="F643" s="5" t="inlineStr">
        <is>
          <t>Material retirado en almacén</t>
        </is>
      </c>
      <c r="G643" s="5" t="inlineStr">
        <is>
          <t>angular perforado</t>
        </is>
      </c>
      <c r="H643" s="7" t="inlineStr">
        <is>
          <t>unidad</t>
        </is>
      </c>
      <c r="I643" s="7" t="inlineStr">
        <is>
          <t>Estructura</t>
        </is>
      </c>
      <c r="J643" s="7" t="inlineStr">
        <is>
          <t>estandar</t>
        </is>
      </c>
      <c r="K643" s="7" t="inlineStr">
        <is>
          <t>importado</t>
        </is>
      </c>
      <c r="L643" s="7" t="inlineStr">
        <is>
          <t>Verificado</t>
        </is>
      </c>
      <c r="M643" s="8" t="n">
        <v>1</v>
      </c>
      <c r="N643" s="9" t="n">
        <v>360</v>
      </c>
      <c r="O643" s="9" t="n">
        <v>360</v>
      </c>
      <c r="P643" s="9" t="n">
        <v>360</v>
      </c>
      <c r="Q643" s="7" t="inlineStr">
        <is>
          <t>Sí</t>
        </is>
      </c>
      <c r="R643" s="9">
        <f>IF(N643="","",IF(Q643="Sí",ROUND(N643/1.18,2),N643))</f>
        <v/>
      </c>
      <c r="S643" s="7" t="inlineStr">
        <is>
          <t>2026-09-09</t>
        </is>
      </c>
      <c r="T643" s="5" t="inlineStr">
        <is>
          <t>1 cotización de proveedores</t>
        </is>
      </c>
    </row>
    <row r="644">
      <c r="A644" s="7" t="inlineStr">
        <is>
          <t>MAT-20-003</t>
        </is>
      </c>
      <c r="B644" s="7" t="inlineStr">
        <is>
          <t>Materiales</t>
        </is>
      </c>
      <c r="C644" s="7" t="inlineStr">
        <is>
          <t>Angulares, planchuelas y barras</t>
        </is>
      </c>
      <c r="D644" s="5" t="inlineStr">
        <is>
          <t>Angular de hierro negro 3/4" x 1/8" x 20 pies</t>
        </is>
      </c>
      <c r="E644" s="5" t="inlineStr">
        <is>
          <t>Perfil L de acero al carbono · 3/4" x 1/8" · barra de 20 pies</t>
        </is>
      </c>
      <c r="F644" s="5" t="inlineStr">
        <is>
          <t>Material retirado en almacén</t>
        </is>
      </c>
      <c r="G644" s="5" t="inlineStr">
        <is>
          <t>perfil L, ángulo de hierro, angular</t>
        </is>
      </c>
      <c r="H644" s="7" t="inlineStr">
        <is>
          <t>unidad</t>
        </is>
      </c>
      <c r="I644" s="7" t="inlineStr">
        <is>
          <t>Estructura</t>
        </is>
      </c>
      <c r="J644" s="7" t="inlineStr">
        <is>
          <t>estandar</t>
        </is>
      </c>
      <c r="K644" s="7" t="inlineStr">
        <is>
          <t>importado</t>
        </is>
      </c>
      <c r="L644" s="7" t="inlineStr">
        <is>
          <t>Verificado</t>
        </is>
      </c>
      <c r="M644" s="8" t="n">
        <v>1</v>
      </c>
      <c r="N644" s="9" t="n">
        <v>449.99</v>
      </c>
      <c r="O644" s="9" t="n">
        <v>449.99</v>
      </c>
      <c r="P644" s="9" t="n">
        <v>449.99</v>
      </c>
      <c r="Q644" s="7" t="inlineStr">
        <is>
          <t>Sí</t>
        </is>
      </c>
      <c r="R644" s="9">
        <f>IF(N644="","",IF(Q644="Sí",ROUND(N644/1.18,2),N644))</f>
        <v/>
      </c>
      <c r="S644" s="7" t="inlineStr">
        <is>
          <t>2026-09-09</t>
        </is>
      </c>
      <c r="T644" s="5" t="inlineStr">
        <is>
          <t>1 cotización de proveedores</t>
        </is>
      </c>
    </row>
    <row r="645">
      <c r="A645" s="7" t="inlineStr">
        <is>
          <t>MAT-20-004</t>
        </is>
      </c>
      <c r="B645" s="7" t="inlineStr">
        <is>
          <t>Materiales</t>
        </is>
      </c>
      <c r="C645" s="7" t="inlineStr">
        <is>
          <t>Angulares, planchuelas y barras</t>
        </is>
      </c>
      <c r="D645" s="5" t="inlineStr">
        <is>
          <t>Angular de hierro negro 1" x 1/8" x 20 pies</t>
        </is>
      </c>
      <c r="E645" s="5" t="inlineStr">
        <is>
          <t>Perfil L de acero al carbono · 1" x 1/8" · barra de 20 pies</t>
        </is>
      </c>
      <c r="F645" s="5" t="inlineStr">
        <is>
          <t>Material retirado en almacén</t>
        </is>
      </c>
      <c r="G645" s="5" t="inlineStr">
        <is>
          <t>perfil L, ángulo de hierro, angular</t>
        </is>
      </c>
      <c r="H645" s="7" t="inlineStr">
        <is>
          <t>unidad</t>
        </is>
      </c>
      <c r="I645" s="7" t="inlineStr">
        <is>
          <t>Estructura</t>
        </is>
      </c>
      <c r="J645" s="7" t="inlineStr">
        <is>
          <t>estandar</t>
        </is>
      </c>
      <c r="K645" s="7" t="inlineStr">
        <is>
          <t>importado</t>
        </is>
      </c>
      <c r="L645" s="7" t="inlineStr">
        <is>
          <t>Verificado</t>
        </is>
      </c>
      <c r="M645" s="8" t="n">
        <v>1</v>
      </c>
      <c r="N645" s="9" t="n">
        <v>560</v>
      </c>
      <c r="O645" s="9" t="n">
        <v>560</v>
      </c>
      <c r="P645" s="9" t="n">
        <v>560</v>
      </c>
      <c r="Q645" s="7" t="inlineStr">
        <is>
          <t>Sí</t>
        </is>
      </c>
      <c r="R645" s="9">
        <f>IF(N645="","",IF(Q645="Sí",ROUND(N645/1.18,2),N645))</f>
        <v/>
      </c>
      <c r="S645" s="7" t="inlineStr">
        <is>
          <t>2026-09-09</t>
        </is>
      </c>
      <c r="T645" s="5" t="inlineStr">
        <is>
          <t>1 cotización de proveedores</t>
        </is>
      </c>
    </row>
    <row r="646">
      <c r="A646" s="7" t="inlineStr">
        <is>
          <t>MAT-20-005</t>
        </is>
      </c>
      <c r="B646" s="7" t="inlineStr">
        <is>
          <t>Materiales</t>
        </is>
      </c>
      <c r="C646" s="7" t="inlineStr">
        <is>
          <t>Angulares, planchuelas y barras</t>
        </is>
      </c>
      <c r="D646" s="5" t="inlineStr">
        <is>
          <t>Angular de hierro negro 1" x 3/16" x 20 pies</t>
        </is>
      </c>
      <c r="E646" s="5" t="inlineStr">
        <is>
          <t>Perfil L de acero al carbono · 1" x 3/16" · barra de 20 pies</t>
        </is>
      </c>
      <c r="F646" s="5" t="inlineStr">
        <is>
          <t>Material retirado en almacén</t>
        </is>
      </c>
      <c r="G646" s="5" t="inlineStr">
        <is>
          <t>perfil L, ángulo de hierro, angular</t>
        </is>
      </c>
      <c r="H646" s="7" t="inlineStr">
        <is>
          <t>unidad</t>
        </is>
      </c>
      <c r="I646" s="7" t="inlineStr">
        <is>
          <t>Estructura</t>
        </is>
      </c>
      <c r="J646" s="7" t="inlineStr">
        <is>
          <t>estandar</t>
        </is>
      </c>
      <c r="K646" s="7" t="inlineStr">
        <is>
          <t>importado</t>
        </is>
      </c>
      <c r="L646" s="7" t="inlineStr">
        <is>
          <t>Verificado</t>
        </is>
      </c>
      <c r="M646" s="8" t="n">
        <v>1</v>
      </c>
      <c r="N646" s="9" t="n">
        <v>812.01</v>
      </c>
      <c r="O646" s="9" t="n">
        <v>812.01</v>
      </c>
      <c r="P646" s="9" t="n">
        <v>812.01</v>
      </c>
      <c r="Q646" s="7" t="inlineStr">
        <is>
          <t>Sí</t>
        </is>
      </c>
      <c r="R646" s="9">
        <f>IF(N646="","",IF(Q646="Sí",ROUND(N646/1.18,2),N646))</f>
        <v/>
      </c>
      <c r="S646" s="7" t="inlineStr">
        <is>
          <t>2026-09-09</t>
        </is>
      </c>
      <c r="T646" s="5" t="inlineStr">
        <is>
          <t>1 cotización de proveedores</t>
        </is>
      </c>
    </row>
    <row r="647">
      <c r="A647" s="7" t="inlineStr">
        <is>
          <t>MAT-20-006</t>
        </is>
      </c>
      <c r="B647" s="7" t="inlineStr">
        <is>
          <t>Materiales</t>
        </is>
      </c>
      <c r="C647" s="7" t="inlineStr">
        <is>
          <t>Angulares, planchuelas y barras</t>
        </is>
      </c>
      <c r="D647" s="5" t="inlineStr">
        <is>
          <t>Angular de hierro negro 1" x 1/4" x 20 pies</t>
        </is>
      </c>
      <c r="E647" s="5" t="inlineStr">
        <is>
          <t>Perfil L de acero al carbono · 1" x 1/4" · barra de 20 pies</t>
        </is>
      </c>
      <c r="F647" s="5" t="inlineStr">
        <is>
          <t>Material retirado en almacén</t>
        </is>
      </c>
      <c r="G647" s="5" t="inlineStr">
        <is>
          <t>perfil L, ángulo de hierro, angular</t>
        </is>
      </c>
      <c r="H647" s="7" t="inlineStr">
        <is>
          <t>unidad</t>
        </is>
      </c>
      <c r="I647" s="7" t="inlineStr">
        <is>
          <t>Estructura</t>
        </is>
      </c>
      <c r="J647" s="7" t="inlineStr">
        <is>
          <t>estandar</t>
        </is>
      </c>
      <c r="K647" s="7" t="inlineStr">
        <is>
          <t>importado</t>
        </is>
      </c>
      <c r="L647" s="7" t="inlineStr">
        <is>
          <t>Verificado</t>
        </is>
      </c>
      <c r="M647" s="8" t="n">
        <v>1</v>
      </c>
      <c r="N647" s="9" t="n">
        <v>1163.48</v>
      </c>
      <c r="O647" s="9" t="n">
        <v>1163.48</v>
      </c>
      <c r="P647" s="9" t="n">
        <v>1163.48</v>
      </c>
      <c r="Q647" s="7" t="inlineStr">
        <is>
          <t>Sí</t>
        </is>
      </c>
      <c r="R647" s="9">
        <f>IF(N647="","",IF(Q647="Sí",ROUND(N647/1.18,2),N647))</f>
        <v/>
      </c>
      <c r="S647" s="7" t="inlineStr">
        <is>
          <t>2026-09-09</t>
        </is>
      </c>
      <c r="T647" s="5" t="inlineStr">
        <is>
          <t>1 cotización de proveedores</t>
        </is>
      </c>
    </row>
    <row r="648">
      <c r="A648" s="7" t="inlineStr">
        <is>
          <t>MAT-20-007</t>
        </is>
      </c>
      <c r="B648" s="7" t="inlineStr">
        <is>
          <t>Materiales</t>
        </is>
      </c>
      <c r="C648" s="7" t="inlineStr">
        <is>
          <t>Angulares, planchuelas y barras</t>
        </is>
      </c>
      <c r="D648" s="5" t="inlineStr">
        <is>
          <t>Angular de hierro negro 1 1/4" x 1/8" x 20 pies</t>
        </is>
      </c>
      <c r="E648" s="5" t="inlineStr">
        <is>
          <t>Perfil L de acero al carbono · 1 1/4" x 1/8" · barra de 20 pies</t>
        </is>
      </c>
      <c r="F648" s="5" t="inlineStr">
        <is>
          <t>Material retirado en almacén</t>
        </is>
      </c>
      <c r="G648" s="5" t="inlineStr">
        <is>
          <t>perfil L, ángulo de hierro, angular</t>
        </is>
      </c>
      <c r="H648" s="7" t="inlineStr">
        <is>
          <t>unidad</t>
        </is>
      </c>
      <c r="I648" s="7" t="inlineStr">
        <is>
          <t>Estructura</t>
        </is>
      </c>
      <c r="J648" s="7" t="inlineStr">
        <is>
          <t>estandar</t>
        </is>
      </c>
      <c r="K648" s="7" t="inlineStr">
        <is>
          <t>importado</t>
        </is>
      </c>
      <c r="L648" s="7" t="inlineStr">
        <is>
          <t>Verificado</t>
        </is>
      </c>
      <c r="M648" s="8" t="n">
        <v>1</v>
      </c>
      <c r="N648" s="9" t="n">
        <v>781</v>
      </c>
      <c r="O648" s="9" t="n">
        <v>781</v>
      </c>
      <c r="P648" s="9" t="n">
        <v>781</v>
      </c>
      <c r="Q648" s="7" t="inlineStr">
        <is>
          <t>Sí</t>
        </is>
      </c>
      <c r="R648" s="9">
        <f>IF(N648="","",IF(Q648="Sí",ROUND(N648/1.18,2),N648))</f>
        <v/>
      </c>
      <c r="S648" s="7" t="inlineStr">
        <is>
          <t>2026-09-09</t>
        </is>
      </c>
      <c r="T648" s="5" t="inlineStr">
        <is>
          <t>1 cotización de proveedores</t>
        </is>
      </c>
    </row>
    <row r="649">
      <c r="A649" s="7" t="inlineStr">
        <is>
          <t>MAT-20-008</t>
        </is>
      </c>
      <c r="B649" s="7" t="inlineStr">
        <is>
          <t>Materiales</t>
        </is>
      </c>
      <c r="C649" s="7" t="inlineStr">
        <is>
          <t>Angulares, planchuelas y barras</t>
        </is>
      </c>
      <c r="D649" s="5" t="inlineStr">
        <is>
          <t>Angular de hierro negro 1 1/4" x 3/16" x 20 pies</t>
        </is>
      </c>
      <c r="E649" s="5" t="inlineStr">
        <is>
          <t>Perfil L de acero al carbono · 1 1/4" x 3/16" · barra de 20 pies</t>
        </is>
      </c>
      <c r="F649" s="5" t="inlineStr">
        <is>
          <t>Material retirado en almacén</t>
        </is>
      </c>
      <c r="G649" s="5" t="inlineStr">
        <is>
          <t>perfil L, ángulo de hierro, angular</t>
        </is>
      </c>
      <c r="H649" s="7" t="inlineStr">
        <is>
          <t>unidad</t>
        </is>
      </c>
      <c r="I649" s="7" t="inlineStr">
        <is>
          <t>Estructura</t>
        </is>
      </c>
      <c r="J649" s="7" t="inlineStr">
        <is>
          <t>estandar</t>
        </is>
      </c>
      <c r="K649" s="7" t="inlineStr">
        <is>
          <t>importado</t>
        </is>
      </c>
      <c r="L649" s="7" t="inlineStr">
        <is>
          <t>Verificado</t>
        </is>
      </c>
      <c r="M649" s="8" t="n">
        <v>1</v>
      </c>
      <c r="N649" s="9" t="n">
        <v>1036</v>
      </c>
      <c r="O649" s="9" t="n">
        <v>1036</v>
      </c>
      <c r="P649" s="9" t="n">
        <v>1036</v>
      </c>
      <c r="Q649" s="7" t="inlineStr">
        <is>
          <t>Sí</t>
        </is>
      </c>
      <c r="R649" s="9">
        <f>IF(N649="","",IF(Q649="Sí",ROUND(N649/1.18,2),N649))</f>
        <v/>
      </c>
      <c r="S649" s="7" t="inlineStr">
        <is>
          <t>2026-09-09</t>
        </is>
      </c>
      <c r="T649" s="5" t="inlineStr">
        <is>
          <t>1 cotización de proveedores</t>
        </is>
      </c>
    </row>
    <row r="650">
      <c r="A650" s="7" t="inlineStr">
        <is>
          <t>MAT-20-009</t>
        </is>
      </c>
      <c r="B650" s="7" t="inlineStr">
        <is>
          <t>Materiales</t>
        </is>
      </c>
      <c r="C650" s="7" t="inlineStr">
        <is>
          <t>Angulares, planchuelas y barras</t>
        </is>
      </c>
      <c r="D650" s="5" t="inlineStr">
        <is>
          <t>Angular de hierro negro 1 1/4" x 1/4" x 20 pies</t>
        </is>
      </c>
      <c r="E650" s="5" t="inlineStr">
        <is>
          <t>Perfil L de acero al carbono · 1 1/4" x 1/4" · barra de 20 pies</t>
        </is>
      </c>
      <c r="F650" s="5" t="inlineStr">
        <is>
          <t>Material retirado en almacén</t>
        </is>
      </c>
      <c r="G650" s="5" t="inlineStr">
        <is>
          <t>perfil L, ángulo de hierro, angular</t>
        </is>
      </c>
      <c r="H650" s="7" t="inlineStr">
        <is>
          <t>unidad</t>
        </is>
      </c>
      <c r="I650" s="7" t="inlineStr">
        <is>
          <t>Estructura</t>
        </is>
      </c>
      <c r="J650" s="7" t="inlineStr">
        <is>
          <t>estandar</t>
        </is>
      </c>
      <c r="K650" s="7" t="inlineStr">
        <is>
          <t>importado</t>
        </is>
      </c>
      <c r="L650" s="7" t="inlineStr">
        <is>
          <t>Verificado</t>
        </is>
      </c>
      <c r="M650" s="8" t="n">
        <v>1</v>
      </c>
      <c r="N650" s="9" t="n">
        <v>1344</v>
      </c>
      <c r="O650" s="9" t="n">
        <v>1344</v>
      </c>
      <c r="P650" s="9" t="n">
        <v>1344</v>
      </c>
      <c r="Q650" s="7" t="inlineStr">
        <is>
          <t>Sí</t>
        </is>
      </c>
      <c r="R650" s="9">
        <f>IF(N650="","",IF(Q650="Sí",ROUND(N650/1.18,2),N650))</f>
        <v/>
      </c>
      <c r="S650" s="7" t="inlineStr">
        <is>
          <t>2026-09-09</t>
        </is>
      </c>
      <c r="T650" s="5" t="inlineStr">
        <is>
          <t>1 cotización de proveedores</t>
        </is>
      </c>
    </row>
    <row r="651">
      <c r="A651" s="7" t="inlineStr">
        <is>
          <t>MAT-20-010</t>
        </is>
      </c>
      <c r="B651" s="7" t="inlineStr">
        <is>
          <t>Materiales</t>
        </is>
      </c>
      <c r="C651" s="7" t="inlineStr">
        <is>
          <t>Angulares, planchuelas y barras</t>
        </is>
      </c>
      <c r="D651" s="5" t="inlineStr">
        <is>
          <t>Angular de hierro negro 1 1/2" x 3/16" x 20 pies</t>
        </is>
      </c>
      <c r="E651" s="5" t="inlineStr">
        <is>
          <t>Perfil L de acero al carbono · 1 1/2" x 3/16" · barra de 20 pies</t>
        </is>
      </c>
      <c r="F651" s="5" t="inlineStr">
        <is>
          <t>Material retirado en almacén</t>
        </is>
      </c>
      <c r="G651" s="5" t="inlineStr">
        <is>
          <t>perfil L, ángulo de hierro, angular</t>
        </is>
      </c>
      <c r="H651" s="7" t="inlineStr">
        <is>
          <t>unidad</t>
        </is>
      </c>
      <c r="I651" s="7" t="inlineStr">
        <is>
          <t>Estructura</t>
        </is>
      </c>
      <c r="J651" s="7" t="inlineStr">
        <is>
          <t>estandar</t>
        </is>
      </c>
      <c r="K651" s="7" t="inlineStr">
        <is>
          <t>importado</t>
        </is>
      </c>
      <c r="L651" s="7" t="inlineStr">
        <is>
          <t>Verificado</t>
        </is>
      </c>
      <c r="M651" s="8" t="n">
        <v>1</v>
      </c>
      <c r="N651" s="9" t="n">
        <v>1260</v>
      </c>
      <c r="O651" s="9" t="n">
        <v>1260</v>
      </c>
      <c r="P651" s="9" t="n">
        <v>1260</v>
      </c>
      <c r="Q651" s="7" t="inlineStr">
        <is>
          <t>Sí</t>
        </is>
      </c>
      <c r="R651" s="9">
        <f>IF(N651="","",IF(Q651="Sí",ROUND(N651/1.18,2),N651))</f>
        <v/>
      </c>
      <c r="S651" s="7" t="inlineStr">
        <is>
          <t>2026-09-09</t>
        </is>
      </c>
      <c r="T651" s="5" t="inlineStr">
        <is>
          <t>1 cotización de proveedores</t>
        </is>
      </c>
    </row>
    <row r="652">
      <c r="A652" s="7" t="inlineStr">
        <is>
          <t>MAT-20-011</t>
        </is>
      </c>
      <c r="B652" s="7" t="inlineStr">
        <is>
          <t>Materiales</t>
        </is>
      </c>
      <c r="C652" s="7" t="inlineStr">
        <is>
          <t>Angulares, planchuelas y barras</t>
        </is>
      </c>
      <c r="D652" s="5" t="inlineStr">
        <is>
          <t>Angular de hierro negro 1 1/2" x 1/4" x 20 pies</t>
        </is>
      </c>
      <c r="E652" s="5" t="inlineStr">
        <is>
          <t>Perfil L de acero al carbono · 1 1/2" x 1/4" · barra de 20 pies</t>
        </is>
      </c>
      <c r="F652" s="5" t="inlineStr">
        <is>
          <t>Material retirado en almacén</t>
        </is>
      </c>
      <c r="G652" s="5" t="inlineStr">
        <is>
          <t>perfil L, ángulo de hierro, angular</t>
        </is>
      </c>
      <c r="H652" s="7" t="inlineStr">
        <is>
          <t>unidad</t>
        </is>
      </c>
      <c r="I652" s="7" t="inlineStr">
        <is>
          <t>Estructura</t>
        </is>
      </c>
      <c r="J652" s="7" t="inlineStr">
        <is>
          <t>estandar</t>
        </is>
      </c>
      <c r="K652" s="7" t="inlineStr">
        <is>
          <t>importado</t>
        </is>
      </c>
      <c r="L652" s="7" t="inlineStr">
        <is>
          <t>Verificado</t>
        </is>
      </c>
      <c r="M652" s="8" t="n">
        <v>1</v>
      </c>
      <c r="N652" s="9" t="n">
        <v>1638.01</v>
      </c>
      <c r="O652" s="9" t="n">
        <v>1638.01</v>
      </c>
      <c r="P652" s="9" t="n">
        <v>1638.01</v>
      </c>
      <c r="Q652" s="7" t="inlineStr">
        <is>
          <t>Sí</t>
        </is>
      </c>
      <c r="R652" s="9">
        <f>IF(N652="","",IF(Q652="Sí",ROUND(N652/1.18,2),N652))</f>
        <v/>
      </c>
      <c r="S652" s="7" t="inlineStr">
        <is>
          <t>2026-09-09</t>
        </is>
      </c>
      <c r="T652" s="5" t="inlineStr">
        <is>
          <t>1 cotización de proveedores</t>
        </is>
      </c>
    </row>
    <row r="653">
      <c r="A653" s="7" t="inlineStr">
        <is>
          <t>MAT-20-012</t>
        </is>
      </c>
      <c r="B653" s="7" t="inlineStr">
        <is>
          <t>Materiales</t>
        </is>
      </c>
      <c r="C653" s="7" t="inlineStr">
        <is>
          <t>Angulares, planchuelas y barras</t>
        </is>
      </c>
      <c r="D653" s="5" t="inlineStr">
        <is>
          <t>Angular de hierro negro 2" x 1/8" x 20 pies</t>
        </is>
      </c>
      <c r="E653" s="5" t="inlineStr">
        <is>
          <t>Perfil L de acero al carbono · 2" x 1/8" · barra de 20 pies</t>
        </is>
      </c>
      <c r="F653" s="5" t="inlineStr">
        <is>
          <t>Material retirado en almacén</t>
        </is>
      </c>
      <c r="G653" s="5" t="inlineStr">
        <is>
          <t>perfil L, ángulo de hierro, angular</t>
        </is>
      </c>
      <c r="H653" s="7" t="inlineStr">
        <is>
          <t>unidad</t>
        </is>
      </c>
      <c r="I653" s="7" t="inlineStr">
        <is>
          <t>Estructura</t>
        </is>
      </c>
      <c r="J653" s="7" t="inlineStr">
        <is>
          <t>estandar</t>
        </is>
      </c>
      <c r="K653" s="7" t="inlineStr">
        <is>
          <t>importado</t>
        </is>
      </c>
      <c r="L653" s="7" t="inlineStr">
        <is>
          <t>Verificado</t>
        </is>
      </c>
      <c r="M653" s="8" t="n">
        <v>1</v>
      </c>
      <c r="N653" s="9" t="n">
        <v>1155</v>
      </c>
      <c r="O653" s="9" t="n">
        <v>1155</v>
      </c>
      <c r="P653" s="9" t="n">
        <v>1155</v>
      </c>
      <c r="Q653" s="7" t="inlineStr">
        <is>
          <t>Sí</t>
        </is>
      </c>
      <c r="R653" s="9">
        <f>IF(N653="","",IF(Q653="Sí",ROUND(N653/1.18,2),N653))</f>
        <v/>
      </c>
      <c r="S653" s="7" t="inlineStr">
        <is>
          <t>2026-09-09</t>
        </is>
      </c>
      <c r="T653" s="5" t="inlineStr">
        <is>
          <t>1 cotización de proveedores</t>
        </is>
      </c>
    </row>
    <row r="654">
      <c r="A654" s="7" t="inlineStr">
        <is>
          <t>MAT-20-013</t>
        </is>
      </c>
      <c r="B654" s="7" t="inlineStr">
        <is>
          <t>Materiales</t>
        </is>
      </c>
      <c r="C654" s="7" t="inlineStr">
        <is>
          <t>Angulares, planchuelas y barras</t>
        </is>
      </c>
      <c r="D654" s="5" t="inlineStr">
        <is>
          <t>Angular de hierro negro 2" x 3/16" x 20 pies</t>
        </is>
      </c>
      <c r="E654" s="5" t="inlineStr">
        <is>
          <t>Perfil L de acero al carbono · 2" x 3/16" · barra de 20 pies</t>
        </is>
      </c>
      <c r="F654" s="5" t="inlineStr">
        <is>
          <t>Material retirado en almacén</t>
        </is>
      </c>
      <c r="G654" s="5" t="inlineStr">
        <is>
          <t>perfil L, ángulo de hierro, angular</t>
        </is>
      </c>
      <c r="H654" s="7" t="inlineStr">
        <is>
          <t>unidad</t>
        </is>
      </c>
      <c r="I654" s="7" t="inlineStr">
        <is>
          <t>Estructura</t>
        </is>
      </c>
      <c r="J654" s="7" t="inlineStr">
        <is>
          <t>estandar</t>
        </is>
      </c>
      <c r="K654" s="7" t="inlineStr">
        <is>
          <t>importado</t>
        </is>
      </c>
      <c r="L654" s="7" t="inlineStr">
        <is>
          <t>Verificado</t>
        </is>
      </c>
      <c r="M654" s="8" t="n">
        <v>1</v>
      </c>
      <c r="N654" s="9" t="n">
        <v>1708</v>
      </c>
      <c r="O654" s="9" t="n">
        <v>1708</v>
      </c>
      <c r="P654" s="9" t="n">
        <v>1708</v>
      </c>
      <c r="Q654" s="7" t="inlineStr">
        <is>
          <t>Sí</t>
        </is>
      </c>
      <c r="R654" s="9">
        <f>IF(N654="","",IF(Q654="Sí",ROUND(N654/1.18,2),N654))</f>
        <v/>
      </c>
      <c r="S654" s="7" t="inlineStr">
        <is>
          <t>2026-09-09</t>
        </is>
      </c>
      <c r="T654" s="5" t="inlineStr">
        <is>
          <t>1 cotización de proveedores</t>
        </is>
      </c>
    </row>
    <row r="655">
      <c r="A655" s="7" t="inlineStr">
        <is>
          <t>MAT-20-014</t>
        </is>
      </c>
      <c r="B655" s="7" t="inlineStr">
        <is>
          <t>Materiales</t>
        </is>
      </c>
      <c r="C655" s="7" t="inlineStr">
        <is>
          <t>Angulares, planchuelas y barras</t>
        </is>
      </c>
      <c r="D655" s="5" t="inlineStr">
        <is>
          <t>Angular de hierro negro 2" x 1/4" x 20 pies</t>
        </is>
      </c>
      <c r="E655" s="5" t="inlineStr">
        <is>
          <t>Perfil L de acero al carbono · 2" x 1/4" · barra de 20 pies</t>
        </is>
      </c>
      <c r="F655" s="5" t="inlineStr">
        <is>
          <t>Material retirado en almacén</t>
        </is>
      </c>
      <c r="G655" s="5" t="inlineStr">
        <is>
          <t>perfil L, ángulo de hierro, angular</t>
        </is>
      </c>
      <c r="H655" s="7" t="inlineStr">
        <is>
          <t>unidad</t>
        </is>
      </c>
      <c r="I655" s="7" t="inlineStr">
        <is>
          <t>Estructura</t>
        </is>
      </c>
      <c r="J655" s="7" t="inlineStr">
        <is>
          <t>estandar</t>
        </is>
      </c>
      <c r="K655" s="7" t="inlineStr">
        <is>
          <t>importado</t>
        </is>
      </c>
      <c r="L655" s="7" t="inlineStr">
        <is>
          <t>Verificado</t>
        </is>
      </c>
      <c r="M655" s="8" t="n">
        <v>1</v>
      </c>
      <c r="N655" s="9" t="n">
        <v>2324.69</v>
      </c>
      <c r="O655" s="9" t="n">
        <v>2324.69</v>
      </c>
      <c r="P655" s="9" t="n">
        <v>2324.69</v>
      </c>
      <c r="Q655" s="7" t="inlineStr">
        <is>
          <t>Sí</t>
        </is>
      </c>
      <c r="R655" s="9">
        <f>IF(N655="","",IF(Q655="Sí",ROUND(N655/1.18,2),N655))</f>
        <v/>
      </c>
      <c r="S655" s="7" t="inlineStr">
        <is>
          <t>2026-09-09</t>
        </is>
      </c>
      <c r="T655" s="5" t="inlineStr">
        <is>
          <t>1 cotización de proveedores</t>
        </is>
      </c>
    </row>
    <row r="656">
      <c r="A656" s="7" t="inlineStr">
        <is>
          <t>MAT-20-015</t>
        </is>
      </c>
      <c r="B656" s="7" t="inlineStr">
        <is>
          <t>Materiales</t>
        </is>
      </c>
      <c r="C656" s="7" t="inlineStr">
        <is>
          <t>Angulares, planchuelas y barras</t>
        </is>
      </c>
      <c r="D656" s="5" t="inlineStr">
        <is>
          <t>Angular de hierro negro 2" x 3/8" x 20 pies</t>
        </is>
      </c>
      <c r="E656" s="5" t="inlineStr">
        <is>
          <t>Perfil L de acero al carbono · 2" x 3/8" · barra de 20 pies</t>
        </is>
      </c>
      <c r="F656" s="5" t="inlineStr">
        <is>
          <t>Material retirado en almacén</t>
        </is>
      </c>
      <c r="G656" s="5" t="inlineStr">
        <is>
          <t>perfil L, ángulo de hierro, angular</t>
        </is>
      </c>
      <c r="H656" s="7" t="inlineStr">
        <is>
          <t>unidad</t>
        </is>
      </c>
      <c r="I656" s="7" t="inlineStr">
        <is>
          <t>Estructura</t>
        </is>
      </c>
      <c r="J656" s="7" t="inlineStr">
        <is>
          <t>estandar</t>
        </is>
      </c>
      <c r="K656" s="7" t="inlineStr">
        <is>
          <t>importado</t>
        </is>
      </c>
      <c r="L656" s="7" t="inlineStr">
        <is>
          <t>Verificado</t>
        </is>
      </c>
      <c r="M656" s="8" t="n">
        <v>1</v>
      </c>
      <c r="N656" s="9" t="n">
        <v>3290.01</v>
      </c>
      <c r="O656" s="9" t="n">
        <v>3290.01</v>
      </c>
      <c r="P656" s="9" t="n">
        <v>3290.01</v>
      </c>
      <c r="Q656" s="7" t="inlineStr">
        <is>
          <t>Sí</t>
        </is>
      </c>
      <c r="R656" s="9">
        <f>IF(N656="","",IF(Q656="Sí",ROUND(N656/1.18,2),N656))</f>
        <v/>
      </c>
      <c r="S656" s="7" t="inlineStr">
        <is>
          <t>2026-09-09</t>
        </is>
      </c>
      <c r="T656" s="5" t="inlineStr">
        <is>
          <t>1 cotización de proveedores</t>
        </is>
      </c>
    </row>
    <row r="657">
      <c r="A657" s="7" t="inlineStr">
        <is>
          <t>MAT-20-016</t>
        </is>
      </c>
      <c r="B657" s="7" t="inlineStr">
        <is>
          <t>Materiales</t>
        </is>
      </c>
      <c r="C657" s="7" t="inlineStr">
        <is>
          <t>Angulares, planchuelas y barras</t>
        </is>
      </c>
      <c r="D657" s="5" t="inlineStr">
        <is>
          <t>Angular de hierro negro 2 1/2" x 3/16" x 20 pies</t>
        </is>
      </c>
      <c r="E657" s="5" t="inlineStr">
        <is>
          <t>Perfil L de acero al carbono · 2 1/2" x 3/16" · barra de 20 pies</t>
        </is>
      </c>
      <c r="F657" s="5" t="inlineStr">
        <is>
          <t>Material retirado en almacén</t>
        </is>
      </c>
      <c r="G657" s="5" t="inlineStr">
        <is>
          <t>perfil L, ángulo de hierro, angular</t>
        </is>
      </c>
      <c r="H657" s="7" t="inlineStr">
        <is>
          <t>unidad</t>
        </is>
      </c>
      <c r="I657" s="7" t="inlineStr">
        <is>
          <t>Estructura</t>
        </is>
      </c>
      <c r="J657" s="7" t="inlineStr">
        <is>
          <t>estandar</t>
        </is>
      </c>
      <c r="K657" s="7" t="inlineStr">
        <is>
          <t>importado</t>
        </is>
      </c>
      <c r="L657" s="7" t="inlineStr">
        <is>
          <t>Verificado</t>
        </is>
      </c>
      <c r="M657" s="8" t="n">
        <v>1</v>
      </c>
      <c r="N657" s="9" t="n">
        <v>2149</v>
      </c>
      <c r="O657" s="9" t="n">
        <v>2149</v>
      </c>
      <c r="P657" s="9" t="n">
        <v>2149</v>
      </c>
      <c r="Q657" s="7" t="inlineStr">
        <is>
          <t>Sí</t>
        </is>
      </c>
      <c r="R657" s="9">
        <f>IF(N657="","",IF(Q657="Sí",ROUND(N657/1.18,2),N657))</f>
        <v/>
      </c>
      <c r="S657" s="7" t="inlineStr">
        <is>
          <t>2026-09-09</t>
        </is>
      </c>
      <c r="T657" s="5" t="inlineStr">
        <is>
          <t>1 cotización de proveedores</t>
        </is>
      </c>
    </row>
    <row r="658">
      <c r="A658" s="7" t="inlineStr">
        <is>
          <t>MAT-20-017</t>
        </is>
      </c>
      <c r="B658" s="7" t="inlineStr">
        <is>
          <t>Materiales</t>
        </is>
      </c>
      <c r="C658" s="7" t="inlineStr">
        <is>
          <t>Angulares, planchuelas y barras</t>
        </is>
      </c>
      <c r="D658" s="5" t="inlineStr">
        <is>
          <t>Angular de hierro negro 2 1/2" x 1/4" x 20 pies</t>
        </is>
      </c>
      <c r="E658" s="5" t="inlineStr">
        <is>
          <t>Perfil L de acero al carbono · 2 1/2" x 1/4" · barra de 20 pies</t>
        </is>
      </c>
      <c r="F658" s="5" t="inlineStr">
        <is>
          <t>Material retirado en almacén</t>
        </is>
      </c>
      <c r="G658" s="5" t="inlineStr">
        <is>
          <t>perfil L, ángulo de hierro, angular</t>
        </is>
      </c>
      <c r="H658" s="7" t="inlineStr">
        <is>
          <t>unidad</t>
        </is>
      </c>
      <c r="I658" s="7" t="inlineStr">
        <is>
          <t>Estructura</t>
        </is>
      </c>
      <c r="J658" s="7" t="inlineStr">
        <is>
          <t>estandar</t>
        </is>
      </c>
      <c r="K658" s="7" t="inlineStr">
        <is>
          <t>importado</t>
        </is>
      </c>
      <c r="L658" s="7" t="inlineStr">
        <is>
          <t>Verificado</t>
        </is>
      </c>
      <c r="M658" s="8" t="n">
        <v>1</v>
      </c>
      <c r="N658" s="9" t="n">
        <v>2870</v>
      </c>
      <c r="O658" s="9" t="n">
        <v>2870</v>
      </c>
      <c r="P658" s="9" t="n">
        <v>2870</v>
      </c>
      <c r="Q658" s="7" t="inlineStr">
        <is>
          <t>Sí</t>
        </is>
      </c>
      <c r="R658" s="9">
        <f>IF(N658="","",IF(Q658="Sí",ROUND(N658/1.18,2),N658))</f>
        <v/>
      </c>
      <c r="S658" s="7" t="inlineStr">
        <is>
          <t>2026-09-09</t>
        </is>
      </c>
      <c r="T658" s="5" t="inlineStr">
        <is>
          <t>1 cotización de proveedores</t>
        </is>
      </c>
    </row>
    <row r="659">
      <c r="A659" s="7" t="inlineStr">
        <is>
          <t>MAT-20-018</t>
        </is>
      </c>
      <c r="B659" s="7" t="inlineStr">
        <is>
          <t>Materiales</t>
        </is>
      </c>
      <c r="C659" s="7" t="inlineStr">
        <is>
          <t>Angulares, planchuelas y barras</t>
        </is>
      </c>
      <c r="D659" s="5" t="inlineStr">
        <is>
          <t>Angular de hierro negro 2 1/2" x 3/8" x 20 pies</t>
        </is>
      </c>
      <c r="E659" s="5" t="inlineStr">
        <is>
          <t>Perfil L de acero al carbono · 2 1/2" x 3/8" · barra de 20 pies</t>
        </is>
      </c>
      <c r="F659" s="5" t="inlineStr">
        <is>
          <t>Material retirado en almacén</t>
        </is>
      </c>
      <c r="G659" s="5" t="inlineStr">
        <is>
          <t>perfil L, ángulo de hierro, angular</t>
        </is>
      </c>
      <c r="H659" s="7" t="inlineStr">
        <is>
          <t>unidad</t>
        </is>
      </c>
      <c r="I659" s="7" t="inlineStr">
        <is>
          <t>Estructura</t>
        </is>
      </c>
      <c r="J659" s="7" t="inlineStr">
        <is>
          <t>estandar</t>
        </is>
      </c>
      <c r="K659" s="7" t="inlineStr">
        <is>
          <t>importado</t>
        </is>
      </c>
      <c r="L659" s="7" t="inlineStr">
        <is>
          <t>Verificado</t>
        </is>
      </c>
      <c r="M659" s="8" t="n">
        <v>1</v>
      </c>
      <c r="N659" s="9" t="n">
        <v>4130</v>
      </c>
      <c r="O659" s="9" t="n">
        <v>4130</v>
      </c>
      <c r="P659" s="9" t="n">
        <v>4130</v>
      </c>
      <c r="Q659" s="7" t="inlineStr">
        <is>
          <t>Sí</t>
        </is>
      </c>
      <c r="R659" s="9">
        <f>IF(N659="","",IF(Q659="Sí",ROUND(N659/1.18,2),N659))</f>
        <v/>
      </c>
      <c r="S659" s="7" t="inlineStr">
        <is>
          <t>2026-09-09</t>
        </is>
      </c>
      <c r="T659" s="5" t="inlineStr">
        <is>
          <t>1 cotización de proveedores</t>
        </is>
      </c>
    </row>
    <row r="660">
      <c r="A660" s="7" t="inlineStr">
        <is>
          <t>MAT-20-019</t>
        </is>
      </c>
      <c r="B660" s="7" t="inlineStr">
        <is>
          <t>Materiales</t>
        </is>
      </c>
      <c r="C660" s="7" t="inlineStr">
        <is>
          <t>Angulares, planchuelas y barras</t>
        </is>
      </c>
      <c r="D660" s="5" t="inlineStr">
        <is>
          <t>Angular de hierro negro 3" x 1/4" x 20 pies</t>
        </is>
      </c>
      <c r="E660" s="5" t="inlineStr">
        <is>
          <t>Perfil L de acero al carbono · 3" x 1/4" · barra de 20 pies</t>
        </is>
      </c>
      <c r="F660" s="5" t="inlineStr">
        <is>
          <t>Material retirado en almacén</t>
        </is>
      </c>
      <c r="G660" s="5" t="inlineStr">
        <is>
          <t>perfil L, ángulo de hierro, angular</t>
        </is>
      </c>
      <c r="H660" s="7" t="inlineStr">
        <is>
          <t>unidad</t>
        </is>
      </c>
      <c r="I660" s="7" t="inlineStr">
        <is>
          <t>Estructura</t>
        </is>
      </c>
      <c r="J660" s="7" t="inlineStr">
        <is>
          <t>estandar</t>
        </is>
      </c>
      <c r="K660" s="7" t="inlineStr">
        <is>
          <t>importado</t>
        </is>
      </c>
      <c r="L660" s="7" t="inlineStr">
        <is>
          <t>Verificado</t>
        </is>
      </c>
      <c r="M660" s="8" t="n">
        <v>1</v>
      </c>
      <c r="N660" s="9" t="n">
        <v>3430</v>
      </c>
      <c r="O660" s="9" t="n">
        <v>3430</v>
      </c>
      <c r="P660" s="9" t="n">
        <v>3430</v>
      </c>
      <c r="Q660" s="7" t="inlineStr">
        <is>
          <t>Sí</t>
        </is>
      </c>
      <c r="R660" s="9">
        <f>IF(N660="","",IF(Q660="Sí",ROUND(N660/1.18,2),N660))</f>
        <v/>
      </c>
      <c r="S660" s="7" t="inlineStr">
        <is>
          <t>2026-09-09</t>
        </is>
      </c>
      <c r="T660" s="5" t="inlineStr">
        <is>
          <t>1 cotización de proveedores</t>
        </is>
      </c>
    </row>
    <row r="661">
      <c r="A661" s="7" t="inlineStr">
        <is>
          <t>MAT-20-020</t>
        </is>
      </c>
      <c r="B661" s="7" t="inlineStr">
        <is>
          <t>Materiales</t>
        </is>
      </c>
      <c r="C661" s="7" t="inlineStr">
        <is>
          <t>Angulares, planchuelas y barras</t>
        </is>
      </c>
      <c r="D661" s="5" t="inlineStr">
        <is>
          <t>Angular de hierro negro 3" x 3/8" x 20 pies</t>
        </is>
      </c>
      <c r="E661" s="5" t="inlineStr">
        <is>
          <t>Perfil L de acero al carbono · 3" x 3/8" · barra de 20 pies</t>
        </is>
      </c>
      <c r="F661" s="5" t="inlineStr">
        <is>
          <t>Material retirado en almacén</t>
        </is>
      </c>
      <c r="G661" s="5" t="inlineStr">
        <is>
          <t>perfil L, ángulo de hierro, angular</t>
        </is>
      </c>
      <c r="H661" s="7" t="inlineStr">
        <is>
          <t>unidad</t>
        </is>
      </c>
      <c r="I661" s="7" t="inlineStr">
        <is>
          <t>Estructura</t>
        </is>
      </c>
      <c r="J661" s="7" t="inlineStr">
        <is>
          <t>estandar</t>
        </is>
      </c>
      <c r="K661" s="7" t="inlineStr">
        <is>
          <t>importado</t>
        </is>
      </c>
      <c r="L661" s="7" t="inlineStr">
        <is>
          <t>Verificado</t>
        </is>
      </c>
      <c r="M661" s="8" t="n">
        <v>1</v>
      </c>
      <c r="N661" s="9" t="n">
        <v>5622.2</v>
      </c>
      <c r="O661" s="9" t="n">
        <v>5622.2</v>
      </c>
      <c r="P661" s="9" t="n">
        <v>5622.2</v>
      </c>
      <c r="Q661" s="7" t="inlineStr">
        <is>
          <t>Sí</t>
        </is>
      </c>
      <c r="R661" s="9">
        <f>IF(N661="","",IF(Q661="Sí",ROUND(N661/1.18,2),N661))</f>
        <v/>
      </c>
      <c r="S661" s="7" t="inlineStr">
        <is>
          <t>2026-09-09</t>
        </is>
      </c>
      <c r="T661" s="5" t="inlineStr">
        <is>
          <t>1 cotización de proveedores</t>
        </is>
      </c>
    </row>
    <row r="662">
      <c r="A662" s="7" t="inlineStr">
        <is>
          <t>MAT-20-021</t>
        </is>
      </c>
      <c r="B662" s="7" t="inlineStr">
        <is>
          <t>Materiales</t>
        </is>
      </c>
      <c r="C662" s="7" t="inlineStr">
        <is>
          <t>Angulares, planchuelas y barras</t>
        </is>
      </c>
      <c r="D662" s="5" t="inlineStr">
        <is>
          <t>Angular de hierro negro 4" x 1/4" x 20 pies</t>
        </is>
      </c>
      <c r="E662" s="5" t="inlineStr">
        <is>
          <t>Perfil L de acero al carbono · 4" x 1/4" · barra de 20 pies</t>
        </is>
      </c>
      <c r="F662" s="5" t="inlineStr">
        <is>
          <t>Material retirado en almacén</t>
        </is>
      </c>
      <c r="G662" s="5" t="inlineStr">
        <is>
          <t>perfil L, ángulo de hierro, angular</t>
        </is>
      </c>
      <c r="H662" s="7" t="inlineStr">
        <is>
          <t>unidad</t>
        </is>
      </c>
      <c r="I662" s="7" t="inlineStr">
        <is>
          <t>Estructura</t>
        </is>
      </c>
      <c r="J662" s="7" t="inlineStr">
        <is>
          <t>estandar</t>
        </is>
      </c>
      <c r="K662" s="7" t="inlineStr">
        <is>
          <t>importado</t>
        </is>
      </c>
      <c r="L662" s="7" t="inlineStr">
        <is>
          <t>Verificado</t>
        </is>
      </c>
      <c r="M662" s="8" t="n">
        <v>1</v>
      </c>
      <c r="N662" s="9" t="n">
        <v>4117.73</v>
      </c>
      <c r="O662" s="9" t="n">
        <v>4117.73</v>
      </c>
      <c r="P662" s="9" t="n">
        <v>4117.73</v>
      </c>
      <c r="Q662" s="7" t="inlineStr">
        <is>
          <t>Sí</t>
        </is>
      </c>
      <c r="R662" s="9">
        <f>IF(N662="","",IF(Q662="Sí",ROUND(N662/1.18,2),N662))</f>
        <v/>
      </c>
      <c r="S662" s="7" t="inlineStr">
        <is>
          <t>2026-09-09</t>
        </is>
      </c>
      <c r="T662" s="5" t="inlineStr">
        <is>
          <t>1 cotización de proveedores</t>
        </is>
      </c>
    </row>
    <row r="663">
      <c r="A663" s="7" t="inlineStr">
        <is>
          <t>MAT-20-022</t>
        </is>
      </c>
      <c r="B663" s="7" t="inlineStr">
        <is>
          <t>Materiales</t>
        </is>
      </c>
      <c r="C663" s="7" t="inlineStr">
        <is>
          <t>Angulares, planchuelas y barras</t>
        </is>
      </c>
      <c r="D663" s="5" t="inlineStr">
        <is>
          <t>Angular de hierro negro 4" x 1/2" x 20 pies</t>
        </is>
      </c>
      <c r="E663" s="5" t="inlineStr">
        <is>
          <t>Perfil L de acero al carbono · 4" x 1/2" · barra de 20 pies</t>
        </is>
      </c>
      <c r="F663" s="5" t="inlineStr">
        <is>
          <t>Material retirado en almacén</t>
        </is>
      </c>
      <c r="G663" s="5" t="inlineStr">
        <is>
          <t>perfil L, ángulo de hierro, angular</t>
        </is>
      </c>
      <c r="H663" s="7" t="inlineStr">
        <is>
          <t>unidad</t>
        </is>
      </c>
      <c r="I663" s="7" t="inlineStr">
        <is>
          <t>Estructura</t>
        </is>
      </c>
      <c r="J663" s="7" t="inlineStr">
        <is>
          <t>estandar</t>
        </is>
      </c>
      <c r="K663" s="7" t="inlineStr">
        <is>
          <t>importado</t>
        </is>
      </c>
      <c r="L663" s="7" t="inlineStr">
        <is>
          <t>Verificado</t>
        </is>
      </c>
      <c r="M663" s="8" t="n">
        <v>1</v>
      </c>
      <c r="N663" s="9" t="n">
        <v>9995.309999999999</v>
      </c>
      <c r="O663" s="9" t="n">
        <v>9995.309999999999</v>
      </c>
      <c r="P663" s="9" t="n">
        <v>9995.309999999999</v>
      </c>
      <c r="Q663" s="7" t="inlineStr">
        <is>
          <t>Sí</t>
        </is>
      </c>
      <c r="R663" s="9">
        <f>IF(N663="","",IF(Q663="Sí",ROUND(N663/1.18,2),N663))</f>
        <v/>
      </c>
      <c r="S663" s="7" t="inlineStr">
        <is>
          <t>2026-09-09</t>
        </is>
      </c>
      <c r="T663" s="5" t="inlineStr">
        <is>
          <t>1 cotización de proveedores</t>
        </is>
      </c>
    </row>
    <row r="664">
      <c r="A664" s="7" t="inlineStr">
        <is>
          <t>MAT-20-023</t>
        </is>
      </c>
      <c r="B664" s="7" t="inlineStr">
        <is>
          <t>Materiales</t>
        </is>
      </c>
      <c r="C664" s="7" t="inlineStr">
        <is>
          <t>Angulares, planchuelas y barras</t>
        </is>
      </c>
      <c r="D664" s="5" t="inlineStr">
        <is>
          <t>Planchuela de hierro negro 1/2" x 1/8" x 20 pies</t>
        </is>
      </c>
      <c r="E664" s="5" t="inlineStr">
        <is>
          <t>Pletina de acero al carbono · 1/2" x 1/8" · barra de 20 pies</t>
        </is>
      </c>
      <c r="F664" s="5" t="inlineStr">
        <is>
          <t>Material retirado en almacén</t>
        </is>
      </c>
      <c r="G664" s="5" t="inlineStr">
        <is>
          <t>pletina, fleje de hierro, planchuela</t>
        </is>
      </c>
      <c r="H664" s="7" t="inlineStr">
        <is>
          <t>unidad</t>
        </is>
      </c>
      <c r="I664" s="7" t="inlineStr">
        <is>
          <t>Estructura</t>
        </is>
      </c>
      <c r="J664" s="7" t="inlineStr">
        <is>
          <t>estandar</t>
        </is>
      </c>
      <c r="K664" s="7" t="inlineStr">
        <is>
          <t>importado</t>
        </is>
      </c>
      <c r="L664" s="7" t="inlineStr">
        <is>
          <t>Verificado</t>
        </is>
      </c>
      <c r="M664" s="8" t="n">
        <v>1</v>
      </c>
      <c r="N664" s="9" t="n">
        <v>141.64</v>
      </c>
      <c r="O664" s="9" t="n">
        <v>141.64</v>
      </c>
      <c r="P664" s="9" t="n">
        <v>141.64</v>
      </c>
      <c r="Q664" s="7" t="inlineStr">
        <is>
          <t>Sí</t>
        </is>
      </c>
      <c r="R664" s="9">
        <f>IF(N664="","",IF(Q664="Sí",ROUND(N664/1.18,2),N664))</f>
        <v/>
      </c>
      <c r="S664" s="7" t="inlineStr">
        <is>
          <t>2026-09-09</t>
        </is>
      </c>
      <c r="T664" s="5" t="inlineStr">
        <is>
          <t>1 cotización de proveedores</t>
        </is>
      </c>
    </row>
    <row r="665">
      <c r="A665" s="7" t="inlineStr">
        <is>
          <t>MAT-20-024</t>
        </is>
      </c>
      <c r="B665" s="7" t="inlineStr">
        <is>
          <t>Materiales</t>
        </is>
      </c>
      <c r="C665" s="7" t="inlineStr">
        <is>
          <t>Angulares, planchuelas y barras</t>
        </is>
      </c>
      <c r="D665" s="5" t="inlineStr">
        <is>
          <t>Planchuela de hierro negro 1/2" x 3/16" x 20 pies</t>
        </is>
      </c>
      <c r="E665" s="5" t="inlineStr">
        <is>
          <t>Pletina de acero al carbono · 1/2" x 3/16" · barra de 20 pies</t>
        </is>
      </c>
      <c r="F665" s="5" t="inlineStr">
        <is>
          <t>Material retirado en almacén</t>
        </is>
      </c>
      <c r="G665" s="5" t="inlineStr">
        <is>
          <t>pletina, fleje de hierro, planchuela</t>
        </is>
      </c>
      <c r="H665" s="7" t="inlineStr">
        <is>
          <t>unidad</t>
        </is>
      </c>
      <c r="I665" s="7" t="inlineStr">
        <is>
          <t>Estructura</t>
        </is>
      </c>
      <c r="J665" s="7" t="inlineStr">
        <is>
          <t>estandar</t>
        </is>
      </c>
      <c r="K665" s="7" t="inlineStr">
        <is>
          <t>importado</t>
        </is>
      </c>
      <c r="L665" s="7" t="inlineStr">
        <is>
          <t>Verificado</t>
        </is>
      </c>
      <c r="M665" s="8" t="n">
        <v>1</v>
      </c>
      <c r="N665" s="9" t="n">
        <v>249.92</v>
      </c>
      <c r="O665" s="9" t="n">
        <v>249.92</v>
      </c>
      <c r="P665" s="9" t="n">
        <v>249.92</v>
      </c>
      <c r="Q665" s="7" t="inlineStr">
        <is>
          <t>Sí</t>
        </is>
      </c>
      <c r="R665" s="9">
        <f>IF(N665="","",IF(Q665="Sí",ROUND(N665/1.18,2),N665))</f>
        <v/>
      </c>
      <c r="S665" s="7" t="inlineStr">
        <is>
          <t>2026-09-09</t>
        </is>
      </c>
      <c r="T665" s="5" t="inlineStr">
        <is>
          <t>1 cotización de proveedores</t>
        </is>
      </c>
    </row>
    <row r="666">
      <c r="A666" s="7" t="inlineStr">
        <is>
          <t>MAT-20-025</t>
        </is>
      </c>
      <c r="B666" s="7" t="inlineStr">
        <is>
          <t>Materiales</t>
        </is>
      </c>
      <c r="C666" s="7" t="inlineStr">
        <is>
          <t>Angulares, planchuelas y barras</t>
        </is>
      </c>
      <c r="D666" s="5" t="inlineStr">
        <is>
          <t>Planchuela de hierro negro 1/2" x 1/4" x 20 pies</t>
        </is>
      </c>
      <c r="E666" s="5" t="inlineStr">
        <is>
          <t>Pletina de acero al carbono · 1/2" x 1/4" · barra de 20 pies</t>
        </is>
      </c>
      <c r="F666" s="5" t="inlineStr">
        <is>
          <t>Material retirado en almacén</t>
        </is>
      </c>
      <c r="G666" s="5" t="inlineStr">
        <is>
          <t>pletina, fleje de hierro, planchuela</t>
        </is>
      </c>
      <c r="H666" s="7" t="inlineStr">
        <is>
          <t>unidad</t>
        </is>
      </c>
      <c r="I666" s="7" t="inlineStr">
        <is>
          <t>Estructura</t>
        </is>
      </c>
      <c r="J666" s="7" t="inlineStr">
        <is>
          <t>estandar</t>
        </is>
      </c>
      <c r="K666" s="7" t="inlineStr">
        <is>
          <t>importado</t>
        </is>
      </c>
      <c r="L666" s="7" t="inlineStr">
        <is>
          <t>Verificado</t>
        </is>
      </c>
      <c r="M666" s="8" t="n">
        <v>1</v>
      </c>
      <c r="N666" s="9" t="n">
        <v>331.8</v>
      </c>
      <c r="O666" s="9" t="n">
        <v>331.8</v>
      </c>
      <c r="P666" s="9" t="n">
        <v>331.8</v>
      </c>
      <c r="Q666" s="7" t="inlineStr">
        <is>
          <t>Sí</t>
        </is>
      </c>
      <c r="R666" s="9">
        <f>IF(N666="","",IF(Q666="Sí",ROUND(N666/1.18,2),N666))</f>
        <v/>
      </c>
      <c r="S666" s="7" t="inlineStr">
        <is>
          <t>2026-09-09</t>
        </is>
      </c>
      <c r="T666" s="5" t="inlineStr">
        <is>
          <t>1 cotización de proveedores</t>
        </is>
      </c>
    </row>
    <row r="667">
      <c r="A667" s="7" t="inlineStr">
        <is>
          <t>MAT-20-026</t>
        </is>
      </c>
      <c r="B667" s="7" t="inlineStr">
        <is>
          <t>Materiales</t>
        </is>
      </c>
      <c r="C667" s="7" t="inlineStr">
        <is>
          <t>Angulares, planchuelas y barras</t>
        </is>
      </c>
      <c r="D667" s="5" t="inlineStr">
        <is>
          <t>Planchuela de hierro negro 3/4" x 1/8" x 20 pies</t>
        </is>
      </c>
      <c r="E667" s="5" t="inlineStr">
        <is>
          <t>Pletina de acero al carbono · 3/4" x 1/8" · barra de 20 pies</t>
        </is>
      </c>
      <c r="F667" s="5" t="inlineStr">
        <is>
          <t>Material retirado en almacén</t>
        </is>
      </c>
      <c r="G667" s="5" t="inlineStr">
        <is>
          <t>pletina, fleje de hierro, planchuela</t>
        </is>
      </c>
      <c r="H667" s="7" t="inlineStr">
        <is>
          <t>unidad</t>
        </is>
      </c>
      <c r="I667" s="7" t="inlineStr">
        <is>
          <t>Estructura</t>
        </is>
      </c>
      <c r="J667" s="7" t="inlineStr">
        <is>
          <t>estandar</t>
        </is>
      </c>
      <c r="K667" s="7" t="inlineStr">
        <is>
          <t>importado</t>
        </is>
      </c>
      <c r="L667" s="7" t="inlineStr">
        <is>
          <t>Verificado</t>
        </is>
      </c>
      <c r="M667" s="8" t="n">
        <v>1</v>
      </c>
      <c r="N667" s="9" t="n">
        <v>298.91</v>
      </c>
      <c r="O667" s="9" t="n">
        <v>298.91</v>
      </c>
      <c r="P667" s="9" t="n">
        <v>298.91</v>
      </c>
      <c r="Q667" s="7" t="inlineStr">
        <is>
          <t>Sí</t>
        </is>
      </c>
      <c r="R667" s="9">
        <f>IF(N667="","",IF(Q667="Sí",ROUND(N667/1.18,2),N667))</f>
        <v/>
      </c>
      <c r="S667" s="7" t="inlineStr">
        <is>
          <t>2026-09-09</t>
        </is>
      </c>
      <c r="T667" s="5" t="inlineStr">
        <is>
          <t>1 cotización de proveedores</t>
        </is>
      </c>
    </row>
    <row r="668">
      <c r="A668" s="7" t="inlineStr">
        <is>
          <t>MAT-20-027</t>
        </is>
      </c>
      <c r="B668" s="7" t="inlineStr">
        <is>
          <t>Materiales</t>
        </is>
      </c>
      <c r="C668" s="7" t="inlineStr">
        <is>
          <t>Angulares, planchuelas y barras</t>
        </is>
      </c>
      <c r="D668" s="5" t="inlineStr">
        <is>
          <t>Planchuela de hierro negro 3/4" x 3/16" x 20 pies</t>
        </is>
      </c>
      <c r="E668" s="5" t="inlineStr">
        <is>
          <t>Pletina de acero al carbono · 3/4" x 3/16" · barra de 20 pies</t>
        </is>
      </c>
      <c r="F668" s="5" t="inlineStr">
        <is>
          <t>Material retirado en almacén</t>
        </is>
      </c>
      <c r="G668" s="5" t="inlineStr">
        <is>
          <t>pletina, fleje de hierro, planchuela</t>
        </is>
      </c>
      <c r="H668" s="7" t="inlineStr">
        <is>
          <t>unidad</t>
        </is>
      </c>
      <c r="I668" s="7" t="inlineStr">
        <is>
          <t>Estructura</t>
        </is>
      </c>
      <c r="J668" s="7" t="inlineStr">
        <is>
          <t>estandar</t>
        </is>
      </c>
      <c r="K668" s="7" t="inlineStr">
        <is>
          <t>importado</t>
        </is>
      </c>
      <c r="L668" s="7" t="inlineStr">
        <is>
          <t>Verificado</t>
        </is>
      </c>
      <c r="M668" s="8" t="n">
        <v>1</v>
      </c>
      <c r="N668" s="9" t="n">
        <v>373</v>
      </c>
      <c r="O668" s="9" t="n">
        <v>373</v>
      </c>
      <c r="P668" s="9" t="n">
        <v>373</v>
      </c>
      <c r="Q668" s="7" t="inlineStr">
        <is>
          <t>Sí</t>
        </is>
      </c>
      <c r="R668" s="9">
        <f>IF(N668="","",IF(Q668="Sí",ROUND(N668/1.18,2),N668))</f>
        <v/>
      </c>
      <c r="S668" s="7" t="inlineStr">
        <is>
          <t>2026-09-09</t>
        </is>
      </c>
      <c r="T668" s="5" t="inlineStr">
        <is>
          <t>1 cotización de proveedores</t>
        </is>
      </c>
    </row>
    <row r="669">
      <c r="A669" s="7" t="inlineStr">
        <is>
          <t>MAT-20-028</t>
        </is>
      </c>
      <c r="B669" s="7" t="inlineStr">
        <is>
          <t>Materiales</t>
        </is>
      </c>
      <c r="C669" s="7" t="inlineStr">
        <is>
          <t>Angulares, planchuelas y barras</t>
        </is>
      </c>
      <c r="D669" s="5" t="inlineStr">
        <is>
          <t>Planchuela de hierro negro 3/4" x 1/4" x 20 pies</t>
        </is>
      </c>
      <c r="E669" s="5" t="inlineStr">
        <is>
          <t>Pletina de acero al carbono · 3/4" x 1/4" · barra de 20 pies</t>
        </is>
      </c>
      <c r="F669" s="5" t="inlineStr">
        <is>
          <t>Material retirado en almacén</t>
        </is>
      </c>
      <c r="G669" s="5" t="inlineStr">
        <is>
          <t>pletina, fleje de hierro, planchuela</t>
        </is>
      </c>
      <c r="H669" s="7" t="inlineStr">
        <is>
          <t>unidad</t>
        </is>
      </c>
      <c r="I669" s="7" t="inlineStr">
        <is>
          <t>Estructura</t>
        </is>
      </c>
      <c r="J669" s="7" t="inlineStr">
        <is>
          <t>estandar</t>
        </is>
      </c>
      <c r="K669" s="7" t="inlineStr">
        <is>
          <t>importado</t>
        </is>
      </c>
      <c r="L669" s="7" t="inlineStr">
        <is>
          <t>Verificado</t>
        </is>
      </c>
      <c r="M669" s="8" t="n">
        <v>1</v>
      </c>
      <c r="N669" s="9" t="n">
        <v>497.72</v>
      </c>
      <c r="O669" s="9" t="n">
        <v>497.72</v>
      </c>
      <c r="P669" s="9" t="n">
        <v>497.72</v>
      </c>
      <c r="Q669" s="7" t="inlineStr">
        <is>
          <t>Sí</t>
        </is>
      </c>
      <c r="R669" s="9">
        <f>IF(N669="","",IF(Q669="Sí",ROUND(N669/1.18,2),N669))</f>
        <v/>
      </c>
      <c r="S669" s="7" t="inlineStr">
        <is>
          <t>2026-09-09</t>
        </is>
      </c>
      <c r="T669" s="5" t="inlineStr">
        <is>
          <t>1 cotización de proveedores</t>
        </is>
      </c>
    </row>
    <row r="670">
      <c r="A670" s="7" t="inlineStr">
        <is>
          <t>MAT-20-029</t>
        </is>
      </c>
      <c r="B670" s="7" t="inlineStr">
        <is>
          <t>Materiales</t>
        </is>
      </c>
      <c r="C670" s="7" t="inlineStr">
        <is>
          <t>Angulares, planchuelas y barras</t>
        </is>
      </c>
      <c r="D670" s="5" t="inlineStr">
        <is>
          <t>Planchuela de hierro negro 1" x 1/8" x 20 pies</t>
        </is>
      </c>
      <c r="E670" s="5" t="inlineStr">
        <is>
          <t>Pletina de acero al carbono · 1" x 1/8" · barra de 20 pies</t>
        </is>
      </c>
      <c r="F670" s="5" t="inlineStr">
        <is>
          <t>Material retirado en almacén</t>
        </is>
      </c>
      <c r="G670" s="5" t="inlineStr">
        <is>
          <t>pletina, fleje de hierro, planchuela</t>
        </is>
      </c>
      <c r="H670" s="7" t="inlineStr">
        <is>
          <t>unidad</t>
        </is>
      </c>
      <c r="I670" s="7" t="inlineStr">
        <is>
          <t>Estructura</t>
        </is>
      </c>
      <c r="J670" s="7" t="inlineStr">
        <is>
          <t>estandar</t>
        </is>
      </c>
      <c r="K670" s="7" t="inlineStr">
        <is>
          <t>importado</t>
        </is>
      </c>
      <c r="L670" s="7" t="inlineStr">
        <is>
          <t>Verificado</t>
        </is>
      </c>
      <c r="M670" s="8" t="n">
        <v>1</v>
      </c>
      <c r="N670" s="9" t="n">
        <v>297.5</v>
      </c>
      <c r="O670" s="9" t="n">
        <v>297.5</v>
      </c>
      <c r="P670" s="9" t="n">
        <v>297.5</v>
      </c>
      <c r="Q670" s="7" t="inlineStr">
        <is>
          <t>Sí</t>
        </is>
      </c>
      <c r="R670" s="9">
        <f>IF(N670="","",IF(Q670="Sí",ROUND(N670/1.18,2),N670))</f>
        <v/>
      </c>
      <c r="S670" s="7" t="inlineStr">
        <is>
          <t>2026-09-09</t>
        </is>
      </c>
      <c r="T670" s="5" t="inlineStr">
        <is>
          <t>1 cotización de proveedores</t>
        </is>
      </c>
    </row>
    <row r="671">
      <c r="A671" s="7" t="inlineStr">
        <is>
          <t>MAT-20-030</t>
        </is>
      </c>
      <c r="B671" s="7" t="inlineStr">
        <is>
          <t>Materiales</t>
        </is>
      </c>
      <c r="C671" s="7" t="inlineStr">
        <is>
          <t>Angulares, planchuelas y barras</t>
        </is>
      </c>
      <c r="D671" s="5" t="inlineStr">
        <is>
          <t>Planchuela de hierro negro 1" x 3/16" x 20 pies</t>
        </is>
      </c>
      <c r="E671" s="5" t="inlineStr">
        <is>
          <t>Pletina de acero al carbono · 1" x 3/16" · barra de 20 pies</t>
        </is>
      </c>
      <c r="F671" s="5" t="inlineStr">
        <is>
          <t>Material retirado en almacén</t>
        </is>
      </c>
      <c r="G671" s="5" t="inlineStr">
        <is>
          <t>pletina, fleje de hierro, planchuela</t>
        </is>
      </c>
      <c r="H671" s="7" t="inlineStr">
        <is>
          <t>unidad</t>
        </is>
      </c>
      <c r="I671" s="7" t="inlineStr">
        <is>
          <t>Estructura</t>
        </is>
      </c>
      <c r="J671" s="7" t="inlineStr">
        <is>
          <t>estandar</t>
        </is>
      </c>
      <c r="K671" s="7" t="inlineStr">
        <is>
          <t>importado</t>
        </is>
      </c>
      <c r="L671" s="7" t="inlineStr">
        <is>
          <t>Verificado</t>
        </is>
      </c>
      <c r="M671" s="8" t="n">
        <v>1</v>
      </c>
      <c r="N671" s="9" t="n">
        <v>446.25</v>
      </c>
      <c r="O671" s="9" t="n">
        <v>446.25</v>
      </c>
      <c r="P671" s="9" t="n">
        <v>446.25</v>
      </c>
      <c r="Q671" s="7" t="inlineStr">
        <is>
          <t>Sí</t>
        </is>
      </c>
      <c r="R671" s="9">
        <f>IF(N671="","",IF(Q671="Sí",ROUND(N671/1.18,2),N671))</f>
        <v/>
      </c>
      <c r="S671" s="7" t="inlineStr">
        <is>
          <t>2026-09-09</t>
        </is>
      </c>
      <c r="T671" s="5" t="inlineStr">
        <is>
          <t>1 cotización de proveedores</t>
        </is>
      </c>
    </row>
    <row r="672">
      <c r="A672" s="7" t="inlineStr">
        <is>
          <t>MAT-20-031</t>
        </is>
      </c>
      <c r="B672" s="7" t="inlineStr">
        <is>
          <t>Materiales</t>
        </is>
      </c>
      <c r="C672" s="7" t="inlineStr">
        <is>
          <t>Angulares, planchuelas y barras</t>
        </is>
      </c>
      <c r="D672" s="5" t="inlineStr">
        <is>
          <t>Planchuela de hierro negro 1" x 1/4" x 20 pies</t>
        </is>
      </c>
      <c r="E672" s="5" t="inlineStr">
        <is>
          <t>Pletina de acero al carbono · 1" x 1/4" · barra de 20 pies</t>
        </is>
      </c>
      <c r="F672" s="5" t="inlineStr">
        <is>
          <t>Material retirado en almacén</t>
        </is>
      </c>
      <c r="G672" s="5" t="inlineStr">
        <is>
          <t>pletina, fleje de hierro, planchuela</t>
        </is>
      </c>
      <c r="H672" s="7" t="inlineStr">
        <is>
          <t>unidad</t>
        </is>
      </c>
      <c r="I672" s="7" t="inlineStr">
        <is>
          <t>Estructura</t>
        </is>
      </c>
      <c r="J672" s="7" t="inlineStr">
        <is>
          <t>estandar</t>
        </is>
      </c>
      <c r="K672" s="7" t="inlineStr">
        <is>
          <t>importado</t>
        </is>
      </c>
      <c r="L672" s="7" t="inlineStr">
        <is>
          <t>Verificado</t>
        </is>
      </c>
      <c r="M672" s="8" t="n">
        <v>1</v>
      </c>
      <c r="N672" s="9" t="n">
        <v>595</v>
      </c>
      <c r="O672" s="9" t="n">
        <v>595</v>
      </c>
      <c r="P672" s="9" t="n">
        <v>595</v>
      </c>
      <c r="Q672" s="7" t="inlineStr">
        <is>
          <t>Sí</t>
        </is>
      </c>
      <c r="R672" s="9">
        <f>IF(N672="","",IF(Q672="Sí",ROUND(N672/1.18,2),N672))</f>
        <v/>
      </c>
      <c r="S672" s="7" t="inlineStr">
        <is>
          <t>2026-09-09</t>
        </is>
      </c>
      <c r="T672" s="5" t="inlineStr">
        <is>
          <t>1 cotización de proveedores</t>
        </is>
      </c>
    </row>
    <row r="673">
      <c r="A673" s="7" t="inlineStr">
        <is>
          <t>MAT-20-032</t>
        </is>
      </c>
      <c r="B673" s="7" t="inlineStr">
        <is>
          <t>Materiales</t>
        </is>
      </c>
      <c r="C673" s="7" t="inlineStr">
        <is>
          <t>Angulares, planchuelas y barras</t>
        </is>
      </c>
      <c r="D673" s="5" t="inlineStr">
        <is>
          <t>Planchuela de hierro negro 1" x 1/2" x 20 pies</t>
        </is>
      </c>
      <c r="E673" s="5" t="inlineStr">
        <is>
          <t>Pletina de acero al carbono · 1" x 1/2" · barra de 20 pies</t>
        </is>
      </c>
      <c r="F673" s="5" t="inlineStr">
        <is>
          <t>Material retirado en almacén</t>
        </is>
      </c>
      <c r="G673" s="5" t="inlineStr">
        <is>
          <t>pletina, fleje de hierro, planchuela</t>
        </is>
      </c>
      <c r="H673" s="7" t="inlineStr">
        <is>
          <t>unidad</t>
        </is>
      </c>
      <c r="I673" s="7" t="inlineStr">
        <is>
          <t>Estructura</t>
        </is>
      </c>
      <c r="J673" s="7" t="inlineStr">
        <is>
          <t>estandar</t>
        </is>
      </c>
      <c r="K673" s="7" t="inlineStr">
        <is>
          <t>importado</t>
        </is>
      </c>
      <c r="L673" s="7" t="inlineStr">
        <is>
          <t>Verificado</t>
        </is>
      </c>
      <c r="M673" s="8" t="n">
        <v>1</v>
      </c>
      <c r="N673" s="9" t="n">
        <v>1327.5</v>
      </c>
      <c r="O673" s="9" t="n">
        <v>1327.5</v>
      </c>
      <c r="P673" s="9" t="n">
        <v>1327.5</v>
      </c>
      <c r="Q673" s="7" t="inlineStr">
        <is>
          <t>Sí</t>
        </is>
      </c>
      <c r="R673" s="9">
        <f>IF(N673="","",IF(Q673="Sí",ROUND(N673/1.18,2),N673))</f>
        <v/>
      </c>
      <c r="S673" s="7" t="inlineStr">
        <is>
          <t>2026-09-09</t>
        </is>
      </c>
      <c r="T673" s="5" t="inlineStr">
        <is>
          <t>1 cotización de proveedores</t>
        </is>
      </c>
    </row>
    <row r="674">
      <c r="A674" s="7" t="inlineStr">
        <is>
          <t>MAT-20-033</t>
        </is>
      </c>
      <c r="B674" s="7" t="inlineStr">
        <is>
          <t>Materiales</t>
        </is>
      </c>
      <c r="C674" s="7" t="inlineStr">
        <is>
          <t>Angulares, planchuelas y barras</t>
        </is>
      </c>
      <c r="D674" s="5" t="inlineStr">
        <is>
          <t>Planchuela de hierro negro 1 1/4" x 1/8" x 20 pies</t>
        </is>
      </c>
      <c r="E674" s="5" t="inlineStr">
        <is>
          <t>Pletina de acero al carbono · 1 1/4" x 1/8" · barra de 20 pies</t>
        </is>
      </c>
      <c r="F674" s="5" t="inlineStr">
        <is>
          <t>Material retirado en almacén</t>
        </is>
      </c>
      <c r="G674" s="5" t="inlineStr">
        <is>
          <t>pletina, fleje de hierro, planchuela</t>
        </is>
      </c>
      <c r="H674" s="7" t="inlineStr">
        <is>
          <t>unidad</t>
        </is>
      </c>
      <c r="I674" s="7" t="inlineStr">
        <is>
          <t>Estructura</t>
        </is>
      </c>
      <c r="J674" s="7" t="inlineStr">
        <is>
          <t>estandar</t>
        </is>
      </c>
      <c r="K674" s="7" t="inlineStr">
        <is>
          <t>importado</t>
        </is>
      </c>
      <c r="L674" s="7" t="inlineStr">
        <is>
          <t>Verificado</t>
        </is>
      </c>
      <c r="M674" s="8" t="n">
        <v>1</v>
      </c>
      <c r="N674" s="9" t="n">
        <v>415.35</v>
      </c>
      <c r="O674" s="9" t="n">
        <v>415.35</v>
      </c>
      <c r="P674" s="9" t="n">
        <v>415.35</v>
      </c>
      <c r="Q674" s="7" t="inlineStr">
        <is>
          <t>Sí</t>
        </is>
      </c>
      <c r="R674" s="9">
        <f>IF(N674="","",IF(Q674="Sí",ROUND(N674/1.18,2),N674))</f>
        <v/>
      </c>
      <c r="S674" s="7" t="inlineStr">
        <is>
          <t>2026-09-09</t>
        </is>
      </c>
      <c r="T674" s="5" t="inlineStr">
        <is>
          <t>1 cotización de proveedores</t>
        </is>
      </c>
    </row>
    <row r="675">
      <c r="A675" s="7" t="inlineStr">
        <is>
          <t>MAT-20-034</t>
        </is>
      </c>
      <c r="B675" s="7" t="inlineStr">
        <is>
          <t>Materiales</t>
        </is>
      </c>
      <c r="C675" s="7" t="inlineStr">
        <is>
          <t>Angulares, planchuelas y barras</t>
        </is>
      </c>
      <c r="D675" s="5" t="inlineStr">
        <is>
          <t>Planchuela de hierro negro 1 1/4" x 3/16" x 20 pies</t>
        </is>
      </c>
      <c r="E675" s="5" t="inlineStr">
        <is>
          <t>Pletina de acero al carbono · 1 1/4" x 3/16" · barra de 20 pies</t>
        </is>
      </c>
      <c r="F675" s="5" t="inlineStr">
        <is>
          <t>Material retirado en almacén</t>
        </is>
      </c>
      <c r="G675" s="5" t="inlineStr">
        <is>
          <t>pletina, fleje de hierro, planchuela</t>
        </is>
      </c>
      <c r="H675" s="7" t="inlineStr">
        <is>
          <t>unidad</t>
        </is>
      </c>
      <c r="I675" s="7" t="inlineStr">
        <is>
          <t>Estructura</t>
        </is>
      </c>
      <c r="J675" s="7" t="inlineStr">
        <is>
          <t>estandar</t>
        </is>
      </c>
      <c r="K675" s="7" t="inlineStr">
        <is>
          <t>importado</t>
        </is>
      </c>
      <c r="L675" s="7" t="inlineStr">
        <is>
          <t>Verificado</t>
        </is>
      </c>
      <c r="M675" s="8" t="n">
        <v>1</v>
      </c>
      <c r="N675" s="9" t="n">
        <v>614.58</v>
      </c>
      <c r="O675" s="9" t="n">
        <v>614.58</v>
      </c>
      <c r="P675" s="9" t="n">
        <v>614.58</v>
      </c>
      <c r="Q675" s="7" t="inlineStr">
        <is>
          <t>Sí</t>
        </is>
      </c>
      <c r="R675" s="9">
        <f>IF(N675="","",IF(Q675="Sí",ROUND(N675/1.18,2),N675))</f>
        <v/>
      </c>
      <c r="S675" s="7" t="inlineStr">
        <is>
          <t>2026-09-09</t>
        </is>
      </c>
      <c r="T675" s="5" t="inlineStr">
        <is>
          <t>1 cotización de proveedores</t>
        </is>
      </c>
    </row>
    <row r="676">
      <c r="A676" s="7" t="inlineStr">
        <is>
          <t>MAT-20-035</t>
        </is>
      </c>
      <c r="B676" s="7" t="inlineStr">
        <is>
          <t>Materiales</t>
        </is>
      </c>
      <c r="C676" s="7" t="inlineStr">
        <is>
          <t>Angulares, planchuelas y barras</t>
        </is>
      </c>
      <c r="D676" s="5" t="inlineStr">
        <is>
          <t>Planchuela de hierro negro 1 1/4" x 1/4" x 20 pies</t>
        </is>
      </c>
      <c r="E676" s="5" t="inlineStr">
        <is>
          <t>Pletina de acero al carbono · 1 1/4" x 1/4" · barra de 20 pies</t>
        </is>
      </c>
      <c r="F676" s="5" t="inlineStr">
        <is>
          <t>Material retirado en almacén</t>
        </is>
      </c>
      <c r="G676" s="5" t="inlineStr">
        <is>
          <t>pletina, fleje de hierro, planchuela</t>
        </is>
      </c>
      <c r="H676" s="7" t="inlineStr">
        <is>
          <t>unidad</t>
        </is>
      </c>
      <c r="I676" s="7" t="inlineStr">
        <is>
          <t>Estructura</t>
        </is>
      </c>
      <c r="J676" s="7" t="inlineStr">
        <is>
          <t>estandar</t>
        </is>
      </c>
      <c r="K676" s="7" t="inlineStr">
        <is>
          <t>importado</t>
        </is>
      </c>
      <c r="L676" s="7" t="inlineStr">
        <is>
          <t>Verificado</t>
        </is>
      </c>
      <c r="M676" s="8" t="n">
        <v>1</v>
      </c>
      <c r="N676" s="9" t="n">
        <v>745.5</v>
      </c>
      <c r="O676" s="9" t="n">
        <v>745.5</v>
      </c>
      <c r="P676" s="9" t="n">
        <v>745.5</v>
      </c>
      <c r="Q676" s="7" t="inlineStr">
        <is>
          <t>Sí</t>
        </is>
      </c>
      <c r="R676" s="9">
        <f>IF(N676="","",IF(Q676="Sí",ROUND(N676/1.18,2),N676))</f>
        <v/>
      </c>
      <c r="S676" s="7" t="inlineStr">
        <is>
          <t>2026-09-09</t>
        </is>
      </c>
      <c r="T676" s="5" t="inlineStr">
        <is>
          <t>1 cotización de proveedores</t>
        </is>
      </c>
    </row>
    <row r="677">
      <c r="A677" s="7" t="inlineStr">
        <is>
          <t>MAT-20-036</t>
        </is>
      </c>
      <c r="B677" s="7" t="inlineStr">
        <is>
          <t>Materiales</t>
        </is>
      </c>
      <c r="C677" s="7" t="inlineStr">
        <is>
          <t>Angulares, planchuelas y barras</t>
        </is>
      </c>
      <c r="D677" s="5" t="inlineStr">
        <is>
          <t>Planchuela de hierro negro 1 1/4" x 3/8" x 20 pies</t>
        </is>
      </c>
      <c r="E677" s="5" t="inlineStr">
        <is>
          <t>Pletina de acero al carbono · 1 1/4" x 3/8" · barra de 20 pies</t>
        </is>
      </c>
      <c r="F677" s="5" t="inlineStr">
        <is>
          <t>Material retirado en almacén</t>
        </is>
      </c>
      <c r="G677" s="5" t="inlineStr">
        <is>
          <t>pletina, fleje de hierro, planchuela</t>
        </is>
      </c>
      <c r="H677" s="7" t="inlineStr">
        <is>
          <t>unidad</t>
        </is>
      </c>
      <c r="I677" s="7" t="inlineStr">
        <is>
          <t>Estructura</t>
        </is>
      </c>
      <c r="J677" s="7" t="inlineStr">
        <is>
          <t>estandar</t>
        </is>
      </c>
      <c r="K677" s="7" t="inlineStr">
        <is>
          <t>importado</t>
        </is>
      </c>
      <c r="L677" s="7" t="inlineStr">
        <is>
          <t>Verificado</t>
        </is>
      </c>
      <c r="M677" s="8" t="n">
        <v>1</v>
      </c>
      <c r="N677" s="9" t="n">
        <v>1115.73</v>
      </c>
      <c r="O677" s="9" t="n">
        <v>1115.73</v>
      </c>
      <c r="P677" s="9" t="n">
        <v>1115.73</v>
      </c>
      <c r="Q677" s="7" t="inlineStr">
        <is>
          <t>Sí</t>
        </is>
      </c>
      <c r="R677" s="9">
        <f>IF(N677="","",IF(Q677="Sí",ROUND(N677/1.18,2),N677))</f>
        <v/>
      </c>
      <c r="S677" s="7" t="inlineStr">
        <is>
          <t>2026-09-09</t>
        </is>
      </c>
      <c r="T677" s="5" t="inlineStr">
        <is>
          <t>1 cotización de proveedores</t>
        </is>
      </c>
    </row>
    <row r="678">
      <c r="A678" s="7" t="inlineStr">
        <is>
          <t>MAT-20-037</t>
        </is>
      </c>
      <c r="B678" s="7" t="inlineStr">
        <is>
          <t>Materiales</t>
        </is>
      </c>
      <c r="C678" s="7" t="inlineStr">
        <is>
          <t>Angulares, planchuelas y barras</t>
        </is>
      </c>
      <c r="D678" s="5" t="inlineStr">
        <is>
          <t>Planchuela de hierro negro 1 1/2" x 1/8" x 20 pies</t>
        </is>
      </c>
      <c r="E678" s="5" t="inlineStr">
        <is>
          <t>Pletina de acero al carbono · 1 1/2" x 1/8" · barra de 20 pies</t>
        </is>
      </c>
      <c r="F678" s="5" t="inlineStr">
        <is>
          <t>Material retirado en almacén</t>
        </is>
      </c>
      <c r="G678" s="5" t="inlineStr">
        <is>
          <t>pletina, fleje de hierro, planchuela</t>
        </is>
      </c>
      <c r="H678" s="7" t="inlineStr">
        <is>
          <t>unidad</t>
        </is>
      </c>
      <c r="I678" s="7" t="inlineStr">
        <is>
          <t>Estructura</t>
        </is>
      </c>
      <c r="J678" s="7" t="inlineStr">
        <is>
          <t>estandar</t>
        </is>
      </c>
      <c r="K678" s="7" t="inlineStr">
        <is>
          <t>importado</t>
        </is>
      </c>
      <c r="L678" s="7" t="inlineStr">
        <is>
          <t>Verificado</t>
        </is>
      </c>
      <c r="M678" s="8" t="n">
        <v>1</v>
      </c>
      <c r="N678" s="9" t="n">
        <v>451.7</v>
      </c>
      <c r="O678" s="9" t="n">
        <v>451.7</v>
      </c>
      <c r="P678" s="9" t="n">
        <v>451.7</v>
      </c>
      <c r="Q678" s="7" t="inlineStr">
        <is>
          <t>Sí</t>
        </is>
      </c>
      <c r="R678" s="9">
        <f>IF(N678="","",IF(Q678="Sí",ROUND(N678/1.18,2),N678))</f>
        <v/>
      </c>
      <c r="S678" s="7" t="inlineStr">
        <is>
          <t>2026-09-09</t>
        </is>
      </c>
      <c r="T678" s="5" t="inlineStr">
        <is>
          <t>1 cotización de proveedores</t>
        </is>
      </c>
    </row>
    <row r="679">
      <c r="A679" s="7" t="inlineStr">
        <is>
          <t>MAT-20-038</t>
        </is>
      </c>
      <c r="B679" s="7" t="inlineStr">
        <is>
          <t>Materiales</t>
        </is>
      </c>
      <c r="C679" s="7" t="inlineStr">
        <is>
          <t>Angulares, planchuelas y barras</t>
        </is>
      </c>
      <c r="D679" s="5" t="inlineStr">
        <is>
          <t>Planchuela de hierro negro 1 1/2" x 3/16" x 20 pies</t>
        </is>
      </c>
      <c r="E679" s="5" t="inlineStr">
        <is>
          <t>Pletina de acero al carbono · 1 1/2" x 3/16" · barra de 20 pies</t>
        </is>
      </c>
      <c r="F679" s="5" t="inlineStr">
        <is>
          <t>Material retirado en almacén</t>
        </is>
      </c>
      <c r="G679" s="5" t="inlineStr">
        <is>
          <t>pletina, fleje de hierro, planchuela</t>
        </is>
      </c>
      <c r="H679" s="7" t="inlineStr">
        <is>
          <t>unidad</t>
        </is>
      </c>
      <c r="I679" s="7" t="inlineStr">
        <is>
          <t>Estructura</t>
        </is>
      </c>
      <c r="J679" s="7" t="inlineStr">
        <is>
          <t>estandar</t>
        </is>
      </c>
      <c r="K679" s="7" t="inlineStr">
        <is>
          <t>importado</t>
        </is>
      </c>
      <c r="L679" s="7" t="inlineStr">
        <is>
          <t>Verificado</t>
        </is>
      </c>
      <c r="M679" s="8" t="n">
        <v>1</v>
      </c>
      <c r="N679" s="9" t="n">
        <v>682.5</v>
      </c>
      <c r="O679" s="9" t="n">
        <v>682.5</v>
      </c>
      <c r="P679" s="9" t="n">
        <v>682.5</v>
      </c>
      <c r="Q679" s="7" t="inlineStr">
        <is>
          <t>Sí</t>
        </is>
      </c>
      <c r="R679" s="9">
        <f>IF(N679="","",IF(Q679="Sí",ROUND(N679/1.18,2),N679))</f>
        <v/>
      </c>
      <c r="S679" s="7" t="inlineStr">
        <is>
          <t>2026-09-09</t>
        </is>
      </c>
      <c r="T679" s="5" t="inlineStr">
        <is>
          <t>1 cotización de proveedores</t>
        </is>
      </c>
    </row>
    <row r="680">
      <c r="A680" s="7" t="inlineStr">
        <is>
          <t>MAT-20-039</t>
        </is>
      </c>
      <c r="B680" s="7" t="inlineStr">
        <is>
          <t>Materiales</t>
        </is>
      </c>
      <c r="C680" s="7" t="inlineStr">
        <is>
          <t>Angulares, planchuelas y barras</t>
        </is>
      </c>
      <c r="D680" s="5" t="inlineStr">
        <is>
          <t>Planchuela de hierro negro 1 1/2" x 1/4" x 20 pies</t>
        </is>
      </c>
      <c r="E680" s="5" t="inlineStr">
        <is>
          <t>Pletina de acero al carbono · 1 1/2" x 1/4" · barra de 20 pies</t>
        </is>
      </c>
      <c r="F680" s="5" t="inlineStr">
        <is>
          <t>Material retirado en almacén</t>
        </is>
      </c>
      <c r="G680" s="5" t="inlineStr">
        <is>
          <t>pletina, fleje de hierro, planchuela</t>
        </is>
      </c>
      <c r="H680" s="7" t="inlineStr">
        <is>
          <t>unidad</t>
        </is>
      </c>
      <c r="I680" s="7" t="inlineStr">
        <is>
          <t>Estructura</t>
        </is>
      </c>
      <c r="J680" s="7" t="inlineStr">
        <is>
          <t>estandar</t>
        </is>
      </c>
      <c r="K680" s="7" t="inlineStr">
        <is>
          <t>importado</t>
        </is>
      </c>
      <c r="L680" s="7" t="inlineStr">
        <is>
          <t>Verificado</t>
        </is>
      </c>
      <c r="M680" s="8" t="n">
        <v>1</v>
      </c>
      <c r="N680" s="9" t="n">
        <v>892.5</v>
      </c>
      <c r="O680" s="9" t="n">
        <v>892.5</v>
      </c>
      <c r="P680" s="9" t="n">
        <v>892.5</v>
      </c>
      <c r="Q680" s="7" t="inlineStr">
        <is>
          <t>Sí</t>
        </is>
      </c>
      <c r="R680" s="9">
        <f>IF(N680="","",IF(Q680="Sí",ROUND(N680/1.18,2),N680))</f>
        <v/>
      </c>
      <c r="S680" s="7" t="inlineStr">
        <is>
          <t>2026-09-09</t>
        </is>
      </c>
      <c r="T680" s="5" t="inlineStr">
        <is>
          <t>1 cotización de proveedores</t>
        </is>
      </c>
    </row>
    <row r="681">
      <c r="A681" s="7" t="inlineStr">
        <is>
          <t>MAT-20-040</t>
        </is>
      </c>
      <c r="B681" s="7" t="inlineStr">
        <is>
          <t>Materiales</t>
        </is>
      </c>
      <c r="C681" s="7" t="inlineStr">
        <is>
          <t>Angulares, planchuelas y barras</t>
        </is>
      </c>
      <c r="D681" s="5" t="inlineStr">
        <is>
          <t>Planchuela de hierro negro 1 1/2" x 3/8" x 20 pies</t>
        </is>
      </c>
      <c r="E681" s="5" t="inlineStr">
        <is>
          <t>Pletina de acero al carbono · 1 1/2" x 3/8" · barra de 20 pies</t>
        </is>
      </c>
      <c r="F681" s="5" t="inlineStr">
        <is>
          <t>Material retirado en almacén</t>
        </is>
      </c>
      <c r="G681" s="5" t="inlineStr">
        <is>
          <t>pletina, fleje de hierro, planchuela</t>
        </is>
      </c>
      <c r="H681" s="7" t="inlineStr">
        <is>
          <t>unidad</t>
        </is>
      </c>
      <c r="I681" s="7" t="inlineStr">
        <is>
          <t>Estructura</t>
        </is>
      </c>
      <c r="J681" s="7" t="inlineStr">
        <is>
          <t>estandar</t>
        </is>
      </c>
      <c r="K681" s="7" t="inlineStr">
        <is>
          <t>importado</t>
        </is>
      </c>
      <c r="L681" s="7" t="inlineStr">
        <is>
          <t>Verificado</t>
        </is>
      </c>
      <c r="M681" s="8" t="n">
        <v>1</v>
      </c>
      <c r="N681" s="9" t="n">
        <v>1338.75</v>
      </c>
      <c r="O681" s="9" t="n">
        <v>1338.75</v>
      </c>
      <c r="P681" s="9" t="n">
        <v>1338.75</v>
      </c>
      <c r="Q681" s="7" t="inlineStr">
        <is>
          <t>Sí</t>
        </is>
      </c>
      <c r="R681" s="9">
        <f>IF(N681="","",IF(Q681="Sí",ROUND(N681/1.18,2),N681))</f>
        <v/>
      </c>
      <c r="S681" s="7" t="inlineStr">
        <is>
          <t>2026-09-09</t>
        </is>
      </c>
      <c r="T681" s="5" t="inlineStr">
        <is>
          <t>1 cotización de proveedores</t>
        </is>
      </c>
    </row>
    <row r="682">
      <c r="A682" s="7" t="inlineStr">
        <is>
          <t>MAT-20-041</t>
        </is>
      </c>
      <c r="B682" s="7" t="inlineStr">
        <is>
          <t>Materiales</t>
        </is>
      </c>
      <c r="C682" s="7" t="inlineStr">
        <is>
          <t>Angulares, planchuelas y barras</t>
        </is>
      </c>
      <c r="D682" s="5" t="inlineStr">
        <is>
          <t>Planchuela de hierro negro 1 1/2" x 1/2" x 20 pies</t>
        </is>
      </c>
      <c r="E682" s="5" t="inlineStr">
        <is>
          <t>Pletina de acero al carbono · 1 1/2" x 1/2" · barra de 20 pies</t>
        </is>
      </c>
      <c r="F682" s="5" t="inlineStr">
        <is>
          <t>Material retirado en almacén</t>
        </is>
      </c>
      <c r="G682" s="5" t="inlineStr">
        <is>
          <t>pletina, fleje de hierro, planchuela</t>
        </is>
      </c>
      <c r="H682" s="7" t="inlineStr">
        <is>
          <t>unidad</t>
        </is>
      </c>
      <c r="I682" s="7" t="inlineStr">
        <is>
          <t>Estructura</t>
        </is>
      </c>
      <c r="J682" s="7" t="inlineStr">
        <is>
          <t>estandar</t>
        </is>
      </c>
      <c r="K682" s="7" t="inlineStr">
        <is>
          <t>importado</t>
        </is>
      </c>
      <c r="L682" s="7" t="inlineStr">
        <is>
          <t>Verificado</t>
        </is>
      </c>
      <c r="M682" s="8" t="n">
        <v>1</v>
      </c>
      <c r="N682" s="9" t="n">
        <v>1991.13</v>
      </c>
      <c r="O682" s="9" t="n">
        <v>1991.13</v>
      </c>
      <c r="P682" s="9" t="n">
        <v>1991.13</v>
      </c>
      <c r="Q682" s="7" t="inlineStr">
        <is>
          <t>Sí</t>
        </is>
      </c>
      <c r="R682" s="9">
        <f>IF(N682="","",IF(Q682="Sí",ROUND(N682/1.18,2),N682))</f>
        <v/>
      </c>
      <c r="S682" s="7" t="inlineStr">
        <is>
          <t>2026-09-09</t>
        </is>
      </c>
      <c r="T682" s="5" t="inlineStr">
        <is>
          <t>1 cotización de proveedores</t>
        </is>
      </c>
    </row>
    <row r="683">
      <c r="A683" s="7" t="inlineStr">
        <is>
          <t>MAT-20-042</t>
        </is>
      </c>
      <c r="B683" s="7" t="inlineStr">
        <is>
          <t>Materiales</t>
        </is>
      </c>
      <c r="C683" s="7" t="inlineStr">
        <is>
          <t>Angulares, planchuelas y barras</t>
        </is>
      </c>
      <c r="D683" s="5" t="inlineStr">
        <is>
          <t>Planchuela de hierro negro 2" x 1/8" x 20 pies</t>
        </is>
      </c>
      <c r="E683" s="5" t="inlineStr">
        <is>
          <t>Pletina de acero al carbono · 2" x 1/8" · barra de 20 pies</t>
        </is>
      </c>
      <c r="F683" s="5" t="inlineStr">
        <is>
          <t>Material retirado en almacén</t>
        </is>
      </c>
      <c r="G683" s="5" t="inlineStr">
        <is>
          <t>pletina, fleje de hierro, planchuela</t>
        </is>
      </c>
      <c r="H683" s="7" t="inlineStr">
        <is>
          <t>unidad</t>
        </is>
      </c>
      <c r="I683" s="7" t="inlineStr">
        <is>
          <t>Estructura</t>
        </is>
      </c>
      <c r="J683" s="7" t="inlineStr">
        <is>
          <t>estandar</t>
        </is>
      </c>
      <c r="K683" s="7" t="inlineStr">
        <is>
          <t>importado</t>
        </is>
      </c>
      <c r="L683" s="7" t="inlineStr">
        <is>
          <t>Verificado</t>
        </is>
      </c>
      <c r="M683" s="8" t="n">
        <v>1</v>
      </c>
      <c r="N683" s="9" t="n">
        <v>595</v>
      </c>
      <c r="O683" s="9" t="n">
        <v>595</v>
      </c>
      <c r="P683" s="9" t="n">
        <v>595</v>
      </c>
      <c r="Q683" s="7" t="inlineStr">
        <is>
          <t>Sí</t>
        </is>
      </c>
      <c r="R683" s="9">
        <f>IF(N683="","",IF(Q683="Sí",ROUND(N683/1.18,2),N683))</f>
        <v/>
      </c>
      <c r="S683" s="7" t="inlineStr">
        <is>
          <t>2026-09-09</t>
        </is>
      </c>
      <c r="T683" s="5" t="inlineStr">
        <is>
          <t>1 cotización de proveedores</t>
        </is>
      </c>
    </row>
    <row r="684">
      <c r="A684" s="7" t="inlineStr">
        <is>
          <t>MAT-20-043</t>
        </is>
      </c>
      <c r="B684" s="7" t="inlineStr">
        <is>
          <t>Materiales</t>
        </is>
      </c>
      <c r="C684" s="7" t="inlineStr">
        <is>
          <t>Angulares, planchuelas y barras</t>
        </is>
      </c>
      <c r="D684" s="5" t="inlineStr">
        <is>
          <t>Planchuela de hierro negro 2" x 3/16" x 20 pies</t>
        </is>
      </c>
      <c r="E684" s="5" t="inlineStr">
        <is>
          <t>Pletina de acero al carbono · 2" x 3/16" · barra de 20 pies</t>
        </is>
      </c>
      <c r="F684" s="5" t="inlineStr">
        <is>
          <t>Material retirado en almacén</t>
        </is>
      </c>
      <c r="G684" s="5" t="inlineStr">
        <is>
          <t>pletina, fleje de hierro, planchuela</t>
        </is>
      </c>
      <c r="H684" s="7" t="inlineStr">
        <is>
          <t>unidad</t>
        </is>
      </c>
      <c r="I684" s="7" t="inlineStr">
        <is>
          <t>Estructura</t>
        </is>
      </c>
      <c r="J684" s="7" t="inlineStr">
        <is>
          <t>estandar</t>
        </is>
      </c>
      <c r="K684" s="7" t="inlineStr">
        <is>
          <t>importado</t>
        </is>
      </c>
      <c r="L684" s="7" t="inlineStr">
        <is>
          <t>Verificado</t>
        </is>
      </c>
      <c r="M684" s="8" t="n">
        <v>1</v>
      </c>
      <c r="N684" s="9" t="n">
        <v>892.5</v>
      </c>
      <c r="O684" s="9" t="n">
        <v>892.5</v>
      </c>
      <c r="P684" s="9" t="n">
        <v>892.5</v>
      </c>
      <c r="Q684" s="7" t="inlineStr">
        <is>
          <t>Sí</t>
        </is>
      </c>
      <c r="R684" s="9">
        <f>IF(N684="","",IF(Q684="Sí",ROUND(N684/1.18,2),N684))</f>
        <v/>
      </c>
      <c r="S684" s="7" t="inlineStr">
        <is>
          <t>2026-09-09</t>
        </is>
      </c>
      <c r="T684" s="5" t="inlineStr">
        <is>
          <t>1 cotización de proveedores</t>
        </is>
      </c>
    </row>
    <row r="685">
      <c r="A685" s="7" t="inlineStr">
        <is>
          <t>MAT-20-044</t>
        </is>
      </c>
      <c r="B685" s="7" t="inlineStr">
        <is>
          <t>Materiales</t>
        </is>
      </c>
      <c r="C685" s="7" t="inlineStr">
        <is>
          <t>Angulares, planchuelas y barras</t>
        </is>
      </c>
      <c r="D685" s="5" t="inlineStr">
        <is>
          <t>Planchuela de hierro negro 2" x 1/4" x 20 pies</t>
        </is>
      </c>
      <c r="E685" s="5" t="inlineStr">
        <is>
          <t>Pletina de acero al carbono · 2" x 1/4" · barra de 20 pies</t>
        </is>
      </c>
      <c r="F685" s="5" t="inlineStr">
        <is>
          <t>Material retirado en almacén</t>
        </is>
      </c>
      <c r="G685" s="5" t="inlineStr">
        <is>
          <t>pletina, fleje de hierro, planchuela</t>
        </is>
      </c>
      <c r="H685" s="7" t="inlineStr">
        <is>
          <t>unidad</t>
        </is>
      </c>
      <c r="I685" s="7" t="inlineStr">
        <is>
          <t>Estructura</t>
        </is>
      </c>
      <c r="J685" s="7" t="inlineStr">
        <is>
          <t>estandar</t>
        </is>
      </c>
      <c r="K685" s="7" t="inlineStr">
        <is>
          <t>importado</t>
        </is>
      </c>
      <c r="L685" s="7" t="inlineStr">
        <is>
          <t>Verificado</t>
        </is>
      </c>
      <c r="M685" s="8" t="n">
        <v>1</v>
      </c>
      <c r="N685" s="9" t="n">
        <v>1189.99</v>
      </c>
      <c r="O685" s="9" t="n">
        <v>1189.99</v>
      </c>
      <c r="P685" s="9" t="n">
        <v>1189.99</v>
      </c>
      <c r="Q685" s="7" t="inlineStr">
        <is>
          <t>Sí</t>
        </is>
      </c>
      <c r="R685" s="9">
        <f>IF(N685="","",IF(Q685="Sí",ROUND(N685/1.18,2),N685))</f>
        <v/>
      </c>
      <c r="S685" s="7" t="inlineStr">
        <is>
          <t>2026-09-09</t>
        </is>
      </c>
      <c r="T685" s="5" t="inlineStr">
        <is>
          <t>1 cotización de proveedores</t>
        </is>
      </c>
    </row>
    <row r="686">
      <c r="A686" s="7" t="inlineStr">
        <is>
          <t>MAT-20-045</t>
        </is>
      </c>
      <c r="B686" s="7" t="inlineStr">
        <is>
          <t>Materiales</t>
        </is>
      </c>
      <c r="C686" s="7" t="inlineStr">
        <is>
          <t>Angulares, planchuelas y barras</t>
        </is>
      </c>
      <c r="D686" s="5" t="inlineStr">
        <is>
          <t>Planchuela de hierro negro 2" x 3/8" x 20 pies</t>
        </is>
      </c>
      <c r="E686" s="5" t="inlineStr">
        <is>
          <t>Pletina de acero al carbono · 2" x 3/8" · barra de 20 pies</t>
        </is>
      </c>
      <c r="F686" s="5" t="inlineStr">
        <is>
          <t>Material retirado en almacén</t>
        </is>
      </c>
      <c r="G686" s="5" t="inlineStr">
        <is>
          <t>pletina, fleje de hierro, planchuela</t>
        </is>
      </c>
      <c r="H686" s="7" t="inlineStr">
        <is>
          <t>unidad</t>
        </is>
      </c>
      <c r="I686" s="7" t="inlineStr">
        <is>
          <t>Estructura</t>
        </is>
      </c>
      <c r="J686" s="7" t="inlineStr">
        <is>
          <t>estandar</t>
        </is>
      </c>
      <c r="K686" s="7" t="inlineStr">
        <is>
          <t>importado</t>
        </is>
      </c>
      <c r="L686" s="7" t="inlineStr">
        <is>
          <t>Verificado</t>
        </is>
      </c>
      <c r="M686" s="8" t="n">
        <v>1</v>
      </c>
      <c r="N686" s="9" t="n">
        <v>1785</v>
      </c>
      <c r="O686" s="9" t="n">
        <v>1785</v>
      </c>
      <c r="P686" s="9" t="n">
        <v>1785</v>
      </c>
      <c r="Q686" s="7" t="inlineStr">
        <is>
          <t>Sí</t>
        </is>
      </c>
      <c r="R686" s="9">
        <f>IF(N686="","",IF(Q686="Sí",ROUND(N686/1.18,2),N686))</f>
        <v/>
      </c>
      <c r="S686" s="7" t="inlineStr">
        <is>
          <t>2026-09-09</t>
        </is>
      </c>
      <c r="T686" s="5" t="inlineStr">
        <is>
          <t>1 cotización de proveedores</t>
        </is>
      </c>
    </row>
    <row r="687">
      <c r="A687" s="7" t="inlineStr">
        <is>
          <t>MAT-20-046</t>
        </is>
      </c>
      <c r="B687" s="7" t="inlineStr">
        <is>
          <t>Materiales</t>
        </is>
      </c>
      <c r="C687" s="7" t="inlineStr">
        <is>
          <t>Angulares, planchuelas y barras</t>
        </is>
      </c>
      <c r="D687" s="5" t="inlineStr">
        <is>
          <t>Planchuela de hierro negro 2" x 1/2" x 20 pies</t>
        </is>
      </c>
      <c r="E687" s="5" t="inlineStr">
        <is>
          <t>Pletina de acero al carbono · 2" x 1/2" · barra de 20 pies</t>
        </is>
      </c>
      <c r="F687" s="5" t="inlineStr">
        <is>
          <t>Material retirado en almacén</t>
        </is>
      </c>
      <c r="G687" s="5" t="inlineStr">
        <is>
          <t>pletina, fleje de hierro, planchuela</t>
        </is>
      </c>
      <c r="H687" s="7" t="inlineStr">
        <is>
          <t>unidad</t>
        </is>
      </c>
      <c r="I687" s="7" t="inlineStr">
        <is>
          <t>Estructura</t>
        </is>
      </c>
      <c r="J687" s="7" t="inlineStr">
        <is>
          <t>estandar</t>
        </is>
      </c>
      <c r="K687" s="7" t="inlineStr">
        <is>
          <t>importado</t>
        </is>
      </c>
      <c r="L687" s="7" t="inlineStr">
        <is>
          <t>Verificado</t>
        </is>
      </c>
      <c r="M687" s="8" t="n">
        <v>1</v>
      </c>
      <c r="N687" s="9" t="n">
        <v>2380</v>
      </c>
      <c r="O687" s="9" t="n">
        <v>2380</v>
      </c>
      <c r="P687" s="9" t="n">
        <v>2380</v>
      </c>
      <c r="Q687" s="7" t="inlineStr">
        <is>
          <t>Sí</t>
        </is>
      </c>
      <c r="R687" s="9">
        <f>IF(N687="","",IF(Q687="Sí",ROUND(N687/1.18,2),N687))</f>
        <v/>
      </c>
      <c r="S687" s="7" t="inlineStr">
        <is>
          <t>2026-09-09</t>
        </is>
      </c>
      <c r="T687" s="5" t="inlineStr">
        <is>
          <t>1 cotización de proveedores</t>
        </is>
      </c>
    </row>
    <row r="688">
      <c r="A688" s="7" t="inlineStr">
        <is>
          <t>MAT-20-047</t>
        </is>
      </c>
      <c r="B688" s="7" t="inlineStr">
        <is>
          <t>Materiales</t>
        </is>
      </c>
      <c r="C688" s="7" t="inlineStr">
        <is>
          <t>Angulares, planchuelas y barras</t>
        </is>
      </c>
      <c r="D688" s="5" t="inlineStr">
        <is>
          <t>Planchuela de hierro negro 2 1/2" x 1/4" x 20 pies</t>
        </is>
      </c>
      <c r="E688" s="5" t="inlineStr">
        <is>
          <t>Pletina de acero al carbono · 2 1/2" x 1/4" · barra de 20 pies</t>
        </is>
      </c>
      <c r="F688" s="5" t="inlineStr">
        <is>
          <t>Material retirado en almacén</t>
        </is>
      </c>
      <c r="G688" s="5" t="inlineStr">
        <is>
          <t>pletina, fleje de hierro, planchuela</t>
        </is>
      </c>
      <c r="H688" s="7" t="inlineStr">
        <is>
          <t>unidad</t>
        </is>
      </c>
      <c r="I688" s="7" t="inlineStr">
        <is>
          <t>Estructura</t>
        </is>
      </c>
      <c r="J688" s="7" t="inlineStr">
        <is>
          <t>estandar</t>
        </is>
      </c>
      <c r="K688" s="7" t="inlineStr">
        <is>
          <t>importado</t>
        </is>
      </c>
      <c r="L688" s="7" t="inlineStr">
        <is>
          <t>Verificado</t>
        </is>
      </c>
      <c r="M688" s="8" t="n">
        <v>1</v>
      </c>
      <c r="N688" s="9" t="n">
        <v>1487.5</v>
      </c>
      <c r="O688" s="9" t="n">
        <v>1487.5</v>
      </c>
      <c r="P688" s="9" t="n">
        <v>1487.5</v>
      </c>
      <c r="Q688" s="7" t="inlineStr">
        <is>
          <t>Sí</t>
        </is>
      </c>
      <c r="R688" s="9">
        <f>IF(N688="","",IF(Q688="Sí",ROUND(N688/1.18,2),N688))</f>
        <v/>
      </c>
      <c r="S688" s="7" t="inlineStr">
        <is>
          <t>2026-09-09</t>
        </is>
      </c>
      <c r="T688" s="5" t="inlineStr">
        <is>
          <t>1 cotización de proveedores</t>
        </is>
      </c>
    </row>
    <row r="689">
      <c r="A689" s="7" t="inlineStr">
        <is>
          <t>MAT-20-048</t>
        </is>
      </c>
      <c r="B689" s="7" t="inlineStr">
        <is>
          <t>Materiales</t>
        </is>
      </c>
      <c r="C689" s="7" t="inlineStr">
        <is>
          <t>Angulares, planchuelas y barras</t>
        </is>
      </c>
      <c r="D689" s="5" t="inlineStr">
        <is>
          <t>Planchuela de hierro negro 2 1/2" x 3/8" x 20 pies</t>
        </is>
      </c>
      <c r="E689" s="5" t="inlineStr">
        <is>
          <t>Pletina de acero al carbono · 2 1/2" x 3/8" · barra de 20 pies</t>
        </is>
      </c>
      <c r="F689" s="5" t="inlineStr">
        <is>
          <t>Material retirado en almacén</t>
        </is>
      </c>
      <c r="G689" s="5" t="inlineStr">
        <is>
          <t>pletina, fleje de hierro, planchuela</t>
        </is>
      </c>
      <c r="H689" s="7" t="inlineStr">
        <is>
          <t>unidad</t>
        </is>
      </c>
      <c r="I689" s="7" t="inlineStr">
        <is>
          <t>Estructura</t>
        </is>
      </c>
      <c r="J689" s="7" t="inlineStr">
        <is>
          <t>estandar</t>
        </is>
      </c>
      <c r="K689" s="7" t="inlineStr">
        <is>
          <t>importado</t>
        </is>
      </c>
      <c r="L689" s="7" t="inlineStr">
        <is>
          <t>Verificado</t>
        </is>
      </c>
      <c r="M689" s="8" t="n">
        <v>1</v>
      </c>
      <c r="N689" s="9" t="n">
        <v>2231.6</v>
      </c>
      <c r="O689" s="9" t="n">
        <v>2231.6</v>
      </c>
      <c r="P689" s="9" t="n">
        <v>2231.6</v>
      </c>
      <c r="Q689" s="7" t="inlineStr">
        <is>
          <t>Sí</t>
        </is>
      </c>
      <c r="R689" s="9">
        <f>IF(N689="","",IF(Q689="Sí",ROUND(N689/1.18,2),N689))</f>
        <v/>
      </c>
      <c r="S689" s="7" t="inlineStr">
        <is>
          <t>2026-09-09</t>
        </is>
      </c>
      <c r="T689" s="5" t="inlineStr">
        <is>
          <t>1 cotización de proveedores</t>
        </is>
      </c>
    </row>
    <row r="690">
      <c r="A690" s="7" t="inlineStr">
        <is>
          <t>MAT-20-049</t>
        </is>
      </c>
      <c r="B690" s="7" t="inlineStr">
        <is>
          <t>Materiales</t>
        </is>
      </c>
      <c r="C690" s="7" t="inlineStr">
        <is>
          <t>Angulares, planchuelas y barras</t>
        </is>
      </c>
      <c r="D690" s="5" t="inlineStr">
        <is>
          <t>Planchuela de hierro negro 3" x 1/4" x 20 pies</t>
        </is>
      </c>
      <c r="E690" s="5" t="inlineStr">
        <is>
          <t>Pletina de acero al carbono · 3" x 1/4" · barra de 20 pies</t>
        </is>
      </c>
      <c r="F690" s="5" t="inlineStr">
        <is>
          <t>Material retirado en almacén</t>
        </is>
      </c>
      <c r="G690" s="5" t="inlineStr">
        <is>
          <t>pletina, fleje de hierro, planchuela</t>
        </is>
      </c>
      <c r="H690" s="7" t="inlineStr">
        <is>
          <t>unidad</t>
        </is>
      </c>
      <c r="I690" s="7" t="inlineStr">
        <is>
          <t>Estructura</t>
        </is>
      </c>
      <c r="J690" s="7" t="inlineStr">
        <is>
          <t>estandar</t>
        </is>
      </c>
      <c r="K690" s="7" t="inlineStr">
        <is>
          <t>importado</t>
        </is>
      </c>
      <c r="L690" s="7" t="inlineStr">
        <is>
          <t>Verificado</t>
        </is>
      </c>
      <c r="M690" s="8" t="n">
        <v>1</v>
      </c>
      <c r="N690" s="9" t="n">
        <v>1785</v>
      </c>
      <c r="O690" s="9" t="n">
        <v>1785</v>
      </c>
      <c r="P690" s="9" t="n">
        <v>1785</v>
      </c>
      <c r="Q690" s="7" t="inlineStr">
        <is>
          <t>Sí</t>
        </is>
      </c>
      <c r="R690" s="9">
        <f>IF(N690="","",IF(Q690="Sí",ROUND(N690/1.18,2),N690))</f>
        <v/>
      </c>
      <c r="S690" s="7" t="inlineStr">
        <is>
          <t>2026-09-09</t>
        </is>
      </c>
      <c r="T690" s="5" t="inlineStr">
        <is>
          <t>1 cotización de proveedores</t>
        </is>
      </c>
    </row>
    <row r="691">
      <c r="A691" s="7" t="inlineStr">
        <is>
          <t>MAT-20-050</t>
        </is>
      </c>
      <c r="B691" s="7" t="inlineStr">
        <is>
          <t>Materiales</t>
        </is>
      </c>
      <c r="C691" s="7" t="inlineStr">
        <is>
          <t>Angulares, planchuelas y barras</t>
        </is>
      </c>
      <c r="D691" s="5" t="inlineStr">
        <is>
          <t>Planchuela de hierro negro 3" x 3/8" x 20 pies</t>
        </is>
      </c>
      <c r="E691" s="5" t="inlineStr">
        <is>
          <t>Pletina de acero al carbono · 3" x 3/8" · barra de 20 pies</t>
        </is>
      </c>
      <c r="F691" s="5" t="inlineStr">
        <is>
          <t>Material retirado en almacén</t>
        </is>
      </c>
      <c r="G691" s="5" t="inlineStr">
        <is>
          <t>pletina, fleje de hierro, planchuela</t>
        </is>
      </c>
      <c r="H691" s="7" t="inlineStr">
        <is>
          <t>unidad</t>
        </is>
      </c>
      <c r="I691" s="7" t="inlineStr">
        <is>
          <t>Estructura</t>
        </is>
      </c>
      <c r="J691" s="7" t="inlineStr">
        <is>
          <t>estandar</t>
        </is>
      </c>
      <c r="K691" s="7" t="inlineStr">
        <is>
          <t>importado</t>
        </is>
      </c>
      <c r="L691" s="7" t="inlineStr">
        <is>
          <t>Verificado</t>
        </is>
      </c>
      <c r="M691" s="8" t="n">
        <v>1</v>
      </c>
      <c r="N691" s="9" t="n">
        <v>2677.62</v>
      </c>
      <c r="O691" s="9" t="n">
        <v>2677.62</v>
      </c>
      <c r="P691" s="9" t="n">
        <v>2677.62</v>
      </c>
      <c r="Q691" s="7" t="inlineStr">
        <is>
          <t>Sí</t>
        </is>
      </c>
      <c r="R691" s="9">
        <f>IF(N691="","",IF(Q691="Sí",ROUND(N691/1.18,2),N691))</f>
        <v/>
      </c>
      <c r="S691" s="7" t="inlineStr">
        <is>
          <t>2026-09-09</t>
        </is>
      </c>
      <c r="T691" s="5" t="inlineStr">
        <is>
          <t>1 cotización de proveedores</t>
        </is>
      </c>
    </row>
    <row r="692">
      <c r="A692" s="7" t="inlineStr">
        <is>
          <t>MAT-20-051</t>
        </is>
      </c>
      <c r="B692" s="7" t="inlineStr">
        <is>
          <t>Materiales</t>
        </is>
      </c>
      <c r="C692" s="7" t="inlineStr">
        <is>
          <t>Angulares, planchuelas y barras</t>
        </is>
      </c>
      <c r="D692" s="5" t="inlineStr">
        <is>
          <t>Planchuela de hierro negro 4" x 1/4" x 20 pies</t>
        </is>
      </c>
      <c r="E692" s="5" t="inlineStr">
        <is>
          <t>Pletina de acero al carbono · 4" x 1/4" · barra de 20 pies</t>
        </is>
      </c>
      <c r="F692" s="5" t="inlineStr">
        <is>
          <t>Material retirado en almacén</t>
        </is>
      </c>
      <c r="G692" s="5" t="inlineStr">
        <is>
          <t>pletina, fleje de hierro, planchuela</t>
        </is>
      </c>
      <c r="H692" s="7" t="inlineStr">
        <is>
          <t>unidad</t>
        </is>
      </c>
      <c r="I692" s="7" t="inlineStr">
        <is>
          <t>Estructura</t>
        </is>
      </c>
      <c r="J692" s="7" t="inlineStr">
        <is>
          <t>estandar</t>
        </is>
      </c>
      <c r="K692" s="7" t="inlineStr">
        <is>
          <t>importado</t>
        </is>
      </c>
      <c r="L692" s="7" t="inlineStr">
        <is>
          <t>Verificado</t>
        </is>
      </c>
      <c r="M692" s="8" t="n">
        <v>1</v>
      </c>
      <c r="N692" s="9" t="n">
        <v>2380</v>
      </c>
      <c r="O692" s="9" t="n">
        <v>2380</v>
      </c>
      <c r="P692" s="9" t="n">
        <v>2380</v>
      </c>
      <c r="Q692" s="7" t="inlineStr">
        <is>
          <t>Sí</t>
        </is>
      </c>
      <c r="R692" s="9">
        <f>IF(N692="","",IF(Q692="Sí",ROUND(N692/1.18,2),N692))</f>
        <v/>
      </c>
      <c r="S692" s="7" t="inlineStr">
        <is>
          <t>2026-09-09</t>
        </is>
      </c>
      <c r="T692" s="5" t="inlineStr">
        <is>
          <t>1 cotización de proveedores</t>
        </is>
      </c>
    </row>
    <row r="693">
      <c r="A693" s="7" t="inlineStr">
        <is>
          <t>MAT-20-052</t>
        </is>
      </c>
      <c r="B693" s="7" t="inlineStr">
        <is>
          <t>Materiales</t>
        </is>
      </c>
      <c r="C693" s="7" t="inlineStr">
        <is>
          <t>Angulares, planchuelas y barras</t>
        </is>
      </c>
      <c r="D693" s="5" t="inlineStr">
        <is>
          <t>Planchuela de hierro negro 4" x 3/8" x 20 pies</t>
        </is>
      </c>
      <c r="E693" s="5" t="inlineStr">
        <is>
          <t>Pletina de acero al carbono · 4" x 3/8" · barra de 20 pies</t>
        </is>
      </c>
      <c r="F693" s="5" t="inlineStr">
        <is>
          <t>Material retirado en almacén</t>
        </is>
      </c>
      <c r="G693" s="5" t="inlineStr">
        <is>
          <t>pletina, fleje de hierro, planchuela</t>
        </is>
      </c>
      <c r="H693" s="7" t="inlineStr">
        <is>
          <t>unidad</t>
        </is>
      </c>
      <c r="I693" s="7" t="inlineStr">
        <is>
          <t>Estructura</t>
        </is>
      </c>
      <c r="J693" s="7" t="inlineStr">
        <is>
          <t>estandar</t>
        </is>
      </c>
      <c r="K693" s="7" t="inlineStr">
        <is>
          <t>importado</t>
        </is>
      </c>
      <c r="L693" s="7" t="inlineStr">
        <is>
          <t>Verificado</t>
        </is>
      </c>
      <c r="M693" s="8" t="n">
        <v>1</v>
      </c>
      <c r="N693" s="9" t="n">
        <v>3982.5</v>
      </c>
      <c r="O693" s="9" t="n">
        <v>3982.5</v>
      </c>
      <c r="P693" s="9" t="n">
        <v>3982.5</v>
      </c>
      <c r="Q693" s="7" t="inlineStr">
        <is>
          <t>Sí</t>
        </is>
      </c>
      <c r="R693" s="9">
        <f>IF(N693="","",IF(Q693="Sí",ROUND(N693/1.18,2),N693))</f>
        <v/>
      </c>
      <c r="S693" s="7" t="inlineStr">
        <is>
          <t>2026-09-09</t>
        </is>
      </c>
      <c r="T693" s="5" t="inlineStr">
        <is>
          <t>1 cotización de proveedores</t>
        </is>
      </c>
    </row>
    <row r="694">
      <c r="A694" s="7" t="inlineStr">
        <is>
          <t>MAT-20-053</t>
        </is>
      </c>
      <c r="B694" s="7" t="inlineStr">
        <is>
          <t>Materiales</t>
        </is>
      </c>
      <c r="C694" s="7" t="inlineStr">
        <is>
          <t>Angulares, planchuelas y barras</t>
        </is>
      </c>
      <c r="D694" s="5" t="inlineStr">
        <is>
          <t>Planchuela de acero inoxidable 2" x 1/8" x 20 pies</t>
        </is>
      </c>
      <c r="E694" s="5" t="inlineStr">
        <is>
          <t>Pletina de acero inoxidable · 2" x 1/8" · barra de 20 pies</t>
        </is>
      </c>
      <c r="F694" s="5" t="inlineStr">
        <is>
          <t>Material retirado en almacén</t>
        </is>
      </c>
      <c r="G694" s="5" t="inlineStr">
        <is>
          <t>pletina inoxidable, planchuela inox</t>
        </is>
      </c>
      <c r="H694" s="7" t="inlineStr">
        <is>
          <t>unidad</t>
        </is>
      </c>
      <c r="I694" s="7" t="inlineStr">
        <is>
          <t>Estructura</t>
        </is>
      </c>
      <c r="J694" s="7" t="inlineStr">
        <is>
          <t>premium</t>
        </is>
      </c>
      <c r="K694" s="7" t="inlineStr">
        <is>
          <t>importado</t>
        </is>
      </c>
      <c r="L694" s="7" t="inlineStr">
        <is>
          <t>Verificado</t>
        </is>
      </c>
      <c r="M694" s="8" t="n">
        <v>1</v>
      </c>
      <c r="N694" s="9" t="n">
        <v>1397.2</v>
      </c>
      <c r="O694" s="9" t="n">
        <v>1397.2</v>
      </c>
      <c r="P694" s="9" t="n">
        <v>1397.2</v>
      </c>
      <c r="Q694" s="7" t="inlineStr">
        <is>
          <t>Sí</t>
        </is>
      </c>
      <c r="R694" s="9">
        <f>IF(N694="","",IF(Q694="Sí",ROUND(N694/1.18,2),N694))</f>
        <v/>
      </c>
      <c r="S694" s="7" t="inlineStr">
        <is>
          <t>2026-09-09</t>
        </is>
      </c>
      <c r="T694" s="5" t="inlineStr">
        <is>
          <t>1 cotización de proveedores</t>
        </is>
      </c>
    </row>
    <row r="695">
      <c r="A695" s="7" t="inlineStr">
        <is>
          <t>MAT-20-054</t>
        </is>
      </c>
      <c r="B695" s="7" t="inlineStr">
        <is>
          <t>Materiales</t>
        </is>
      </c>
      <c r="C695" s="7" t="inlineStr">
        <is>
          <t>Angulares, planchuelas y barras</t>
        </is>
      </c>
      <c r="D695" s="5" t="inlineStr">
        <is>
          <t>Barra cuadrada de acero 7/16" x 20 pies</t>
        </is>
      </c>
      <c r="E695" s="5" t="inlineStr">
        <is>
          <t>Acero al carbono liso · sección cuadrada de 7/16" · barra de 20 pies</t>
        </is>
      </c>
      <c r="F695" s="5" t="inlineStr">
        <is>
          <t>Material retirado en almacén</t>
        </is>
      </c>
      <c r="G695" s="5" t="inlineStr">
        <is>
          <t>barra cuadrada, hierro cuadrado</t>
        </is>
      </c>
      <c r="H695" s="7" t="inlineStr">
        <is>
          <t>unidad</t>
        </is>
      </c>
      <c r="I695" s="7" t="inlineStr">
        <is>
          <t>Estructura</t>
        </is>
      </c>
      <c r="J695" s="7" t="inlineStr">
        <is>
          <t>estandar</t>
        </is>
      </c>
      <c r="K695" s="7" t="inlineStr">
        <is>
          <t>importado</t>
        </is>
      </c>
      <c r="L695" s="7" t="inlineStr">
        <is>
          <t>Verificado</t>
        </is>
      </c>
      <c r="M695" s="8" t="n">
        <v>1</v>
      </c>
      <c r="N695" s="9" t="n">
        <v>411.76</v>
      </c>
      <c r="O695" s="9" t="n">
        <v>411.76</v>
      </c>
      <c r="P695" s="9" t="n">
        <v>411.76</v>
      </c>
      <c r="Q695" s="7" t="inlineStr">
        <is>
          <t>Sí</t>
        </is>
      </c>
      <c r="R695" s="9">
        <f>IF(N695="","",IF(Q695="Sí",ROUND(N695/1.18,2),N695))</f>
        <v/>
      </c>
      <c r="S695" s="7" t="inlineStr">
        <is>
          <t>2026-09-09</t>
        </is>
      </c>
      <c r="T695" s="5" t="inlineStr">
        <is>
          <t>1 cotización de proveedores</t>
        </is>
      </c>
    </row>
    <row r="696">
      <c r="A696" s="7" t="inlineStr">
        <is>
          <t>MAT-20-055</t>
        </is>
      </c>
      <c r="B696" s="7" t="inlineStr">
        <is>
          <t>Materiales</t>
        </is>
      </c>
      <c r="C696" s="7" t="inlineStr">
        <is>
          <t>Angulares, planchuelas y barras</t>
        </is>
      </c>
      <c r="D696" s="5" t="inlineStr">
        <is>
          <t>Barra cuadrada de acero 1/2" x 20 pies</t>
        </is>
      </c>
      <c r="E696" s="5" t="inlineStr">
        <is>
          <t>Acero al carbono liso · sección cuadrada de 1/2" · barra de 20 pies</t>
        </is>
      </c>
      <c r="F696" s="5" t="inlineStr">
        <is>
          <t>Material retirado en almacén</t>
        </is>
      </c>
      <c r="G696" s="5" t="inlineStr">
        <is>
          <t>barra cuadrada, hierro cuadrado</t>
        </is>
      </c>
      <c r="H696" s="7" t="inlineStr">
        <is>
          <t>unidad</t>
        </is>
      </c>
      <c r="I696" s="7" t="inlineStr">
        <is>
          <t>Estructura</t>
        </is>
      </c>
      <c r="J696" s="7" t="inlineStr">
        <is>
          <t>estandar</t>
        </is>
      </c>
      <c r="K696" s="7" t="inlineStr">
        <is>
          <t>importado</t>
        </is>
      </c>
      <c r="L696" s="7" t="inlineStr">
        <is>
          <t>Verificado</t>
        </is>
      </c>
      <c r="M696" s="8" t="n">
        <v>1</v>
      </c>
      <c r="N696" s="9" t="n">
        <v>538.46</v>
      </c>
      <c r="O696" s="9" t="n">
        <v>538.46</v>
      </c>
      <c r="P696" s="9" t="n">
        <v>538.46</v>
      </c>
      <c r="Q696" s="7" t="inlineStr">
        <is>
          <t>Sí</t>
        </is>
      </c>
      <c r="R696" s="9">
        <f>IF(N696="","",IF(Q696="Sí",ROUND(N696/1.18,2),N696))</f>
        <v/>
      </c>
      <c r="S696" s="7" t="inlineStr">
        <is>
          <t>2026-09-09</t>
        </is>
      </c>
      <c r="T696" s="5" t="inlineStr">
        <is>
          <t>1 cotización de proveedores</t>
        </is>
      </c>
    </row>
    <row r="697">
      <c r="A697" s="7" t="inlineStr">
        <is>
          <t>MAT-20-056</t>
        </is>
      </c>
      <c r="B697" s="7" t="inlineStr">
        <is>
          <t>Materiales</t>
        </is>
      </c>
      <c r="C697" s="7" t="inlineStr">
        <is>
          <t>Angulares, planchuelas y barras</t>
        </is>
      </c>
      <c r="D697" s="5" t="inlineStr">
        <is>
          <t>Barra cuadrada de acero 5/8" x 20 pies</t>
        </is>
      </c>
      <c r="E697" s="5" t="inlineStr">
        <is>
          <t>Acero al carbono liso · sección cuadrada de 5/8" · barra de 20 pies</t>
        </is>
      </c>
      <c r="F697" s="5" t="inlineStr">
        <is>
          <t>Material retirado en almacén</t>
        </is>
      </c>
      <c r="G697" s="5" t="inlineStr">
        <is>
          <t>barra cuadrada, hierro cuadrado</t>
        </is>
      </c>
      <c r="H697" s="7" t="inlineStr">
        <is>
          <t>unidad</t>
        </is>
      </c>
      <c r="I697" s="7" t="inlineStr">
        <is>
          <t>Estructura</t>
        </is>
      </c>
      <c r="J697" s="7" t="inlineStr">
        <is>
          <t>estandar</t>
        </is>
      </c>
      <c r="K697" s="7" t="inlineStr">
        <is>
          <t>importado</t>
        </is>
      </c>
      <c r="L697" s="7" t="inlineStr">
        <is>
          <t>Verificado</t>
        </is>
      </c>
      <c r="M697" s="8" t="n">
        <v>1</v>
      </c>
      <c r="N697" s="9" t="n">
        <v>843.37</v>
      </c>
      <c r="O697" s="9" t="n">
        <v>843.37</v>
      </c>
      <c r="P697" s="9" t="n">
        <v>843.37</v>
      </c>
      <c r="Q697" s="7" t="inlineStr">
        <is>
          <t>Sí</t>
        </is>
      </c>
      <c r="R697" s="9">
        <f>IF(N697="","",IF(Q697="Sí",ROUND(N697/1.18,2),N697))</f>
        <v/>
      </c>
      <c r="S697" s="7" t="inlineStr">
        <is>
          <t>2026-09-09</t>
        </is>
      </c>
      <c r="T697" s="5" t="inlineStr">
        <is>
          <t>1 cotización de proveedores</t>
        </is>
      </c>
    </row>
    <row r="698">
      <c r="A698" s="7" t="inlineStr">
        <is>
          <t>MAT-20-057</t>
        </is>
      </c>
      <c r="B698" s="7" t="inlineStr">
        <is>
          <t>Materiales</t>
        </is>
      </c>
      <c r="C698" s="7" t="inlineStr">
        <is>
          <t>Angulares, planchuelas y barras</t>
        </is>
      </c>
      <c r="D698" s="5" t="inlineStr">
        <is>
          <t>Barra redonda de acero 3/8" x 20 pies</t>
        </is>
      </c>
      <c r="E698" s="5" t="inlineStr">
        <is>
          <t>Acero al carbono liso · sección redonda de 3/8" · barra de 20 pies</t>
        </is>
      </c>
      <c r="F698" s="5" t="inlineStr">
        <is>
          <t>Material retirado en almacén</t>
        </is>
      </c>
      <c r="G698" s="5" t="inlineStr">
        <is>
          <t>barra lisa, hierro redondo liso</t>
        </is>
      </c>
      <c r="H698" s="7" t="inlineStr">
        <is>
          <t>unidad</t>
        </is>
      </c>
      <c r="I698" s="7" t="inlineStr">
        <is>
          <t>Estructura</t>
        </is>
      </c>
      <c r="J698" s="7" t="inlineStr">
        <is>
          <t>estandar</t>
        </is>
      </c>
      <c r="K698" s="7" t="inlineStr">
        <is>
          <t>importado</t>
        </is>
      </c>
      <c r="L698" s="7" t="inlineStr">
        <is>
          <t>Verificado</t>
        </is>
      </c>
      <c r="M698" s="8" t="n">
        <v>1</v>
      </c>
      <c r="N698" s="9" t="n">
        <v>238.1</v>
      </c>
      <c r="O698" s="9" t="n">
        <v>238.1</v>
      </c>
      <c r="P698" s="9" t="n">
        <v>238.1</v>
      </c>
      <c r="Q698" s="7" t="inlineStr">
        <is>
          <t>Sí</t>
        </is>
      </c>
      <c r="R698" s="9">
        <f>IF(N698="","",IF(Q698="Sí",ROUND(N698/1.18,2),N698))</f>
        <v/>
      </c>
      <c r="S698" s="7" t="inlineStr">
        <is>
          <t>2026-09-09</t>
        </is>
      </c>
      <c r="T698" s="5" t="inlineStr">
        <is>
          <t>1 cotización de proveedores</t>
        </is>
      </c>
    </row>
    <row r="699">
      <c r="A699" s="7" t="inlineStr">
        <is>
          <t>MAT-20-058</t>
        </is>
      </c>
      <c r="B699" s="7" t="inlineStr">
        <is>
          <t>Materiales</t>
        </is>
      </c>
      <c r="C699" s="7" t="inlineStr">
        <is>
          <t>Angulares, planchuelas y barras</t>
        </is>
      </c>
      <c r="D699" s="5" t="inlineStr">
        <is>
          <t>Barra redonda de acero 1/2" x 20 pies</t>
        </is>
      </c>
      <c r="E699" s="5" t="inlineStr">
        <is>
          <t>Acero al carbono liso · sección redonda de 1/2" · barra de 20 pies</t>
        </is>
      </c>
      <c r="F699" s="5" t="inlineStr">
        <is>
          <t>Material retirado en almacén</t>
        </is>
      </c>
      <c r="G699" s="5" t="inlineStr">
        <is>
          <t>barra lisa, hierro redondo liso</t>
        </is>
      </c>
      <c r="H699" s="7" t="inlineStr">
        <is>
          <t>unidad</t>
        </is>
      </c>
      <c r="I699" s="7" t="inlineStr">
        <is>
          <t>Estructura</t>
        </is>
      </c>
      <c r="J699" s="7" t="inlineStr">
        <is>
          <t>estandar</t>
        </is>
      </c>
      <c r="K699" s="7" t="inlineStr">
        <is>
          <t>importado</t>
        </is>
      </c>
      <c r="L699" s="7" t="inlineStr">
        <is>
          <t>Verificado</t>
        </is>
      </c>
      <c r="M699" s="8" t="n">
        <v>1</v>
      </c>
      <c r="N699" s="9" t="n">
        <v>421.68</v>
      </c>
      <c r="O699" s="9" t="n">
        <v>421.68</v>
      </c>
      <c r="P699" s="9" t="n">
        <v>421.68</v>
      </c>
      <c r="Q699" s="7" t="inlineStr">
        <is>
          <t>Sí</t>
        </is>
      </c>
      <c r="R699" s="9">
        <f>IF(N699="","",IF(Q699="Sí",ROUND(N699/1.18,2),N699))</f>
        <v/>
      </c>
      <c r="S699" s="7" t="inlineStr">
        <is>
          <t>2026-09-09</t>
        </is>
      </c>
      <c r="T699" s="5" t="inlineStr">
        <is>
          <t>1 cotización de proveedores</t>
        </is>
      </c>
    </row>
    <row r="700">
      <c r="A700" s="7" t="inlineStr">
        <is>
          <t>MAT-20-059</t>
        </is>
      </c>
      <c r="B700" s="7" t="inlineStr">
        <is>
          <t>Materiales</t>
        </is>
      </c>
      <c r="C700" s="7" t="inlineStr">
        <is>
          <t>Angulares, planchuelas y barras</t>
        </is>
      </c>
      <c r="D700" s="5" t="inlineStr">
        <is>
          <t>Barra redonda de acero 5/8" x 20 pies</t>
        </is>
      </c>
      <c r="E700" s="5" t="inlineStr">
        <is>
          <t>Acero al carbono liso · sección redonda de 5/8" · barra de 20 pies</t>
        </is>
      </c>
      <c r="F700" s="5" t="inlineStr">
        <is>
          <t>Material retirado en almacén</t>
        </is>
      </c>
      <c r="G700" s="5" t="inlineStr">
        <is>
          <t>barra lisa, hierro redondo liso</t>
        </is>
      </c>
      <c r="H700" s="7" t="inlineStr">
        <is>
          <t>unidad</t>
        </is>
      </c>
      <c r="I700" s="7" t="inlineStr">
        <is>
          <t>Estructura</t>
        </is>
      </c>
      <c r="J700" s="7" t="inlineStr">
        <is>
          <t>estandar</t>
        </is>
      </c>
      <c r="K700" s="7" t="inlineStr">
        <is>
          <t>importado</t>
        </is>
      </c>
      <c r="L700" s="7" t="inlineStr">
        <is>
          <t>Verificado</t>
        </is>
      </c>
      <c r="M700" s="8" t="n">
        <v>1</v>
      </c>
      <c r="N700" s="9" t="n">
        <v>660.38</v>
      </c>
      <c r="O700" s="9" t="n">
        <v>660.38</v>
      </c>
      <c r="P700" s="9" t="n">
        <v>660.38</v>
      </c>
      <c r="Q700" s="7" t="inlineStr">
        <is>
          <t>Sí</t>
        </is>
      </c>
      <c r="R700" s="9">
        <f>IF(N700="","",IF(Q700="Sí",ROUND(N700/1.18,2),N700))</f>
        <v/>
      </c>
      <c r="S700" s="7" t="inlineStr">
        <is>
          <t>2026-09-09</t>
        </is>
      </c>
      <c r="T700" s="5" t="inlineStr">
        <is>
          <t>1 cotización de proveedores</t>
        </is>
      </c>
    </row>
    <row r="701">
      <c r="A701" s="7" t="inlineStr">
        <is>
          <t>MAT-20-060</t>
        </is>
      </c>
      <c r="B701" s="7" t="inlineStr">
        <is>
          <t>Materiales</t>
        </is>
      </c>
      <c r="C701" s="7" t="inlineStr">
        <is>
          <t>Angulares, planchuelas y barras</t>
        </is>
      </c>
      <c r="D701" s="5" t="inlineStr">
        <is>
          <t>Barra redonda de acero 3/4" x 20 pies</t>
        </is>
      </c>
      <c r="E701" s="5" t="inlineStr">
        <is>
          <t>Acero al carbono liso · sección redonda de 3/4" · barra de 20 pies</t>
        </is>
      </c>
      <c r="F701" s="5" t="inlineStr">
        <is>
          <t>Material retirado en almacén</t>
        </is>
      </c>
      <c r="G701" s="5" t="inlineStr">
        <is>
          <t>barra lisa, hierro redondo liso</t>
        </is>
      </c>
      <c r="H701" s="7" t="inlineStr">
        <is>
          <t>unidad</t>
        </is>
      </c>
      <c r="I701" s="7" t="inlineStr">
        <is>
          <t>Estructura</t>
        </is>
      </c>
      <c r="J701" s="7" t="inlineStr">
        <is>
          <t>estandar</t>
        </is>
      </c>
      <c r="K701" s="7" t="inlineStr">
        <is>
          <t>importado</t>
        </is>
      </c>
      <c r="L701" s="7" t="inlineStr">
        <is>
          <t>Verificado</t>
        </is>
      </c>
      <c r="M701" s="8" t="n">
        <v>1</v>
      </c>
      <c r="N701" s="9" t="n">
        <v>945.95</v>
      </c>
      <c r="O701" s="9" t="n">
        <v>945.95</v>
      </c>
      <c r="P701" s="9" t="n">
        <v>945.95</v>
      </c>
      <c r="Q701" s="7" t="inlineStr">
        <is>
          <t>Sí</t>
        </is>
      </c>
      <c r="R701" s="9">
        <f>IF(N701="","",IF(Q701="Sí",ROUND(N701/1.18,2),N701))</f>
        <v/>
      </c>
      <c r="S701" s="7" t="inlineStr">
        <is>
          <t>2026-09-09</t>
        </is>
      </c>
      <c r="T701" s="5" t="inlineStr">
        <is>
          <t>1 cotización de proveedores</t>
        </is>
      </c>
    </row>
    <row r="702">
      <c r="A702" s="7" t="inlineStr">
        <is>
          <t>MAT-20-061</t>
        </is>
      </c>
      <c r="B702" s="7" t="inlineStr">
        <is>
          <t>Materiales</t>
        </is>
      </c>
      <c r="C702" s="7" t="inlineStr">
        <is>
          <t>Angulares, planchuelas y barras</t>
        </is>
      </c>
      <c r="D702" s="5" t="inlineStr">
        <is>
          <t>Barra redonda de acero 1" x 20 pies</t>
        </is>
      </c>
      <c r="E702" s="5" t="inlineStr">
        <is>
          <t>Acero al carbono liso · sección redonda de 1" · barra de 20 pies</t>
        </is>
      </c>
      <c r="F702" s="5" t="inlineStr">
        <is>
          <t>Material retirado en almacén</t>
        </is>
      </c>
      <c r="G702" s="5" t="inlineStr">
        <is>
          <t>barra lisa, hierro redondo liso</t>
        </is>
      </c>
      <c r="H702" s="7" t="inlineStr">
        <is>
          <t>unidad</t>
        </is>
      </c>
      <c r="I702" s="7" t="inlineStr">
        <is>
          <t>Estructura</t>
        </is>
      </c>
      <c r="J702" s="7" t="inlineStr">
        <is>
          <t>estandar</t>
        </is>
      </c>
      <c r="K702" s="7" t="inlineStr">
        <is>
          <t>importado</t>
        </is>
      </c>
      <c r="L702" s="7" t="inlineStr">
        <is>
          <t>Verificado</t>
        </is>
      </c>
      <c r="M702" s="8" t="n">
        <v>1</v>
      </c>
      <c r="N702" s="9" t="n">
        <v>1666.67</v>
      </c>
      <c r="O702" s="9" t="n">
        <v>1666.67</v>
      </c>
      <c r="P702" s="9" t="n">
        <v>1666.67</v>
      </c>
      <c r="Q702" s="7" t="inlineStr">
        <is>
          <t>Sí</t>
        </is>
      </c>
      <c r="R702" s="9">
        <f>IF(N702="","",IF(Q702="Sí",ROUND(N702/1.18,2),N702))</f>
        <v/>
      </c>
      <c r="S702" s="7" t="inlineStr">
        <is>
          <t>2026-09-09</t>
        </is>
      </c>
      <c r="T702" s="5" t="inlineStr">
        <is>
          <t>1 cotización de proveedores</t>
        </is>
      </c>
    </row>
    <row r="703">
      <c r="A703" s="7" t="inlineStr">
        <is>
          <t>MAT-20-062</t>
        </is>
      </c>
      <c r="B703" s="7" t="inlineStr">
        <is>
          <t>Materiales</t>
        </is>
      </c>
      <c r="C703" s="7" t="inlineStr">
        <is>
          <t>Angulares, planchuelas y barras</t>
        </is>
      </c>
      <c r="D703" s="5" t="inlineStr">
        <is>
          <t>Barra redonda torneada de acero 7/16" x 20 pies</t>
        </is>
      </c>
      <c r="E703" s="5" t="inlineStr">
        <is>
          <t>Acero al carbono liso · sección redonda torneada de 7/16" · rectificada a medida · barra de 20 pies</t>
        </is>
      </c>
      <c r="F703" s="5" t="inlineStr">
        <is>
          <t>Material retirado en almacén</t>
        </is>
      </c>
      <c r="G703" s="5" t="inlineStr">
        <is>
          <t>barra torneada, eje de acero</t>
        </is>
      </c>
      <c r="H703" s="7" t="inlineStr">
        <is>
          <t>unidad</t>
        </is>
      </c>
      <c r="I703" s="7" t="inlineStr">
        <is>
          <t>Estructura</t>
        </is>
      </c>
      <c r="J703" s="7" t="inlineStr">
        <is>
          <t>estandar</t>
        </is>
      </c>
      <c r="K703" s="7" t="inlineStr">
        <is>
          <t>importado</t>
        </is>
      </c>
      <c r="L703" s="7" t="inlineStr">
        <is>
          <t>Verificado</t>
        </is>
      </c>
      <c r="M703" s="8" t="n">
        <v>1</v>
      </c>
      <c r="N703" s="9" t="n">
        <v>426.77</v>
      </c>
      <c r="O703" s="9" t="n">
        <v>426.77</v>
      </c>
      <c r="P703" s="9" t="n">
        <v>426.77</v>
      </c>
      <c r="Q703" s="7" t="inlineStr">
        <is>
          <t>Sí</t>
        </is>
      </c>
      <c r="R703" s="9">
        <f>IF(N703="","",IF(Q703="Sí",ROUND(N703/1.18,2),N703))</f>
        <v/>
      </c>
      <c r="S703" s="7" t="inlineStr">
        <is>
          <t>2026-09-09</t>
        </is>
      </c>
      <c r="T703" s="5" t="inlineStr">
        <is>
          <t>1 cotización de proveedores</t>
        </is>
      </c>
    </row>
    <row r="704">
      <c r="A704" s="7" t="inlineStr">
        <is>
          <t>MAT-20-063</t>
        </is>
      </c>
      <c r="B704" s="7" t="inlineStr">
        <is>
          <t>Materiales</t>
        </is>
      </c>
      <c r="C704" s="7" t="inlineStr">
        <is>
          <t>Angulares, planchuelas y barras</t>
        </is>
      </c>
      <c r="D704" s="5" t="inlineStr">
        <is>
          <t>Barra redonda torneada de acero 1/2" x 20 pies</t>
        </is>
      </c>
      <c r="E704" s="5" t="inlineStr">
        <is>
          <t>Acero al carbono liso · sección redonda torneada de 1/2" · rectificada a medida · barra de 20 pies</t>
        </is>
      </c>
      <c r="F704" s="5" t="inlineStr">
        <is>
          <t>Material retirado en almacén</t>
        </is>
      </c>
      <c r="G704" s="5" t="inlineStr">
        <is>
          <t>barra torneada, eje de acero</t>
        </is>
      </c>
      <c r="H704" s="7" t="inlineStr">
        <is>
          <t>unidad</t>
        </is>
      </c>
      <c r="I704" s="7" t="inlineStr">
        <is>
          <t>Estructura</t>
        </is>
      </c>
      <c r="J704" s="7" t="inlineStr">
        <is>
          <t>estandar</t>
        </is>
      </c>
      <c r="K704" s="7" t="inlineStr">
        <is>
          <t>importado</t>
        </is>
      </c>
      <c r="L704" s="7" t="inlineStr">
        <is>
          <t>Verificado</t>
        </is>
      </c>
      <c r="M704" s="8" t="n">
        <v>1</v>
      </c>
      <c r="N704" s="9" t="n">
        <v>553.47</v>
      </c>
      <c r="O704" s="9" t="n">
        <v>553.47</v>
      </c>
      <c r="P704" s="9" t="n">
        <v>553.47</v>
      </c>
      <c r="Q704" s="7" t="inlineStr">
        <is>
          <t>Sí</t>
        </is>
      </c>
      <c r="R704" s="9">
        <f>IF(N704="","",IF(Q704="Sí",ROUND(N704/1.18,2),N704))</f>
        <v/>
      </c>
      <c r="S704" s="7" t="inlineStr">
        <is>
          <t>2026-09-09</t>
        </is>
      </c>
      <c r="T704" s="5" t="inlineStr">
        <is>
          <t>1 cotización de proveedores</t>
        </is>
      </c>
    </row>
    <row r="705">
      <c r="A705" s="7" t="inlineStr">
        <is>
          <t>MAT-20-064</t>
        </is>
      </c>
      <c r="B705" s="7" t="inlineStr">
        <is>
          <t>Materiales</t>
        </is>
      </c>
      <c r="C705" s="7" t="inlineStr">
        <is>
          <t>Angulares, planchuelas y barras</t>
        </is>
      </c>
      <c r="D705" s="5" t="inlineStr">
        <is>
          <t>Barra redonda torneada de acero 5/8" x 20 pies</t>
        </is>
      </c>
      <c r="E705" s="5" t="inlineStr">
        <is>
          <t>Acero al carbono liso · sección redonda torneada de 5/8" · rectificada a medida · barra de 20 pies</t>
        </is>
      </c>
      <c r="F705" s="5" t="inlineStr">
        <is>
          <t>Material retirado en almacén</t>
        </is>
      </c>
      <c r="G705" s="5" t="inlineStr">
        <is>
          <t>barra torneada, eje de acero</t>
        </is>
      </c>
      <c r="H705" s="7" t="inlineStr">
        <is>
          <t>unidad</t>
        </is>
      </c>
      <c r="I705" s="7" t="inlineStr">
        <is>
          <t>Estructura</t>
        </is>
      </c>
      <c r="J705" s="7" t="inlineStr">
        <is>
          <t>estandar</t>
        </is>
      </c>
      <c r="K705" s="7" t="inlineStr">
        <is>
          <t>importado</t>
        </is>
      </c>
      <c r="L705" s="7" t="inlineStr">
        <is>
          <t>Verificado</t>
        </is>
      </c>
      <c r="M705" s="8" t="n">
        <v>1</v>
      </c>
      <c r="N705" s="9" t="n">
        <v>858.38</v>
      </c>
      <c r="O705" s="9" t="n">
        <v>858.38</v>
      </c>
      <c r="P705" s="9" t="n">
        <v>858.38</v>
      </c>
      <c r="Q705" s="7" t="inlineStr">
        <is>
          <t>Sí</t>
        </is>
      </c>
      <c r="R705" s="9">
        <f>IF(N705="","",IF(Q705="Sí",ROUND(N705/1.18,2),N705))</f>
        <v/>
      </c>
      <c r="S705" s="7" t="inlineStr">
        <is>
          <t>2026-09-09</t>
        </is>
      </c>
      <c r="T705" s="5" t="inlineStr">
        <is>
          <t>1 cotización de proveedores</t>
        </is>
      </c>
    </row>
    <row r="706">
      <c r="A706" s="7" t="inlineStr">
        <is>
          <t>MAT-21-001</t>
        </is>
      </c>
      <c r="B706" s="7" t="inlineStr">
        <is>
          <t>Materiales</t>
        </is>
      </c>
      <c r="C706" s="7" t="inlineStr">
        <is>
          <t>Tolas y láminas de acero</t>
        </is>
      </c>
      <c r="D706" s="5" t="inlineStr">
        <is>
          <t>Tola negra 1/32", plancha 4 x 8 pies</t>
        </is>
      </c>
      <c r="E706" s="5" t="inlineStr">
        <is>
          <t>Lámina de hierro negra laminada en frío · espesor 1/32" · plancha de 4 x 8 pies · 40.8 lb</t>
        </is>
      </c>
      <c r="F706" s="5" t="inlineStr">
        <is>
          <t>Material retirado en almacén</t>
        </is>
      </c>
      <c r="G706" s="5" t="inlineStr">
        <is>
          <t>lámina de hierro, plancha negra</t>
        </is>
      </c>
      <c r="H706" s="7" t="inlineStr">
        <is>
          <t>plancha</t>
        </is>
      </c>
      <c r="I706" s="7" t="inlineStr">
        <is>
          <t>Estructura</t>
        </is>
      </c>
      <c r="J706" s="7" t="inlineStr">
        <is>
          <t>estandar</t>
        </is>
      </c>
      <c r="K706" s="7" t="inlineStr">
        <is>
          <t>importado</t>
        </is>
      </c>
      <c r="L706" s="7" t="inlineStr">
        <is>
          <t>Verificado</t>
        </is>
      </c>
      <c r="M706" s="8" t="n">
        <v>1</v>
      </c>
      <c r="N706" s="9" t="n">
        <v>1113.61</v>
      </c>
      <c r="O706" s="9" t="n">
        <v>1113.61</v>
      </c>
      <c r="P706" s="9" t="n">
        <v>1113.61</v>
      </c>
      <c r="Q706" s="7" t="inlineStr">
        <is>
          <t>Sí</t>
        </is>
      </c>
      <c r="R706" s="9">
        <f>IF(N706="","",IF(Q706="Sí",ROUND(N706/1.18,2),N706))</f>
        <v/>
      </c>
      <c r="S706" s="7" t="inlineStr">
        <is>
          <t>2026-09-09</t>
        </is>
      </c>
      <c r="T706" s="5" t="inlineStr">
        <is>
          <t>1 cotización de proveedores</t>
        </is>
      </c>
    </row>
    <row r="707">
      <c r="A707" s="7" t="inlineStr">
        <is>
          <t>MAT-21-002</t>
        </is>
      </c>
      <c r="B707" s="7" t="inlineStr">
        <is>
          <t>Materiales</t>
        </is>
      </c>
      <c r="C707" s="7" t="inlineStr">
        <is>
          <t>Tolas y láminas de acero</t>
        </is>
      </c>
      <c r="D707" s="5" t="inlineStr">
        <is>
          <t>Tola negra 1/22", plancha 4 x 8 pies</t>
        </is>
      </c>
      <c r="E707" s="5" t="inlineStr">
        <is>
          <t>Lámina de hierro negra laminada en frío · espesor 1/22" · plancha de 4 x 8 pies · 59.34 lb</t>
        </is>
      </c>
      <c r="F707" s="5" t="inlineStr">
        <is>
          <t>Material retirado en almacén</t>
        </is>
      </c>
      <c r="G707" s="5" t="inlineStr">
        <is>
          <t>lámina de hierro, plancha negra</t>
        </is>
      </c>
      <c r="H707" s="7" t="inlineStr">
        <is>
          <t>plancha</t>
        </is>
      </c>
      <c r="I707" s="7" t="inlineStr">
        <is>
          <t>Estructura</t>
        </is>
      </c>
      <c r="J707" s="7" t="inlineStr">
        <is>
          <t>estandar</t>
        </is>
      </c>
      <c r="K707" s="7" t="inlineStr">
        <is>
          <t>importado</t>
        </is>
      </c>
      <c r="L707" s="7" t="inlineStr">
        <is>
          <t>Verificado</t>
        </is>
      </c>
      <c r="M707" s="8" t="n">
        <v>1</v>
      </c>
      <c r="N707" s="9" t="n">
        <v>1497.04</v>
      </c>
      <c r="O707" s="9" t="n">
        <v>1497.04</v>
      </c>
      <c r="P707" s="9" t="n">
        <v>1497.04</v>
      </c>
      <c r="Q707" s="7" t="inlineStr">
        <is>
          <t>Sí</t>
        </is>
      </c>
      <c r="R707" s="9">
        <f>IF(N707="","",IF(Q707="Sí",ROUND(N707/1.18,2),N707))</f>
        <v/>
      </c>
      <c r="S707" s="7" t="inlineStr">
        <is>
          <t>2026-09-09</t>
        </is>
      </c>
      <c r="T707" s="5" t="inlineStr">
        <is>
          <t>1 cotización de proveedores</t>
        </is>
      </c>
    </row>
    <row r="708">
      <c r="A708" s="7" t="inlineStr">
        <is>
          <t>MAT-21-003</t>
        </is>
      </c>
      <c r="B708" s="7" t="inlineStr">
        <is>
          <t>Materiales</t>
        </is>
      </c>
      <c r="C708" s="7" t="inlineStr">
        <is>
          <t>Tolas y láminas de acero</t>
        </is>
      </c>
      <c r="D708" s="5" t="inlineStr">
        <is>
          <t>Tola negra 1/16", plancha 4 x 10 pies</t>
        </is>
      </c>
      <c r="E708" s="5" t="inlineStr">
        <is>
          <t>Lámina de hierro negra laminada en frío · espesor 1/16" · plancha de 4 x 10 pies · 102 lb</t>
        </is>
      </c>
      <c r="F708" s="5" t="inlineStr">
        <is>
          <t>Material retirado en almacén</t>
        </is>
      </c>
      <c r="G708" s="5" t="inlineStr">
        <is>
          <t>lámina de hierro, plancha negra</t>
        </is>
      </c>
      <c r="H708" s="7" t="inlineStr">
        <is>
          <t>plancha</t>
        </is>
      </c>
      <c r="I708" s="7" t="inlineStr">
        <is>
          <t>Estructura</t>
        </is>
      </c>
      <c r="J708" s="7" t="inlineStr">
        <is>
          <t>estandar</t>
        </is>
      </c>
      <c r="K708" s="7" t="inlineStr">
        <is>
          <t>importado</t>
        </is>
      </c>
      <c r="L708" s="7" t="inlineStr">
        <is>
          <t>Verificado</t>
        </is>
      </c>
      <c r="M708" s="8" t="n">
        <v>1</v>
      </c>
      <c r="N708" s="9" t="n">
        <v>2938.54</v>
      </c>
      <c r="O708" s="9" t="n">
        <v>2938.54</v>
      </c>
      <c r="P708" s="9" t="n">
        <v>2938.54</v>
      </c>
      <c r="Q708" s="7" t="inlineStr">
        <is>
          <t>Sí</t>
        </is>
      </c>
      <c r="R708" s="9">
        <f>IF(N708="","",IF(Q708="Sí",ROUND(N708/1.18,2),N708))</f>
        <v/>
      </c>
      <c r="S708" s="7" t="inlineStr">
        <is>
          <t>2026-09-09</t>
        </is>
      </c>
      <c r="T708" s="5" t="inlineStr">
        <is>
          <t>1 cotización de proveedores</t>
        </is>
      </c>
    </row>
    <row r="709">
      <c r="A709" s="7" t="inlineStr">
        <is>
          <t>MAT-21-004</t>
        </is>
      </c>
      <c r="B709" s="7" t="inlineStr">
        <is>
          <t>Materiales</t>
        </is>
      </c>
      <c r="C709" s="7" t="inlineStr">
        <is>
          <t>Tolas y láminas de acero</t>
        </is>
      </c>
      <c r="D709" s="5" t="inlineStr">
        <is>
          <t>Tola negra 1/16", plancha 4 x 8 pies</t>
        </is>
      </c>
      <c r="E709" s="5" t="inlineStr">
        <is>
          <t>Lámina de hierro negra laminada en frío · espesor 1/16" · plancha de 4 x 8 pies · 81.61 lb</t>
        </is>
      </c>
      <c r="F709" s="5" t="inlineStr">
        <is>
          <t>Material retirado en almacén</t>
        </is>
      </c>
      <c r="G709" s="5" t="inlineStr">
        <is>
          <t>lámina de hierro, plancha negra</t>
        </is>
      </c>
      <c r="H709" s="7" t="inlineStr">
        <is>
          <t>plancha</t>
        </is>
      </c>
      <c r="I709" s="7" t="inlineStr">
        <is>
          <t>Estructura</t>
        </is>
      </c>
      <c r="J709" s="7" t="inlineStr">
        <is>
          <t>estandar</t>
        </is>
      </c>
      <c r="K709" s="7" t="inlineStr">
        <is>
          <t>importado</t>
        </is>
      </c>
      <c r="L709" s="7" t="inlineStr">
        <is>
          <t>Verificado</t>
        </is>
      </c>
      <c r="M709" s="8" t="n">
        <v>1</v>
      </c>
      <c r="N709" s="9" t="n">
        <v>2224.54</v>
      </c>
      <c r="O709" s="9" t="n">
        <v>2224.54</v>
      </c>
      <c r="P709" s="9" t="n">
        <v>2224.54</v>
      </c>
      <c r="Q709" s="7" t="inlineStr">
        <is>
          <t>Sí</t>
        </is>
      </c>
      <c r="R709" s="9">
        <f>IF(N709="","",IF(Q709="Sí",ROUND(N709/1.18,2),N709))</f>
        <v/>
      </c>
      <c r="S709" s="7" t="inlineStr">
        <is>
          <t>2026-09-09</t>
        </is>
      </c>
      <c r="T709" s="5" t="inlineStr">
        <is>
          <t>1 cotización de proveedores</t>
        </is>
      </c>
    </row>
    <row r="710">
      <c r="A710" s="7" t="inlineStr">
        <is>
          <t>MAT-21-005</t>
        </is>
      </c>
      <c r="B710" s="7" t="inlineStr">
        <is>
          <t>Materiales</t>
        </is>
      </c>
      <c r="C710" s="7" t="inlineStr">
        <is>
          <t>Tolas y láminas de acero</t>
        </is>
      </c>
      <c r="D710" s="5" t="inlineStr">
        <is>
          <t>Tola negra 3/32", plancha 4 x 8 pies</t>
        </is>
      </c>
      <c r="E710" s="5" t="inlineStr">
        <is>
          <t>Lámina de hierro negra laminada en frío · espesor 3/32" · plancha de 4 x 8 pies · 122.4 lb</t>
        </is>
      </c>
      <c r="F710" s="5" t="inlineStr">
        <is>
          <t>Material retirado en almacén</t>
        </is>
      </c>
      <c r="G710" s="5" t="inlineStr">
        <is>
          <t>lámina de hierro, plancha negra</t>
        </is>
      </c>
      <c r="H710" s="7" t="inlineStr">
        <is>
          <t>plancha</t>
        </is>
      </c>
      <c r="I710" s="7" t="inlineStr">
        <is>
          <t>Estructura</t>
        </is>
      </c>
      <c r="J710" s="7" t="inlineStr">
        <is>
          <t>estandar</t>
        </is>
      </c>
      <c r="K710" s="7" t="inlineStr">
        <is>
          <t>importado</t>
        </is>
      </c>
      <c r="L710" s="7" t="inlineStr">
        <is>
          <t>Verificado</t>
        </is>
      </c>
      <c r="M710" s="8" t="n">
        <v>1</v>
      </c>
      <c r="N710" s="9" t="n">
        <v>3132.92</v>
      </c>
      <c r="O710" s="9" t="n">
        <v>3132.92</v>
      </c>
      <c r="P710" s="9" t="n">
        <v>3132.92</v>
      </c>
      <c r="Q710" s="7" t="inlineStr">
        <is>
          <t>Sí</t>
        </is>
      </c>
      <c r="R710" s="9">
        <f>IF(N710="","",IF(Q710="Sí",ROUND(N710/1.18,2),N710))</f>
        <v/>
      </c>
      <c r="S710" s="7" t="inlineStr">
        <is>
          <t>2026-09-09</t>
        </is>
      </c>
      <c r="T710" s="5" t="inlineStr">
        <is>
          <t>1 cotización de proveedores</t>
        </is>
      </c>
    </row>
    <row r="711">
      <c r="A711" s="7" t="inlineStr">
        <is>
          <t>MAT-21-006</t>
        </is>
      </c>
      <c r="B711" s="7" t="inlineStr">
        <is>
          <t>Materiales</t>
        </is>
      </c>
      <c r="C711" s="7" t="inlineStr">
        <is>
          <t>Tolas y láminas de acero</t>
        </is>
      </c>
      <c r="D711" s="5" t="inlineStr">
        <is>
          <t>Tola negra 1/8", plancha 4 x 10 pies</t>
        </is>
      </c>
      <c r="E711" s="5" t="inlineStr">
        <is>
          <t>Lámina de hierro negra laminada en frío · espesor 1/8" · plancha de 4 x 10 pies · 204 lb</t>
        </is>
      </c>
      <c r="F711" s="5" t="inlineStr">
        <is>
          <t>Material retirado en almacén</t>
        </is>
      </c>
      <c r="G711" s="5" t="inlineStr">
        <is>
          <t>lámina de hierro, plancha negra</t>
        </is>
      </c>
      <c r="H711" s="7" t="inlineStr">
        <is>
          <t>plancha</t>
        </is>
      </c>
      <c r="I711" s="7" t="inlineStr">
        <is>
          <t>Estructura</t>
        </is>
      </c>
      <c r="J711" s="7" t="inlineStr">
        <is>
          <t>estandar</t>
        </is>
      </c>
      <c r="K711" s="7" t="inlineStr">
        <is>
          <t>importado</t>
        </is>
      </c>
      <c r="L711" s="7" t="inlineStr">
        <is>
          <t>Verificado</t>
        </is>
      </c>
      <c r="M711" s="8" t="n">
        <v>1</v>
      </c>
      <c r="N711" s="9" t="n">
        <v>5622.83</v>
      </c>
      <c r="O711" s="9" t="n">
        <v>5622.83</v>
      </c>
      <c r="P711" s="9" t="n">
        <v>5622.83</v>
      </c>
      <c r="Q711" s="7" t="inlineStr">
        <is>
          <t>Sí</t>
        </is>
      </c>
      <c r="R711" s="9">
        <f>IF(N711="","",IF(Q711="Sí",ROUND(N711/1.18,2),N711))</f>
        <v/>
      </c>
      <c r="S711" s="7" t="inlineStr">
        <is>
          <t>2026-09-09</t>
        </is>
      </c>
      <c r="T711" s="5" t="inlineStr">
        <is>
          <t>1 cotización de proveedores</t>
        </is>
      </c>
    </row>
    <row r="712">
      <c r="A712" s="7" t="inlineStr">
        <is>
          <t>MAT-21-007</t>
        </is>
      </c>
      <c r="B712" s="7" t="inlineStr">
        <is>
          <t>Materiales</t>
        </is>
      </c>
      <c r="C712" s="7" t="inlineStr">
        <is>
          <t>Tolas y láminas de acero</t>
        </is>
      </c>
      <c r="D712" s="5" t="inlineStr">
        <is>
          <t>Tola negra 1/8", plancha 4 x 8 pies</t>
        </is>
      </c>
      <c r="E712" s="5" t="inlineStr">
        <is>
          <t>Lámina de hierro negra laminada en frío · espesor 1/8" · plancha de 4 x 8 pies · 163.2 lb</t>
        </is>
      </c>
      <c r="F712" s="5" t="inlineStr">
        <is>
          <t>Material retirado en almacén</t>
        </is>
      </c>
      <c r="G712" s="5" t="inlineStr">
        <is>
          <t>lámina de hierro, plancha negra</t>
        </is>
      </c>
      <c r="H712" s="7" t="inlineStr">
        <is>
          <t>plancha</t>
        </is>
      </c>
      <c r="I712" s="7" t="inlineStr">
        <is>
          <t>Estructura</t>
        </is>
      </c>
      <c r="J712" s="7" t="inlineStr">
        <is>
          <t>estandar</t>
        </is>
      </c>
      <c r="K712" s="7" t="inlineStr">
        <is>
          <t>importado</t>
        </is>
      </c>
      <c r="L712" s="7" t="inlineStr">
        <is>
          <t>Verificado</t>
        </is>
      </c>
      <c r="M712" s="8" t="n">
        <v>1</v>
      </c>
      <c r="N712" s="9" t="n">
        <v>4104.8</v>
      </c>
      <c r="O712" s="9" t="n">
        <v>4104.8</v>
      </c>
      <c r="P712" s="9" t="n">
        <v>4104.8</v>
      </c>
      <c r="Q712" s="7" t="inlineStr">
        <is>
          <t>Sí</t>
        </is>
      </c>
      <c r="R712" s="9">
        <f>IF(N712="","",IF(Q712="Sí",ROUND(N712/1.18,2),N712))</f>
        <v/>
      </c>
      <c r="S712" s="7" t="inlineStr">
        <is>
          <t>2026-09-09</t>
        </is>
      </c>
      <c r="T712" s="5" t="inlineStr">
        <is>
          <t>1 cotización de proveedores</t>
        </is>
      </c>
    </row>
    <row r="713">
      <c r="A713" s="7" t="inlineStr">
        <is>
          <t>MAT-21-008</t>
        </is>
      </c>
      <c r="B713" s="7" t="inlineStr">
        <is>
          <t>Materiales</t>
        </is>
      </c>
      <c r="C713" s="7" t="inlineStr">
        <is>
          <t>Tolas y láminas de acero</t>
        </is>
      </c>
      <c r="D713" s="5" t="inlineStr">
        <is>
          <t>Tola negra 1/8", plancha 5 x 10 pies</t>
        </is>
      </c>
      <c r="E713" s="5" t="inlineStr">
        <is>
          <t>Lámina de hierro negra laminada en frío · espesor 1/8" · plancha de 5 x 10 pies · 255 lb</t>
        </is>
      </c>
      <c r="F713" s="5" t="inlineStr">
        <is>
          <t>Material retirado en almacén</t>
        </is>
      </c>
      <c r="G713" s="5" t="inlineStr">
        <is>
          <t>lámina de hierro, plancha negra</t>
        </is>
      </c>
      <c r="H713" s="7" t="inlineStr">
        <is>
          <t>plancha</t>
        </is>
      </c>
      <c r="I713" s="7" t="inlineStr">
        <is>
          <t>Estructura</t>
        </is>
      </c>
      <c r="J713" s="7" t="inlineStr">
        <is>
          <t>estandar</t>
        </is>
      </c>
      <c r="K713" s="7" t="inlineStr">
        <is>
          <t>importado</t>
        </is>
      </c>
      <c r="L713" s="7" t="inlineStr">
        <is>
          <t>Verificado</t>
        </is>
      </c>
      <c r="M713" s="8" t="n">
        <v>1</v>
      </c>
      <c r="N713" s="9" t="n">
        <v>6428.83</v>
      </c>
      <c r="O713" s="9" t="n">
        <v>6428.83</v>
      </c>
      <c r="P713" s="9" t="n">
        <v>6428.83</v>
      </c>
      <c r="Q713" s="7" t="inlineStr">
        <is>
          <t>Sí</t>
        </is>
      </c>
      <c r="R713" s="9">
        <f>IF(N713="","",IF(Q713="Sí",ROUND(N713/1.18,2),N713))</f>
        <v/>
      </c>
      <c r="S713" s="7" t="inlineStr">
        <is>
          <t>2026-09-09</t>
        </is>
      </c>
      <c r="T713" s="5" t="inlineStr">
        <is>
          <t>1 cotización de proveedores</t>
        </is>
      </c>
    </row>
    <row r="714">
      <c r="A714" s="7" t="inlineStr">
        <is>
          <t>MAT-21-009</t>
        </is>
      </c>
      <c r="B714" s="7" t="inlineStr">
        <is>
          <t>Materiales</t>
        </is>
      </c>
      <c r="C714" s="7" t="inlineStr">
        <is>
          <t>Tolas y láminas de acero</t>
        </is>
      </c>
      <c r="D714" s="5" t="inlineStr">
        <is>
          <t>Tola negra 3/16", plancha 4 x 8 pies</t>
        </is>
      </c>
      <c r="E714" s="5" t="inlineStr">
        <is>
          <t>Lámina de hierro negra laminada en frío · espesor 3/16" · plancha de 4 x 8 pies · 244.8 lb</t>
        </is>
      </c>
      <c r="F714" s="5" t="inlineStr">
        <is>
          <t>Material retirado en almacén</t>
        </is>
      </c>
      <c r="G714" s="5" t="inlineStr">
        <is>
          <t>lámina de hierro, plancha negra</t>
        </is>
      </c>
      <c r="H714" s="7" t="inlineStr">
        <is>
          <t>plancha</t>
        </is>
      </c>
      <c r="I714" s="7" t="inlineStr">
        <is>
          <t>Estructura</t>
        </is>
      </c>
      <c r="J714" s="7" t="inlineStr">
        <is>
          <t>estandar</t>
        </is>
      </c>
      <c r="K714" s="7" t="inlineStr">
        <is>
          <t>importado</t>
        </is>
      </c>
      <c r="L714" s="7" t="inlineStr">
        <is>
          <t>Verificado</t>
        </is>
      </c>
      <c r="M714" s="8" t="n">
        <v>1</v>
      </c>
      <c r="N714" s="9" t="n">
        <v>6678.8</v>
      </c>
      <c r="O714" s="9" t="n">
        <v>6678.8</v>
      </c>
      <c r="P714" s="9" t="n">
        <v>6678.8</v>
      </c>
      <c r="Q714" s="7" t="inlineStr">
        <is>
          <t>Sí</t>
        </is>
      </c>
      <c r="R714" s="9">
        <f>IF(N714="","",IF(Q714="Sí",ROUND(N714/1.18,2),N714))</f>
        <v/>
      </c>
      <c r="S714" s="7" t="inlineStr">
        <is>
          <t>2026-09-09</t>
        </is>
      </c>
      <c r="T714" s="5" t="inlineStr">
        <is>
          <t>1 cotización de proveedores</t>
        </is>
      </c>
    </row>
    <row r="715">
      <c r="A715" s="7" t="inlineStr">
        <is>
          <t>MAT-21-010</t>
        </is>
      </c>
      <c r="B715" s="7" t="inlineStr">
        <is>
          <t>Materiales</t>
        </is>
      </c>
      <c r="C715" s="7" t="inlineStr">
        <is>
          <t>Tolas y láminas de acero</t>
        </is>
      </c>
      <c r="D715" s="5" t="inlineStr">
        <is>
          <t>Tola negra 3/16", plancha 5 x 10 pies</t>
        </is>
      </c>
      <c r="E715" s="5" t="inlineStr">
        <is>
          <t>Lámina de hierro negra laminada en frío · espesor 3/16" · plancha de 5 x 10 pies · 382.5 lb</t>
        </is>
      </c>
      <c r="F715" s="5" t="inlineStr">
        <is>
          <t>Material retirado en almacén</t>
        </is>
      </c>
      <c r="G715" s="5" t="inlineStr">
        <is>
          <t>lámina de hierro, plancha negra</t>
        </is>
      </c>
      <c r="H715" s="7" t="inlineStr">
        <is>
          <t>plancha</t>
        </is>
      </c>
      <c r="I715" s="7" t="inlineStr">
        <is>
          <t>Estructura</t>
        </is>
      </c>
      <c r="J715" s="7" t="inlineStr">
        <is>
          <t>estandar</t>
        </is>
      </c>
      <c r="K715" s="7" t="inlineStr">
        <is>
          <t>importado</t>
        </is>
      </c>
      <c r="L715" s="7" t="inlineStr">
        <is>
          <t>Verificado</t>
        </is>
      </c>
      <c r="M715" s="8" t="n">
        <v>1</v>
      </c>
      <c r="N715" s="9" t="n">
        <v>10410.48</v>
      </c>
      <c r="O715" s="9" t="n">
        <v>10410.48</v>
      </c>
      <c r="P715" s="9" t="n">
        <v>10410.48</v>
      </c>
      <c r="Q715" s="7" t="inlineStr">
        <is>
          <t>Sí</t>
        </is>
      </c>
      <c r="R715" s="9">
        <f>IF(N715="","",IF(Q715="Sí",ROUND(N715/1.18,2),N715))</f>
        <v/>
      </c>
      <c r="S715" s="7" t="inlineStr">
        <is>
          <t>2026-09-09</t>
        </is>
      </c>
      <c r="T715" s="5" t="inlineStr">
        <is>
          <t>1 cotización de proveedores</t>
        </is>
      </c>
    </row>
    <row r="716">
      <c r="A716" s="7" t="inlineStr">
        <is>
          <t>MAT-21-011</t>
        </is>
      </c>
      <c r="B716" s="7" t="inlineStr">
        <is>
          <t>Materiales</t>
        </is>
      </c>
      <c r="C716" s="7" t="inlineStr">
        <is>
          <t>Tolas y láminas de acero</t>
        </is>
      </c>
      <c r="D716" s="5" t="inlineStr">
        <is>
          <t>Tola negra 3/16", plancha 6 x 10 pies</t>
        </is>
      </c>
      <c r="E716" s="5" t="inlineStr">
        <is>
          <t>Lámina de hierro negra laminada en frío · espesor 3/16" · plancha de 6 x 10 pies · 459 lb</t>
        </is>
      </c>
      <c r="F716" s="5" t="inlineStr">
        <is>
          <t>Material retirado en almacén</t>
        </is>
      </c>
      <c r="G716" s="5" t="inlineStr">
        <is>
          <t>lámina de hierro, plancha negra</t>
        </is>
      </c>
      <c r="H716" s="7" t="inlineStr">
        <is>
          <t>plancha</t>
        </is>
      </c>
      <c r="I716" s="7" t="inlineStr">
        <is>
          <t>Estructura</t>
        </is>
      </c>
      <c r="J716" s="7" t="inlineStr">
        <is>
          <t>estandar</t>
        </is>
      </c>
      <c r="K716" s="7" t="inlineStr">
        <is>
          <t>importado</t>
        </is>
      </c>
      <c r="L716" s="7" t="inlineStr">
        <is>
          <t>Verificado</t>
        </is>
      </c>
      <c r="M716" s="8" t="n">
        <v>1</v>
      </c>
      <c r="N716" s="9" t="n">
        <v>12392.84</v>
      </c>
      <c r="O716" s="9" t="n">
        <v>12392.84</v>
      </c>
      <c r="P716" s="9" t="n">
        <v>12392.84</v>
      </c>
      <c r="Q716" s="7" t="inlineStr">
        <is>
          <t>Sí</t>
        </is>
      </c>
      <c r="R716" s="9">
        <f>IF(N716="","",IF(Q716="Sí",ROUND(N716/1.18,2),N716))</f>
        <v/>
      </c>
      <c r="S716" s="7" t="inlineStr">
        <is>
          <t>2026-09-09</t>
        </is>
      </c>
      <c r="T716" s="5" t="inlineStr">
        <is>
          <t>1 cotización de proveedores</t>
        </is>
      </c>
    </row>
    <row r="717">
      <c r="A717" s="7" t="inlineStr">
        <is>
          <t>MAT-21-012</t>
        </is>
      </c>
      <c r="B717" s="7" t="inlineStr">
        <is>
          <t>Materiales</t>
        </is>
      </c>
      <c r="C717" s="7" t="inlineStr">
        <is>
          <t>Tolas y láminas de acero</t>
        </is>
      </c>
      <c r="D717" s="5" t="inlineStr">
        <is>
          <t>Tola negra 1/4", plancha 4 x 8 pies</t>
        </is>
      </c>
      <c r="E717" s="5" t="inlineStr">
        <is>
          <t>Lámina de hierro negra laminada en frío · espesor 1/4" · plancha de 4 x 8 pies · 326.4 lb</t>
        </is>
      </c>
      <c r="F717" s="5" t="inlineStr">
        <is>
          <t>Material retirado en almacén</t>
        </is>
      </c>
      <c r="G717" s="5" t="inlineStr">
        <is>
          <t>lámina de hierro, plancha negra</t>
        </is>
      </c>
      <c r="H717" s="7" t="inlineStr">
        <is>
          <t>plancha</t>
        </is>
      </c>
      <c r="I717" s="7" t="inlineStr">
        <is>
          <t>Estructura</t>
        </is>
      </c>
      <c r="J717" s="7" t="inlineStr">
        <is>
          <t>estandar</t>
        </is>
      </c>
      <c r="K717" s="7" t="inlineStr">
        <is>
          <t>importado</t>
        </is>
      </c>
      <c r="L717" s="7" t="inlineStr">
        <is>
          <t>Verificado</t>
        </is>
      </c>
      <c r="M717" s="8" t="n">
        <v>1</v>
      </c>
      <c r="N717" s="9" t="n">
        <v>8276.58</v>
      </c>
      <c r="O717" s="9" t="n">
        <v>8276.58</v>
      </c>
      <c r="P717" s="9" t="n">
        <v>8276.58</v>
      </c>
      <c r="Q717" s="7" t="inlineStr">
        <is>
          <t>Sí</t>
        </is>
      </c>
      <c r="R717" s="9">
        <f>IF(N717="","",IF(Q717="Sí",ROUND(N717/1.18,2),N717))</f>
        <v/>
      </c>
      <c r="S717" s="7" t="inlineStr">
        <is>
          <t>2026-09-09</t>
        </is>
      </c>
      <c r="T717" s="5" t="inlineStr">
        <is>
          <t>1 cotización de proveedores</t>
        </is>
      </c>
    </row>
    <row r="718">
      <c r="A718" s="7" t="inlineStr">
        <is>
          <t>MAT-21-013</t>
        </is>
      </c>
      <c r="B718" s="7" t="inlineStr">
        <is>
          <t>Materiales</t>
        </is>
      </c>
      <c r="C718" s="7" t="inlineStr">
        <is>
          <t>Tolas y láminas de acero</t>
        </is>
      </c>
      <c r="D718" s="5" t="inlineStr">
        <is>
          <t>Tola negra 1/4", plancha 6 x 10 pies</t>
        </is>
      </c>
      <c r="E718" s="5" t="inlineStr">
        <is>
          <t>Lámina de hierro negra laminada en frío · espesor 1/4" · plancha de 6 x 10 pies · 612 lb</t>
        </is>
      </c>
      <c r="F718" s="5" t="inlineStr">
        <is>
          <t>Material retirado en almacén</t>
        </is>
      </c>
      <c r="G718" s="5" t="inlineStr">
        <is>
          <t>lámina de hierro, plancha negra</t>
        </is>
      </c>
      <c r="H718" s="7" t="inlineStr">
        <is>
          <t>plancha</t>
        </is>
      </c>
      <c r="I718" s="7" t="inlineStr">
        <is>
          <t>Estructura</t>
        </is>
      </c>
      <c r="J718" s="7" t="inlineStr">
        <is>
          <t>estandar</t>
        </is>
      </c>
      <c r="K718" s="7" t="inlineStr">
        <is>
          <t>importado</t>
        </is>
      </c>
      <c r="L718" s="7" t="inlineStr">
        <is>
          <t>Verificado</t>
        </is>
      </c>
      <c r="M718" s="8" t="n">
        <v>1</v>
      </c>
      <c r="N718" s="9" t="n">
        <v>16280.34</v>
      </c>
      <c r="O718" s="9" t="n">
        <v>16280.34</v>
      </c>
      <c r="P718" s="9" t="n">
        <v>16280.34</v>
      </c>
      <c r="Q718" s="7" t="inlineStr">
        <is>
          <t>Sí</t>
        </is>
      </c>
      <c r="R718" s="9">
        <f>IF(N718="","",IF(Q718="Sí",ROUND(N718/1.18,2),N718))</f>
        <v/>
      </c>
      <c r="S718" s="7" t="inlineStr">
        <is>
          <t>2026-09-09</t>
        </is>
      </c>
      <c r="T718" s="5" t="inlineStr">
        <is>
          <t>1 cotización de proveedores</t>
        </is>
      </c>
    </row>
    <row r="719">
      <c r="A719" s="7" t="inlineStr">
        <is>
          <t>MAT-21-014</t>
        </is>
      </c>
      <c r="B719" s="7" t="inlineStr">
        <is>
          <t>Materiales</t>
        </is>
      </c>
      <c r="C719" s="7" t="inlineStr">
        <is>
          <t>Tolas y láminas de acero</t>
        </is>
      </c>
      <c r="D719" s="5" t="inlineStr">
        <is>
          <t>Tola negra 3/8", plancha 4 x 8 pies</t>
        </is>
      </c>
      <c r="E719" s="5" t="inlineStr">
        <is>
          <t>Lámina de hierro negra laminada en frío · espesor 3/8" · plancha de 4 x 8 pies · 489.6 lb</t>
        </is>
      </c>
      <c r="F719" s="5" t="inlineStr">
        <is>
          <t>Material retirado en almacén</t>
        </is>
      </c>
      <c r="G719" s="5" t="inlineStr">
        <is>
          <t>lámina de hierro, plancha negra</t>
        </is>
      </c>
      <c r="H719" s="7" t="inlineStr">
        <is>
          <t>plancha</t>
        </is>
      </c>
      <c r="I719" s="7" t="inlineStr">
        <is>
          <t>Estructura</t>
        </is>
      </c>
      <c r="J719" s="7" t="inlineStr">
        <is>
          <t>estandar</t>
        </is>
      </c>
      <c r="K719" s="7" t="inlineStr">
        <is>
          <t>importado</t>
        </is>
      </c>
      <c r="L719" s="7" t="inlineStr">
        <is>
          <t>Verificado</t>
        </is>
      </c>
      <c r="M719" s="8" t="n">
        <v>1</v>
      </c>
      <c r="N719" s="9" t="n">
        <v>12665.86</v>
      </c>
      <c r="O719" s="9" t="n">
        <v>12665.86</v>
      </c>
      <c r="P719" s="9" t="n">
        <v>12665.86</v>
      </c>
      <c r="Q719" s="7" t="inlineStr">
        <is>
          <t>Sí</t>
        </is>
      </c>
      <c r="R719" s="9">
        <f>IF(N719="","",IF(Q719="Sí",ROUND(N719/1.18,2),N719))</f>
        <v/>
      </c>
      <c r="S719" s="7" t="inlineStr">
        <is>
          <t>2026-09-09</t>
        </is>
      </c>
      <c r="T719" s="5" t="inlineStr">
        <is>
          <t>1 cotización de proveedores</t>
        </is>
      </c>
    </row>
    <row r="720">
      <c r="A720" s="7" t="inlineStr">
        <is>
          <t>MAT-21-015</t>
        </is>
      </c>
      <c r="B720" s="7" t="inlineStr">
        <is>
          <t>Materiales</t>
        </is>
      </c>
      <c r="C720" s="7" t="inlineStr">
        <is>
          <t>Tolas y láminas de acero</t>
        </is>
      </c>
      <c r="D720" s="5" t="inlineStr">
        <is>
          <t>Tola negra 5/8", plancha 4 x 8 pies</t>
        </is>
      </c>
      <c r="E720" s="5" t="inlineStr">
        <is>
          <t>Lámina de hierro negra laminada en frío · espesor 5/8" · plancha de 4 x 8 pies · 819.2 lb</t>
        </is>
      </c>
      <c r="F720" s="5" t="inlineStr">
        <is>
          <t>Material retirado en almacén</t>
        </is>
      </c>
      <c r="G720" s="5" t="inlineStr">
        <is>
          <t>lámina de hierro, plancha negra</t>
        </is>
      </c>
      <c r="H720" s="7" t="inlineStr">
        <is>
          <t>plancha</t>
        </is>
      </c>
      <c r="I720" s="7" t="inlineStr">
        <is>
          <t>Estructura</t>
        </is>
      </c>
      <c r="J720" s="7" t="inlineStr">
        <is>
          <t>estandar</t>
        </is>
      </c>
      <c r="K720" s="7" t="inlineStr">
        <is>
          <t>importado</t>
        </is>
      </c>
      <c r="L720" s="7" t="inlineStr">
        <is>
          <t>Verificado</t>
        </is>
      </c>
      <c r="M720" s="8" t="n">
        <v>1</v>
      </c>
      <c r="N720" s="9" t="n">
        <v>21001.52</v>
      </c>
      <c r="O720" s="9" t="n">
        <v>21001.52</v>
      </c>
      <c r="P720" s="9" t="n">
        <v>21001.52</v>
      </c>
      <c r="Q720" s="7" t="inlineStr">
        <is>
          <t>Sí</t>
        </is>
      </c>
      <c r="R720" s="9">
        <f>IF(N720="","",IF(Q720="Sí",ROUND(N720/1.18,2),N720))</f>
        <v/>
      </c>
      <c r="S720" s="7" t="inlineStr">
        <is>
          <t>2026-09-09</t>
        </is>
      </c>
      <c r="T720" s="5" t="inlineStr">
        <is>
          <t>1 cotización de proveedores</t>
        </is>
      </c>
    </row>
    <row r="721">
      <c r="A721" s="7" t="inlineStr">
        <is>
          <t>MAT-21-016</t>
        </is>
      </c>
      <c r="B721" s="7" t="inlineStr">
        <is>
          <t>Materiales</t>
        </is>
      </c>
      <c r="C721" s="7" t="inlineStr">
        <is>
          <t>Tolas y láminas de acero</t>
        </is>
      </c>
      <c r="D721" s="5" t="inlineStr">
        <is>
          <t>Tola negra 1", plancha 4 x 8 pies</t>
        </is>
      </c>
      <c r="E721" s="5" t="inlineStr">
        <is>
          <t>Lámina de hierro negra laminada en frío · espesor 1" · plancha de 4 x 8 pies · 1305.6 lb</t>
        </is>
      </c>
      <c r="F721" s="5" t="inlineStr">
        <is>
          <t>Material retirado en almacén</t>
        </is>
      </c>
      <c r="G721" s="5" t="inlineStr">
        <is>
          <t>lámina de hierro, plancha negra</t>
        </is>
      </c>
      <c r="H721" s="7" t="inlineStr">
        <is>
          <t>plancha</t>
        </is>
      </c>
      <c r="I721" s="7" t="inlineStr">
        <is>
          <t>Estructura</t>
        </is>
      </c>
      <c r="J721" s="7" t="inlineStr">
        <is>
          <t>estandar</t>
        </is>
      </c>
      <c r="K721" s="7" t="inlineStr">
        <is>
          <t>importado</t>
        </is>
      </c>
      <c r="L721" s="7" t="inlineStr">
        <is>
          <t>Verificado</t>
        </is>
      </c>
      <c r="M721" s="8" t="n">
        <v>1</v>
      </c>
      <c r="N721" s="9" t="n">
        <v>37319.49</v>
      </c>
      <c r="O721" s="9" t="n">
        <v>37319.49</v>
      </c>
      <c r="P721" s="9" t="n">
        <v>37319.49</v>
      </c>
      <c r="Q721" s="7" t="inlineStr">
        <is>
          <t>Sí</t>
        </is>
      </c>
      <c r="R721" s="9">
        <f>IF(N721="","",IF(Q721="Sí",ROUND(N721/1.18,2),N721))</f>
        <v/>
      </c>
      <c r="S721" s="7" t="inlineStr">
        <is>
          <t>2026-09-09</t>
        </is>
      </c>
      <c r="T721" s="5" t="inlineStr">
        <is>
          <t>1 cotización de proveedores</t>
        </is>
      </c>
    </row>
    <row r="722">
      <c r="A722" s="7" t="inlineStr">
        <is>
          <t>MAT-21-017</t>
        </is>
      </c>
      <c r="B722" s="7" t="inlineStr">
        <is>
          <t>Materiales</t>
        </is>
      </c>
      <c r="C722" s="7" t="inlineStr">
        <is>
          <t>Tolas y láminas de acero</t>
        </is>
      </c>
      <c r="D722" s="5" t="inlineStr">
        <is>
          <t>Tola corrugada 3/32", plancha 4 x 8 pies</t>
        </is>
      </c>
      <c r="E722" s="5" t="inlineStr">
        <is>
          <t>Lámina de hierro corrugada antideslizante · espesor 3/32" · plancha de 4 x 8 pies · 133 lb</t>
        </is>
      </c>
      <c r="F722" s="5" t="inlineStr">
        <is>
          <t>Material retirado en almacén</t>
        </is>
      </c>
      <c r="G722" s="5" t="inlineStr">
        <is>
          <t>lámina antiderrapante, plancha corrugada</t>
        </is>
      </c>
      <c r="H722" s="7" t="inlineStr">
        <is>
          <t>plancha</t>
        </is>
      </c>
      <c r="I722" s="7" t="inlineStr">
        <is>
          <t>Estructura</t>
        </is>
      </c>
      <c r="J722" s="7" t="inlineStr">
        <is>
          <t>estandar</t>
        </is>
      </c>
      <c r="K722" s="7" t="inlineStr">
        <is>
          <t>importado</t>
        </is>
      </c>
      <c r="L722" s="7" t="inlineStr">
        <is>
          <t>Verificado</t>
        </is>
      </c>
      <c r="M722" s="8" t="n">
        <v>1</v>
      </c>
      <c r="N722" s="9" t="n">
        <v>3253.65</v>
      </c>
      <c r="O722" s="9" t="n">
        <v>3253.65</v>
      </c>
      <c r="P722" s="9" t="n">
        <v>3253.65</v>
      </c>
      <c r="Q722" s="7" t="inlineStr">
        <is>
          <t>Sí</t>
        </is>
      </c>
      <c r="R722" s="9">
        <f>IF(N722="","",IF(Q722="Sí",ROUND(N722/1.18,2),N722))</f>
        <v/>
      </c>
      <c r="S722" s="7" t="inlineStr">
        <is>
          <t>2026-09-09</t>
        </is>
      </c>
      <c r="T722" s="5" t="inlineStr">
        <is>
          <t>1 cotización de proveedores</t>
        </is>
      </c>
    </row>
    <row r="723">
      <c r="A723" s="7" t="inlineStr">
        <is>
          <t>MAT-21-018</t>
        </is>
      </c>
      <c r="B723" s="7" t="inlineStr">
        <is>
          <t>Materiales</t>
        </is>
      </c>
      <c r="C723" s="7" t="inlineStr">
        <is>
          <t>Tolas y láminas de acero</t>
        </is>
      </c>
      <c r="D723" s="5" t="inlineStr">
        <is>
          <t>Tola corrugada 1/8", plancha 4 x 8 pies</t>
        </is>
      </c>
      <c r="E723" s="5" t="inlineStr">
        <is>
          <t>Lámina de hierro corrugada antideslizante · espesor 1/8" · plancha de 4 x 8 pies · 186.5 lb</t>
        </is>
      </c>
      <c r="F723" s="5" t="inlineStr">
        <is>
          <t>Material retirado en almacén</t>
        </is>
      </c>
      <c r="G723" s="5" t="inlineStr">
        <is>
          <t>lámina antiderrapante, plancha corrugada</t>
        </is>
      </c>
      <c r="H723" s="7" t="inlineStr">
        <is>
          <t>plancha</t>
        </is>
      </c>
      <c r="I723" s="7" t="inlineStr">
        <is>
          <t>Estructura</t>
        </is>
      </c>
      <c r="J723" s="7" t="inlineStr">
        <is>
          <t>estandar</t>
        </is>
      </c>
      <c r="K723" s="7" t="inlineStr">
        <is>
          <t>importado</t>
        </is>
      </c>
      <c r="L723" s="7" t="inlineStr">
        <is>
          <t>Verificado</t>
        </is>
      </c>
      <c r="M723" s="8" t="n">
        <v>1</v>
      </c>
      <c r="N723" s="9" t="n">
        <v>4279.86</v>
      </c>
      <c r="O723" s="9" t="n">
        <v>4279.86</v>
      </c>
      <c r="P723" s="9" t="n">
        <v>4279.86</v>
      </c>
      <c r="Q723" s="7" t="inlineStr">
        <is>
          <t>Sí</t>
        </is>
      </c>
      <c r="R723" s="9">
        <f>IF(N723="","",IF(Q723="Sí",ROUND(N723/1.18,2),N723))</f>
        <v/>
      </c>
      <c r="S723" s="7" t="inlineStr">
        <is>
          <t>2026-09-09</t>
        </is>
      </c>
      <c r="T723" s="5" t="inlineStr">
        <is>
          <t>1 cotización de proveedores</t>
        </is>
      </c>
    </row>
    <row r="724">
      <c r="A724" s="7" t="inlineStr">
        <is>
          <t>MAT-21-019</t>
        </is>
      </c>
      <c r="B724" s="7" t="inlineStr">
        <is>
          <t>Materiales</t>
        </is>
      </c>
      <c r="C724" s="7" t="inlineStr">
        <is>
          <t>Tolas y láminas de acero</t>
        </is>
      </c>
      <c r="D724" s="5" t="inlineStr">
        <is>
          <t>Tola corrugada 3/16", plancha 4 x 8 pies</t>
        </is>
      </c>
      <c r="E724" s="5" t="inlineStr">
        <is>
          <t>Lámina de hierro corrugada antideslizante · espesor 3/16" · plancha de 4 x 8 pies · 244.8 lb</t>
        </is>
      </c>
      <c r="F724" s="5" t="inlineStr">
        <is>
          <t>Material retirado en almacén</t>
        </is>
      </c>
      <c r="G724" s="5" t="inlineStr">
        <is>
          <t>lámina antiderrapante, plancha corrugada</t>
        </is>
      </c>
      <c r="H724" s="7" t="inlineStr">
        <is>
          <t>plancha</t>
        </is>
      </c>
      <c r="I724" s="7" t="inlineStr">
        <is>
          <t>Estructura</t>
        </is>
      </c>
      <c r="J724" s="7" t="inlineStr">
        <is>
          <t>estandar</t>
        </is>
      </c>
      <c r="K724" s="7" t="inlineStr">
        <is>
          <t>importado</t>
        </is>
      </c>
      <c r="L724" s="7" t="inlineStr">
        <is>
          <t>Verificado</t>
        </is>
      </c>
      <c r="M724" s="8" t="n">
        <v>1</v>
      </c>
      <c r="N724" s="9" t="n">
        <v>6433.47</v>
      </c>
      <c r="O724" s="9" t="n">
        <v>6433.47</v>
      </c>
      <c r="P724" s="9" t="n">
        <v>6433.47</v>
      </c>
      <c r="Q724" s="7" t="inlineStr">
        <is>
          <t>Sí</t>
        </is>
      </c>
      <c r="R724" s="9">
        <f>IF(N724="","",IF(Q724="Sí",ROUND(N724/1.18,2),N724))</f>
        <v/>
      </c>
      <c r="S724" s="7" t="inlineStr">
        <is>
          <t>2026-09-09</t>
        </is>
      </c>
      <c r="T724" s="5" t="inlineStr">
        <is>
          <t>1 cotización de proveedores</t>
        </is>
      </c>
    </row>
    <row r="725">
      <c r="A725" s="7" t="inlineStr">
        <is>
          <t>MAT-21-020</t>
        </is>
      </c>
      <c r="B725" s="7" t="inlineStr">
        <is>
          <t>Materiales</t>
        </is>
      </c>
      <c r="C725" s="7" t="inlineStr">
        <is>
          <t>Tolas y láminas de acero</t>
        </is>
      </c>
      <c r="D725" s="5" t="inlineStr">
        <is>
          <t>Tola galvanizada 4 x 8 pies, 25 lb</t>
        </is>
      </c>
      <c r="E725" s="5" t="inlineStr">
        <is>
          <t>Lámina de acero galvanizada · plancha de 4 x 8 pies · 25 lb</t>
        </is>
      </c>
      <c r="F725" s="5" t="inlineStr">
        <is>
          <t>Material retirado en almacén</t>
        </is>
      </c>
      <c r="G725" s="5" t="inlineStr">
        <is>
          <t>lámina galvanizada, tola galvanizada</t>
        </is>
      </c>
      <c r="H725" s="7" t="inlineStr">
        <is>
          <t>plancha</t>
        </is>
      </c>
      <c r="I725" s="7" t="inlineStr">
        <is>
          <t>Estructura</t>
        </is>
      </c>
      <c r="J725" s="7" t="inlineStr">
        <is>
          <t>estandar</t>
        </is>
      </c>
      <c r="K725" s="7" t="inlineStr">
        <is>
          <t>importado</t>
        </is>
      </c>
      <c r="L725" s="7" t="inlineStr">
        <is>
          <t>Verificado</t>
        </is>
      </c>
      <c r="M725" s="8" t="n">
        <v>1</v>
      </c>
      <c r="N725" s="9" t="n">
        <v>825.17</v>
      </c>
      <c r="O725" s="9" t="n">
        <v>825.17</v>
      </c>
      <c r="P725" s="9" t="n">
        <v>825.17</v>
      </c>
      <c r="Q725" s="7" t="inlineStr">
        <is>
          <t>Sí</t>
        </is>
      </c>
      <c r="R725" s="9">
        <f>IF(N725="","",IF(Q725="Sí",ROUND(N725/1.18,2),N725))</f>
        <v/>
      </c>
      <c r="S725" s="7" t="inlineStr">
        <is>
          <t>2026-09-09</t>
        </is>
      </c>
      <c r="T725" s="5" t="inlineStr">
        <is>
          <t>1 cotización de proveedores</t>
        </is>
      </c>
    </row>
    <row r="726">
      <c r="A726" s="7" t="inlineStr">
        <is>
          <t>MAT-21-021</t>
        </is>
      </c>
      <c r="B726" s="7" t="inlineStr">
        <is>
          <t>Materiales</t>
        </is>
      </c>
      <c r="C726" s="7" t="inlineStr">
        <is>
          <t>Tolas y láminas de acero</t>
        </is>
      </c>
      <c r="D726" s="5" t="inlineStr">
        <is>
          <t>Tola galvanizada 4 x 8 pies, 32 lb</t>
        </is>
      </c>
      <c r="E726" s="5" t="inlineStr">
        <is>
          <t>Lámina de acero galvanizada · plancha de 4 x 8 pies · 32 lb</t>
        </is>
      </c>
      <c r="F726" s="5" t="inlineStr">
        <is>
          <t>Material retirado en almacén</t>
        </is>
      </c>
      <c r="G726" s="5" t="inlineStr">
        <is>
          <t>lámina galvanizada, tola galvanizada</t>
        </is>
      </c>
      <c r="H726" s="7" t="inlineStr">
        <is>
          <t>plancha</t>
        </is>
      </c>
      <c r="I726" s="7" t="inlineStr">
        <is>
          <t>Estructura</t>
        </is>
      </c>
      <c r="J726" s="7" t="inlineStr">
        <is>
          <t>estandar</t>
        </is>
      </c>
      <c r="K726" s="7" t="inlineStr">
        <is>
          <t>importado</t>
        </is>
      </c>
      <c r="L726" s="7" t="inlineStr">
        <is>
          <t>Verificado</t>
        </is>
      </c>
      <c r="M726" s="8" t="n">
        <v>1</v>
      </c>
      <c r="N726" s="9" t="n">
        <v>952.1900000000001</v>
      </c>
      <c r="O726" s="9" t="n">
        <v>952.1900000000001</v>
      </c>
      <c r="P726" s="9" t="n">
        <v>952.1900000000001</v>
      </c>
      <c r="Q726" s="7" t="inlineStr">
        <is>
          <t>Sí</t>
        </is>
      </c>
      <c r="R726" s="9">
        <f>IF(N726="","",IF(Q726="Sí",ROUND(N726/1.18,2),N726))</f>
        <v/>
      </c>
      <c r="S726" s="7" t="inlineStr">
        <is>
          <t>2026-09-09</t>
        </is>
      </c>
      <c r="T726" s="5" t="inlineStr">
        <is>
          <t>1 cotización de proveedores</t>
        </is>
      </c>
    </row>
    <row r="727">
      <c r="A727" s="7" t="inlineStr">
        <is>
          <t>MAT-21-022</t>
        </is>
      </c>
      <c r="B727" s="7" t="inlineStr">
        <is>
          <t>Materiales</t>
        </is>
      </c>
      <c r="C727" s="7" t="inlineStr">
        <is>
          <t>Tolas y láminas de acero</t>
        </is>
      </c>
      <c r="D727" s="5" t="inlineStr">
        <is>
          <t>Tola galvanizada 4 x 8 pies, 44 lb</t>
        </is>
      </c>
      <c r="E727" s="5" t="inlineStr">
        <is>
          <t>Lámina de acero galvanizada · plancha de 4 x 8 pies · 44 lb</t>
        </is>
      </c>
      <c r="F727" s="5" t="inlineStr">
        <is>
          <t>Material retirado en almacén</t>
        </is>
      </c>
      <c r="G727" s="5" t="inlineStr">
        <is>
          <t>lámina galvanizada, tola galvanizada</t>
        </is>
      </c>
      <c r="H727" s="7" t="inlineStr">
        <is>
          <t>plancha</t>
        </is>
      </c>
      <c r="I727" s="7" t="inlineStr">
        <is>
          <t>Estructura</t>
        </is>
      </c>
      <c r="J727" s="7" t="inlineStr">
        <is>
          <t>estandar</t>
        </is>
      </c>
      <c r="K727" s="7" t="inlineStr">
        <is>
          <t>importado</t>
        </is>
      </c>
      <c r="L727" s="7" t="inlineStr">
        <is>
          <t>Verificado</t>
        </is>
      </c>
      <c r="M727" s="8" t="n">
        <v>1</v>
      </c>
      <c r="N727" s="9" t="n">
        <v>1169.6</v>
      </c>
      <c r="O727" s="9" t="n">
        <v>1169.6</v>
      </c>
      <c r="P727" s="9" t="n">
        <v>1169.6</v>
      </c>
      <c r="Q727" s="7" t="inlineStr">
        <is>
          <t>Sí</t>
        </is>
      </c>
      <c r="R727" s="9">
        <f>IF(N727="","",IF(Q727="Sí",ROUND(N727/1.18,2),N727))</f>
        <v/>
      </c>
      <c r="S727" s="7" t="inlineStr">
        <is>
          <t>2026-09-09</t>
        </is>
      </c>
      <c r="T727" s="5" t="inlineStr">
        <is>
          <t>1 cotización de proveedores</t>
        </is>
      </c>
    </row>
    <row r="728">
      <c r="A728" s="7" t="inlineStr">
        <is>
          <t>MAT-21-023</t>
        </is>
      </c>
      <c r="B728" s="7" t="inlineStr">
        <is>
          <t>Materiales</t>
        </is>
      </c>
      <c r="C728" s="7" t="inlineStr">
        <is>
          <t>Tolas y láminas de acero</t>
        </is>
      </c>
      <c r="D728" s="5" t="inlineStr">
        <is>
          <t>Tola galvanizada 4 x 8 pies, 52 lb</t>
        </is>
      </c>
      <c r="E728" s="5" t="inlineStr">
        <is>
          <t>Lámina de acero galvanizada · plancha de 4 x 8 pies · 52 lb</t>
        </is>
      </c>
      <c r="F728" s="5" t="inlineStr">
        <is>
          <t>Material retirado en almacén</t>
        </is>
      </c>
      <c r="G728" s="5" t="inlineStr">
        <is>
          <t>lámina galvanizada, tola galvanizada</t>
        </is>
      </c>
      <c r="H728" s="7" t="inlineStr">
        <is>
          <t>plancha</t>
        </is>
      </c>
      <c r="I728" s="7" t="inlineStr">
        <is>
          <t>Estructura</t>
        </is>
      </c>
      <c r="J728" s="7" t="inlineStr">
        <is>
          <t>estandar</t>
        </is>
      </c>
      <c r="K728" s="7" t="inlineStr">
        <is>
          <t>importado</t>
        </is>
      </c>
      <c r="L728" s="7" t="inlineStr">
        <is>
          <t>Verificado</t>
        </is>
      </c>
      <c r="M728" s="8" t="n">
        <v>1</v>
      </c>
      <c r="N728" s="9" t="n">
        <v>1551.37</v>
      </c>
      <c r="O728" s="9" t="n">
        <v>1551.37</v>
      </c>
      <c r="P728" s="9" t="n">
        <v>1551.37</v>
      </c>
      <c r="Q728" s="7" t="inlineStr">
        <is>
          <t>Sí</t>
        </is>
      </c>
      <c r="R728" s="9">
        <f>IF(N728="","",IF(Q728="Sí",ROUND(N728/1.18,2),N728))</f>
        <v/>
      </c>
      <c r="S728" s="7" t="inlineStr">
        <is>
          <t>2026-09-09</t>
        </is>
      </c>
      <c r="T728" s="5" t="inlineStr">
        <is>
          <t>1 cotización de proveedores</t>
        </is>
      </c>
    </row>
    <row r="729">
      <c r="A729" s="7" t="inlineStr">
        <is>
          <t>MAT-21-024</t>
        </is>
      </c>
      <c r="B729" s="7" t="inlineStr">
        <is>
          <t>Materiales</t>
        </is>
      </c>
      <c r="C729" s="7" t="inlineStr">
        <is>
          <t>Tolas y láminas de acero</t>
        </is>
      </c>
      <c r="D729" s="5" t="inlineStr">
        <is>
          <t>Tola galvanizada 4 x 8 pies, 83.75 lb</t>
        </is>
      </c>
      <c r="E729" s="5" t="inlineStr">
        <is>
          <t>Lámina de acero galvanizada · plancha de 4 x 8 pies · 83.75 lb</t>
        </is>
      </c>
      <c r="F729" s="5" t="inlineStr">
        <is>
          <t>Material retirado en almacén</t>
        </is>
      </c>
      <c r="G729" s="5" t="inlineStr">
        <is>
          <t>lámina galvanizada, tola galvanizada</t>
        </is>
      </c>
      <c r="H729" s="7" t="inlineStr">
        <is>
          <t>plancha</t>
        </is>
      </c>
      <c r="I729" s="7" t="inlineStr">
        <is>
          <t>Estructura</t>
        </is>
      </c>
      <c r="J729" s="7" t="inlineStr">
        <is>
          <t>estandar</t>
        </is>
      </c>
      <c r="K729" s="7" t="inlineStr">
        <is>
          <t>importado</t>
        </is>
      </c>
      <c r="L729" s="7" t="inlineStr">
        <is>
          <t>Verificado</t>
        </is>
      </c>
      <c r="M729" s="8" t="n">
        <v>1</v>
      </c>
      <c r="N729" s="9" t="n">
        <v>2364.86</v>
      </c>
      <c r="O729" s="9" t="n">
        <v>2364.86</v>
      </c>
      <c r="P729" s="9" t="n">
        <v>2364.86</v>
      </c>
      <c r="Q729" s="7" t="inlineStr">
        <is>
          <t>Sí</t>
        </is>
      </c>
      <c r="R729" s="9">
        <f>IF(N729="","",IF(Q729="Sí",ROUND(N729/1.18,2),N729))</f>
        <v/>
      </c>
      <c r="S729" s="7" t="inlineStr">
        <is>
          <t>2026-09-09</t>
        </is>
      </c>
      <c r="T729" s="5" t="inlineStr">
        <is>
          <t>1 cotización de proveedores</t>
        </is>
      </c>
    </row>
    <row r="730">
      <c r="A730" s="7" t="inlineStr">
        <is>
          <t>MAT-21-025</t>
        </is>
      </c>
      <c r="B730" s="7" t="inlineStr">
        <is>
          <t>Materiales</t>
        </is>
      </c>
      <c r="C730" s="7" t="inlineStr">
        <is>
          <t>Tolas y láminas de acero</t>
        </is>
      </c>
      <c r="D730" s="5" t="inlineStr">
        <is>
          <t>Metal desplegable plano 3/8", plancha 4 x 8 pies</t>
        </is>
      </c>
      <c r="E730" s="5" t="inlineStr">
        <is>
          <t>Lámina expandida de acero · rombo de 3/8" · plancha de 4 x 8 pies</t>
        </is>
      </c>
      <c r="F730" s="5" t="inlineStr">
        <is>
          <t>Material retirado en almacén</t>
        </is>
      </c>
      <c r="G730" s="5" t="inlineStr">
        <is>
          <t>metal desplegado, lámina expandida</t>
        </is>
      </c>
      <c r="H730" s="7" t="inlineStr">
        <is>
          <t>plancha</t>
        </is>
      </c>
      <c r="I730" s="7" t="inlineStr">
        <is>
          <t>Estructura</t>
        </is>
      </c>
      <c r="J730" s="7" t="inlineStr">
        <is>
          <t>estandar</t>
        </is>
      </c>
      <c r="K730" s="7" t="inlineStr">
        <is>
          <t>importado</t>
        </is>
      </c>
      <c r="L730" s="7" t="inlineStr">
        <is>
          <t>Verificado</t>
        </is>
      </c>
      <c r="M730" s="8" t="n">
        <v>1</v>
      </c>
      <c r="N730" s="9" t="n">
        <v>2209.05</v>
      </c>
      <c r="O730" s="9" t="n">
        <v>2209.05</v>
      </c>
      <c r="P730" s="9" t="n">
        <v>2209.05</v>
      </c>
      <c r="Q730" s="7" t="inlineStr">
        <is>
          <t>Sí</t>
        </is>
      </c>
      <c r="R730" s="9">
        <f>IF(N730="","",IF(Q730="Sí",ROUND(N730/1.18,2),N730))</f>
        <v/>
      </c>
      <c r="S730" s="7" t="inlineStr">
        <is>
          <t>2026-09-09</t>
        </is>
      </c>
      <c r="T730" s="5" t="inlineStr">
        <is>
          <t>1 cotización de proveedores</t>
        </is>
      </c>
    </row>
    <row r="731">
      <c r="A731" s="7" t="inlineStr">
        <is>
          <t>MAT-21-026</t>
        </is>
      </c>
      <c r="B731" s="7" t="inlineStr">
        <is>
          <t>Materiales</t>
        </is>
      </c>
      <c r="C731" s="7" t="inlineStr">
        <is>
          <t>Tolas y láminas de acero</t>
        </is>
      </c>
      <c r="D731" s="5" t="inlineStr">
        <is>
          <t>Metal desplegable plano 1/2", plancha 4 x 8 pies</t>
        </is>
      </c>
      <c r="E731" s="5" t="inlineStr">
        <is>
          <t>Lámina expandida de acero · rombo de 1/2" · plancha de 4 x 8 pies</t>
        </is>
      </c>
      <c r="F731" s="5" t="inlineStr">
        <is>
          <t>Material retirado en almacén</t>
        </is>
      </c>
      <c r="G731" s="5" t="inlineStr">
        <is>
          <t>metal desplegado, lámina expandida</t>
        </is>
      </c>
      <c r="H731" s="7" t="inlineStr">
        <is>
          <t>plancha</t>
        </is>
      </c>
      <c r="I731" s="7" t="inlineStr">
        <is>
          <t>Estructura</t>
        </is>
      </c>
      <c r="J731" s="7" t="inlineStr">
        <is>
          <t>estandar</t>
        </is>
      </c>
      <c r="K731" s="7" t="inlineStr">
        <is>
          <t>importado</t>
        </is>
      </c>
      <c r="L731" s="7" t="inlineStr">
        <is>
          <t>Verificado</t>
        </is>
      </c>
      <c r="M731" s="8" t="n">
        <v>1</v>
      </c>
      <c r="N731" s="9" t="n">
        <v>765.55</v>
      </c>
      <c r="O731" s="9" t="n">
        <v>765.55</v>
      </c>
      <c r="P731" s="9" t="n">
        <v>765.55</v>
      </c>
      <c r="Q731" s="7" t="inlineStr">
        <is>
          <t>Sí</t>
        </is>
      </c>
      <c r="R731" s="9">
        <f>IF(N731="","",IF(Q731="Sí",ROUND(N731/1.18,2),N731))</f>
        <v/>
      </c>
      <c r="S731" s="7" t="inlineStr">
        <is>
          <t>2026-09-09</t>
        </is>
      </c>
      <c r="T731" s="5" t="inlineStr">
        <is>
          <t>1 cotización de proveedores</t>
        </is>
      </c>
    </row>
    <row r="732">
      <c r="A732" s="7" t="inlineStr">
        <is>
          <t>MAT-21-027</t>
        </is>
      </c>
      <c r="B732" s="7" t="inlineStr">
        <is>
          <t>Materiales</t>
        </is>
      </c>
      <c r="C732" s="7" t="inlineStr">
        <is>
          <t>Tolas y láminas de acero</t>
        </is>
      </c>
      <c r="D732" s="5" t="inlineStr">
        <is>
          <t>Metal desplegable plano 3/4", plancha 4 x 8 pies</t>
        </is>
      </c>
      <c r="E732" s="5" t="inlineStr">
        <is>
          <t>Lámina expandida de acero · rombo de 3/4" · plancha de 4 x 8 pies</t>
        </is>
      </c>
      <c r="F732" s="5" t="inlineStr">
        <is>
          <t>Material retirado en almacén</t>
        </is>
      </c>
      <c r="G732" s="5" t="inlineStr">
        <is>
          <t>metal desplegado, lámina expandida</t>
        </is>
      </c>
      <c r="H732" s="7" t="inlineStr">
        <is>
          <t>plancha</t>
        </is>
      </c>
      <c r="I732" s="7" t="inlineStr">
        <is>
          <t>Estructura</t>
        </is>
      </c>
      <c r="J732" s="7" t="inlineStr">
        <is>
          <t>estandar</t>
        </is>
      </c>
      <c r="K732" s="7" t="inlineStr">
        <is>
          <t>importado</t>
        </is>
      </c>
      <c r="L732" s="7" t="inlineStr">
        <is>
          <t>Verificado</t>
        </is>
      </c>
      <c r="M732" s="8" t="n">
        <v>1</v>
      </c>
      <c r="N732" s="9" t="n">
        <v>850</v>
      </c>
      <c r="O732" s="9" t="n">
        <v>850</v>
      </c>
      <c r="P732" s="9" t="n">
        <v>850</v>
      </c>
      <c r="Q732" s="7" t="inlineStr">
        <is>
          <t>Sí</t>
        </is>
      </c>
      <c r="R732" s="9">
        <f>IF(N732="","",IF(Q732="Sí",ROUND(N732/1.18,2),N732))</f>
        <v/>
      </c>
      <c r="S732" s="7" t="inlineStr">
        <is>
          <t>2026-09-09</t>
        </is>
      </c>
      <c r="T732" s="5" t="inlineStr">
        <is>
          <t>1 cotización de proveedores</t>
        </is>
      </c>
    </row>
    <row r="733">
      <c r="A733" s="7" t="inlineStr">
        <is>
          <t>MAT-21-028</t>
        </is>
      </c>
      <c r="B733" s="7" t="inlineStr">
        <is>
          <t>Materiales</t>
        </is>
      </c>
      <c r="C733" s="7" t="inlineStr">
        <is>
          <t>Tolas y láminas de acero</t>
        </is>
      </c>
      <c r="D733" s="5" t="inlineStr">
        <is>
          <t>Metal desplegable plano 1", plancha 4 x 8 pies</t>
        </is>
      </c>
      <c r="E733" s="5" t="inlineStr">
        <is>
          <t>Lámina expandida de acero · rombo de 1" · plancha de 4 x 8 pies</t>
        </is>
      </c>
      <c r="F733" s="5" t="inlineStr">
        <is>
          <t>Material retirado en almacén</t>
        </is>
      </c>
      <c r="G733" s="5" t="inlineStr">
        <is>
          <t>metal desplegado, lámina expandida</t>
        </is>
      </c>
      <c r="H733" s="7" t="inlineStr">
        <is>
          <t>plancha</t>
        </is>
      </c>
      <c r="I733" s="7" t="inlineStr">
        <is>
          <t>Estructura</t>
        </is>
      </c>
      <c r="J733" s="7" t="inlineStr">
        <is>
          <t>estandar</t>
        </is>
      </c>
      <c r="K733" s="7" t="inlineStr">
        <is>
          <t>importado</t>
        </is>
      </c>
      <c r="L733" s="7" t="inlineStr">
        <is>
          <t>Verificado</t>
        </is>
      </c>
      <c r="M733" s="8" t="n">
        <v>1</v>
      </c>
      <c r="N733" s="9" t="n">
        <v>1080.47</v>
      </c>
      <c r="O733" s="9" t="n">
        <v>1080.47</v>
      </c>
      <c r="P733" s="9" t="n">
        <v>1080.47</v>
      </c>
      <c r="Q733" s="7" t="inlineStr">
        <is>
          <t>Sí</t>
        </is>
      </c>
      <c r="R733" s="9">
        <f>IF(N733="","",IF(Q733="Sí",ROUND(N733/1.18,2),N733))</f>
        <v/>
      </c>
      <c r="S733" s="7" t="inlineStr">
        <is>
          <t>2026-09-09</t>
        </is>
      </c>
      <c r="T733" s="5" t="inlineStr">
        <is>
          <t>1 cotización de proveedores</t>
        </is>
      </c>
    </row>
    <row r="734">
      <c r="A734" s="7" t="inlineStr">
        <is>
          <t>MAT-21-029</t>
        </is>
      </c>
      <c r="B734" s="7" t="inlineStr">
        <is>
          <t>Materiales</t>
        </is>
      </c>
      <c r="C734" s="7" t="inlineStr">
        <is>
          <t>Tolas y láminas de acero</t>
        </is>
      </c>
      <c r="D734" s="5" t="inlineStr">
        <is>
          <t>Metal desplegable plano 1 1/2", plancha 4 x 8 pies</t>
        </is>
      </c>
      <c r="E734" s="5" t="inlineStr">
        <is>
          <t>Lámina expandida de acero · rombo de 1 1/2" · plancha de 4 x 8 pies</t>
        </is>
      </c>
      <c r="F734" s="5" t="inlineStr">
        <is>
          <t>Material retirado en almacén</t>
        </is>
      </c>
      <c r="G734" s="5" t="inlineStr">
        <is>
          <t>metal desplegado, lámina expandida</t>
        </is>
      </c>
      <c r="H734" s="7" t="inlineStr">
        <is>
          <t>plancha</t>
        </is>
      </c>
      <c r="I734" s="7" t="inlineStr">
        <is>
          <t>Estructura</t>
        </is>
      </c>
      <c r="J734" s="7" t="inlineStr">
        <is>
          <t>estandar</t>
        </is>
      </c>
      <c r="K734" s="7" t="inlineStr">
        <is>
          <t>importado</t>
        </is>
      </c>
      <c r="L734" s="7" t="inlineStr">
        <is>
          <t>Verificado</t>
        </is>
      </c>
      <c r="M734" s="8" t="n">
        <v>1</v>
      </c>
      <c r="N734" s="9" t="n">
        <v>939.35</v>
      </c>
      <c r="O734" s="9" t="n">
        <v>939.35</v>
      </c>
      <c r="P734" s="9" t="n">
        <v>939.35</v>
      </c>
      <c r="Q734" s="7" t="inlineStr">
        <is>
          <t>Sí</t>
        </is>
      </c>
      <c r="R734" s="9">
        <f>IF(N734="","",IF(Q734="Sí",ROUND(N734/1.18,2),N734))</f>
        <v/>
      </c>
      <c r="S734" s="7" t="inlineStr">
        <is>
          <t>2026-09-09</t>
        </is>
      </c>
      <c r="T734" s="5" t="inlineStr">
        <is>
          <t>1 cotización de proveedores</t>
        </is>
      </c>
    </row>
    <row r="735">
      <c r="A735" s="7" t="inlineStr">
        <is>
          <t>MAT-22-001</t>
        </is>
      </c>
      <c r="B735" s="7" t="inlineStr">
        <is>
          <t>Materiales</t>
        </is>
      </c>
      <c r="C735" s="7" t="inlineStr">
        <is>
          <t>Cerramiento perimetral</t>
        </is>
      </c>
      <c r="D735" s="5" t="inlineStr">
        <is>
          <t>Alambre Trinchera Jabali Rollo 45 m</t>
        </is>
      </c>
      <c r="E735" s="5" t="inlineStr">
        <is>
          <t>marca JABALI · metal · 45 Mts · galvanizado</t>
        </is>
      </c>
      <c r="F735" s="5" t="inlineStr">
        <is>
          <t>Material retirado en almacén</t>
        </is>
      </c>
      <c r="G735" s="5" t="inlineStr">
        <is>
          <t>alambre de trinchera</t>
        </is>
      </c>
      <c r="H735" s="7" t="inlineStr">
        <is>
          <t>rollo</t>
        </is>
      </c>
      <c r="I735" s="7" t="inlineStr">
        <is>
          <t>Exteriores</t>
        </is>
      </c>
      <c r="J735" s="7" t="inlineStr">
        <is>
          <t>estandar</t>
        </is>
      </c>
      <c r="K735" s="7" t="inlineStr">
        <is>
          <t>importado</t>
        </is>
      </c>
      <c r="L735" s="7" t="inlineStr">
        <is>
          <t>Verificado</t>
        </is>
      </c>
      <c r="M735" s="8" t="n">
        <v>1</v>
      </c>
      <c r="N735" s="9" t="n">
        <v>595</v>
      </c>
      <c r="O735" s="9" t="n">
        <v>595</v>
      </c>
      <c r="P735" s="9" t="n">
        <v>595</v>
      </c>
      <c r="Q735" s="7" t="inlineStr">
        <is>
          <t>Sí</t>
        </is>
      </c>
      <c r="R735" s="9">
        <f>IF(N735="","",IF(Q735="Sí",ROUND(N735/1.18,2),N735))</f>
        <v/>
      </c>
      <c r="S735" s="7" t="inlineStr">
        <is>
          <t>2026-09-09</t>
        </is>
      </c>
      <c r="T735" s="5" t="inlineStr">
        <is>
          <t>1 cotización de proveedores</t>
        </is>
      </c>
    </row>
    <row r="736">
      <c r="A736" s="7" t="inlineStr">
        <is>
          <t>MAT-22-002</t>
        </is>
      </c>
      <c r="B736" s="7" t="inlineStr">
        <is>
          <t>Materiales</t>
        </is>
      </c>
      <c r="C736" s="7" t="inlineStr">
        <is>
          <t>Cerramiento perimetral</t>
        </is>
      </c>
      <c r="D736" s="5" t="inlineStr">
        <is>
          <t>Proteccion Verja 3 Puya Barra Redonda</t>
        </is>
      </c>
      <c r="E736" s="5" t="inlineStr">
        <is>
          <t>marca INNOMATE · metal · 1mt</t>
        </is>
      </c>
      <c r="F736" s="5" t="inlineStr">
        <is>
          <t>Material retirado en almacén</t>
        </is>
      </c>
      <c r="G736" s="5" t="inlineStr">
        <is>
          <t>protección de verja, puya</t>
        </is>
      </c>
      <c r="H736" s="7" t="inlineStr">
        <is>
          <t>unidad</t>
        </is>
      </c>
      <c r="I736" s="7" t="inlineStr">
        <is>
          <t>Exteriores</t>
        </is>
      </c>
      <c r="J736" s="7" t="inlineStr">
        <is>
          <t>estandar</t>
        </is>
      </c>
      <c r="K736" s="7" t="inlineStr">
        <is>
          <t>importado</t>
        </is>
      </c>
      <c r="L736" s="7" t="inlineStr">
        <is>
          <t>Verificado</t>
        </is>
      </c>
      <c r="M736" s="8" t="n">
        <v>1</v>
      </c>
      <c r="N736" s="9" t="n">
        <v>995</v>
      </c>
      <c r="O736" s="9" t="n">
        <v>995</v>
      </c>
      <c r="P736" s="9" t="n">
        <v>995</v>
      </c>
      <c r="Q736" s="7" t="inlineStr">
        <is>
          <t>Sí</t>
        </is>
      </c>
      <c r="R736" s="9">
        <f>IF(N736="","",IF(Q736="Sí",ROUND(N736/1.18,2),N736))</f>
        <v/>
      </c>
      <c r="S736" s="7" t="inlineStr">
        <is>
          <t>2026-09-09</t>
        </is>
      </c>
      <c r="T736" s="5" t="inlineStr">
        <is>
          <t>1 cotización de proveedores</t>
        </is>
      </c>
    </row>
    <row r="737">
      <c r="A737" s="7" t="inlineStr">
        <is>
          <t>MAT-22-003</t>
        </is>
      </c>
      <c r="B737" s="7" t="inlineStr">
        <is>
          <t>Materiales</t>
        </is>
      </c>
      <c r="C737" s="7" t="inlineStr">
        <is>
          <t>Cerramiento perimetral</t>
        </is>
      </c>
      <c r="D737" s="5" t="inlineStr">
        <is>
          <t>Proteccion Verja Planchuela 1 m</t>
        </is>
      </c>
      <c r="E737" s="5" t="inlineStr">
        <is>
          <t>marca INNOMATE · metal · 1mt</t>
        </is>
      </c>
      <c r="F737" s="5" t="inlineStr">
        <is>
          <t>Material retirado en almacén</t>
        </is>
      </c>
      <c r="G737" s="5" t="inlineStr">
        <is>
          <t>protección de verja, puya</t>
        </is>
      </c>
      <c r="H737" s="7" t="inlineStr">
        <is>
          <t>unidad</t>
        </is>
      </c>
      <c r="I737" s="7" t="inlineStr">
        <is>
          <t>Exteriores</t>
        </is>
      </c>
      <c r="J737" s="7" t="inlineStr">
        <is>
          <t>estandar</t>
        </is>
      </c>
      <c r="K737" s="7" t="inlineStr">
        <is>
          <t>importado</t>
        </is>
      </c>
      <c r="L737" s="7" t="inlineStr">
        <is>
          <t>Verificado</t>
        </is>
      </c>
      <c r="M737" s="8" t="n">
        <v>1</v>
      </c>
      <c r="N737" s="9" t="n">
        <v>985</v>
      </c>
      <c r="O737" s="9" t="n">
        <v>985</v>
      </c>
      <c r="P737" s="9" t="n">
        <v>985</v>
      </c>
      <c r="Q737" s="7" t="inlineStr">
        <is>
          <t>Sí</t>
        </is>
      </c>
      <c r="R737" s="9">
        <f>IF(N737="","",IF(Q737="Sí",ROUND(N737/1.18,2),N737))</f>
        <v/>
      </c>
      <c r="S737" s="7" t="inlineStr">
        <is>
          <t>2026-09-09</t>
        </is>
      </c>
      <c r="T737" s="5" t="inlineStr">
        <is>
          <t>1 cotización de proveedores</t>
        </is>
      </c>
    </row>
    <row r="738">
      <c r="A738" s="7" t="inlineStr">
        <is>
          <t>MAT-22-004</t>
        </is>
      </c>
      <c r="B738" s="7" t="inlineStr">
        <is>
          <t>Materiales</t>
        </is>
      </c>
      <c r="C738" s="7" t="inlineStr">
        <is>
          <t>Cerramiento perimetral</t>
        </is>
      </c>
      <c r="D738" s="5" t="inlineStr">
        <is>
          <t>Malla ciclónica calibre 9, 3 pies de alto, rollo de 50 pies</t>
        </is>
      </c>
      <c r="E738" s="5" t="inlineStr">
        <is>
          <t>Malla de alambre galvanizado tejido en rombo · calibre 9 · 3 pies de alto · rollo de 50 pies</t>
        </is>
      </c>
      <c r="F738" s="5" t="inlineStr">
        <is>
          <t>Material retirado en almacén</t>
        </is>
      </c>
      <c r="G738" s="5" t="inlineStr">
        <is>
          <t>malla ciclónica, verja de alambre, cyclone</t>
        </is>
      </c>
      <c r="H738" s="7" t="inlineStr">
        <is>
          <t>rollo</t>
        </is>
      </c>
      <c r="I738" s="7" t="inlineStr">
        <is>
          <t>Exteriores</t>
        </is>
      </c>
      <c r="J738" s="7" t="inlineStr">
        <is>
          <t>estandar</t>
        </is>
      </c>
      <c r="K738" s="7" t="inlineStr">
        <is>
          <t>importado</t>
        </is>
      </c>
      <c r="L738" s="7" t="inlineStr">
        <is>
          <t>Verificado</t>
        </is>
      </c>
      <c r="M738" s="8" t="n">
        <v>1</v>
      </c>
      <c r="N738" s="9" t="n">
        <v>5223.1</v>
      </c>
      <c r="O738" s="9" t="n">
        <v>5223.1</v>
      </c>
      <c r="P738" s="9" t="n">
        <v>5223.1</v>
      </c>
      <c r="Q738" s="7" t="inlineStr">
        <is>
          <t>Sí</t>
        </is>
      </c>
      <c r="R738" s="9">
        <f>IF(N738="","",IF(Q738="Sí",ROUND(N738/1.18,2),N738))</f>
        <v/>
      </c>
      <c r="S738" s="7" t="inlineStr">
        <is>
          <t>2026-09-09</t>
        </is>
      </c>
      <c r="T738" s="5" t="inlineStr">
        <is>
          <t>1 cotización de proveedores</t>
        </is>
      </c>
    </row>
    <row r="739">
      <c r="A739" s="7" t="inlineStr">
        <is>
          <t>MAT-22-005</t>
        </is>
      </c>
      <c r="B739" s="7" t="inlineStr">
        <is>
          <t>Materiales</t>
        </is>
      </c>
      <c r="C739" s="7" t="inlineStr">
        <is>
          <t>Cerramiento perimetral</t>
        </is>
      </c>
      <c r="D739" s="5" t="inlineStr">
        <is>
          <t>Malla ciclónica calibre 9, 4 pies de alto, rollo de 50 pies</t>
        </is>
      </c>
      <c r="E739" s="5" t="inlineStr">
        <is>
          <t>Malla de alambre galvanizado tejido en rombo · calibre 9 · 4 pies de alto · rollo de 50 pies</t>
        </is>
      </c>
      <c r="F739" s="5" t="inlineStr">
        <is>
          <t>Material retirado en almacén</t>
        </is>
      </c>
      <c r="G739" s="5" t="inlineStr">
        <is>
          <t>malla ciclónica, verja de alambre, cyclone</t>
        </is>
      </c>
      <c r="H739" s="7" t="inlineStr">
        <is>
          <t>rollo</t>
        </is>
      </c>
      <c r="I739" s="7" t="inlineStr">
        <is>
          <t>Exteriores</t>
        </is>
      </c>
      <c r="J739" s="7" t="inlineStr">
        <is>
          <t>estandar</t>
        </is>
      </c>
      <c r="K739" s="7" t="inlineStr">
        <is>
          <t>importado</t>
        </is>
      </c>
      <c r="L739" s="7" t="inlineStr">
        <is>
          <t>Verificado</t>
        </is>
      </c>
      <c r="M739" s="8" t="n">
        <v>1</v>
      </c>
      <c r="N739" s="9" t="n">
        <v>6121.98</v>
      </c>
      <c r="O739" s="9" t="n">
        <v>6121.98</v>
      </c>
      <c r="P739" s="9" t="n">
        <v>6121.98</v>
      </c>
      <c r="Q739" s="7" t="inlineStr">
        <is>
          <t>Sí</t>
        </is>
      </c>
      <c r="R739" s="9">
        <f>IF(N739="","",IF(Q739="Sí",ROUND(N739/1.18,2),N739))</f>
        <v/>
      </c>
      <c r="S739" s="7" t="inlineStr">
        <is>
          <t>2026-09-09</t>
        </is>
      </c>
      <c r="T739" s="5" t="inlineStr">
        <is>
          <t>1 cotización de proveedores</t>
        </is>
      </c>
    </row>
    <row r="740">
      <c r="A740" s="7" t="inlineStr">
        <is>
          <t>MAT-22-006</t>
        </is>
      </c>
      <c r="B740" s="7" t="inlineStr">
        <is>
          <t>Materiales</t>
        </is>
      </c>
      <c r="C740" s="7" t="inlineStr">
        <is>
          <t>Cerramiento perimetral</t>
        </is>
      </c>
      <c r="D740" s="5" t="inlineStr">
        <is>
          <t>Malla ciclónica calibre 9, 6 pies de alto, rollo de 50 pies</t>
        </is>
      </c>
      <c r="E740" s="5" t="inlineStr">
        <is>
          <t>Malla de alambre galvanizado tejido en rombo · calibre 9 · 6 pies de alto · rollo de 50 pies</t>
        </is>
      </c>
      <c r="F740" s="5" t="inlineStr">
        <is>
          <t>Material retirado en almacén</t>
        </is>
      </c>
      <c r="G740" s="5" t="inlineStr">
        <is>
          <t>malla ciclónica, verja de alambre, cyclone</t>
        </is>
      </c>
      <c r="H740" s="7" t="inlineStr">
        <is>
          <t>rollo</t>
        </is>
      </c>
      <c r="I740" s="7" t="inlineStr">
        <is>
          <t>Exteriores</t>
        </is>
      </c>
      <c r="J740" s="7" t="inlineStr">
        <is>
          <t>estandar</t>
        </is>
      </c>
      <c r="K740" s="7" t="inlineStr">
        <is>
          <t>importado</t>
        </is>
      </c>
      <c r="L740" s="7" t="inlineStr">
        <is>
          <t>Verificado</t>
        </is>
      </c>
      <c r="M740" s="8" t="n">
        <v>1</v>
      </c>
      <c r="N740" s="9" t="n">
        <v>9867.16</v>
      </c>
      <c r="O740" s="9" t="n">
        <v>9867.16</v>
      </c>
      <c r="P740" s="9" t="n">
        <v>9867.16</v>
      </c>
      <c r="Q740" s="7" t="inlineStr">
        <is>
          <t>Sí</t>
        </is>
      </c>
      <c r="R740" s="9">
        <f>IF(N740="","",IF(Q740="Sí",ROUND(N740/1.18,2),N740))</f>
        <v/>
      </c>
      <c r="S740" s="7" t="inlineStr">
        <is>
          <t>2026-09-09</t>
        </is>
      </c>
      <c r="T740" s="5" t="inlineStr">
        <is>
          <t>1 cotización de proveedores</t>
        </is>
      </c>
    </row>
    <row r="741">
      <c r="A741" s="7" t="inlineStr">
        <is>
          <t>MAT-22-007</t>
        </is>
      </c>
      <c r="B741" s="7" t="inlineStr">
        <is>
          <t>Materiales</t>
        </is>
      </c>
      <c r="C741" s="7" t="inlineStr">
        <is>
          <t>Cerramiento perimetral</t>
        </is>
      </c>
      <c r="D741" s="5" t="inlineStr">
        <is>
          <t>Malla ciclónica calibre 9 revestida en PVC, 6 pies de alto, rollo de 50 pies</t>
        </is>
      </c>
      <c r="E741" s="5" t="inlineStr">
        <is>
          <t>Malla de alambre galvanizado tejido en rombo · calibre 9 con revestimiento de PVC · 6 pies de alto · rollo de 50 pies</t>
        </is>
      </c>
      <c r="F741" s="5" t="inlineStr">
        <is>
          <t>Material retirado en almacén</t>
        </is>
      </c>
      <c r="G741" s="5" t="inlineStr">
        <is>
          <t>malla ciclónica, verja de alambre, cyclone</t>
        </is>
      </c>
      <c r="H741" s="7" t="inlineStr">
        <is>
          <t>rollo</t>
        </is>
      </c>
      <c r="I741" s="7" t="inlineStr">
        <is>
          <t>Exteriores</t>
        </is>
      </c>
      <c r="J741" s="7" t="inlineStr">
        <is>
          <t>estandar</t>
        </is>
      </c>
      <c r="K741" s="7" t="inlineStr">
        <is>
          <t>importado</t>
        </is>
      </c>
      <c r="L741" s="7" t="inlineStr">
        <is>
          <t>Verificado</t>
        </is>
      </c>
      <c r="M741" s="8" t="n">
        <v>2</v>
      </c>
      <c r="N741" s="9" t="n">
        <v>13223.83</v>
      </c>
      <c r="O741" s="9" t="n">
        <v>11757.65</v>
      </c>
      <c r="P741" s="9" t="n">
        <v>14690</v>
      </c>
      <c r="Q741" s="7" t="inlineStr">
        <is>
          <t>Sí</t>
        </is>
      </c>
      <c r="R741" s="9">
        <f>IF(N741="","",IF(Q741="Sí",ROUND(N741/1.18,2),N741))</f>
        <v/>
      </c>
      <c r="S741" s="7" t="inlineStr">
        <is>
          <t>2026-09-09</t>
        </is>
      </c>
      <c r="T741" s="5" t="inlineStr">
        <is>
          <t>2 cotizaciones de proveedores</t>
        </is>
      </c>
    </row>
    <row r="742">
      <c r="A742" s="7" t="inlineStr">
        <is>
          <t>MAT-22-008</t>
        </is>
      </c>
      <c r="B742" s="7" t="inlineStr">
        <is>
          <t>Materiales</t>
        </is>
      </c>
      <c r="C742" s="7" t="inlineStr">
        <is>
          <t>Cerramiento perimetral</t>
        </is>
      </c>
      <c r="D742" s="5" t="inlineStr">
        <is>
          <t>Malla ciclónica calibre 9, 8 pies de alto, rollo de 50 pies</t>
        </is>
      </c>
      <c r="E742" s="5" t="inlineStr">
        <is>
          <t>Malla de alambre galvanizado tejido en rombo · calibre 9 · 8 pies de alto · rollo de 50 pies</t>
        </is>
      </c>
      <c r="F742" s="5" t="inlineStr">
        <is>
          <t>Material retirado en almacén</t>
        </is>
      </c>
      <c r="G742" s="5" t="inlineStr">
        <is>
          <t>malla ciclónica, verja de alambre, cyclone</t>
        </is>
      </c>
      <c r="H742" s="7" t="inlineStr">
        <is>
          <t>rollo</t>
        </is>
      </c>
      <c r="I742" s="7" t="inlineStr">
        <is>
          <t>Exteriores</t>
        </is>
      </c>
      <c r="J742" s="7" t="inlineStr">
        <is>
          <t>estandar</t>
        </is>
      </c>
      <c r="K742" s="7" t="inlineStr">
        <is>
          <t>importado</t>
        </is>
      </c>
      <c r="L742" s="7" t="inlineStr">
        <is>
          <t>Verificado</t>
        </is>
      </c>
      <c r="M742" s="8" t="n">
        <v>1</v>
      </c>
      <c r="N742" s="9" t="n">
        <v>13273.54</v>
      </c>
      <c r="O742" s="9" t="n">
        <v>13273.54</v>
      </c>
      <c r="P742" s="9" t="n">
        <v>13273.54</v>
      </c>
      <c r="Q742" s="7" t="inlineStr">
        <is>
          <t>Sí</t>
        </is>
      </c>
      <c r="R742" s="9">
        <f>IF(N742="","",IF(Q742="Sí",ROUND(N742/1.18,2),N742))</f>
        <v/>
      </c>
      <c r="S742" s="7" t="inlineStr">
        <is>
          <t>2026-09-09</t>
        </is>
      </c>
      <c r="T742" s="5" t="inlineStr">
        <is>
          <t>1 cotización de proveedores</t>
        </is>
      </c>
    </row>
    <row r="743">
      <c r="A743" s="7" t="inlineStr">
        <is>
          <t>MAT-22-009</t>
        </is>
      </c>
      <c r="B743" s="7" t="inlineStr">
        <is>
          <t>Materiales</t>
        </is>
      </c>
      <c r="C743" s="7" t="inlineStr">
        <is>
          <t>Cerramiento perimetral</t>
        </is>
      </c>
      <c r="D743" s="5" t="inlineStr">
        <is>
          <t>Tubo galvanizado para malla ciclónica 1 1/4" x 20 pies</t>
        </is>
      </c>
      <c r="E743" s="5" t="inlineStr">
        <is>
          <t>Poste tubular galvanizado para cerramiento · 1 1/4" · tramo de 20 pies</t>
        </is>
      </c>
      <c r="F743" s="5" t="inlineStr">
        <is>
          <t>Material retirado en almacén</t>
        </is>
      </c>
      <c r="G743" s="5" t="inlineStr">
        <is>
          <t>poste de malla, tubo de verja</t>
        </is>
      </c>
      <c r="H743" s="7" t="inlineStr">
        <is>
          <t>unidad</t>
        </is>
      </c>
      <c r="I743" s="7" t="inlineStr">
        <is>
          <t>Exteriores</t>
        </is>
      </c>
      <c r="J743" s="7" t="inlineStr">
        <is>
          <t>estandar</t>
        </is>
      </c>
      <c r="K743" s="7" t="inlineStr">
        <is>
          <t>importado</t>
        </is>
      </c>
      <c r="L743" s="7" t="inlineStr">
        <is>
          <t>Verificado</t>
        </is>
      </c>
      <c r="M743" s="8" t="n">
        <v>2</v>
      </c>
      <c r="N743" s="9" t="n">
        <v>628.53</v>
      </c>
      <c r="O743" s="9" t="n">
        <v>527.0599999999999</v>
      </c>
      <c r="P743" s="9" t="n">
        <v>730</v>
      </c>
      <c r="Q743" s="7" t="inlineStr">
        <is>
          <t>Sí</t>
        </is>
      </c>
      <c r="R743" s="9">
        <f>IF(N743="","",IF(Q743="Sí",ROUND(N743/1.18,2),N743))</f>
        <v/>
      </c>
      <c r="S743" s="7" t="inlineStr">
        <is>
          <t>2026-09-09</t>
        </is>
      </c>
      <c r="T743" s="5" t="inlineStr">
        <is>
          <t>2 cotizaciones de proveedores</t>
        </is>
      </c>
    </row>
    <row r="744">
      <c r="A744" s="7" t="inlineStr">
        <is>
          <t>MAT-22-010</t>
        </is>
      </c>
      <c r="B744" s="7" t="inlineStr">
        <is>
          <t>Materiales</t>
        </is>
      </c>
      <c r="C744" s="7" t="inlineStr">
        <is>
          <t>Cerramiento perimetral</t>
        </is>
      </c>
      <c r="D744" s="5" t="inlineStr">
        <is>
          <t>Tubo galvanizado para malla ciclónica 1 1/2" x 15 pies</t>
        </is>
      </c>
      <c r="E744" s="5" t="inlineStr">
        <is>
          <t>Poste tubular galvanizado para cerramiento · 1 1/2" · tramo de 15 pies</t>
        </is>
      </c>
      <c r="F744" s="5" t="inlineStr">
        <is>
          <t>Material retirado en almacén</t>
        </is>
      </c>
      <c r="G744" s="5" t="inlineStr">
        <is>
          <t>poste de malla, tubo de verja</t>
        </is>
      </c>
      <c r="H744" s="7" t="inlineStr">
        <is>
          <t>unidad</t>
        </is>
      </c>
      <c r="I744" s="7" t="inlineStr">
        <is>
          <t>Exteriores</t>
        </is>
      </c>
      <c r="J744" s="7" t="inlineStr">
        <is>
          <t>estandar</t>
        </is>
      </c>
      <c r="K744" s="7" t="inlineStr">
        <is>
          <t>importado</t>
        </is>
      </c>
      <c r="L744" s="7" t="inlineStr">
        <is>
          <t>Verificado</t>
        </is>
      </c>
      <c r="M744" s="8" t="n">
        <v>2</v>
      </c>
      <c r="N744" s="9" t="n">
        <v>543.8099999999999</v>
      </c>
      <c r="O744" s="9" t="n">
        <v>462.61</v>
      </c>
      <c r="P744" s="9" t="n">
        <v>625</v>
      </c>
      <c r="Q744" s="7" t="inlineStr">
        <is>
          <t>Sí</t>
        </is>
      </c>
      <c r="R744" s="9">
        <f>IF(N744="","",IF(Q744="Sí",ROUND(N744/1.18,2),N744))</f>
        <v/>
      </c>
      <c r="S744" s="7" t="inlineStr">
        <is>
          <t>2026-09-09</t>
        </is>
      </c>
      <c r="T744" s="5" t="inlineStr">
        <is>
          <t>2 cotizaciones de proveedores</t>
        </is>
      </c>
    </row>
    <row r="745">
      <c r="A745" s="7" t="inlineStr">
        <is>
          <t>MAT-22-011</t>
        </is>
      </c>
      <c r="B745" s="7" t="inlineStr">
        <is>
          <t>Materiales</t>
        </is>
      </c>
      <c r="C745" s="7" t="inlineStr">
        <is>
          <t>Cerramiento perimetral</t>
        </is>
      </c>
      <c r="D745" s="5" t="inlineStr">
        <is>
          <t>Tubo galvanizado para malla ciclónica 2" x 20 pies</t>
        </is>
      </c>
      <c r="E745" s="5" t="inlineStr">
        <is>
          <t>Poste tubular galvanizado para cerramiento · 2" · tramo de 20 pies</t>
        </is>
      </c>
      <c r="F745" s="5" t="inlineStr">
        <is>
          <t>Material retirado en almacén</t>
        </is>
      </c>
      <c r="G745" s="5" t="inlineStr">
        <is>
          <t>poste de malla, tubo de verja</t>
        </is>
      </c>
      <c r="H745" s="7" t="inlineStr">
        <is>
          <t>unidad</t>
        </is>
      </c>
      <c r="I745" s="7" t="inlineStr">
        <is>
          <t>Exteriores</t>
        </is>
      </c>
      <c r="J745" s="7" t="inlineStr">
        <is>
          <t>estandar</t>
        </is>
      </c>
      <c r="K745" s="7" t="inlineStr">
        <is>
          <t>importado</t>
        </is>
      </c>
      <c r="L745" s="7" t="inlineStr">
        <is>
          <t>Verificado</t>
        </is>
      </c>
      <c r="M745" s="8" t="n">
        <v>1</v>
      </c>
      <c r="N745" s="9" t="n">
        <v>699.92</v>
      </c>
      <c r="O745" s="9" t="n">
        <v>699.92</v>
      </c>
      <c r="P745" s="9" t="n">
        <v>699.92</v>
      </c>
      <c r="Q745" s="7" t="inlineStr">
        <is>
          <t>Sí</t>
        </is>
      </c>
      <c r="R745" s="9">
        <f>IF(N745="","",IF(Q745="Sí",ROUND(N745/1.18,2),N745))</f>
        <v/>
      </c>
      <c r="S745" s="7" t="inlineStr">
        <is>
          <t>2026-09-09</t>
        </is>
      </c>
      <c r="T745" s="5" t="inlineStr">
        <is>
          <t>1 cotización de proveedores</t>
        </is>
      </c>
    </row>
    <row r="746">
      <c r="A746" s="7" t="inlineStr">
        <is>
          <t>MAT-22-012</t>
        </is>
      </c>
      <c r="B746" s="7" t="inlineStr">
        <is>
          <t>Materiales</t>
        </is>
      </c>
      <c r="C746" s="7" t="inlineStr">
        <is>
          <t>Cerramiento perimetral</t>
        </is>
      </c>
      <c r="D746" s="5" t="inlineStr">
        <is>
          <t>Malla ciclónica calibre 11, 3 pies de alto, rollo de 50 pies</t>
        </is>
      </c>
      <c r="E746" s="5" t="inlineStr">
        <is>
          <t>Malla de alambre galvanizado tejido en rombo · calibre 11 · 3 pies de alto · rollo de 50 pies</t>
        </is>
      </c>
      <c r="F746" s="5" t="inlineStr">
        <is>
          <t>Material retirado en almacén</t>
        </is>
      </c>
      <c r="G746" s="5" t="inlineStr">
        <is>
          <t>malla ciclónica, verja de alambre, cyclone</t>
        </is>
      </c>
      <c r="H746" s="7" t="inlineStr">
        <is>
          <t>rollo</t>
        </is>
      </c>
      <c r="I746" s="7" t="inlineStr">
        <is>
          <t>Exteriores</t>
        </is>
      </c>
      <c r="J746" s="7" t="inlineStr">
        <is>
          <t>estandar</t>
        </is>
      </c>
      <c r="K746" s="7" t="inlineStr">
        <is>
          <t>importado</t>
        </is>
      </c>
      <c r="L746" s="7" t="inlineStr">
        <is>
          <t>Verificado</t>
        </is>
      </c>
      <c r="M746" s="8" t="n">
        <v>1</v>
      </c>
      <c r="N746" s="9" t="n">
        <v>4335.91</v>
      </c>
      <c r="O746" s="9" t="n">
        <v>4335.91</v>
      </c>
      <c r="P746" s="9" t="n">
        <v>4335.91</v>
      </c>
      <c r="Q746" s="7" t="inlineStr">
        <is>
          <t>Sí</t>
        </is>
      </c>
      <c r="R746" s="9">
        <f>IF(N746="","",IF(Q746="Sí",ROUND(N746/1.18,2),N746))</f>
        <v/>
      </c>
      <c r="S746" s="7" t="inlineStr">
        <is>
          <t>2026-09-09</t>
        </is>
      </c>
      <c r="T746" s="5" t="inlineStr">
        <is>
          <t>1 cotización de proveedores</t>
        </is>
      </c>
    </row>
    <row r="747">
      <c r="A747" s="7" t="inlineStr">
        <is>
          <t>MAT-22-013</t>
        </is>
      </c>
      <c r="B747" s="7" t="inlineStr">
        <is>
          <t>Materiales</t>
        </is>
      </c>
      <c r="C747" s="7" t="inlineStr">
        <is>
          <t>Cerramiento perimetral</t>
        </is>
      </c>
      <c r="D747" s="5" t="inlineStr">
        <is>
          <t>Malla ciclónica calibre 11, 6 pies de alto, rollo de 50 pies</t>
        </is>
      </c>
      <c r="E747" s="5" t="inlineStr">
        <is>
          <t>Malla de alambre galvanizado tejido en rombo · calibre 11 · 6 pies de alto · rollo de 50 pies</t>
        </is>
      </c>
      <c r="F747" s="5" t="inlineStr">
        <is>
          <t>Material retirado en almacén</t>
        </is>
      </c>
      <c r="G747" s="5" t="inlineStr">
        <is>
          <t>malla ciclónica, verja de alambre, cyclone</t>
        </is>
      </c>
      <c r="H747" s="7" t="inlineStr">
        <is>
          <t>rollo</t>
        </is>
      </c>
      <c r="I747" s="7" t="inlineStr">
        <is>
          <t>Exteriores</t>
        </is>
      </c>
      <c r="J747" s="7" t="inlineStr">
        <is>
          <t>estandar</t>
        </is>
      </c>
      <c r="K747" s="7" t="inlineStr">
        <is>
          <t>importado</t>
        </is>
      </c>
      <c r="L747" s="7" t="inlineStr">
        <is>
          <t>Verificado</t>
        </is>
      </c>
      <c r="M747" s="8" t="n">
        <v>2</v>
      </c>
      <c r="N747" s="9" t="n">
        <v>9472.23</v>
      </c>
      <c r="O747" s="9" t="n">
        <v>8694.459999999999</v>
      </c>
      <c r="P747" s="9" t="n">
        <v>10250</v>
      </c>
      <c r="Q747" s="7" t="inlineStr">
        <is>
          <t>Sí</t>
        </is>
      </c>
      <c r="R747" s="9">
        <f>IF(N747="","",IF(Q747="Sí",ROUND(N747/1.18,2),N747))</f>
        <v/>
      </c>
      <c r="S747" s="7" t="inlineStr">
        <is>
          <t>2026-09-09</t>
        </is>
      </c>
      <c r="T747" s="5" t="inlineStr">
        <is>
          <t>2 cotizaciones de proveedores</t>
        </is>
      </c>
    </row>
    <row r="748">
      <c r="A748" s="7" t="inlineStr">
        <is>
          <t>MAT-22-014</t>
        </is>
      </c>
      <c r="B748" s="7" t="inlineStr">
        <is>
          <t>Materiales</t>
        </is>
      </c>
      <c r="C748" s="7" t="inlineStr">
        <is>
          <t>Cerramiento perimetral</t>
        </is>
      </c>
      <c r="D748" s="5" t="inlineStr">
        <is>
          <t>Alambre de púas 1.50 mm, rollo de 250 metros</t>
        </is>
      </c>
      <c r="E748" s="5" t="inlineStr">
        <is>
          <t>Alambre galvanizado con púas entrelazadas · 1.50 mm de diámetro · rollo de 250 metros</t>
        </is>
      </c>
      <c r="F748" s="5" t="inlineStr">
        <is>
          <t>Material retirado en almacén</t>
        </is>
      </c>
      <c r="G748" s="5" t="inlineStr">
        <is>
          <t>alambre de púas, púa, alambre de espino</t>
        </is>
      </c>
      <c r="H748" s="7" t="inlineStr">
        <is>
          <t>rollo</t>
        </is>
      </c>
      <c r="I748" s="7" t="inlineStr">
        <is>
          <t>Exteriores</t>
        </is>
      </c>
      <c r="J748" s="7" t="inlineStr">
        <is>
          <t>estandar</t>
        </is>
      </c>
      <c r="K748" s="7" t="inlineStr">
        <is>
          <t>importado</t>
        </is>
      </c>
      <c r="L748" s="7" t="inlineStr">
        <is>
          <t>Verificado</t>
        </is>
      </c>
      <c r="M748" s="8" t="n">
        <v>1</v>
      </c>
      <c r="N748" s="9" t="n">
        <v>2601.2</v>
      </c>
      <c r="O748" s="9" t="n">
        <v>2601.2</v>
      </c>
      <c r="P748" s="9" t="n">
        <v>2601.2</v>
      </c>
      <c r="Q748" s="7" t="inlineStr">
        <is>
          <t>Sí</t>
        </is>
      </c>
      <c r="R748" s="9">
        <f>IF(N748="","",IF(Q748="Sí",ROUND(N748/1.18,2),N748))</f>
        <v/>
      </c>
      <c r="S748" s="7" t="inlineStr">
        <is>
          <t>2026-09-09</t>
        </is>
      </c>
      <c r="T748" s="5" t="inlineStr">
        <is>
          <t>1 cotización de proveedores</t>
        </is>
      </c>
    </row>
    <row r="749">
      <c r="A749" s="7" t="inlineStr">
        <is>
          <t>MAT-22-015</t>
        </is>
      </c>
      <c r="B749" s="7" t="inlineStr">
        <is>
          <t>Materiales</t>
        </is>
      </c>
      <c r="C749" s="7" t="inlineStr">
        <is>
          <t>Cerramiento perimetral</t>
        </is>
      </c>
      <c r="D749" s="5" t="inlineStr">
        <is>
          <t>Alambre de púas calibre 15, rollo de 250 metros</t>
        </is>
      </c>
      <c r="E749" s="5" t="inlineStr">
        <is>
          <t>Alambre galvanizado con púas entrelazadas · calibre 15 · rollo de 250 metros</t>
        </is>
      </c>
      <c r="F749" s="5" t="inlineStr">
        <is>
          <t>Material retirado en almacén</t>
        </is>
      </c>
      <c r="G749" s="5" t="inlineStr">
        <is>
          <t>alambre de púas, púa, alambre de espino</t>
        </is>
      </c>
      <c r="H749" s="7" t="inlineStr">
        <is>
          <t>rollo</t>
        </is>
      </c>
      <c r="I749" s="7" t="inlineStr">
        <is>
          <t>Exteriores</t>
        </is>
      </c>
      <c r="J749" s="7" t="inlineStr">
        <is>
          <t>estandar</t>
        </is>
      </c>
      <c r="K749" s="7" t="inlineStr">
        <is>
          <t>importado</t>
        </is>
      </c>
      <c r="L749" s="7" t="inlineStr">
        <is>
          <t>Verificado</t>
        </is>
      </c>
      <c r="M749" s="8" t="n">
        <v>1</v>
      </c>
      <c r="N749" s="9" t="n">
        <v>2541.47</v>
      </c>
      <c r="O749" s="9" t="n">
        <v>2541.47</v>
      </c>
      <c r="P749" s="9" t="n">
        <v>2541.47</v>
      </c>
      <c r="Q749" s="7" t="inlineStr">
        <is>
          <t>Sí</t>
        </is>
      </c>
      <c r="R749" s="9">
        <f>IF(N749="","",IF(Q749="Sí",ROUND(N749/1.18,2),N749))</f>
        <v/>
      </c>
      <c r="S749" s="7" t="inlineStr">
        <is>
          <t>2026-09-09</t>
        </is>
      </c>
      <c r="T749" s="5" t="inlineStr">
        <is>
          <t>1 cotización de proveedores</t>
        </is>
      </c>
    </row>
    <row r="750">
      <c r="A750" s="7" t="inlineStr">
        <is>
          <t>MAT-22-016</t>
        </is>
      </c>
      <c r="B750" s="7" t="inlineStr">
        <is>
          <t>Materiales</t>
        </is>
      </c>
      <c r="C750" s="7" t="inlineStr">
        <is>
          <t>Cerramiento perimetral</t>
        </is>
      </c>
      <c r="D750" s="5" t="inlineStr">
        <is>
          <t>Alambre de púas calibre 16, rollo de 110 metros</t>
        </is>
      </c>
      <c r="E750" s="5" t="inlineStr">
        <is>
          <t>Alambre galvanizado con púas entrelazadas · calibre 16 · rollo de 110 metros</t>
        </is>
      </c>
      <c r="F750" s="5" t="inlineStr">
        <is>
          <t>Material retirado en almacén</t>
        </is>
      </c>
      <c r="G750" s="5" t="inlineStr">
        <is>
          <t>alambre de púas, púa, alambre de espino</t>
        </is>
      </c>
      <c r="H750" s="7" t="inlineStr">
        <is>
          <t>rollo</t>
        </is>
      </c>
      <c r="I750" s="7" t="inlineStr">
        <is>
          <t>Exteriores</t>
        </is>
      </c>
      <c r="J750" s="7" t="inlineStr">
        <is>
          <t>estandar</t>
        </is>
      </c>
      <c r="K750" s="7" t="inlineStr">
        <is>
          <t>importado</t>
        </is>
      </c>
      <c r="L750" s="7" t="inlineStr">
        <is>
          <t>Verificado</t>
        </is>
      </c>
      <c r="M750" s="8" t="n">
        <v>2</v>
      </c>
      <c r="N750" s="9" t="n">
        <v>904.5599999999999</v>
      </c>
      <c r="O750" s="9" t="n">
        <v>845</v>
      </c>
      <c r="P750" s="9" t="n">
        <v>964.11</v>
      </c>
      <c r="Q750" s="7" t="inlineStr">
        <is>
          <t>Sí</t>
        </is>
      </c>
      <c r="R750" s="9">
        <f>IF(N750="","",IF(Q750="Sí",ROUND(N750/1.18,2),N750))</f>
        <v/>
      </c>
      <c r="S750" s="7" t="inlineStr">
        <is>
          <t>2026-09-09</t>
        </is>
      </c>
      <c r="T750" s="5" t="inlineStr">
        <is>
          <t>2 cotizaciones de proveedores</t>
        </is>
      </c>
    </row>
    <row r="751">
      <c r="A751" s="7" t="inlineStr">
        <is>
          <t>MAT-22-017</t>
        </is>
      </c>
      <c r="B751" s="7" t="inlineStr">
        <is>
          <t>Materiales</t>
        </is>
      </c>
      <c r="C751" s="7" t="inlineStr">
        <is>
          <t>Cerramiento perimetral</t>
        </is>
      </c>
      <c r="D751" s="5" t="inlineStr">
        <is>
          <t>Alambre de púas calibre 16, rollo de 250 metros</t>
        </is>
      </c>
      <c r="E751" s="5" t="inlineStr">
        <is>
          <t>Alambre galvanizado con púas entrelazadas · calibre 16 · rollo de 250 metros</t>
        </is>
      </c>
      <c r="F751" s="5" t="inlineStr">
        <is>
          <t>Material retirado en almacén</t>
        </is>
      </c>
      <c r="G751" s="5" t="inlineStr">
        <is>
          <t>alambre de púas, púa, alambre de espino</t>
        </is>
      </c>
      <c r="H751" s="7" t="inlineStr">
        <is>
          <t>rollo</t>
        </is>
      </c>
      <c r="I751" s="7" t="inlineStr">
        <is>
          <t>Exteriores</t>
        </is>
      </c>
      <c r="J751" s="7" t="inlineStr">
        <is>
          <t>estandar</t>
        </is>
      </c>
      <c r="K751" s="7" t="inlineStr">
        <is>
          <t>importado</t>
        </is>
      </c>
      <c r="L751" s="7" t="inlineStr">
        <is>
          <t>Verificado</t>
        </is>
      </c>
      <c r="M751" s="8" t="n">
        <v>2</v>
      </c>
      <c r="N751" s="9" t="n">
        <v>2533.09</v>
      </c>
      <c r="O751" s="9" t="n">
        <v>1885</v>
      </c>
      <c r="P751" s="9" t="n">
        <v>3770</v>
      </c>
      <c r="Q751" s="7" t="inlineStr">
        <is>
          <t>Sí</t>
        </is>
      </c>
      <c r="R751" s="9">
        <f>IF(N751="","",IF(Q751="Sí",ROUND(N751/1.18,2),N751))</f>
        <v/>
      </c>
      <c r="S751" s="7" t="inlineStr">
        <is>
          <t>2026-09-09</t>
        </is>
      </c>
      <c r="T751" s="5" t="inlineStr">
        <is>
          <t>6 cotizaciones de proveedores</t>
        </is>
      </c>
    </row>
    <row r="752">
      <c r="A752" s="7" t="inlineStr">
        <is>
          <t>MAT-22-018</t>
        </is>
      </c>
      <c r="B752" s="7" t="inlineStr">
        <is>
          <t>Materiales</t>
        </is>
      </c>
      <c r="C752" s="7" t="inlineStr">
        <is>
          <t>Cerramiento perimetral</t>
        </is>
      </c>
      <c r="D752" s="5" t="inlineStr">
        <is>
          <t>Alambre de púas calibre 17, rollo de 250 metros</t>
        </is>
      </c>
      <c r="E752" s="5" t="inlineStr">
        <is>
          <t>Alambre galvanizado con púas entrelazadas · calibre 17 · rollo de 250 metros</t>
        </is>
      </c>
      <c r="F752" s="5" t="inlineStr">
        <is>
          <t>Material retirado en almacén</t>
        </is>
      </c>
      <c r="G752" s="5" t="inlineStr">
        <is>
          <t>alambre de púas, púa, alambre de espino</t>
        </is>
      </c>
      <c r="H752" s="7" t="inlineStr">
        <is>
          <t>rollo</t>
        </is>
      </c>
      <c r="I752" s="7" t="inlineStr">
        <is>
          <t>Exteriores</t>
        </is>
      </c>
      <c r="J752" s="7" t="inlineStr">
        <is>
          <t>estandar</t>
        </is>
      </c>
      <c r="K752" s="7" t="inlineStr">
        <is>
          <t>importado</t>
        </is>
      </c>
      <c r="L752" s="7" t="inlineStr">
        <is>
          <t>Verificado</t>
        </is>
      </c>
      <c r="M752" s="8" t="n">
        <v>1</v>
      </c>
      <c r="N752" s="9" t="n">
        <v>1933.36</v>
      </c>
      <c r="O752" s="9" t="n">
        <v>1933.36</v>
      </c>
      <c r="P752" s="9" t="n">
        <v>1933.36</v>
      </c>
      <c r="Q752" s="7" t="inlineStr">
        <is>
          <t>Sí</t>
        </is>
      </c>
      <c r="R752" s="9">
        <f>IF(N752="","",IF(Q752="Sí",ROUND(N752/1.18,2),N752))</f>
        <v/>
      </c>
      <c r="S752" s="7" t="inlineStr">
        <is>
          <t>2026-09-09</t>
        </is>
      </c>
      <c r="T752" s="5" t="inlineStr">
        <is>
          <t>1 cotización de proveedores</t>
        </is>
      </c>
    </row>
    <row r="753">
      <c r="A753" s="7" t="inlineStr">
        <is>
          <t>MAT-22-019</t>
        </is>
      </c>
      <c r="B753" s="7" t="inlineStr">
        <is>
          <t>Materiales</t>
        </is>
      </c>
      <c r="C753" s="7" t="inlineStr">
        <is>
          <t>Cerramiento perimetral</t>
        </is>
      </c>
      <c r="D753" s="5" t="inlineStr">
        <is>
          <t>Tela metálica calibre 16, retícula 1" x 2", 4 pies de alto</t>
        </is>
      </c>
      <c r="E753" s="5" t="inlineStr">
        <is>
          <t>Malla de alambre tejido en cuadro · calibre 16 · retícula 1" x 2" · 4 pies de alto · rollo de 100 pies</t>
        </is>
      </c>
      <c r="F753" s="5" t="inlineStr">
        <is>
          <t>Material retirado en almacén</t>
        </is>
      </c>
      <c r="G753" s="5" t="inlineStr">
        <is>
          <t>tela metálica, malla de cuadrito, tela para conejo</t>
        </is>
      </c>
      <c r="H753" s="7" t="inlineStr">
        <is>
          <t>yarda</t>
        </is>
      </c>
      <c r="I753" s="7" t="inlineStr">
        <is>
          <t>Exteriores</t>
        </is>
      </c>
      <c r="J753" s="7" t="inlineStr">
        <is>
          <t>estandar</t>
        </is>
      </c>
      <c r="K753" s="7" t="inlineStr">
        <is>
          <t>importado</t>
        </is>
      </c>
      <c r="L753" s="7" t="inlineStr">
        <is>
          <t>Verificado</t>
        </is>
      </c>
      <c r="M753" s="8" t="n">
        <v>1</v>
      </c>
      <c r="N753" s="9" t="n">
        <v>113.78</v>
      </c>
      <c r="O753" s="9" t="n">
        <v>113.78</v>
      </c>
      <c r="P753" s="9" t="n">
        <v>113.78</v>
      </c>
      <c r="Q753" s="7" t="inlineStr">
        <is>
          <t>Sí</t>
        </is>
      </c>
      <c r="R753" s="9">
        <f>IF(N753="","",IF(Q753="Sí",ROUND(N753/1.18,2),N753))</f>
        <v/>
      </c>
      <c r="S753" s="7" t="inlineStr">
        <is>
          <t>2026-09-09</t>
        </is>
      </c>
      <c r="T753" s="5" t="inlineStr">
        <is>
          <t>1 cotización de proveedores</t>
        </is>
      </c>
    </row>
    <row r="754">
      <c r="A754" s="7" t="inlineStr">
        <is>
          <t>MAT-22-020</t>
        </is>
      </c>
      <c r="B754" s="7" t="inlineStr">
        <is>
          <t>Materiales</t>
        </is>
      </c>
      <c r="C754" s="7" t="inlineStr">
        <is>
          <t>Cerramiento perimetral</t>
        </is>
      </c>
      <c r="D754" s="5" t="inlineStr">
        <is>
          <t>Tela metálica calibre 18, retícula 1/2" x 1/2", 4 pies de alto</t>
        </is>
      </c>
      <c r="E754" s="5" t="inlineStr">
        <is>
          <t>Malla de alambre tejido en cuadro · calibre 18 · retícula 1/2" x 1/2" · 4 pies de alto · rollo de 100 pies</t>
        </is>
      </c>
      <c r="F754" s="5" t="inlineStr">
        <is>
          <t>Material retirado en almacén</t>
        </is>
      </c>
      <c r="G754" s="5" t="inlineStr">
        <is>
          <t>tela metálica, malla de cuadrito, tela para conejo</t>
        </is>
      </c>
      <c r="H754" s="7" t="inlineStr">
        <is>
          <t>yarda</t>
        </is>
      </c>
      <c r="I754" s="7" t="inlineStr">
        <is>
          <t>Exteriores</t>
        </is>
      </c>
      <c r="J754" s="7" t="inlineStr">
        <is>
          <t>estandar</t>
        </is>
      </c>
      <c r="K754" s="7" t="inlineStr">
        <is>
          <t>importado</t>
        </is>
      </c>
      <c r="L754" s="7" t="inlineStr">
        <is>
          <t>Verificado</t>
        </is>
      </c>
      <c r="M754" s="8" t="n">
        <v>1</v>
      </c>
      <c r="N754" s="9" t="n">
        <v>192.26</v>
      </c>
      <c r="O754" s="9" t="n">
        <v>192.26</v>
      </c>
      <c r="P754" s="9" t="n">
        <v>192.26</v>
      </c>
      <c r="Q754" s="7" t="inlineStr">
        <is>
          <t>Sí</t>
        </is>
      </c>
      <c r="R754" s="9">
        <f>IF(N754="","",IF(Q754="Sí",ROUND(N754/1.18,2),N754))</f>
        <v/>
      </c>
      <c r="S754" s="7" t="inlineStr">
        <is>
          <t>2026-09-09</t>
        </is>
      </c>
      <c r="T754" s="5" t="inlineStr">
        <is>
          <t>1 cotización de proveedores</t>
        </is>
      </c>
    </row>
    <row r="755">
      <c r="A755" s="7" t="inlineStr">
        <is>
          <t>MAT-22-021</t>
        </is>
      </c>
      <c r="B755" s="7" t="inlineStr">
        <is>
          <t>Materiales</t>
        </is>
      </c>
      <c r="C755" s="7" t="inlineStr">
        <is>
          <t>Cerramiento perimetral</t>
        </is>
      </c>
      <c r="D755" s="5" t="inlineStr">
        <is>
          <t>Tela metálica calibre 18, retícula 1" x 1/2", 3 pies de alto</t>
        </is>
      </c>
      <c r="E755" s="5" t="inlineStr">
        <is>
          <t>Malla de alambre tejido en cuadro · calibre 18 · retícula 1" x 1/2" · 3 pies de alto · rollo de 100 pies</t>
        </is>
      </c>
      <c r="F755" s="5" t="inlineStr">
        <is>
          <t>Material retirado en almacén</t>
        </is>
      </c>
      <c r="G755" s="5" t="inlineStr">
        <is>
          <t>tela metálica, malla de cuadrito, tela para conejo</t>
        </is>
      </c>
      <c r="H755" s="7" t="inlineStr">
        <is>
          <t>yarda</t>
        </is>
      </c>
      <c r="I755" s="7" t="inlineStr">
        <is>
          <t>Exteriores</t>
        </is>
      </c>
      <c r="J755" s="7" t="inlineStr">
        <is>
          <t>estandar</t>
        </is>
      </c>
      <c r="K755" s="7" t="inlineStr">
        <is>
          <t>importado</t>
        </is>
      </c>
      <c r="L755" s="7" t="inlineStr">
        <is>
          <t>Verificado</t>
        </is>
      </c>
      <c r="M755" s="8" t="n">
        <v>1</v>
      </c>
      <c r="N755" s="9" t="n">
        <v>106.11</v>
      </c>
      <c r="O755" s="9" t="n">
        <v>106.11</v>
      </c>
      <c r="P755" s="9" t="n">
        <v>106.11</v>
      </c>
      <c r="Q755" s="7" t="inlineStr">
        <is>
          <t>Sí</t>
        </is>
      </c>
      <c r="R755" s="9">
        <f>IF(N755="","",IF(Q755="Sí",ROUND(N755/1.18,2),N755))</f>
        <v/>
      </c>
      <c r="S755" s="7" t="inlineStr">
        <is>
          <t>2026-09-09</t>
        </is>
      </c>
      <c r="T755" s="5" t="inlineStr">
        <is>
          <t>1 cotización de proveedores</t>
        </is>
      </c>
    </row>
    <row r="756">
      <c r="A756" s="7" t="inlineStr">
        <is>
          <t>MAT-22-022</t>
        </is>
      </c>
      <c r="B756" s="7" t="inlineStr">
        <is>
          <t>Materiales</t>
        </is>
      </c>
      <c r="C756" s="7" t="inlineStr">
        <is>
          <t>Cerramiento perimetral</t>
        </is>
      </c>
      <c r="D756" s="5" t="inlineStr">
        <is>
          <t>Tela metálica calibre 18, retícula 1" x 1/2", 4 pies de alto</t>
        </is>
      </c>
      <c r="E756" s="5" t="inlineStr">
        <is>
          <t>Malla de alambre tejido en cuadro · calibre 18 · retícula 1" x 1/2" · 4 pies de alto · rollo de 100 pies</t>
        </is>
      </c>
      <c r="F756" s="5" t="inlineStr">
        <is>
          <t>Material retirado en almacén</t>
        </is>
      </c>
      <c r="G756" s="5" t="inlineStr">
        <is>
          <t>tela metálica, malla de cuadrito, tela para conejo</t>
        </is>
      </c>
      <c r="H756" s="7" t="inlineStr">
        <is>
          <t>yarda</t>
        </is>
      </c>
      <c r="I756" s="7" t="inlineStr">
        <is>
          <t>Exteriores</t>
        </is>
      </c>
      <c r="J756" s="7" t="inlineStr">
        <is>
          <t>estandar</t>
        </is>
      </c>
      <c r="K756" s="7" t="inlineStr">
        <is>
          <t>importado</t>
        </is>
      </c>
      <c r="L756" s="7" t="inlineStr">
        <is>
          <t>Verificado</t>
        </is>
      </c>
      <c r="M756" s="8" t="n">
        <v>1</v>
      </c>
      <c r="N756" s="9" t="n">
        <v>145.1</v>
      </c>
      <c r="O756" s="9" t="n">
        <v>145.1</v>
      </c>
      <c r="P756" s="9" t="n">
        <v>145.1</v>
      </c>
      <c r="Q756" s="7" t="inlineStr">
        <is>
          <t>Sí</t>
        </is>
      </c>
      <c r="R756" s="9">
        <f>IF(N756="","",IF(Q756="Sí",ROUND(N756/1.18,2),N756))</f>
        <v/>
      </c>
      <c r="S756" s="7" t="inlineStr">
        <is>
          <t>2026-09-09</t>
        </is>
      </c>
      <c r="T756" s="5" t="inlineStr">
        <is>
          <t>1 cotización de proveedores</t>
        </is>
      </c>
    </row>
    <row r="757">
      <c r="A757" s="7" t="inlineStr">
        <is>
          <t>MAT-22-023</t>
        </is>
      </c>
      <c r="B757" s="7" t="inlineStr">
        <is>
          <t>Materiales</t>
        </is>
      </c>
      <c r="C757" s="7" t="inlineStr">
        <is>
          <t>Cerramiento perimetral</t>
        </is>
      </c>
      <c r="D757" s="5" t="inlineStr">
        <is>
          <t>Tela metálica calibre 20, retícula 1" x 2", 3 pies de alto</t>
        </is>
      </c>
      <c r="E757" s="5" t="inlineStr">
        <is>
          <t>Malla de alambre tejido en cuadro · calibre 20 · retícula 1" x 2" · 3 pies de alto · rollo de 100 pies</t>
        </is>
      </c>
      <c r="F757" s="5" t="inlineStr">
        <is>
          <t>Material retirado en almacén</t>
        </is>
      </c>
      <c r="G757" s="5" t="inlineStr">
        <is>
          <t>tela metálica, malla de cuadrito, tela para conejo</t>
        </is>
      </c>
      <c r="H757" s="7" t="inlineStr">
        <is>
          <t>yarda</t>
        </is>
      </c>
      <c r="I757" s="7" t="inlineStr">
        <is>
          <t>Exteriores</t>
        </is>
      </c>
      <c r="J757" s="7" t="inlineStr">
        <is>
          <t>estandar</t>
        </is>
      </c>
      <c r="K757" s="7" t="inlineStr">
        <is>
          <t>importado</t>
        </is>
      </c>
      <c r="L757" s="7" t="inlineStr">
        <is>
          <t>Verificado</t>
        </is>
      </c>
      <c r="M757" s="8" t="n">
        <v>1</v>
      </c>
      <c r="N757" s="9" t="n">
        <v>37.54</v>
      </c>
      <c r="O757" s="9" t="n">
        <v>37.54</v>
      </c>
      <c r="P757" s="9" t="n">
        <v>37.54</v>
      </c>
      <c r="Q757" s="7" t="inlineStr">
        <is>
          <t>Sí</t>
        </is>
      </c>
      <c r="R757" s="9">
        <f>IF(N757="","",IF(Q757="Sí",ROUND(N757/1.18,2),N757))</f>
        <v/>
      </c>
      <c r="S757" s="7" t="inlineStr">
        <is>
          <t>2026-09-09</t>
        </is>
      </c>
      <c r="T757" s="5" t="inlineStr">
        <is>
          <t>1 cotización de proveedores</t>
        </is>
      </c>
    </row>
    <row r="758">
      <c r="A758" s="7" t="inlineStr">
        <is>
          <t>MAT-22-024</t>
        </is>
      </c>
      <c r="B758" s="7" t="inlineStr">
        <is>
          <t>Materiales</t>
        </is>
      </c>
      <c r="C758" s="7" t="inlineStr">
        <is>
          <t>Cerramiento perimetral</t>
        </is>
      </c>
      <c r="D758" s="5" t="inlineStr">
        <is>
          <t>Tela metálica calibre 21, retícula 3/8" x 3/8", 3 pies de alto</t>
        </is>
      </c>
      <c r="E758" s="5" t="inlineStr">
        <is>
          <t>Malla de alambre tejido en cuadro · calibre 21 · retícula 3/8" x 3/8" · 3 pies de alto · rollo de 100 pies</t>
        </is>
      </c>
      <c r="F758" s="5" t="inlineStr">
        <is>
          <t>Material retirado en almacén</t>
        </is>
      </c>
      <c r="G758" s="5" t="inlineStr">
        <is>
          <t>tela metálica, malla de cuadrito, tela para conejo</t>
        </is>
      </c>
      <c r="H758" s="7" t="inlineStr">
        <is>
          <t>yarda</t>
        </is>
      </c>
      <c r="I758" s="7" t="inlineStr">
        <is>
          <t>Exteriores</t>
        </is>
      </c>
      <c r="J758" s="7" t="inlineStr">
        <is>
          <t>estandar</t>
        </is>
      </c>
      <c r="K758" s="7" t="inlineStr">
        <is>
          <t>importado</t>
        </is>
      </c>
      <c r="L758" s="7" t="inlineStr">
        <is>
          <t>Verificado</t>
        </is>
      </c>
      <c r="M758" s="8" t="n">
        <v>1</v>
      </c>
      <c r="N758" s="9" t="n">
        <v>72.61</v>
      </c>
      <c r="O758" s="9" t="n">
        <v>72.61</v>
      </c>
      <c r="P758" s="9" t="n">
        <v>72.61</v>
      </c>
      <c r="Q758" s="7" t="inlineStr">
        <is>
          <t>Sí</t>
        </is>
      </c>
      <c r="R758" s="9">
        <f>IF(N758="","",IF(Q758="Sí",ROUND(N758/1.18,2),N758))</f>
        <v/>
      </c>
      <c r="S758" s="7" t="inlineStr">
        <is>
          <t>2026-09-09</t>
        </is>
      </c>
      <c r="T758" s="5" t="inlineStr">
        <is>
          <t>1 cotización de proveedores</t>
        </is>
      </c>
    </row>
    <row r="759">
      <c r="A759" s="7" t="inlineStr">
        <is>
          <t>MAT-22-025</t>
        </is>
      </c>
      <c r="B759" s="7" t="inlineStr">
        <is>
          <t>Materiales</t>
        </is>
      </c>
      <c r="C759" s="7" t="inlineStr">
        <is>
          <t>Cerramiento perimetral</t>
        </is>
      </c>
      <c r="D759" s="5" t="inlineStr">
        <is>
          <t>Tela para gallinero calibre 19, 3 pies de alto</t>
        </is>
      </c>
      <c r="E759" s="5" t="inlineStr">
        <is>
          <t>Malla hexagonal galvanizada · calibre 19 · 3 pies de alto · rollo de 100 pies</t>
        </is>
      </c>
      <c r="F759" s="5" t="inlineStr">
        <is>
          <t>Material retirado en almacén</t>
        </is>
      </c>
      <c r="G759" s="5" t="inlineStr">
        <is>
          <t>tela de gallinero, malla hexagonal</t>
        </is>
      </c>
      <c r="H759" s="7" t="inlineStr">
        <is>
          <t>yarda</t>
        </is>
      </c>
      <c r="I759" s="7" t="inlineStr">
        <is>
          <t>Exteriores</t>
        </is>
      </c>
      <c r="J759" s="7" t="inlineStr">
        <is>
          <t>estandar</t>
        </is>
      </c>
      <c r="K759" s="7" t="inlineStr">
        <is>
          <t>importado</t>
        </is>
      </c>
      <c r="L759" s="7" t="inlineStr">
        <is>
          <t>Verificado</t>
        </is>
      </c>
      <c r="M759" s="8" t="n">
        <v>1</v>
      </c>
      <c r="N759" s="9" t="n">
        <v>54.04</v>
      </c>
      <c r="O759" s="9" t="n">
        <v>54.04</v>
      </c>
      <c r="P759" s="9" t="n">
        <v>54.04</v>
      </c>
      <c r="Q759" s="7" t="inlineStr">
        <is>
          <t>Sí</t>
        </is>
      </c>
      <c r="R759" s="9">
        <f>IF(N759="","",IF(Q759="Sí",ROUND(N759/1.18,2),N759))</f>
        <v/>
      </c>
      <c r="S759" s="7" t="inlineStr">
        <is>
          <t>2026-09-09</t>
        </is>
      </c>
      <c r="T759" s="5" t="inlineStr">
        <is>
          <t>1 cotización de proveedores</t>
        </is>
      </c>
    </row>
    <row r="760">
      <c r="A760" s="7" t="inlineStr">
        <is>
          <t>MAT-22-026</t>
        </is>
      </c>
      <c r="B760" s="7" t="inlineStr">
        <is>
          <t>Materiales</t>
        </is>
      </c>
      <c r="C760" s="7" t="inlineStr">
        <is>
          <t>Cerramiento perimetral</t>
        </is>
      </c>
      <c r="D760" s="5" t="inlineStr">
        <is>
          <t>Tela para gallinero calibre 20, 3 pies de alto</t>
        </is>
      </c>
      <c r="E760" s="5" t="inlineStr">
        <is>
          <t>Malla hexagonal galvanizada · calibre 20 · 3 pies de alto · rollo de 100 pies</t>
        </is>
      </c>
      <c r="F760" s="5" t="inlineStr">
        <is>
          <t>Material retirado en almacén</t>
        </is>
      </c>
      <c r="G760" s="5" t="inlineStr">
        <is>
          <t>tela de gallinero, malla hexagonal</t>
        </is>
      </c>
      <c r="H760" s="7" t="inlineStr">
        <is>
          <t>yarda</t>
        </is>
      </c>
      <c r="I760" s="7" t="inlineStr">
        <is>
          <t>Exteriores</t>
        </is>
      </c>
      <c r="J760" s="7" t="inlineStr">
        <is>
          <t>estandar</t>
        </is>
      </c>
      <c r="K760" s="7" t="inlineStr">
        <is>
          <t>importado</t>
        </is>
      </c>
      <c r="L760" s="7" t="inlineStr">
        <is>
          <t>Verificado</t>
        </is>
      </c>
      <c r="M760" s="8" t="n">
        <v>1</v>
      </c>
      <c r="N760" s="9" t="n">
        <v>46.53</v>
      </c>
      <c r="O760" s="9" t="n">
        <v>46.53</v>
      </c>
      <c r="P760" s="9" t="n">
        <v>46.53</v>
      </c>
      <c r="Q760" s="7" t="inlineStr">
        <is>
          <t>Sí</t>
        </is>
      </c>
      <c r="R760" s="9">
        <f>IF(N760="","",IF(Q760="Sí",ROUND(N760/1.18,2),N760))</f>
        <v/>
      </c>
      <c r="S760" s="7" t="inlineStr">
        <is>
          <t>2026-09-09</t>
        </is>
      </c>
      <c r="T760" s="5" t="inlineStr">
        <is>
          <t>1 cotización de proveedores</t>
        </is>
      </c>
    </row>
    <row r="761">
      <c r="A761" s="7" t="inlineStr">
        <is>
          <t>MAT-22-027</t>
        </is>
      </c>
      <c r="B761" s="7" t="inlineStr">
        <is>
          <t>Materiales</t>
        </is>
      </c>
      <c r="C761" s="7" t="inlineStr">
        <is>
          <t>Cerramiento perimetral</t>
        </is>
      </c>
      <c r="D761" s="5" t="inlineStr">
        <is>
          <t>Abrazadera corta para malla ciclónica 1 1/4"</t>
        </is>
      </c>
      <c r="E761" s="5" t="inlineStr">
        <is>
          <t>Herraje galvanizado de cerramiento · 1 1/4" · corta</t>
        </is>
      </c>
      <c r="F761" s="5" t="inlineStr">
        <is>
          <t>Material retirado en almacén</t>
        </is>
      </c>
      <c r="G761" s="5" t="inlineStr">
        <is>
          <t>accesorio de verja, herraje de malla ciclónica</t>
        </is>
      </c>
      <c r="H761" s="7" t="inlineStr">
        <is>
          <t>unidad</t>
        </is>
      </c>
      <c r="I761" s="7" t="inlineStr">
        <is>
          <t>Exteriores</t>
        </is>
      </c>
      <c r="J761" s="7" t="inlineStr">
        <is>
          <t>estandar</t>
        </is>
      </c>
      <c r="K761" s="7" t="inlineStr">
        <is>
          <t>importado</t>
        </is>
      </c>
      <c r="L761" s="7" t="inlineStr">
        <is>
          <t>Verificado</t>
        </is>
      </c>
      <c r="M761" s="8" t="n">
        <v>1</v>
      </c>
      <c r="N761" s="9" t="n">
        <v>16.91</v>
      </c>
      <c r="O761" s="9" t="n">
        <v>16.91</v>
      </c>
      <c r="P761" s="9" t="n">
        <v>16.91</v>
      </c>
      <c r="Q761" s="7" t="inlineStr">
        <is>
          <t>Sí</t>
        </is>
      </c>
      <c r="R761" s="9">
        <f>IF(N761="","",IF(Q761="Sí",ROUND(N761/1.18,2),N761))</f>
        <v/>
      </c>
      <c r="S761" s="7" t="inlineStr">
        <is>
          <t>2026-09-09</t>
        </is>
      </c>
      <c r="T761" s="5" t="inlineStr">
        <is>
          <t>1 cotización de proveedores</t>
        </is>
      </c>
    </row>
    <row r="762">
      <c r="A762" s="7" t="inlineStr">
        <is>
          <t>MAT-22-028</t>
        </is>
      </c>
      <c r="B762" s="7" t="inlineStr">
        <is>
          <t>Materiales</t>
        </is>
      </c>
      <c r="C762" s="7" t="inlineStr">
        <is>
          <t>Cerramiento perimetral</t>
        </is>
      </c>
      <c r="D762" s="5" t="inlineStr">
        <is>
          <t>Copa pasante para malla ciclónica 1 1/4" x 1 1/2"</t>
        </is>
      </c>
      <c r="E762" s="5" t="inlineStr">
        <is>
          <t>Herraje galvanizado de cerramiento · 1 1/4" x 1 1/2"</t>
        </is>
      </c>
      <c r="F762" s="5" t="inlineStr">
        <is>
          <t>Material retirado en almacén</t>
        </is>
      </c>
      <c r="G762" s="5" t="inlineStr">
        <is>
          <t>accesorio de verja, herraje de malla ciclónica</t>
        </is>
      </c>
      <c r="H762" s="7" t="inlineStr">
        <is>
          <t>unidad</t>
        </is>
      </c>
      <c r="I762" s="7" t="inlineStr">
        <is>
          <t>Exteriores</t>
        </is>
      </c>
      <c r="J762" s="7" t="inlineStr">
        <is>
          <t>estandar</t>
        </is>
      </c>
      <c r="K762" s="7" t="inlineStr">
        <is>
          <t>importado</t>
        </is>
      </c>
      <c r="L762" s="7" t="inlineStr">
        <is>
          <t>Verificado</t>
        </is>
      </c>
      <c r="M762" s="8" t="n">
        <v>2</v>
      </c>
      <c r="N762" s="9" t="n">
        <v>87.33</v>
      </c>
      <c r="O762" s="9" t="n">
        <v>76.66</v>
      </c>
      <c r="P762" s="9" t="n">
        <v>98</v>
      </c>
      <c r="Q762" s="7" t="inlineStr">
        <is>
          <t>Sí</t>
        </is>
      </c>
      <c r="R762" s="9">
        <f>IF(N762="","",IF(Q762="Sí",ROUND(N762/1.18,2),N762))</f>
        <v/>
      </c>
      <c r="S762" s="7" t="inlineStr">
        <is>
          <t>2026-09-09</t>
        </is>
      </c>
      <c r="T762" s="5" t="inlineStr">
        <is>
          <t>2 cotizaciones de proveedores</t>
        </is>
      </c>
    </row>
    <row r="763">
      <c r="A763" s="7" t="inlineStr">
        <is>
          <t>MAT-22-029</t>
        </is>
      </c>
      <c r="B763" s="7" t="inlineStr">
        <is>
          <t>Materiales</t>
        </is>
      </c>
      <c r="C763" s="7" t="inlineStr">
        <is>
          <t>Cerramiento perimetral</t>
        </is>
      </c>
      <c r="D763" s="5" t="inlineStr">
        <is>
          <t>Copa tensora para malla ciclónica 1 1/4"</t>
        </is>
      </c>
      <c r="E763" s="5" t="inlineStr">
        <is>
          <t>Herraje galvanizado de cerramiento · 1 1/4"</t>
        </is>
      </c>
      <c r="F763" s="5" t="inlineStr">
        <is>
          <t>Material retirado en almacén</t>
        </is>
      </c>
      <c r="G763" s="5" t="inlineStr">
        <is>
          <t>accesorio de verja, herraje de malla ciclónica</t>
        </is>
      </c>
      <c r="H763" s="7" t="inlineStr">
        <is>
          <t>unidad</t>
        </is>
      </c>
      <c r="I763" s="7" t="inlineStr">
        <is>
          <t>Exteriores</t>
        </is>
      </c>
      <c r="J763" s="7" t="inlineStr">
        <is>
          <t>estandar</t>
        </is>
      </c>
      <c r="K763" s="7" t="inlineStr">
        <is>
          <t>importado</t>
        </is>
      </c>
      <c r="L763" s="7" t="inlineStr">
        <is>
          <t>Verificado</t>
        </is>
      </c>
      <c r="M763" s="8" t="n">
        <v>1</v>
      </c>
      <c r="N763" s="9" t="n">
        <v>55.61</v>
      </c>
      <c r="O763" s="9" t="n">
        <v>55.61</v>
      </c>
      <c r="P763" s="9" t="n">
        <v>55.61</v>
      </c>
      <c r="Q763" s="7" t="inlineStr">
        <is>
          <t>Sí</t>
        </is>
      </c>
      <c r="R763" s="9">
        <f>IF(N763="","",IF(Q763="Sí",ROUND(N763/1.18,2),N763))</f>
        <v/>
      </c>
      <c r="S763" s="7" t="inlineStr">
        <is>
          <t>2026-09-09</t>
        </is>
      </c>
      <c r="T763" s="5" t="inlineStr">
        <is>
          <t>1 cotización de proveedores</t>
        </is>
      </c>
    </row>
    <row r="764">
      <c r="A764" s="7" t="inlineStr">
        <is>
          <t>MAT-22-030</t>
        </is>
      </c>
      <c r="B764" s="7" t="inlineStr">
        <is>
          <t>Materiales</t>
        </is>
      </c>
      <c r="C764" s="7" t="inlineStr">
        <is>
          <t>Cerramiento perimetral</t>
        </is>
      </c>
      <c r="D764" s="5" t="inlineStr">
        <is>
          <t>Copa terminal para malla ciclónica 1 1/4"</t>
        </is>
      </c>
      <c r="E764" s="5" t="inlineStr">
        <is>
          <t>Herraje galvanizado de cerramiento · 1 1/4"</t>
        </is>
      </c>
      <c r="F764" s="5" t="inlineStr">
        <is>
          <t>Material retirado en almacén</t>
        </is>
      </c>
      <c r="G764" s="5" t="inlineStr">
        <is>
          <t>accesorio de verja, herraje de malla ciclónica</t>
        </is>
      </c>
      <c r="H764" s="7" t="inlineStr">
        <is>
          <t>unidad</t>
        </is>
      </c>
      <c r="I764" s="7" t="inlineStr">
        <is>
          <t>Exteriores</t>
        </is>
      </c>
      <c r="J764" s="7" t="inlineStr">
        <is>
          <t>estandar</t>
        </is>
      </c>
      <c r="K764" s="7" t="inlineStr">
        <is>
          <t>importado</t>
        </is>
      </c>
      <c r="L764" s="7" t="inlineStr">
        <is>
          <t>Verificado</t>
        </is>
      </c>
      <c r="M764" s="8" t="n">
        <v>1</v>
      </c>
      <c r="N764" s="9" t="n">
        <v>36.96</v>
      </c>
      <c r="O764" s="9" t="n">
        <v>36.96</v>
      </c>
      <c r="P764" s="9" t="n">
        <v>36.96</v>
      </c>
      <c r="Q764" s="7" t="inlineStr">
        <is>
          <t>Sí</t>
        </is>
      </c>
      <c r="R764" s="9">
        <f>IF(N764="","",IF(Q764="Sí",ROUND(N764/1.18,2),N764))</f>
        <v/>
      </c>
      <c r="S764" s="7" t="inlineStr">
        <is>
          <t>2026-09-09</t>
        </is>
      </c>
      <c r="T764" s="5" t="inlineStr">
        <is>
          <t>1 cotización de proveedores</t>
        </is>
      </c>
    </row>
    <row r="765">
      <c r="A765" s="7" t="inlineStr">
        <is>
          <t>MAT-22-031</t>
        </is>
      </c>
      <c r="B765" s="7" t="inlineStr">
        <is>
          <t>Materiales</t>
        </is>
      </c>
      <c r="C765" s="7" t="inlineStr">
        <is>
          <t>Cerramiento perimetral</t>
        </is>
      </c>
      <c r="D765" s="5" t="inlineStr">
        <is>
          <t>Unión reforzada para malla ciclónica 1 1/4"</t>
        </is>
      </c>
      <c r="E765" s="5" t="inlineStr">
        <is>
          <t>Herraje galvanizado de cerramiento · 1 1/4" · reforzada</t>
        </is>
      </c>
      <c r="F765" s="5" t="inlineStr">
        <is>
          <t>Material retirado en almacén</t>
        </is>
      </c>
      <c r="G765" s="5" t="inlineStr">
        <is>
          <t>accesorio de verja, herraje de malla ciclónica</t>
        </is>
      </c>
      <c r="H765" s="7" t="inlineStr">
        <is>
          <t>unidad</t>
        </is>
      </c>
      <c r="I765" s="7" t="inlineStr">
        <is>
          <t>Exteriores</t>
        </is>
      </c>
      <c r="J765" s="7" t="inlineStr">
        <is>
          <t>estandar</t>
        </is>
      </c>
      <c r="K765" s="7" t="inlineStr">
        <is>
          <t>importado</t>
        </is>
      </c>
      <c r="L765" s="7" t="inlineStr">
        <is>
          <t>Verificado</t>
        </is>
      </c>
      <c r="M765" s="8" t="n">
        <v>1</v>
      </c>
      <c r="N765" s="9" t="n">
        <v>60.03</v>
      </c>
      <c r="O765" s="9" t="n">
        <v>60.03</v>
      </c>
      <c r="P765" s="9" t="n">
        <v>60.03</v>
      </c>
      <c r="Q765" s="7" t="inlineStr">
        <is>
          <t>Sí</t>
        </is>
      </c>
      <c r="R765" s="9">
        <f>IF(N765="","",IF(Q765="Sí",ROUND(N765/1.18,2),N765))</f>
        <v/>
      </c>
      <c r="S765" s="7" t="inlineStr">
        <is>
          <t>2026-09-09</t>
        </is>
      </c>
      <c r="T765" s="5" t="inlineStr">
        <is>
          <t>1 cotización de proveedores</t>
        </is>
      </c>
    </row>
    <row r="766">
      <c r="A766" s="7" t="inlineStr">
        <is>
          <t>MAT-22-032</t>
        </is>
      </c>
      <c r="B766" s="7" t="inlineStr">
        <is>
          <t>Materiales</t>
        </is>
      </c>
      <c r="C766" s="7" t="inlineStr">
        <is>
          <t>Cerramiento perimetral</t>
        </is>
      </c>
      <c r="D766" s="5" t="inlineStr">
        <is>
          <t>Abrazadera corta para malla ciclónica 1 1/2"</t>
        </is>
      </c>
      <c r="E766" s="5" t="inlineStr">
        <is>
          <t>Herraje galvanizado de cerramiento · 1 1/2" · corta</t>
        </is>
      </c>
      <c r="F766" s="5" t="inlineStr">
        <is>
          <t>Material retirado en almacén</t>
        </is>
      </c>
      <c r="G766" s="5" t="inlineStr">
        <is>
          <t>accesorio de verja, herraje de malla ciclónica</t>
        </is>
      </c>
      <c r="H766" s="7" t="inlineStr">
        <is>
          <t>unidad</t>
        </is>
      </c>
      <c r="I766" s="7" t="inlineStr">
        <is>
          <t>Exteriores</t>
        </is>
      </c>
      <c r="J766" s="7" t="inlineStr">
        <is>
          <t>estandar</t>
        </is>
      </c>
      <c r="K766" s="7" t="inlineStr">
        <is>
          <t>importado</t>
        </is>
      </c>
      <c r="L766" s="7" t="inlineStr">
        <is>
          <t>Verificado</t>
        </is>
      </c>
      <c r="M766" s="8" t="n">
        <v>1</v>
      </c>
      <c r="N766" s="9" t="n">
        <v>19.14</v>
      </c>
      <c r="O766" s="9" t="n">
        <v>19.14</v>
      </c>
      <c r="P766" s="9" t="n">
        <v>19.14</v>
      </c>
      <c r="Q766" s="7" t="inlineStr">
        <is>
          <t>Sí</t>
        </is>
      </c>
      <c r="R766" s="9">
        <f>IF(N766="","",IF(Q766="Sí",ROUND(N766/1.18,2),N766))</f>
        <v/>
      </c>
      <c r="S766" s="7" t="inlineStr">
        <is>
          <t>2026-09-09</t>
        </is>
      </c>
      <c r="T766" s="5" t="inlineStr">
        <is>
          <t>1 cotización de proveedores</t>
        </is>
      </c>
    </row>
    <row r="767">
      <c r="A767" s="7" t="inlineStr">
        <is>
          <t>MAT-22-033</t>
        </is>
      </c>
      <c r="B767" s="7" t="inlineStr">
        <is>
          <t>Materiales</t>
        </is>
      </c>
      <c r="C767" s="7" t="inlineStr">
        <is>
          <t>Cerramiento perimetral</t>
        </is>
      </c>
      <c r="D767" s="5" t="inlineStr">
        <is>
          <t>Abrazadera larga para malla ciclónica 1 1/2"</t>
        </is>
      </c>
      <c r="E767" s="5" t="inlineStr">
        <is>
          <t>Herraje galvanizado de cerramiento · 1 1/2" · larga</t>
        </is>
      </c>
      <c r="F767" s="5" t="inlineStr">
        <is>
          <t>Material retirado en almacén</t>
        </is>
      </c>
      <c r="G767" s="5" t="inlineStr">
        <is>
          <t>accesorio de verja, herraje de malla ciclónica</t>
        </is>
      </c>
      <c r="H767" s="7" t="inlineStr">
        <is>
          <t>unidad</t>
        </is>
      </c>
      <c r="I767" s="7" t="inlineStr">
        <is>
          <t>Exteriores</t>
        </is>
      </c>
      <c r="J767" s="7" t="inlineStr">
        <is>
          <t>estandar</t>
        </is>
      </c>
      <c r="K767" s="7" t="inlineStr">
        <is>
          <t>importado</t>
        </is>
      </c>
      <c r="L767" s="7" t="inlineStr">
        <is>
          <t>Verificado</t>
        </is>
      </c>
      <c r="M767" s="8" t="n">
        <v>2</v>
      </c>
      <c r="N767" s="9" t="n">
        <v>37.39</v>
      </c>
      <c r="O767" s="9" t="n">
        <v>28.77</v>
      </c>
      <c r="P767" s="9" t="n">
        <v>46</v>
      </c>
      <c r="Q767" s="7" t="inlineStr">
        <is>
          <t>Sí</t>
        </is>
      </c>
      <c r="R767" s="9">
        <f>IF(N767="","",IF(Q767="Sí",ROUND(N767/1.18,2),N767))</f>
        <v/>
      </c>
      <c r="S767" s="7" t="inlineStr">
        <is>
          <t>2026-09-09</t>
        </is>
      </c>
      <c r="T767" s="5" t="inlineStr">
        <is>
          <t>2 cotizaciones de proveedores</t>
        </is>
      </c>
    </row>
    <row r="768">
      <c r="A768" s="7" t="inlineStr">
        <is>
          <t>MAT-22-034</t>
        </is>
      </c>
      <c r="B768" s="7" t="inlineStr">
        <is>
          <t>Materiales</t>
        </is>
      </c>
      <c r="C768" s="7" t="inlineStr">
        <is>
          <t>Cerramiento perimetral</t>
        </is>
      </c>
      <c r="D768" s="5" t="inlineStr">
        <is>
          <t>Brazo doble para malla ciclónica 1 1/2" x 1 1/4"</t>
        </is>
      </c>
      <c r="E768" s="5" t="inlineStr">
        <is>
          <t>Herraje galvanizado de cerramiento · 1 1/2" x 1 1/4" · doble</t>
        </is>
      </c>
      <c r="F768" s="5" t="inlineStr">
        <is>
          <t>Material retirado en almacén</t>
        </is>
      </c>
      <c r="G768" s="5" t="inlineStr">
        <is>
          <t>accesorio de verja, herraje de malla ciclónica</t>
        </is>
      </c>
      <c r="H768" s="7" t="inlineStr">
        <is>
          <t>unidad</t>
        </is>
      </c>
      <c r="I768" s="7" t="inlineStr">
        <is>
          <t>Exteriores</t>
        </is>
      </c>
      <c r="J768" s="7" t="inlineStr">
        <is>
          <t>estandar</t>
        </is>
      </c>
      <c r="K768" s="7" t="inlineStr">
        <is>
          <t>importado</t>
        </is>
      </c>
      <c r="L768" s="7" t="inlineStr">
        <is>
          <t>Verificado</t>
        </is>
      </c>
      <c r="M768" s="8" t="n">
        <v>2</v>
      </c>
      <c r="N768" s="9" t="n">
        <v>232.45</v>
      </c>
      <c r="O768" s="9" t="n">
        <v>187.9</v>
      </c>
      <c r="P768" s="9" t="n">
        <v>277</v>
      </c>
      <c r="Q768" s="7" t="inlineStr">
        <is>
          <t>Sí</t>
        </is>
      </c>
      <c r="R768" s="9">
        <f>IF(N768="","",IF(Q768="Sí",ROUND(N768/1.18,2),N768))</f>
        <v/>
      </c>
      <c r="S768" s="7" t="inlineStr">
        <is>
          <t>2026-09-09</t>
        </is>
      </c>
      <c r="T768" s="5" t="inlineStr">
        <is>
          <t>2 cotizaciones de proveedores</t>
        </is>
      </c>
    </row>
    <row r="769">
      <c r="A769" s="7" t="inlineStr">
        <is>
          <t>MAT-22-035</t>
        </is>
      </c>
      <c r="B769" s="7" t="inlineStr">
        <is>
          <t>Materiales</t>
        </is>
      </c>
      <c r="C769" s="7" t="inlineStr">
        <is>
          <t>Cerramiento perimetral</t>
        </is>
      </c>
      <c r="D769" s="5" t="inlineStr">
        <is>
          <t>Brazo sencillo para malla ciclónica 1 1/2" x 1 1/4"</t>
        </is>
      </c>
      <c r="E769" s="5" t="inlineStr">
        <is>
          <t>Herraje galvanizado de cerramiento · 1 1/2" x 1 1/4" · sencillo</t>
        </is>
      </c>
      <c r="F769" s="5" t="inlineStr">
        <is>
          <t>Material retirado en almacén</t>
        </is>
      </c>
      <c r="G769" s="5" t="inlineStr">
        <is>
          <t>accesorio de verja, herraje de malla ciclónica</t>
        </is>
      </c>
      <c r="H769" s="7" t="inlineStr">
        <is>
          <t>unidad</t>
        </is>
      </c>
      <c r="I769" s="7" t="inlineStr">
        <is>
          <t>Exteriores</t>
        </is>
      </c>
      <c r="J769" s="7" t="inlineStr">
        <is>
          <t>estandar</t>
        </is>
      </c>
      <c r="K769" s="7" t="inlineStr">
        <is>
          <t>importado</t>
        </is>
      </c>
      <c r="L769" s="7" t="inlineStr">
        <is>
          <t>Verificado</t>
        </is>
      </c>
      <c r="M769" s="8" t="n">
        <v>2</v>
      </c>
      <c r="N769" s="9" t="n">
        <v>146.38</v>
      </c>
      <c r="O769" s="9" t="n">
        <v>124.76</v>
      </c>
      <c r="P769" s="9" t="n">
        <v>168</v>
      </c>
      <c r="Q769" s="7" t="inlineStr">
        <is>
          <t>Sí</t>
        </is>
      </c>
      <c r="R769" s="9">
        <f>IF(N769="","",IF(Q769="Sí",ROUND(N769/1.18,2),N769))</f>
        <v/>
      </c>
      <c r="S769" s="7" t="inlineStr">
        <is>
          <t>2026-09-09</t>
        </is>
      </c>
      <c r="T769" s="5" t="inlineStr">
        <is>
          <t>2 cotizaciones de proveedores</t>
        </is>
      </c>
    </row>
    <row r="770">
      <c r="A770" s="7" t="inlineStr">
        <is>
          <t>MAT-22-036</t>
        </is>
      </c>
      <c r="B770" s="7" t="inlineStr">
        <is>
          <t>Materiales</t>
        </is>
      </c>
      <c r="C770" s="7" t="inlineStr">
        <is>
          <t>Cerramiento perimetral</t>
        </is>
      </c>
      <c r="D770" s="5" t="inlineStr">
        <is>
          <t>Copa pasante para malla ciclónica 1 1/2" x 1 1/2"</t>
        </is>
      </c>
      <c r="E770" s="5" t="inlineStr">
        <is>
          <t>Herraje galvanizado de cerramiento · 1 1/2" x 1 1/2"</t>
        </is>
      </c>
      <c r="F770" s="5" t="inlineStr">
        <is>
          <t>Material retirado en almacén</t>
        </is>
      </c>
      <c r="G770" s="5" t="inlineStr">
        <is>
          <t>accesorio de verja, herraje de malla ciclónica</t>
        </is>
      </c>
      <c r="H770" s="7" t="inlineStr">
        <is>
          <t>unidad</t>
        </is>
      </c>
      <c r="I770" s="7" t="inlineStr">
        <is>
          <t>Exteriores</t>
        </is>
      </c>
      <c r="J770" s="7" t="inlineStr">
        <is>
          <t>estandar</t>
        </is>
      </c>
      <c r="K770" s="7" t="inlineStr">
        <is>
          <t>importado</t>
        </is>
      </c>
      <c r="L770" s="7" t="inlineStr">
        <is>
          <t>Verificado</t>
        </is>
      </c>
      <c r="M770" s="8" t="n">
        <v>1</v>
      </c>
      <c r="N770" s="9" t="n">
        <v>76.66</v>
      </c>
      <c r="O770" s="9" t="n">
        <v>76.66</v>
      </c>
      <c r="P770" s="9" t="n">
        <v>76.66</v>
      </c>
      <c r="Q770" s="7" t="inlineStr">
        <is>
          <t>Sí</t>
        </is>
      </c>
      <c r="R770" s="9">
        <f>IF(N770="","",IF(Q770="Sí",ROUND(N770/1.18,2),N770))</f>
        <v/>
      </c>
      <c r="S770" s="7" t="inlineStr">
        <is>
          <t>2026-09-09</t>
        </is>
      </c>
      <c r="T770" s="5" t="inlineStr">
        <is>
          <t>1 cotización de proveedores</t>
        </is>
      </c>
    </row>
    <row r="771">
      <c r="A771" s="7" t="inlineStr">
        <is>
          <t>MAT-22-037</t>
        </is>
      </c>
      <c r="B771" s="7" t="inlineStr">
        <is>
          <t>Materiales</t>
        </is>
      </c>
      <c r="C771" s="7" t="inlineStr">
        <is>
          <t>Cerramiento perimetral</t>
        </is>
      </c>
      <c r="D771" s="5" t="inlineStr">
        <is>
          <t>Copa terminal para malla ciclónica 1 1/2"</t>
        </is>
      </c>
      <c r="E771" s="5" t="inlineStr">
        <is>
          <t>Herraje galvanizado de cerramiento · 1 1/2"</t>
        </is>
      </c>
      <c r="F771" s="5" t="inlineStr">
        <is>
          <t>Material retirado en almacén</t>
        </is>
      </c>
      <c r="G771" s="5" t="inlineStr">
        <is>
          <t>accesorio de verja, herraje de malla ciclónica</t>
        </is>
      </c>
      <c r="H771" s="7" t="inlineStr">
        <is>
          <t>unidad</t>
        </is>
      </c>
      <c r="I771" s="7" t="inlineStr">
        <is>
          <t>Exteriores</t>
        </is>
      </c>
      <c r="J771" s="7" t="inlineStr">
        <is>
          <t>estandar</t>
        </is>
      </c>
      <c r="K771" s="7" t="inlineStr">
        <is>
          <t>importado</t>
        </is>
      </c>
      <c r="L771" s="7" t="inlineStr">
        <is>
          <t>Verificado</t>
        </is>
      </c>
      <c r="M771" s="8" t="n">
        <v>2</v>
      </c>
      <c r="N771" s="9" t="n">
        <v>83.31999999999999</v>
      </c>
      <c r="O771" s="9" t="n">
        <v>61.63</v>
      </c>
      <c r="P771" s="9" t="n">
        <v>105</v>
      </c>
      <c r="Q771" s="7" t="inlineStr">
        <is>
          <t>Sí</t>
        </is>
      </c>
      <c r="R771" s="9">
        <f>IF(N771="","",IF(Q771="Sí",ROUND(N771/1.18,2),N771))</f>
        <v/>
      </c>
      <c r="S771" s="7" t="inlineStr">
        <is>
          <t>2026-09-09</t>
        </is>
      </c>
      <c r="T771" s="5" t="inlineStr">
        <is>
          <t>2 cotizaciones de proveedores</t>
        </is>
      </c>
    </row>
    <row r="772">
      <c r="A772" s="7" t="inlineStr">
        <is>
          <t>MAT-22-038</t>
        </is>
      </c>
      <c r="B772" s="7" t="inlineStr">
        <is>
          <t>Materiales</t>
        </is>
      </c>
      <c r="C772" s="7" t="inlineStr">
        <is>
          <t>Cerramiento perimetral</t>
        </is>
      </c>
      <c r="D772" s="5" t="inlineStr">
        <is>
          <t>Abrazadera corta para malla ciclónica 2"</t>
        </is>
      </c>
      <c r="E772" s="5" t="inlineStr">
        <is>
          <t>Herraje galvanizado de cerramiento · 2" · corta</t>
        </is>
      </c>
      <c r="F772" s="5" t="inlineStr">
        <is>
          <t>Material retirado en almacén</t>
        </is>
      </c>
      <c r="G772" s="5" t="inlineStr">
        <is>
          <t>accesorio de verja, herraje de malla ciclónica</t>
        </is>
      </c>
      <c r="H772" s="7" t="inlineStr">
        <is>
          <t>unidad</t>
        </is>
      </c>
      <c r="I772" s="7" t="inlineStr">
        <is>
          <t>Exteriores</t>
        </is>
      </c>
      <c r="J772" s="7" t="inlineStr">
        <is>
          <t>estandar</t>
        </is>
      </c>
      <c r="K772" s="7" t="inlineStr">
        <is>
          <t>importado</t>
        </is>
      </c>
      <c r="L772" s="7" t="inlineStr">
        <is>
          <t>Verificado</t>
        </is>
      </c>
      <c r="M772" s="8" t="n">
        <v>1</v>
      </c>
      <c r="N772" s="9" t="n">
        <v>21.04</v>
      </c>
      <c r="O772" s="9" t="n">
        <v>21.04</v>
      </c>
      <c r="P772" s="9" t="n">
        <v>21.04</v>
      </c>
      <c r="Q772" s="7" t="inlineStr">
        <is>
          <t>Sí</t>
        </is>
      </c>
      <c r="R772" s="9">
        <f>IF(N772="","",IF(Q772="Sí",ROUND(N772/1.18,2),N772))</f>
        <v/>
      </c>
      <c r="S772" s="7" t="inlineStr">
        <is>
          <t>2026-09-09</t>
        </is>
      </c>
      <c r="T772" s="5" t="inlineStr">
        <is>
          <t>1 cotización de proveedores</t>
        </is>
      </c>
    </row>
    <row r="773">
      <c r="A773" s="7" t="inlineStr">
        <is>
          <t>MAT-22-039</t>
        </is>
      </c>
      <c r="B773" s="7" t="inlineStr">
        <is>
          <t>Materiales</t>
        </is>
      </c>
      <c r="C773" s="7" t="inlineStr">
        <is>
          <t>Cerramiento perimetral</t>
        </is>
      </c>
      <c r="D773" s="5" t="inlineStr">
        <is>
          <t>Abrazadera larga para malla ciclónica 2"</t>
        </is>
      </c>
      <c r="E773" s="5" t="inlineStr">
        <is>
          <t>Herraje galvanizado de cerramiento · 2" · larga</t>
        </is>
      </c>
      <c r="F773" s="5" t="inlineStr">
        <is>
          <t>Material retirado en almacén</t>
        </is>
      </c>
      <c r="G773" s="5" t="inlineStr">
        <is>
          <t>accesorio de verja, herraje de malla ciclónica</t>
        </is>
      </c>
      <c r="H773" s="7" t="inlineStr">
        <is>
          <t>unidad</t>
        </is>
      </c>
      <c r="I773" s="7" t="inlineStr">
        <is>
          <t>Exteriores</t>
        </is>
      </c>
      <c r="J773" s="7" t="inlineStr">
        <is>
          <t>estandar</t>
        </is>
      </c>
      <c r="K773" s="7" t="inlineStr">
        <is>
          <t>importado</t>
        </is>
      </c>
      <c r="L773" s="7" t="inlineStr">
        <is>
          <t>Verificado</t>
        </is>
      </c>
      <c r="M773" s="8" t="n">
        <v>1</v>
      </c>
      <c r="N773" s="9" t="n">
        <v>20.38</v>
      </c>
      <c r="O773" s="9" t="n">
        <v>20.38</v>
      </c>
      <c r="P773" s="9" t="n">
        <v>20.38</v>
      </c>
      <c r="Q773" s="7" t="inlineStr">
        <is>
          <t>Sí</t>
        </is>
      </c>
      <c r="R773" s="9">
        <f>IF(N773="","",IF(Q773="Sí",ROUND(N773/1.18,2),N773))</f>
        <v/>
      </c>
      <c r="S773" s="7" t="inlineStr">
        <is>
          <t>2026-09-09</t>
        </is>
      </c>
      <c r="T773" s="5" t="inlineStr">
        <is>
          <t>1 cotización de proveedores</t>
        </is>
      </c>
    </row>
    <row r="774">
      <c r="A774" s="7" t="inlineStr">
        <is>
          <t>MAT-22-040</t>
        </is>
      </c>
      <c r="B774" s="7" t="inlineStr">
        <is>
          <t>Materiales</t>
        </is>
      </c>
      <c r="C774" s="7" t="inlineStr">
        <is>
          <t>Cerramiento perimetral</t>
        </is>
      </c>
      <c r="D774" s="5" t="inlineStr">
        <is>
          <t>Brazo sencillo para malla ciclónica 2" x 1 1/4"</t>
        </is>
      </c>
      <c r="E774" s="5" t="inlineStr">
        <is>
          <t>Herraje galvanizado de cerramiento · 2" x 1 1/4" · sencillo</t>
        </is>
      </c>
      <c r="F774" s="5" t="inlineStr">
        <is>
          <t>Material retirado en almacén</t>
        </is>
      </c>
      <c r="G774" s="5" t="inlineStr">
        <is>
          <t>accesorio de verja, herraje de malla ciclónica</t>
        </is>
      </c>
      <c r="H774" s="7" t="inlineStr">
        <is>
          <t>unidad</t>
        </is>
      </c>
      <c r="I774" s="7" t="inlineStr">
        <is>
          <t>Exteriores</t>
        </is>
      </c>
      <c r="J774" s="7" t="inlineStr">
        <is>
          <t>estandar</t>
        </is>
      </c>
      <c r="K774" s="7" t="inlineStr">
        <is>
          <t>importado</t>
        </is>
      </c>
      <c r="L774" s="7" t="inlineStr">
        <is>
          <t>Verificado</t>
        </is>
      </c>
      <c r="M774" s="8" t="n">
        <v>1</v>
      </c>
      <c r="N774" s="9" t="n">
        <v>187.9</v>
      </c>
      <c r="O774" s="9" t="n">
        <v>187.9</v>
      </c>
      <c r="P774" s="9" t="n">
        <v>187.9</v>
      </c>
      <c r="Q774" s="7" t="inlineStr">
        <is>
          <t>Sí</t>
        </is>
      </c>
      <c r="R774" s="9">
        <f>IF(N774="","",IF(Q774="Sí",ROUND(N774/1.18,2),N774))</f>
        <v/>
      </c>
      <c r="S774" s="7" t="inlineStr">
        <is>
          <t>2026-09-09</t>
        </is>
      </c>
      <c r="T774" s="5" t="inlineStr">
        <is>
          <t>1 cotización de proveedores</t>
        </is>
      </c>
    </row>
    <row r="775">
      <c r="A775" s="7" t="inlineStr">
        <is>
          <t>MAT-22-041</t>
        </is>
      </c>
      <c r="B775" s="7" t="inlineStr">
        <is>
          <t>Materiales</t>
        </is>
      </c>
      <c r="C775" s="7" t="inlineStr">
        <is>
          <t>Cerramiento perimetral</t>
        </is>
      </c>
      <c r="D775" s="5" t="inlineStr">
        <is>
          <t>Brazo doble para malla ciclónica 2" x 1 1/2"</t>
        </is>
      </c>
      <c r="E775" s="5" t="inlineStr">
        <is>
          <t>Herraje galvanizado de cerramiento · 2" x 1 1/2" · doble</t>
        </is>
      </c>
      <c r="F775" s="5" t="inlineStr">
        <is>
          <t>Material retirado en almacén</t>
        </is>
      </c>
      <c r="G775" s="5" t="inlineStr">
        <is>
          <t>accesorio de verja, herraje de malla ciclónica</t>
        </is>
      </c>
      <c r="H775" s="7" t="inlineStr">
        <is>
          <t>unidad</t>
        </is>
      </c>
      <c r="I775" s="7" t="inlineStr">
        <is>
          <t>Exteriores</t>
        </is>
      </c>
      <c r="J775" s="7" t="inlineStr">
        <is>
          <t>estandar</t>
        </is>
      </c>
      <c r="K775" s="7" t="inlineStr">
        <is>
          <t>importado</t>
        </is>
      </c>
      <c r="L775" s="7" t="inlineStr">
        <is>
          <t>Verificado</t>
        </is>
      </c>
      <c r="M775" s="8" t="n">
        <v>1</v>
      </c>
      <c r="N775" s="9" t="n">
        <v>373.18</v>
      </c>
      <c r="O775" s="9" t="n">
        <v>373.18</v>
      </c>
      <c r="P775" s="9" t="n">
        <v>373.18</v>
      </c>
      <c r="Q775" s="7" t="inlineStr">
        <is>
          <t>Sí</t>
        </is>
      </c>
      <c r="R775" s="9">
        <f>IF(N775="","",IF(Q775="Sí",ROUND(N775/1.18,2),N775))</f>
        <v/>
      </c>
      <c r="S775" s="7" t="inlineStr">
        <is>
          <t>2026-09-09</t>
        </is>
      </c>
      <c r="T775" s="5" t="inlineStr">
        <is>
          <t>1 cotización de proveedores</t>
        </is>
      </c>
    </row>
    <row r="776">
      <c r="A776" s="7" t="inlineStr">
        <is>
          <t>MAT-22-042</t>
        </is>
      </c>
      <c r="B776" s="7" t="inlineStr">
        <is>
          <t>Materiales</t>
        </is>
      </c>
      <c r="C776" s="7" t="inlineStr">
        <is>
          <t>Cerramiento perimetral</t>
        </is>
      </c>
      <c r="D776" s="5" t="inlineStr">
        <is>
          <t>Copa terminal para malla ciclónica 2"</t>
        </is>
      </c>
      <c r="E776" s="5" t="inlineStr">
        <is>
          <t>Herraje galvanizado de cerramiento · 2"</t>
        </is>
      </c>
      <c r="F776" s="5" t="inlineStr">
        <is>
          <t>Material retirado en almacén</t>
        </is>
      </c>
      <c r="G776" s="5" t="inlineStr">
        <is>
          <t>accesorio de verja, herraje de malla ciclónica</t>
        </is>
      </c>
      <c r="H776" s="7" t="inlineStr">
        <is>
          <t>unidad</t>
        </is>
      </c>
      <c r="I776" s="7" t="inlineStr">
        <is>
          <t>Exteriores</t>
        </is>
      </c>
      <c r="J776" s="7" t="inlineStr">
        <is>
          <t>estandar</t>
        </is>
      </c>
      <c r="K776" s="7" t="inlineStr">
        <is>
          <t>importado</t>
        </is>
      </c>
      <c r="L776" s="7" t="inlineStr">
        <is>
          <t>Verificado</t>
        </is>
      </c>
      <c r="M776" s="8" t="n">
        <v>1</v>
      </c>
      <c r="N776" s="9" t="n">
        <v>51.11</v>
      </c>
      <c r="O776" s="9" t="n">
        <v>51.11</v>
      </c>
      <c r="P776" s="9" t="n">
        <v>51.11</v>
      </c>
      <c r="Q776" s="7" t="inlineStr">
        <is>
          <t>Sí</t>
        </is>
      </c>
      <c r="R776" s="9">
        <f>IF(N776="","",IF(Q776="Sí",ROUND(N776/1.18,2),N776))</f>
        <v/>
      </c>
      <c r="S776" s="7" t="inlineStr">
        <is>
          <t>2026-09-09</t>
        </is>
      </c>
      <c r="T776" s="5" t="inlineStr">
        <is>
          <t>1 cotización de proveedores</t>
        </is>
      </c>
    </row>
    <row r="777">
      <c r="A777" s="7" t="inlineStr">
        <is>
          <t>MAT-22-043</t>
        </is>
      </c>
      <c r="B777" s="7" t="inlineStr">
        <is>
          <t>Materiales</t>
        </is>
      </c>
      <c r="C777" s="7" t="inlineStr">
        <is>
          <t>Cerramiento perimetral</t>
        </is>
      </c>
      <c r="D777" s="5" t="inlineStr">
        <is>
          <t>Brazo para malla ciclónica 2 3/8" x 1 1/2"</t>
        </is>
      </c>
      <c r="E777" s="5" t="inlineStr">
        <is>
          <t>Herraje galvanizado de cerramiento · 2 3/8" x 1 1/2"</t>
        </is>
      </c>
      <c r="F777" s="5" t="inlineStr">
        <is>
          <t>Material retirado en almacén</t>
        </is>
      </c>
      <c r="G777" s="5" t="inlineStr">
        <is>
          <t>accesorio de verja, herraje de malla ciclónica</t>
        </is>
      </c>
      <c r="H777" s="7" t="inlineStr">
        <is>
          <t>unidad</t>
        </is>
      </c>
      <c r="I777" s="7" t="inlineStr">
        <is>
          <t>Exteriores</t>
        </is>
      </c>
      <c r="J777" s="7" t="inlineStr">
        <is>
          <t>estandar</t>
        </is>
      </c>
      <c r="K777" s="7" t="inlineStr">
        <is>
          <t>importado</t>
        </is>
      </c>
      <c r="L777" s="7" t="inlineStr">
        <is>
          <t>Verificado</t>
        </is>
      </c>
      <c r="M777" s="8" t="n">
        <v>1</v>
      </c>
      <c r="N777" s="9" t="n">
        <v>300.64</v>
      </c>
      <c r="O777" s="9" t="n">
        <v>300.64</v>
      </c>
      <c r="P777" s="9" t="n">
        <v>300.64</v>
      </c>
      <c r="Q777" s="7" t="inlineStr">
        <is>
          <t>Sí</t>
        </is>
      </c>
      <c r="R777" s="9">
        <f>IF(N777="","",IF(Q777="Sí",ROUND(N777/1.18,2),N777))</f>
        <v/>
      </c>
      <c r="S777" s="7" t="inlineStr">
        <is>
          <t>2026-09-09</t>
        </is>
      </c>
      <c r="T777" s="5" t="inlineStr">
        <is>
          <t>1 cotización de proveedores</t>
        </is>
      </c>
    </row>
    <row r="778">
      <c r="A778" s="7" t="inlineStr">
        <is>
          <t>MAT-22-044</t>
        </is>
      </c>
      <c r="B778" s="7" t="inlineStr">
        <is>
          <t>Materiales</t>
        </is>
      </c>
      <c r="C778" s="7" t="inlineStr">
        <is>
          <t>Cerramiento perimetral</t>
        </is>
      </c>
      <c r="D778" s="5" t="inlineStr">
        <is>
          <t>Copa terminal para malla ciclónica 3"</t>
        </is>
      </c>
      <c r="E778" s="5" t="inlineStr">
        <is>
          <t>Herraje galvanizado de cerramiento · 3"</t>
        </is>
      </c>
      <c r="F778" s="5" t="inlineStr">
        <is>
          <t>Material retirado en almacén</t>
        </is>
      </c>
      <c r="G778" s="5" t="inlineStr">
        <is>
          <t>accesorio de verja, herraje de malla ciclónica</t>
        </is>
      </c>
      <c r="H778" s="7" t="inlineStr">
        <is>
          <t>unidad</t>
        </is>
      </c>
      <c r="I778" s="7" t="inlineStr">
        <is>
          <t>Exteriores</t>
        </is>
      </c>
      <c r="J778" s="7" t="inlineStr">
        <is>
          <t>estandar</t>
        </is>
      </c>
      <c r="K778" s="7" t="inlineStr">
        <is>
          <t>importado</t>
        </is>
      </c>
      <c r="L778" s="7" t="inlineStr">
        <is>
          <t>Verificado</t>
        </is>
      </c>
      <c r="M778" s="8" t="n">
        <v>1</v>
      </c>
      <c r="N778" s="9" t="n">
        <v>36.5</v>
      </c>
      <c r="O778" s="9" t="n">
        <v>36.5</v>
      </c>
      <c r="P778" s="9" t="n">
        <v>36.5</v>
      </c>
      <c r="Q778" s="7" t="inlineStr">
        <is>
          <t>Sí</t>
        </is>
      </c>
      <c r="R778" s="9">
        <f>IF(N778="","",IF(Q778="Sí",ROUND(N778/1.18,2),N778))</f>
        <v/>
      </c>
      <c r="S778" s="7" t="inlineStr">
        <is>
          <t>2026-09-09</t>
        </is>
      </c>
      <c r="T778" s="5" t="inlineStr">
        <is>
          <t>1 cotización de proveedores</t>
        </is>
      </c>
    </row>
    <row r="779">
      <c r="A779" s="7" t="inlineStr">
        <is>
          <t>MAT-23-001</t>
        </is>
      </c>
      <c r="B779" s="7" t="inlineStr">
        <is>
          <t>Materiales</t>
        </is>
      </c>
      <c r="C779" s="7" t="inlineStr">
        <is>
          <t>Perfilería de aluminio</t>
        </is>
      </c>
      <c r="D779" s="5" t="inlineStr">
        <is>
          <t>Tubo redondo de aluminio 3/8" x 19.20 pies</t>
        </is>
      </c>
      <c r="E779" s="5" t="inlineStr">
        <is>
          <t>Tubería redonda de aluminio extruido · 3/8" · tramo de 19.20 pies</t>
        </is>
      </c>
      <c r="F779" s="5" t="inlineStr">
        <is>
          <t>Material retirado en almacén</t>
        </is>
      </c>
      <c r="G779" s="5" t="inlineStr">
        <is>
          <t>tubo de aluminio</t>
        </is>
      </c>
      <c r="H779" s="7" t="inlineStr">
        <is>
          <t>unidad</t>
        </is>
      </c>
      <c r="I779" s="7" t="inlineStr">
        <is>
          <t>Puertas y ventanas</t>
        </is>
      </c>
      <c r="J779" s="7" t="inlineStr">
        <is>
          <t>estandar</t>
        </is>
      </c>
      <c r="K779" s="7" t="inlineStr">
        <is>
          <t>importado</t>
        </is>
      </c>
      <c r="L779" s="7" t="inlineStr">
        <is>
          <t>Verificado</t>
        </is>
      </c>
      <c r="M779" s="8" t="n">
        <v>1</v>
      </c>
      <c r="N779" s="9" t="n">
        <v>299.9</v>
      </c>
      <c r="O779" s="9" t="n">
        <v>299.9</v>
      </c>
      <c r="P779" s="9" t="n">
        <v>299.9</v>
      </c>
      <c r="Q779" s="7" t="inlineStr">
        <is>
          <t>Sí</t>
        </is>
      </c>
      <c r="R779" s="9">
        <f>IF(N779="","",IF(Q779="Sí",ROUND(N779/1.18,2),N779))</f>
        <v/>
      </c>
      <c r="S779" s="7" t="inlineStr">
        <is>
          <t>2026-09-09</t>
        </is>
      </c>
      <c r="T779" s="5" t="inlineStr">
        <is>
          <t>1 cotización de proveedores</t>
        </is>
      </c>
    </row>
    <row r="780">
      <c r="A780" s="7" t="inlineStr">
        <is>
          <t>MAT-23-002</t>
        </is>
      </c>
      <c r="B780" s="7" t="inlineStr">
        <is>
          <t>Materiales</t>
        </is>
      </c>
      <c r="C780" s="7" t="inlineStr">
        <is>
          <t>Perfilería de aluminio</t>
        </is>
      </c>
      <c r="D780" s="5" t="inlineStr">
        <is>
          <t>Tubo redondo de aluminio 1/2" x 19.20 pies</t>
        </is>
      </c>
      <c r="E780" s="5" t="inlineStr">
        <is>
          <t>Tubería redonda de aluminio extruido · 1/2" · tramo de 19.20 pies</t>
        </is>
      </c>
      <c r="F780" s="5" t="inlineStr">
        <is>
          <t>Material retirado en almacén</t>
        </is>
      </c>
      <c r="G780" s="5" t="inlineStr">
        <is>
          <t>tubo de aluminio</t>
        </is>
      </c>
      <c r="H780" s="7" t="inlineStr">
        <is>
          <t>unidad</t>
        </is>
      </c>
      <c r="I780" s="7" t="inlineStr">
        <is>
          <t>Puertas y ventanas</t>
        </is>
      </c>
      <c r="J780" s="7" t="inlineStr">
        <is>
          <t>estandar</t>
        </is>
      </c>
      <c r="K780" s="7" t="inlineStr">
        <is>
          <t>importado</t>
        </is>
      </c>
      <c r="L780" s="7" t="inlineStr">
        <is>
          <t>Verificado</t>
        </is>
      </c>
      <c r="M780" s="8" t="n">
        <v>1</v>
      </c>
      <c r="N780" s="9" t="n">
        <v>373.61</v>
      </c>
      <c r="O780" s="9" t="n">
        <v>373.61</v>
      </c>
      <c r="P780" s="9" t="n">
        <v>373.61</v>
      </c>
      <c r="Q780" s="7" t="inlineStr">
        <is>
          <t>Sí</t>
        </is>
      </c>
      <c r="R780" s="9">
        <f>IF(N780="","",IF(Q780="Sí",ROUND(N780/1.18,2),N780))</f>
        <v/>
      </c>
      <c r="S780" s="7" t="inlineStr">
        <is>
          <t>2026-09-09</t>
        </is>
      </c>
      <c r="T780" s="5" t="inlineStr">
        <is>
          <t>1 cotización de proveedores</t>
        </is>
      </c>
    </row>
    <row r="781">
      <c r="A781" s="7" t="inlineStr">
        <is>
          <t>MAT-23-003</t>
        </is>
      </c>
      <c r="B781" s="7" t="inlineStr">
        <is>
          <t>Materiales</t>
        </is>
      </c>
      <c r="C781" s="7" t="inlineStr">
        <is>
          <t>Perfilería de aluminio</t>
        </is>
      </c>
      <c r="D781" s="5" t="inlineStr">
        <is>
          <t>Planchuela de aluminio 1/2" x 1/8" x 19.20 pies</t>
        </is>
      </c>
      <c r="E781" s="5" t="inlineStr">
        <is>
          <t>Pletina de aluminio extruido · 1/2" x 1/8" · tramo de 19.20 pies</t>
        </is>
      </c>
      <c r="F781" s="5" t="inlineStr">
        <is>
          <t>Material retirado en almacén</t>
        </is>
      </c>
      <c r="G781" s="5" t="inlineStr">
        <is>
          <t>pletina de aluminio, planchuela</t>
        </is>
      </c>
      <c r="H781" s="7" t="inlineStr">
        <is>
          <t>unidad</t>
        </is>
      </c>
      <c r="I781" s="7" t="inlineStr">
        <is>
          <t>Puertas y ventanas</t>
        </is>
      </c>
      <c r="J781" s="7" t="inlineStr">
        <is>
          <t>estandar</t>
        </is>
      </c>
      <c r="K781" s="7" t="inlineStr">
        <is>
          <t>importado</t>
        </is>
      </c>
      <c r="L781" s="7" t="inlineStr">
        <is>
          <t>Verificado</t>
        </is>
      </c>
      <c r="M781" s="8" t="n">
        <v>1</v>
      </c>
      <c r="N781" s="9" t="n">
        <v>452.36</v>
      </c>
      <c r="O781" s="9" t="n">
        <v>452.36</v>
      </c>
      <c r="P781" s="9" t="n">
        <v>452.36</v>
      </c>
      <c r="Q781" s="7" t="inlineStr">
        <is>
          <t>Sí</t>
        </is>
      </c>
      <c r="R781" s="9">
        <f>IF(N781="","",IF(Q781="Sí",ROUND(N781/1.18,2),N781))</f>
        <v/>
      </c>
      <c r="S781" s="7" t="inlineStr">
        <is>
          <t>2026-09-09</t>
        </is>
      </c>
      <c r="T781" s="5" t="inlineStr">
        <is>
          <t>1 cotización de proveedores</t>
        </is>
      </c>
    </row>
    <row r="782">
      <c r="A782" s="7" t="inlineStr">
        <is>
          <t>MAT-23-004</t>
        </is>
      </c>
      <c r="B782" s="7" t="inlineStr">
        <is>
          <t>Materiales</t>
        </is>
      </c>
      <c r="C782" s="7" t="inlineStr">
        <is>
          <t>Perfilería de aluminio</t>
        </is>
      </c>
      <c r="D782" s="5" t="inlineStr">
        <is>
          <t>Angular de aluminio 1/2" x 1/2" x 19.20 pies</t>
        </is>
      </c>
      <c r="E782" s="5" t="inlineStr">
        <is>
          <t>Perfil L de aluminio extruido · 1/2" x 1/2" · tramo de 19.20 pies</t>
        </is>
      </c>
      <c r="F782" s="5" t="inlineStr">
        <is>
          <t>Material retirado en almacén</t>
        </is>
      </c>
      <c r="G782" s="5" t="inlineStr">
        <is>
          <t>angular de aluminio, perfil L</t>
        </is>
      </c>
      <c r="H782" s="7" t="inlineStr">
        <is>
          <t>unidad</t>
        </is>
      </c>
      <c r="I782" s="7" t="inlineStr">
        <is>
          <t>Puertas y ventanas</t>
        </is>
      </c>
      <c r="J782" s="7" t="inlineStr">
        <is>
          <t>estandar</t>
        </is>
      </c>
      <c r="K782" s="7" t="inlineStr">
        <is>
          <t>importado</t>
        </is>
      </c>
      <c r="L782" s="7" t="inlineStr">
        <is>
          <t>Verificado</t>
        </is>
      </c>
      <c r="M782" s="8" t="n">
        <v>2</v>
      </c>
      <c r="N782" s="9" t="n">
        <v>344.86</v>
      </c>
      <c r="O782" s="9" t="n">
        <v>295</v>
      </c>
      <c r="P782" s="9" t="n">
        <v>394.72</v>
      </c>
      <c r="Q782" s="7" t="inlineStr">
        <is>
          <t>Sí</t>
        </is>
      </c>
      <c r="R782" s="9">
        <f>IF(N782="","",IF(Q782="Sí",ROUND(N782/1.18,2),N782))</f>
        <v/>
      </c>
      <c r="S782" s="7" t="inlineStr">
        <is>
          <t>2026-09-09</t>
        </is>
      </c>
      <c r="T782" s="5" t="inlineStr">
        <is>
          <t>2 cotizaciones de proveedores</t>
        </is>
      </c>
    </row>
    <row r="783">
      <c r="A783" s="7" t="inlineStr">
        <is>
          <t>MAT-23-005</t>
        </is>
      </c>
      <c r="B783" s="7" t="inlineStr">
        <is>
          <t>Materiales</t>
        </is>
      </c>
      <c r="C783" s="7" t="inlineStr">
        <is>
          <t>Perfilería de aluminio</t>
        </is>
      </c>
      <c r="D783" s="5" t="inlineStr">
        <is>
          <t>Moldura U de aluminio 1/2" x 1/2" x 19.20 pies</t>
        </is>
      </c>
      <c r="E783" s="5" t="inlineStr">
        <is>
          <t>Moldura en U de aluminio extruido · 1/2" x 1/2" · tramo de 19.20 pies</t>
        </is>
      </c>
      <c r="F783" s="5" t="inlineStr">
        <is>
          <t>Material retirado en almacén</t>
        </is>
      </c>
      <c r="G783" s="5" t="inlineStr">
        <is>
          <t>moldura U, canal de aluminio</t>
        </is>
      </c>
      <c r="H783" s="7" t="inlineStr">
        <is>
          <t>unidad</t>
        </is>
      </c>
      <c r="I783" s="7" t="inlineStr">
        <is>
          <t>Puertas y ventanas</t>
        </is>
      </c>
      <c r="J783" s="7" t="inlineStr">
        <is>
          <t>estandar</t>
        </is>
      </c>
      <c r="K783" s="7" t="inlineStr">
        <is>
          <t>importado</t>
        </is>
      </c>
      <c r="L783" s="7" t="inlineStr">
        <is>
          <t>Verificado</t>
        </is>
      </c>
      <c r="M783" s="8" t="n">
        <v>1</v>
      </c>
      <c r="N783" s="9" t="n">
        <v>377.71</v>
      </c>
      <c r="O783" s="9" t="n">
        <v>377.71</v>
      </c>
      <c r="P783" s="9" t="n">
        <v>377.71</v>
      </c>
      <c r="Q783" s="7" t="inlineStr">
        <is>
          <t>Sí</t>
        </is>
      </c>
      <c r="R783" s="9">
        <f>IF(N783="","",IF(Q783="Sí",ROUND(N783/1.18,2),N783))</f>
        <v/>
      </c>
      <c r="S783" s="7" t="inlineStr">
        <is>
          <t>2026-09-09</t>
        </is>
      </c>
      <c r="T783" s="5" t="inlineStr">
        <is>
          <t>1 cotización de proveedores</t>
        </is>
      </c>
    </row>
    <row r="784">
      <c r="A784" s="7" t="inlineStr">
        <is>
          <t>MAT-23-006</t>
        </is>
      </c>
      <c r="B784" s="7" t="inlineStr">
        <is>
          <t>Materiales</t>
        </is>
      </c>
      <c r="C784" s="7" t="inlineStr">
        <is>
          <t>Perfilería de aluminio</t>
        </is>
      </c>
      <c r="D784" s="5" t="inlineStr">
        <is>
          <t>Angular Aluminio 1 x 1"X19'</t>
        </is>
      </c>
      <c r="E784" s="5" t="inlineStr">
        <is>
          <t>marca INNOMATE · metal · 1X1"X19' · aluminio</t>
        </is>
      </c>
      <c r="F784" s="5" t="inlineStr">
        <is>
          <t>Material retirado en almacén</t>
        </is>
      </c>
      <c r="G784" s="5" t="inlineStr">
        <is>
          <t>angular de aluminio</t>
        </is>
      </c>
      <c r="H784" s="7" t="inlineStr">
        <is>
          <t>unidad</t>
        </is>
      </c>
      <c r="I784" s="7" t="inlineStr">
        <is>
          <t>Puertas y ventanas</t>
        </is>
      </c>
      <c r="J784" s="7" t="inlineStr">
        <is>
          <t>estandar</t>
        </is>
      </c>
      <c r="K784" s="7" t="inlineStr">
        <is>
          <t>importado</t>
        </is>
      </c>
      <c r="L784" s="7" t="inlineStr">
        <is>
          <t>Verificado</t>
        </is>
      </c>
      <c r="M784" s="8" t="n">
        <v>1</v>
      </c>
      <c r="N784" s="9" t="n">
        <v>750</v>
      </c>
      <c r="O784" s="9" t="n">
        <v>750</v>
      </c>
      <c r="P784" s="9" t="n">
        <v>750</v>
      </c>
      <c r="Q784" s="7" t="inlineStr">
        <is>
          <t>Sí</t>
        </is>
      </c>
      <c r="R784" s="9">
        <f>IF(N784="","",IF(Q784="Sí",ROUND(N784/1.18,2),N784))</f>
        <v/>
      </c>
      <c r="S784" s="7" t="inlineStr">
        <is>
          <t>2026-09-09</t>
        </is>
      </c>
      <c r="T784" s="5" t="inlineStr">
        <is>
          <t>1 cotización de proveedores</t>
        </is>
      </c>
    </row>
    <row r="785">
      <c r="A785" s="7" t="inlineStr">
        <is>
          <t>MAT-23-007</t>
        </is>
      </c>
      <c r="B785" s="7" t="inlineStr">
        <is>
          <t>Materiales</t>
        </is>
      </c>
      <c r="C785" s="7" t="inlineStr">
        <is>
          <t>Perfilería de aluminio</t>
        </is>
      </c>
      <c r="D785" s="5" t="inlineStr">
        <is>
          <t>Angular Aluminio 3 / 4 x 1 / 2"X19'</t>
        </is>
      </c>
      <c r="E785" s="5" t="inlineStr">
        <is>
          <t>marca INNOMATE · metal · 3/4X1/2"X19' · aluminio</t>
        </is>
      </c>
      <c r="F785" s="5" t="inlineStr">
        <is>
          <t>Material retirado en almacén</t>
        </is>
      </c>
      <c r="G785" s="5" t="inlineStr">
        <is>
          <t>angular de aluminio</t>
        </is>
      </c>
      <c r="H785" s="7" t="inlineStr">
        <is>
          <t>unidad</t>
        </is>
      </c>
      <c r="I785" s="7" t="inlineStr">
        <is>
          <t>Puertas y ventanas</t>
        </is>
      </c>
      <c r="J785" s="7" t="inlineStr">
        <is>
          <t>estandar</t>
        </is>
      </c>
      <c r="K785" s="7" t="inlineStr">
        <is>
          <t>importado</t>
        </is>
      </c>
      <c r="L785" s="7" t="inlineStr">
        <is>
          <t>Verificado</t>
        </is>
      </c>
      <c r="M785" s="8" t="n">
        <v>1</v>
      </c>
      <c r="N785" s="9" t="n">
        <v>398</v>
      </c>
      <c r="O785" s="9" t="n">
        <v>398</v>
      </c>
      <c r="P785" s="9" t="n">
        <v>398</v>
      </c>
      <c r="Q785" s="7" t="inlineStr">
        <is>
          <t>Sí</t>
        </is>
      </c>
      <c r="R785" s="9">
        <f>IF(N785="","",IF(Q785="Sí",ROUND(N785/1.18,2),N785))</f>
        <v/>
      </c>
      <c r="S785" s="7" t="inlineStr">
        <is>
          <t>2026-09-09</t>
        </is>
      </c>
      <c r="T785" s="5" t="inlineStr">
        <is>
          <t>1 cotización de proveedores</t>
        </is>
      </c>
    </row>
    <row r="786">
      <c r="A786" s="7" t="inlineStr">
        <is>
          <t>MAT-23-008</t>
        </is>
      </c>
      <c r="B786" s="7" t="inlineStr">
        <is>
          <t>Materiales</t>
        </is>
      </c>
      <c r="C786" s="7" t="inlineStr">
        <is>
          <t>Perfilería de aluminio</t>
        </is>
      </c>
      <c r="D786" s="5" t="inlineStr">
        <is>
          <t>Moldura U de aluminio 5/8" x 5/8" x 19.20 pies</t>
        </is>
      </c>
      <c r="E786" s="5" t="inlineStr">
        <is>
          <t>Moldura en U de aluminio extruido · 5/8" x 5/8" · tramo de 19.20 pies</t>
        </is>
      </c>
      <c r="F786" s="5" t="inlineStr">
        <is>
          <t>Material retirado en almacén</t>
        </is>
      </c>
      <c r="G786" s="5" t="inlineStr">
        <is>
          <t>moldura U, canal de aluminio</t>
        </is>
      </c>
      <c r="H786" s="7" t="inlineStr">
        <is>
          <t>unidad</t>
        </is>
      </c>
      <c r="I786" s="7" t="inlineStr">
        <is>
          <t>Puertas y ventanas</t>
        </is>
      </c>
      <c r="J786" s="7" t="inlineStr">
        <is>
          <t>estandar</t>
        </is>
      </c>
      <c r="K786" s="7" t="inlineStr">
        <is>
          <t>importado</t>
        </is>
      </c>
      <c r="L786" s="7" t="inlineStr">
        <is>
          <t>Verificado</t>
        </is>
      </c>
      <c r="M786" s="8" t="n">
        <v>1</v>
      </c>
      <c r="N786" s="9" t="n">
        <v>827.9</v>
      </c>
      <c r="O786" s="9" t="n">
        <v>827.9</v>
      </c>
      <c r="P786" s="9" t="n">
        <v>827.9</v>
      </c>
      <c r="Q786" s="7" t="inlineStr">
        <is>
          <t>Sí</t>
        </is>
      </c>
      <c r="R786" s="9">
        <f>IF(N786="","",IF(Q786="Sí",ROUND(N786/1.18,2),N786))</f>
        <v/>
      </c>
      <c r="S786" s="7" t="inlineStr">
        <is>
          <t>2026-09-09</t>
        </is>
      </c>
      <c r="T786" s="5" t="inlineStr">
        <is>
          <t>1 cotización de proveedores</t>
        </is>
      </c>
    </row>
    <row r="787">
      <c r="A787" s="7" t="inlineStr">
        <is>
          <t>MAT-23-009</t>
        </is>
      </c>
      <c r="B787" s="7" t="inlineStr">
        <is>
          <t>Materiales</t>
        </is>
      </c>
      <c r="C787" s="7" t="inlineStr">
        <is>
          <t>Perfilería de aluminio</t>
        </is>
      </c>
      <c r="D787" s="5" t="inlineStr">
        <is>
          <t>Tubo redondo de aluminio 3/4" x 19.20 pies</t>
        </is>
      </c>
      <c r="E787" s="5" t="inlineStr">
        <is>
          <t>Tubería redonda de aluminio extruido · 3/4" · tramo de 19.20 pies</t>
        </is>
      </c>
      <c r="F787" s="5" t="inlineStr">
        <is>
          <t>Material retirado en almacén</t>
        </is>
      </c>
      <c r="G787" s="5" t="inlineStr">
        <is>
          <t>tubo de aluminio</t>
        </is>
      </c>
      <c r="H787" s="7" t="inlineStr">
        <is>
          <t>unidad</t>
        </is>
      </c>
      <c r="I787" s="7" t="inlineStr">
        <is>
          <t>Puertas y ventanas</t>
        </is>
      </c>
      <c r="J787" s="7" t="inlineStr">
        <is>
          <t>estandar</t>
        </is>
      </c>
      <c r="K787" s="7" t="inlineStr">
        <is>
          <t>importado</t>
        </is>
      </c>
      <c r="L787" s="7" t="inlineStr">
        <is>
          <t>Verificado</t>
        </is>
      </c>
      <c r="M787" s="8" t="n">
        <v>1</v>
      </c>
      <c r="N787" s="9" t="n">
        <v>772.42</v>
      </c>
      <c r="O787" s="9" t="n">
        <v>772.42</v>
      </c>
      <c r="P787" s="9" t="n">
        <v>772.42</v>
      </c>
      <c r="Q787" s="7" t="inlineStr">
        <is>
          <t>Sí</t>
        </is>
      </c>
      <c r="R787" s="9">
        <f>IF(N787="","",IF(Q787="Sí",ROUND(N787/1.18,2),N787))</f>
        <v/>
      </c>
      <c r="S787" s="7" t="inlineStr">
        <is>
          <t>2026-09-09</t>
        </is>
      </c>
      <c r="T787" s="5" t="inlineStr">
        <is>
          <t>1 cotización de proveedores</t>
        </is>
      </c>
    </row>
    <row r="788">
      <c r="A788" s="7" t="inlineStr">
        <is>
          <t>MAT-23-010</t>
        </is>
      </c>
      <c r="B788" s="7" t="inlineStr">
        <is>
          <t>Materiales</t>
        </is>
      </c>
      <c r="C788" s="7" t="inlineStr">
        <is>
          <t>Perfilería de aluminio</t>
        </is>
      </c>
      <c r="D788" s="5" t="inlineStr">
        <is>
          <t>Angular de aluminio 3/4" x 3/4" x 19.20 pies</t>
        </is>
      </c>
      <c r="E788" s="5" t="inlineStr">
        <is>
          <t>Perfil L de aluminio extruido · 3/4" x 3/4" · tramo de 19.20 pies</t>
        </is>
      </c>
      <c r="F788" s="5" t="inlineStr">
        <is>
          <t>Material retirado en almacén</t>
        </is>
      </c>
      <c r="G788" s="5" t="inlineStr">
        <is>
          <t>angular de aluminio, perfil L</t>
        </is>
      </c>
      <c r="H788" s="7" t="inlineStr">
        <is>
          <t>unidad</t>
        </is>
      </c>
      <c r="I788" s="7" t="inlineStr">
        <is>
          <t>Puertas y ventanas</t>
        </is>
      </c>
      <c r="J788" s="7" t="inlineStr">
        <is>
          <t>estandar</t>
        </is>
      </c>
      <c r="K788" s="7" t="inlineStr">
        <is>
          <t>importado</t>
        </is>
      </c>
      <c r="L788" s="7" t="inlineStr">
        <is>
          <t>Verificado</t>
        </is>
      </c>
      <c r="M788" s="8" t="n">
        <v>2</v>
      </c>
      <c r="N788" s="9" t="n">
        <v>440.65</v>
      </c>
      <c r="O788" s="9" t="n">
        <v>436.29</v>
      </c>
      <c r="P788" s="9" t="n">
        <v>445</v>
      </c>
      <c r="Q788" s="7" t="inlineStr">
        <is>
          <t>Sí</t>
        </is>
      </c>
      <c r="R788" s="9">
        <f>IF(N788="","",IF(Q788="Sí",ROUND(N788/1.18,2),N788))</f>
        <v/>
      </c>
      <c r="S788" s="7" t="inlineStr">
        <is>
          <t>2026-09-09</t>
        </is>
      </c>
      <c r="T788" s="5" t="inlineStr">
        <is>
          <t>2 cotizaciones de proveedores</t>
        </is>
      </c>
    </row>
    <row r="789">
      <c r="A789" s="7" t="inlineStr">
        <is>
          <t>MAT-23-011</t>
        </is>
      </c>
      <c r="B789" s="7" t="inlineStr">
        <is>
          <t>Materiales</t>
        </is>
      </c>
      <c r="C789" s="7" t="inlineStr">
        <is>
          <t>Perfilería de aluminio</t>
        </is>
      </c>
      <c r="D789" s="5" t="inlineStr">
        <is>
          <t>Tubo redondo de aluminio 1" x 19.20 pies</t>
        </is>
      </c>
      <c r="E789" s="5" t="inlineStr">
        <is>
          <t>Tubería redonda de aluminio extruido · 1" · tramo de 19.20 pies</t>
        </is>
      </c>
      <c r="F789" s="5" t="inlineStr">
        <is>
          <t>Material retirado en almacén</t>
        </is>
      </c>
      <c r="G789" s="5" t="inlineStr">
        <is>
          <t>tubo de aluminio</t>
        </is>
      </c>
      <c r="H789" s="7" t="inlineStr">
        <is>
          <t>unidad</t>
        </is>
      </c>
      <c r="I789" s="7" t="inlineStr">
        <is>
          <t>Puertas y ventanas</t>
        </is>
      </c>
      <c r="J789" s="7" t="inlineStr">
        <is>
          <t>estandar</t>
        </is>
      </c>
      <c r="K789" s="7" t="inlineStr">
        <is>
          <t>importado</t>
        </is>
      </c>
      <c r="L789" s="7" t="inlineStr">
        <is>
          <t>Verificado</t>
        </is>
      </c>
      <c r="M789" s="8" t="n">
        <v>1</v>
      </c>
      <c r="N789" s="9" t="n">
        <v>957.33</v>
      </c>
      <c r="O789" s="9" t="n">
        <v>957.33</v>
      </c>
      <c r="P789" s="9" t="n">
        <v>957.33</v>
      </c>
      <c r="Q789" s="7" t="inlineStr">
        <is>
          <t>Sí</t>
        </is>
      </c>
      <c r="R789" s="9">
        <f>IF(N789="","",IF(Q789="Sí",ROUND(N789/1.18,2),N789))</f>
        <v/>
      </c>
      <c r="S789" s="7" t="inlineStr">
        <is>
          <t>2026-09-09</t>
        </is>
      </c>
      <c r="T789" s="5" t="inlineStr">
        <is>
          <t>1 cotización de proveedores</t>
        </is>
      </c>
    </row>
    <row r="790">
      <c r="A790" s="7" t="inlineStr">
        <is>
          <t>MAT-23-012</t>
        </is>
      </c>
      <c r="B790" s="7" t="inlineStr">
        <is>
          <t>Materiales</t>
        </is>
      </c>
      <c r="C790" s="7" t="inlineStr">
        <is>
          <t>Perfilería de aluminio</t>
        </is>
      </c>
      <c r="D790" s="5" t="inlineStr">
        <is>
          <t>Planchuela de aluminio 1" x 1/4" x 19.20 pies</t>
        </is>
      </c>
      <c r="E790" s="5" t="inlineStr">
        <is>
          <t>Pletina de aluminio extruido · 1" x 1/4" · tramo de 19.20 pies</t>
        </is>
      </c>
      <c r="F790" s="5" t="inlineStr">
        <is>
          <t>Material retirado en almacén</t>
        </is>
      </c>
      <c r="G790" s="5" t="inlineStr">
        <is>
          <t>pletina de aluminio, planchuela</t>
        </is>
      </c>
      <c r="H790" s="7" t="inlineStr">
        <is>
          <t>unidad</t>
        </is>
      </c>
      <c r="I790" s="7" t="inlineStr">
        <is>
          <t>Puertas y ventanas</t>
        </is>
      </c>
      <c r="J790" s="7" t="inlineStr">
        <is>
          <t>estandar</t>
        </is>
      </c>
      <c r="K790" s="7" t="inlineStr">
        <is>
          <t>importado</t>
        </is>
      </c>
      <c r="L790" s="7" t="inlineStr">
        <is>
          <t>Verificado</t>
        </is>
      </c>
      <c r="M790" s="8" t="n">
        <v>1</v>
      </c>
      <c r="N790" s="9" t="n">
        <v>1709.91</v>
      </c>
      <c r="O790" s="9" t="n">
        <v>1709.91</v>
      </c>
      <c r="P790" s="9" t="n">
        <v>1709.91</v>
      </c>
      <c r="Q790" s="7" t="inlineStr">
        <is>
          <t>Sí</t>
        </is>
      </c>
      <c r="R790" s="9">
        <f>IF(N790="","",IF(Q790="Sí",ROUND(N790/1.18,2),N790))</f>
        <v/>
      </c>
      <c r="S790" s="7" t="inlineStr">
        <is>
          <t>2026-09-09</t>
        </is>
      </c>
      <c r="T790" s="5" t="inlineStr">
        <is>
          <t>1 cotización de proveedores</t>
        </is>
      </c>
    </row>
    <row r="791">
      <c r="A791" s="7" t="inlineStr">
        <is>
          <t>MAT-23-013</t>
        </is>
      </c>
      <c r="B791" s="7" t="inlineStr">
        <is>
          <t>Materiales</t>
        </is>
      </c>
      <c r="C791" s="7" t="inlineStr">
        <is>
          <t>Perfilería de aluminio</t>
        </is>
      </c>
      <c r="D791" s="5" t="inlineStr">
        <is>
          <t>Angular de aluminio 1" x 3/4" x 19.20 pies</t>
        </is>
      </c>
      <c r="E791" s="5" t="inlineStr">
        <is>
          <t>Perfil L de aluminio extruido · 1" x 3/4" · tramo de 19.20 pies</t>
        </is>
      </c>
      <c r="F791" s="5" t="inlineStr">
        <is>
          <t>Material retirado en almacén</t>
        </is>
      </c>
      <c r="G791" s="5" t="inlineStr">
        <is>
          <t>angular de aluminio, perfil L</t>
        </is>
      </c>
      <c r="H791" s="7" t="inlineStr">
        <is>
          <t>unidad</t>
        </is>
      </c>
      <c r="I791" s="7" t="inlineStr">
        <is>
          <t>Puertas y ventanas</t>
        </is>
      </c>
      <c r="J791" s="7" t="inlineStr">
        <is>
          <t>estandar</t>
        </is>
      </c>
      <c r="K791" s="7" t="inlineStr">
        <is>
          <t>importado</t>
        </is>
      </c>
      <c r="L791" s="7" t="inlineStr">
        <is>
          <t>Verificado</t>
        </is>
      </c>
      <c r="M791" s="8" t="n">
        <v>2</v>
      </c>
      <c r="N791" s="9" t="n">
        <v>690.79</v>
      </c>
      <c r="O791" s="9" t="n">
        <v>626.5700000000001</v>
      </c>
      <c r="P791" s="9" t="n">
        <v>755</v>
      </c>
      <c r="Q791" s="7" t="inlineStr">
        <is>
          <t>Sí</t>
        </is>
      </c>
      <c r="R791" s="9">
        <f>IF(N791="","",IF(Q791="Sí",ROUND(N791/1.18,2),N791))</f>
        <v/>
      </c>
      <c r="S791" s="7" t="inlineStr">
        <is>
          <t>2026-09-09</t>
        </is>
      </c>
      <c r="T791" s="5" t="inlineStr">
        <is>
          <t>2 cotizaciones de proveedores</t>
        </is>
      </c>
    </row>
    <row r="792">
      <c r="A792" s="7" t="inlineStr">
        <is>
          <t>MAT-23-014</t>
        </is>
      </c>
      <c r="B792" s="7" t="inlineStr">
        <is>
          <t>Materiales</t>
        </is>
      </c>
      <c r="C792" s="7" t="inlineStr">
        <is>
          <t>Perfilería de aluminio</t>
        </is>
      </c>
      <c r="D792" s="5" t="inlineStr">
        <is>
          <t>Perfil de aluminio 1" x 1" x 19.20 pies</t>
        </is>
      </c>
      <c r="E792" s="5" t="inlineStr">
        <is>
          <t>Perfil tubular de aluminio extruido · 1" x 1" · tramo de 19.20 pies</t>
        </is>
      </c>
      <c r="F792" s="5" t="inlineStr">
        <is>
          <t>Material retirado en almacén</t>
        </is>
      </c>
      <c r="G792" s="5" t="inlineStr">
        <is>
          <t>perfilería de aluminio</t>
        </is>
      </c>
      <c r="H792" s="7" t="inlineStr">
        <is>
          <t>unidad</t>
        </is>
      </c>
      <c r="I792" s="7" t="inlineStr">
        <is>
          <t>Puertas y ventanas</t>
        </is>
      </c>
      <c r="J792" s="7" t="inlineStr">
        <is>
          <t>estandar</t>
        </is>
      </c>
      <c r="K792" s="7" t="inlineStr">
        <is>
          <t>importado</t>
        </is>
      </c>
      <c r="L792" s="7" t="inlineStr">
        <is>
          <t>Verificado</t>
        </is>
      </c>
      <c r="M792" s="8" t="n">
        <v>1</v>
      </c>
      <c r="N792" s="9" t="n">
        <v>1336.93</v>
      </c>
      <c r="O792" s="9" t="n">
        <v>1336.93</v>
      </c>
      <c r="P792" s="9" t="n">
        <v>1336.93</v>
      </c>
      <c r="Q792" s="7" t="inlineStr">
        <is>
          <t>Sí</t>
        </is>
      </c>
      <c r="R792" s="9">
        <f>IF(N792="","",IF(Q792="Sí",ROUND(N792/1.18,2),N792))</f>
        <v/>
      </c>
      <c r="S792" s="7" t="inlineStr">
        <is>
          <t>2026-09-09</t>
        </is>
      </c>
      <c r="T792" s="5" t="inlineStr">
        <is>
          <t>1 cotización de proveedores</t>
        </is>
      </c>
    </row>
    <row r="793">
      <c r="A793" s="7" t="inlineStr">
        <is>
          <t>MAT-23-015</t>
        </is>
      </c>
      <c r="B793" s="7" t="inlineStr">
        <is>
          <t>Materiales</t>
        </is>
      </c>
      <c r="C793" s="7" t="inlineStr">
        <is>
          <t>Perfilería de aluminio</t>
        </is>
      </c>
      <c r="D793" s="5" t="inlineStr">
        <is>
          <t>Tubo redondo de aluminio 1 1/4" x 19.20 pies</t>
        </is>
      </c>
      <c r="E793" s="5" t="inlineStr">
        <is>
          <t>Tubería redonda de aluminio extruido · 1 1/4" · tramo de 19.20 pies</t>
        </is>
      </c>
      <c r="F793" s="5" t="inlineStr">
        <is>
          <t>Material retirado en almacén</t>
        </is>
      </c>
      <c r="G793" s="5" t="inlineStr">
        <is>
          <t>tubo de aluminio</t>
        </is>
      </c>
      <c r="H793" s="7" t="inlineStr">
        <is>
          <t>unidad</t>
        </is>
      </c>
      <c r="I793" s="7" t="inlineStr">
        <is>
          <t>Puertas y ventanas</t>
        </is>
      </c>
      <c r="J793" s="7" t="inlineStr">
        <is>
          <t>estandar</t>
        </is>
      </c>
      <c r="K793" s="7" t="inlineStr">
        <is>
          <t>importado</t>
        </is>
      </c>
      <c r="L793" s="7" t="inlineStr">
        <is>
          <t>Verificado</t>
        </is>
      </c>
      <c r="M793" s="8" t="n">
        <v>1</v>
      </c>
      <c r="N793" s="9" t="n">
        <v>2185.58</v>
      </c>
      <c r="O793" s="9" t="n">
        <v>2185.58</v>
      </c>
      <c r="P793" s="9" t="n">
        <v>2185.58</v>
      </c>
      <c r="Q793" s="7" t="inlineStr">
        <is>
          <t>Sí</t>
        </is>
      </c>
      <c r="R793" s="9">
        <f>IF(N793="","",IF(Q793="Sí",ROUND(N793/1.18,2),N793))</f>
        <v/>
      </c>
      <c r="S793" s="7" t="inlineStr">
        <is>
          <t>2026-09-09</t>
        </is>
      </c>
      <c r="T793" s="5" t="inlineStr">
        <is>
          <t>1 cotización de proveedores</t>
        </is>
      </c>
    </row>
    <row r="794">
      <c r="A794" s="7" t="inlineStr">
        <is>
          <t>MAT-23-016</t>
        </is>
      </c>
      <c r="B794" s="7" t="inlineStr">
        <is>
          <t>Materiales</t>
        </is>
      </c>
      <c r="C794" s="7" t="inlineStr">
        <is>
          <t>Perfilería de aluminio</t>
        </is>
      </c>
      <c r="D794" s="5" t="inlineStr">
        <is>
          <t>Angular de aluminio 1 1/4" x 1 1/4" x 19.20 pies</t>
        </is>
      </c>
      <c r="E794" s="5" t="inlineStr">
        <is>
          <t>Perfil L de aluminio extruido · 1 1/4" x 1 1/4" · tramo de 19.20 pies</t>
        </is>
      </c>
      <c r="F794" s="5" t="inlineStr">
        <is>
          <t>Material retirado en almacén</t>
        </is>
      </c>
      <c r="G794" s="5" t="inlineStr">
        <is>
          <t>angular de aluminio, perfil L</t>
        </is>
      </c>
      <c r="H794" s="7" t="inlineStr">
        <is>
          <t>unidad</t>
        </is>
      </c>
      <c r="I794" s="7" t="inlineStr">
        <is>
          <t>Puertas y ventanas</t>
        </is>
      </c>
      <c r="J794" s="7" t="inlineStr">
        <is>
          <t>estandar</t>
        </is>
      </c>
      <c r="K794" s="7" t="inlineStr">
        <is>
          <t>importado</t>
        </is>
      </c>
      <c r="L794" s="7" t="inlineStr">
        <is>
          <t>Verificado</t>
        </is>
      </c>
      <c r="M794" s="8" t="n">
        <v>2</v>
      </c>
      <c r="N794" s="9" t="n">
        <v>1073.61</v>
      </c>
      <c r="O794" s="9" t="n">
        <v>982.22</v>
      </c>
      <c r="P794" s="9" t="n">
        <v>1165</v>
      </c>
      <c r="Q794" s="7" t="inlineStr">
        <is>
          <t>Sí</t>
        </is>
      </c>
      <c r="R794" s="9">
        <f>IF(N794="","",IF(Q794="Sí",ROUND(N794/1.18,2),N794))</f>
        <v/>
      </c>
      <c r="S794" s="7" t="inlineStr">
        <is>
          <t>2026-09-09</t>
        </is>
      </c>
      <c r="T794" s="5" t="inlineStr">
        <is>
          <t>2 cotizaciones de proveedores</t>
        </is>
      </c>
    </row>
    <row r="795">
      <c r="A795" s="7" t="inlineStr">
        <is>
          <t>MAT-23-017</t>
        </is>
      </c>
      <c r="B795" s="7" t="inlineStr">
        <is>
          <t>Materiales</t>
        </is>
      </c>
      <c r="C795" s="7" t="inlineStr">
        <is>
          <t>Perfilería de aluminio</t>
        </is>
      </c>
      <c r="D795" s="5" t="inlineStr">
        <is>
          <t>Planchuela de aluminio 1 1/2" x 1/4" x 19.20 pies</t>
        </is>
      </c>
      <c r="E795" s="5" t="inlineStr">
        <is>
          <t>Pletina de aluminio extruido · 1 1/2" x 1/4" · tramo de 19.20 pies</t>
        </is>
      </c>
      <c r="F795" s="5" t="inlineStr">
        <is>
          <t>Material retirado en almacén</t>
        </is>
      </c>
      <c r="G795" s="5" t="inlineStr">
        <is>
          <t>pletina de aluminio, planchuela</t>
        </is>
      </c>
      <c r="H795" s="7" t="inlineStr">
        <is>
          <t>unidad</t>
        </is>
      </c>
      <c r="I795" s="7" t="inlineStr">
        <is>
          <t>Puertas y ventanas</t>
        </is>
      </c>
      <c r="J795" s="7" t="inlineStr">
        <is>
          <t>estandar</t>
        </is>
      </c>
      <c r="K795" s="7" t="inlineStr">
        <is>
          <t>importado</t>
        </is>
      </c>
      <c r="L795" s="7" t="inlineStr">
        <is>
          <t>Verificado</t>
        </is>
      </c>
      <c r="M795" s="8" t="n">
        <v>1</v>
      </c>
      <c r="N795" s="9" t="n">
        <v>2567.7</v>
      </c>
      <c r="O795" s="9" t="n">
        <v>2567.7</v>
      </c>
      <c r="P795" s="9" t="n">
        <v>2567.7</v>
      </c>
      <c r="Q795" s="7" t="inlineStr">
        <is>
          <t>Sí</t>
        </is>
      </c>
      <c r="R795" s="9">
        <f>IF(N795="","",IF(Q795="Sí",ROUND(N795/1.18,2),N795))</f>
        <v/>
      </c>
      <c r="S795" s="7" t="inlineStr">
        <is>
          <t>2026-09-09</t>
        </is>
      </c>
      <c r="T795" s="5" t="inlineStr">
        <is>
          <t>1 cotización de proveedores</t>
        </is>
      </c>
    </row>
    <row r="796">
      <c r="A796" s="7" t="inlineStr">
        <is>
          <t>MAT-23-018</t>
        </is>
      </c>
      <c r="B796" s="7" t="inlineStr">
        <is>
          <t>Materiales</t>
        </is>
      </c>
      <c r="C796" s="7" t="inlineStr">
        <is>
          <t>Perfilería de aluminio</t>
        </is>
      </c>
      <c r="D796" s="5" t="inlineStr">
        <is>
          <t>Moldura U de aluminio 1 1/2" x 3/4" x 19.20 pies</t>
        </is>
      </c>
      <c r="E796" s="5" t="inlineStr">
        <is>
          <t>Moldura en U de aluminio extruido · 1 1/2" x 3/4" · tramo de 19.20 pies</t>
        </is>
      </c>
      <c r="F796" s="5" t="inlineStr">
        <is>
          <t>Material retirado en almacén</t>
        </is>
      </c>
      <c r="G796" s="5" t="inlineStr">
        <is>
          <t>moldura U, canal de aluminio</t>
        </is>
      </c>
      <c r="H796" s="7" t="inlineStr">
        <is>
          <t>unidad</t>
        </is>
      </c>
      <c r="I796" s="7" t="inlineStr">
        <is>
          <t>Puertas y ventanas</t>
        </is>
      </c>
      <c r="J796" s="7" t="inlineStr">
        <is>
          <t>estandar</t>
        </is>
      </c>
      <c r="K796" s="7" t="inlineStr">
        <is>
          <t>importado</t>
        </is>
      </c>
      <c r="L796" s="7" t="inlineStr">
        <is>
          <t>Verificado</t>
        </is>
      </c>
      <c r="M796" s="8" t="n">
        <v>1</v>
      </c>
      <c r="N796" s="9" t="n">
        <v>1117.37</v>
      </c>
      <c r="O796" s="9" t="n">
        <v>1117.37</v>
      </c>
      <c r="P796" s="9" t="n">
        <v>1117.37</v>
      </c>
      <c r="Q796" s="7" t="inlineStr">
        <is>
          <t>Sí</t>
        </is>
      </c>
      <c r="R796" s="9">
        <f>IF(N796="","",IF(Q796="Sí",ROUND(N796/1.18,2),N796))</f>
        <v/>
      </c>
      <c r="S796" s="7" t="inlineStr">
        <is>
          <t>2026-09-09</t>
        </is>
      </c>
      <c r="T796" s="5" t="inlineStr">
        <is>
          <t>1 cotización de proveedores</t>
        </is>
      </c>
    </row>
    <row r="797">
      <c r="A797" s="7" t="inlineStr">
        <is>
          <t>MAT-23-019</t>
        </is>
      </c>
      <c r="B797" s="7" t="inlineStr">
        <is>
          <t>Materiales</t>
        </is>
      </c>
      <c r="C797" s="7" t="inlineStr">
        <is>
          <t>Perfilería de aluminio</t>
        </is>
      </c>
      <c r="D797" s="5" t="inlineStr">
        <is>
          <t>Angular de aluminio 1 1/2" x 1 1/2" x 19.20 pies</t>
        </is>
      </c>
      <c r="E797" s="5" t="inlineStr">
        <is>
          <t>Perfil L de aluminio extruido · 1 1/2" x 1 1/2" · tramo de 19.20 pies</t>
        </is>
      </c>
      <c r="F797" s="5" t="inlineStr">
        <is>
          <t>Material retirado en almacén</t>
        </is>
      </c>
      <c r="G797" s="5" t="inlineStr">
        <is>
          <t>angular de aluminio, perfil L</t>
        </is>
      </c>
      <c r="H797" s="7" t="inlineStr">
        <is>
          <t>unidad</t>
        </is>
      </c>
      <c r="I797" s="7" t="inlineStr">
        <is>
          <t>Puertas y ventanas</t>
        </is>
      </c>
      <c r="J797" s="7" t="inlineStr">
        <is>
          <t>estandar</t>
        </is>
      </c>
      <c r="K797" s="7" t="inlineStr">
        <is>
          <t>importado</t>
        </is>
      </c>
      <c r="L797" s="7" t="inlineStr">
        <is>
          <t>Verificado</t>
        </is>
      </c>
      <c r="M797" s="8" t="n">
        <v>1</v>
      </c>
      <c r="N797" s="9" t="n">
        <v>2473.52</v>
      </c>
      <c r="O797" s="9" t="n">
        <v>2473.52</v>
      </c>
      <c r="P797" s="9" t="n">
        <v>2473.52</v>
      </c>
      <c r="Q797" s="7" t="inlineStr">
        <is>
          <t>Sí</t>
        </is>
      </c>
      <c r="R797" s="9">
        <f>IF(N797="","",IF(Q797="Sí",ROUND(N797/1.18,2),N797))</f>
        <v/>
      </c>
      <c r="S797" s="7" t="inlineStr">
        <is>
          <t>2026-09-09</t>
        </is>
      </c>
      <c r="T797" s="5" t="inlineStr">
        <is>
          <t>1 cotización de proveedores</t>
        </is>
      </c>
    </row>
    <row r="798">
      <c r="A798" s="7" t="inlineStr">
        <is>
          <t>MAT-23-020</t>
        </is>
      </c>
      <c r="B798" s="7" t="inlineStr">
        <is>
          <t>Materiales</t>
        </is>
      </c>
      <c r="C798" s="7" t="inlineStr">
        <is>
          <t>Perfilería de aluminio</t>
        </is>
      </c>
      <c r="D798" s="5" t="inlineStr">
        <is>
          <t>Perfil cuadrado de aluminio 1 1/2" x 1 1/2" x 19.20 pies</t>
        </is>
      </c>
      <c r="E798" s="5" t="inlineStr">
        <is>
          <t>Perfil tubular de aluminio extruido · 1 1/2" x 1 1/2" · tramo de 19.20 pies</t>
        </is>
      </c>
      <c r="F798" s="5" t="inlineStr">
        <is>
          <t>Material retirado en almacén</t>
        </is>
      </c>
      <c r="G798" s="5" t="inlineStr">
        <is>
          <t>perfilería de aluminio</t>
        </is>
      </c>
      <c r="H798" s="7" t="inlineStr">
        <is>
          <t>unidad</t>
        </is>
      </c>
      <c r="I798" s="7" t="inlineStr">
        <is>
          <t>Puertas y ventanas</t>
        </is>
      </c>
      <c r="J798" s="7" t="inlineStr">
        <is>
          <t>estandar</t>
        </is>
      </c>
      <c r="K798" s="7" t="inlineStr">
        <is>
          <t>importado</t>
        </is>
      </c>
      <c r="L798" s="7" t="inlineStr">
        <is>
          <t>Verificado</t>
        </is>
      </c>
      <c r="M798" s="8" t="n">
        <v>1</v>
      </c>
      <c r="N798" s="9" t="n">
        <v>1701.73</v>
      </c>
      <c r="O798" s="9" t="n">
        <v>1701.73</v>
      </c>
      <c r="P798" s="9" t="n">
        <v>1701.73</v>
      </c>
      <c r="Q798" s="7" t="inlineStr">
        <is>
          <t>Sí</t>
        </is>
      </c>
      <c r="R798" s="9">
        <f>IF(N798="","",IF(Q798="Sí",ROUND(N798/1.18,2),N798))</f>
        <v/>
      </c>
      <c r="S798" s="7" t="inlineStr">
        <is>
          <t>2026-09-09</t>
        </is>
      </c>
      <c r="T798" s="5" t="inlineStr">
        <is>
          <t>1 cotización de proveedores</t>
        </is>
      </c>
    </row>
    <row r="799">
      <c r="A799" s="7" t="inlineStr">
        <is>
          <t>MAT-23-021</t>
        </is>
      </c>
      <c r="B799" s="7" t="inlineStr">
        <is>
          <t>Materiales</t>
        </is>
      </c>
      <c r="C799" s="7" t="inlineStr">
        <is>
          <t>Perfilería de aluminio</t>
        </is>
      </c>
      <c r="D799" s="5" t="inlineStr">
        <is>
          <t>Perfil rectangular de aluminio 2" x 1" x 19.20 pies</t>
        </is>
      </c>
      <c r="E799" s="5" t="inlineStr">
        <is>
          <t>Perfil tubular de aluminio extruido · 2" x 1" · tramo de 19.20 pies</t>
        </is>
      </c>
      <c r="F799" s="5" t="inlineStr">
        <is>
          <t>Material retirado en almacén</t>
        </is>
      </c>
      <c r="G799" s="5" t="inlineStr">
        <is>
          <t>perfilería de aluminio</t>
        </is>
      </c>
      <c r="H799" s="7" t="inlineStr">
        <is>
          <t>unidad</t>
        </is>
      </c>
      <c r="I799" s="7" t="inlineStr">
        <is>
          <t>Puertas y ventanas</t>
        </is>
      </c>
      <c r="J799" s="7" t="inlineStr">
        <is>
          <t>estandar</t>
        </is>
      </c>
      <c r="K799" s="7" t="inlineStr">
        <is>
          <t>importado</t>
        </is>
      </c>
      <c r="L799" s="7" t="inlineStr">
        <is>
          <t>Verificado</t>
        </is>
      </c>
      <c r="M799" s="8" t="n">
        <v>1</v>
      </c>
      <c r="N799" s="9" t="n">
        <v>1846.63</v>
      </c>
      <c r="O799" s="9" t="n">
        <v>1846.63</v>
      </c>
      <c r="P799" s="9" t="n">
        <v>1846.63</v>
      </c>
      <c r="Q799" s="7" t="inlineStr">
        <is>
          <t>Sí</t>
        </is>
      </c>
      <c r="R799" s="9">
        <f>IF(N799="","",IF(Q799="Sí",ROUND(N799/1.18,2),N799))</f>
        <v/>
      </c>
      <c r="S799" s="7" t="inlineStr">
        <is>
          <t>2026-09-09</t>
        </is>
      </c>
      <c r="T799" s="5" t="inlineStr">
        <is>
          <t>1 cotización de proveedores</t>
        </is>
      </c>
    </row>
    <row r="800">
      <c r="A800" s="7" t="inlineStr">
        <is>
          <t>MAT-23-022</t>
        </is>
      </c>
      <c r="B800" s="7" t="inlineStr">
        <is>
          <t>Materiales</t>
        </is>
      </c>
      <c r="C800" s="7" t="inlineStr">
        <is>
          <t>Perfilería de aluminio</t>
        </is>
      </c>
      <c r="D800" s="5" t="inlineStr">
        <is>
          <t>Angular de aluminio 2" x 2" x 19.20 pies</t>
        </is>
      </c>
      <c r="E800" s="5" t="inlineStr">
        <is>
          <t>Perfil L de aluminio extruido · 2" x 2" · tramo de 19.20 pies</t>
        </is>
      </c>
      <c r="F800" s="5" t="inlineStr">
        <is>
          <t>Material retirado en almacén</t>
        </is>
      </c>
      <c r="G800" s="5" t="inlineStr">
        <is>
          <t>angular de aluminio, perfil L</t>
        </is>
      </c>
      <c r="H800" s="7" t="inlineStr">
        <is>
          <t>unidad</t>
        </is>
      </c>
      <c r="I800" s="7" t="inlineStr">
        <is>
          <t>Puertas y ventanas</t>
        </is>
      </c>
      <c r="J800" s="7" t="inlineStr">
        <is>
          <t>estandar</t>
        </is>
      </c>
      <c r="K800" s="7" t="inlineStr">
        <is>
          <t>importado</t>
        </is>
      </c>
      <c r="L800" s="7" t="inlineStr">
        <is>
          <t>Verificado</t>
        </is>
      </c>
      <c r="M800" s="8" t="n">
        <v>1</v>
      </c>
      <c r="N800" s="9" t="n">
        <v>3334.76</v>
      </c>
      <c r="O800" s="9" t="n">
        <v>3334.76</v>
      </c>
      <c r="P800" s="9" t="n">
        <v>3334.76</v>
      </c>
      <c r="Q800" s="7" t="inlineStr">
        <is>
          <t>Sí</t>
        </is>
      </c>
      <c r="R800" s="9">
        <f>IF(N800="","",IF(Q800="Sí",ROUND(N800/1.18,2),N800))</f>
        <v/>
      </c>
      <c r="S800" s="7" t="inlineStr">
        <is>
          <t>2026-09-09</t>
        </is>
      </c>
      <c r="T800" s="5" t="inlineStr">
        <is>
          <t>1 cotización de proveedores</t>
        </is>
      </c>
    </row>
    <row r="801">
      <c r="A801" s="7" t="inlineStr">
        <is>
          <t>MAT-23-023</t>
        </is>
      </c>
      <c r="B801" s="7" t="inlineStr">
        <is>
          <t>Materiales</t>
        </is>
      </c>
      <c r="C801" s="7" t="inlineStr">
        <is>
          <t>Perfilería de aluminio</t>
        </is>
      </c>
      <c r="D801" s="5" t="inlineStr">
        <is>
          <t>Planchuela de aluminio 3" x 3/16" x 19.20 pies</t>
        </is>
      </c>
      <c r="E801" s="5" t="inlineStr">
        <is>
          <t>Pletina de aluminio extruido · 3" x 3/16" · tramo de 19.20 pies</t>
        </is>
      </c>
      <c r="F801" s="5" t="inlineStr">
        <is>
          <t>Material retirado en almacén</t>
        </is>
      </c>
      <c r="G801" s="5" t="inlineStr">
        <is>
          <t>pletina de aluminio, planchuela</t>
        </is>
      </c>
      <c r="H801" s="7" t="inlineStr">
        <is>
          <t>unidad</t>
        </is>
      </c>
      <c r="I801" s="7" t="inlineStr">
        <is>
          <t>Puertas y ventanas</t>
        </is>
      </c>
      <c r="J801" s="7" t="inlineStr">
        <is>
          <t>estandar</t>
        </is>
      </c>
      <c r="K801" s="7" t="inlineStr">
        <is>
          <t>importado</t>
        </is>
      </c>
      <c r="L801" s="7" t="inlineStr">
        <is>
          <t>Verificado</t>
        </is>
      </c>
      <c r="M801" s="8" t="n">
        <v>1</v>
      </c>
      <c r="N801" s="9" t="n">
        <v>2695.59</v>
      </c>
      <c r="O801" s="9" t="n">
        <v>2695.59</v>
      </c>
      <c r="P801" s="9" t="n">
        <v>2695.59</v>
      </c>
      <c r="Q801" s="7" t="inlineStr">
        <is>
          <t>Sí</t>
        </is>
      </c>
      <c r="R801" s="9">
        <f>IF(N801="","",IF(Q801="Sí",ROUND(N801/1.18,2),N801))</f>
        <v/>
      </c>
      <c r="S801" s="7" t="inlineStr">
        <is>
          <t>2026-09-09</t>
        </is>
      </c>
      <c r="T801" s="5" t="inlineStr">
        <is>
          <t>1 cotización de proveedores</t>
        </is>
      </c>
    </row>
    <row r="802">
      <c r="A802" s="7" t="inlineStr">
        <is>
          <t>MAT-23-024</t>
        </is>
      </c>
      <c r="B802" s="7" t="inlineStr">
        <is>
          <t>Materiales</t>
        </is>
      </c>
      <c r="C802" s="7" t="inlineStr">
        <is>
          <t>Perfilería de aluminio</t>
        </is>
      </c>
      <c r="D802" s="5" t="inlineStr">
        <is>
          <t>Perfil rectangular de aluminio 3" x 1 1/2" x 19.20 pies</t>
        </is>
      </c>
      <c r="E802" s="5" t="inlineStr">
        <is>
          <t>Perfil tubular de aluminio extruido · 3" x 1 1/2" · tramo de 19.20 pies</t>
        </is>
      </c>
      <c r="F802" s="5" t="inlineStr">
        <is>
          <t>Material retirado en almacén</t>
        </is>
      </c>
      <c r="G802" s="5" t="inlineStr">
        <is>
          <t>perfilería de aluminio</t>
        </is>
      </c>
      <c r="H802" s="7" t="inlineStr">
        <is>
          <t>unidad</t>
        </is>
      </c>
      <c r="I802" s="7" t="inlineStr">
        <is>
          <t>Puertas y ventanas</t>
        </is>
      </c>
      <c r="J802" s="7" t="inlineStr">
        <is>
          <t>estandar</t>
        </is>
      </c>
      <c r="K802" s="7" t="inlineStr">
        <is>
          <t>importado</t>
        </is>
      </c>
      <c r="L802" s="7" t="inlineStr">
        <is>
          <t>Verificado</t>
        </is>
      </c>
      <c r="M802" s="8" t="n">
        <v>1</v>
      </c>
      <c r="N802" s="9" t="n">
        <v>3956.93</v>
      </c>
      <c r="O802" s="9" t="n">
        <v>3956.93</v>
      </c>
      <c r="P802" s="9" t="n">
        <v>3956.93</v>
      </c>
      <c r="Q802" s="7" t="inlineStr">
        <is>
          <t>Sí</t>
        </is>
      </c>
      <c r="R802" s="9">
        <f>IF(N802="","",IF(Q802="Sí",ROUND(N802/1.18,2),N802))</f>
        <v/>
      </c>
      <c r="S802" s="7" t="inlineStr">
        <is>
          <t>2026-09-09</t>
        </is>
      </c>
      <c r="T802" s="5" t="inlineStr">
        <is>
          <t>1 cotización de proveedores</t>
        </is>
      </c>
    </row>
    <row r="803">
      <c r="A803" s="7" t="inlineStr">
        <is>
          <t>MAT-23-025</t>
        </is>
      </c>
      <c r="B803" s="7" t="inlineStr">
        <is>
          <t>Materiales</t>
        </is>
      </c>
      <c r="C803" s="7" t="inlineStr">
        <is>
          <t>Perfilería de aluminio</t>
        </is>
      </c>
      <c r="D803" s="5" t="inlineStr">
        <is>
          <t>Planchuela de aluminio 4" x 1/8" x 19.20 pies</t>
        </is>
      </c>
      <c r="E803" s="5" t="inlineStr">
        <is>
          <t>Pletina de aluminio extruido · 4" x 1/8" · tramo de 19.20 pies</t>
        </is>
      </c>
      <c r="F803" s="5" t="inlineStr">
        <is>
          <t>Material retirado en almacén</t>
        </is>
      </c>
      <c r="G803" s="5" t="inlineStr">
        <is>
          <t>pletina de aluminio, planchuela</t>
        </is>
      </c>
      <c r="H803" s="7" t="inlineStr">
        <is>
          <t>unidad</t>
        </is>
      </c>
      <c r="I803" s="7" t="inlineStr">
        <is>
          <t>Puertas y ventanas</t>
        </is>
      </c>
      <c r="J803" s="7" t="inlineStr">
        <is>
          <t>estandar</t>
        </is>
      </c>
      <c r="K803" s="7" t="inlineStr">
        <is>
          <t>importado</t>
        </is>
      </c>
      <c r="L803" s="7" t="inlineStr">
        <is>
          <t>Verificado</t>
        </is>
      </c>
      <c r="M803" s="8" t="n">
        <v>1</v>
      </c>
      <c r="N803" s="9" t="n">
        <v>3464.55</v>
      </c>
      <c r="O803" s="9" t="n">
        <v>3464.55</v>
      </c>
      <c r="P803" s="9" t="n">
        <v>3464.55</v>
      </c>
      <c r="Q803" s="7" t="inlineStr">
        <is>
          <t>Sí</t>
        </is>
      </c>
      <c r="R803" s="9">
        <f>IF(N803="","",IF(Q803="Sí",ROUND(N803/1.18,2),N803))</f>
        <v/>
      </c>
      <c r="S803" s="7" t="inlineStr">
        <is>
          <t>2026-09-09</t>
        </is>
      </c>
      <c r="T803" s="5" t="inlineStr">
        <is>
          <t>1 cotización de proveedores</t>
        </is>
      </c>
    </row>
    <row r="804">
      <c r="A804" s="7" t="inlineStr">
        <is>
          <t>MAT-23-026</t>
        </is>
      </c>
      <c r="B804" s="7" t="inlineStr">
        <is>
          <t>Materiales</t>
        </is>
      </c>
      <c r="C804" s="7" t="inlineStr">
        <is>
          <t>Perfilería de aluminio</t>
        </is>
      </c>
      <c r="D804" s="5" t="inlineStr">
        <is>
          <t>Perfil rectangular de aluminio 4" x 1 3/4" x 19.20 pies</t>
        </is>
      </c>
      <c r="E804" s="5" t="inlineStr">
        <is>
          <t>Perfil tubular de aluminio extruido · 4" x 1 3/4" · tramo de 19.20 pies</t>
        </is>
      </c>
      <c r="F804" s="5" t="inlineStr">
        <is>
          <t>Material retirado en almacén</t>
        </is>
      </c>
      <c r="G804" s="5" t="inlineStr">
        <is>
          <t>perfilería de aluminio</t>
        </is>
      </c>
      <c r="H804" s="7" t="inlineStr">
        <is>
          <t>unidad</t>
        </is>
      </c>
      <c r="I804" s="7" t="inlineStr">
        <is>
          <t>Puertas y ventanas</t>
        </is>
      </c>
      <c r="J804" s="7" t="inlineStr">
        <is>
          <t>estandar</t>
        </is>
      </c>
      <c r="K804" s="7" t="inlineStr">
        <is>
          <t>importado</t>
        </is>
      </c>
      <c r="L804" s="7" t="inlineStr">
        <is>
          <t>Verificado</t>
        </is>
      </c>
      <c r="M804" s="8" t="n">
        <v>1</v>
      </c>
      <c r="N804" s="9" t="n">
        <v>5142.65</v>
      </c>
      <c r="O804" s="9" t="n">
        <v>5142.65</v>
      </c>
      <c r="P804" s="9" t="n">
        <v>5142.65</v>
      </c>
      <c r="Q804" s="7" t="inlineStr">
        <is>
          <t>Sí</t>
        </is>
      </c>
      <c r="R804" s="9">
        <f>IF(N804="","",IF(Q804="Sí",ROUND(N804/1.18,2),N804))</f>
        <v/>
      </c>
      <c r="S804" s="7" t="inlineStr">
        <is>
          <t>2026-09-09</t>
        </is>
      </c>
      <c r="T804" s="5" t="inlineStr">
        <is>
          <t>1 cotización de proveedores</t>
        </is>
      </c>
    </row>
    <row r="805">
      <c r="A805" s="7" t="inlineStr">
        <is>
          <t>MAT-24-001</t>
        </is>
      </c>
      <c r="B805" s="7" t="inlineStr">
        <is>
          <t>Materiales</t>
        </is>
      </c>
      <c r="C805" s="7" t="inlineStr">
        <is>
          <t>Inodoros y urinarios</t>
        </is>
      </c>
      <c r="D805" s="5" t="inlineStr">
        <is>
          <t>Inodoro Aguazul Con Asiento, blanco</t>
        </is>
      </c>
      <c r="E805" s="5" t="inlineStr">
        <is>
          <t>marca CATO · color blanco · referencia BLANCO</t>
        </is>
      </c>
      <c r="F805" s="5" t="inlineStr">
        <is>
          <t>Material retirado en almacén</t>
        </is>
      </c>
      <c r="G805" s="5" t="inlineStr">
        <is>
          <t>inodoro, taza de baño, wc</t>
        </is>
      </c>
      <c r="H805" s="7" t="inlineStr">
        <is>
          <t>unidad</t>
        </is>
      </c>
      <c r="I805" s="7" t="inlineStr">
        <is>
          <t>Instalaciones</t>
        </is>
      </c>
      <c r="J805" s="7" t="inlineStr">
        <is>
          <t>estandar</t>
        </is>
      </c>
      <c r="K805" s="7" t="inlineStr">
        <is>
          <t>importado</t>
        </is>
      </c>
      <c r="L805" s="7" t="inlineStr">
        <is>
          <t>Verificado</t>
        </is>
      </c>
      <c r="M805" s="8" t="n">
        <v>1</v>
      </c>
      <c r="N805" s="9" t="n">
        <v>5981.36</v>
      </c>
      <c r="O805" s="9" t="n">
        <v>5981.36</v>
      </c>
      <c r="P805" s="9" t="n">
        <v>5981.36</v>
      </c>
      <c r="Q805" s="7" t="inlineStr">
        <is>
          <t>Sí</t>
        </is>
      </c>
      <c r="R805" s="9">
        <f>IF(N805="","",IF(Q805="Sí",ROUND(N805/1.18,2),N805))</f>
        <v/>
      </c>
      <c r="S805" s="7" t="inlineStr">
        <is>
          <t>2026-09-09</t>
        </is>
      </c>
      <c r="T805" s="5" t="inlineStr">
        <is>
          <t>1 cotización de proveedores</t>
        </is>
      </c>
    </row>
    <row r="806">
      <c r="A806" s="7" t="inlineStr">
        <is>
          <t>MAT-24-002</t>
        </is>
      </c>
      <c r="B806" s="7" t="inlineStr">
        <is>
          <t>Materiales</t>
        </is>
      </c>
      <c r="C806" s="7" t="inlineStr">
        <is>
          <t>Inodoros y urinarios</t>
        </is>
      </c>
      <c r="D806" s="5" t="inlineStr">
        <is>
          <t>Inodoro One Piece Ares con Asiento, blanco</t>
        </is>
      </c>
      <c r="E806" s="5" t="inlineStr">
        <is>
          <t>marca ULTRA · color blanco · referencia BLANCO2016</t>
        </is>
      </c>
      <c r="F806" s="5" t="inlineStr">
        <is>
          <t>Material retirado en almacén</t>
        </is>
      </c>
      <c r="G806" s="5" t="inlineStr">
        <is>
          <t>inodoro, taza de baño, wc</t>
        </is>
      </c>
      <c r="H806" s="7" t="inlineStr">
        <is>
          <t>unidad</t>
        </is>
      </c>
      <c r="I806" s="7" t="inlineStr">
        <is>
          <t>Instalaciones</t>
        </is>
      </c>
      <c r="J806" s="7" t="inlineStr">
        <is>
          <t>estandar</t>
        </is>
      </c>
      <c r="K806" s="7" t="inlineStr">
        <is>
          <t>importado</t>
        </is>
      </c>
      <c r="L806" s="7" t="inlineStr">
        <is>
          <t>Verificado</t>
        </is>
      </c>
      <c r="M806" s="8" t="n">
        <v>1</v>
      </c>
      <c r="N806" s="9" t="n">
        <v>6162.56</v>
      </c>
      <c r="O806" s="9" t="n">
        <v>6162.56</v>
      </c>
      <c r="P806" s="9" t="n">
        <v>6162.56</v>
      </c>
      <c r="Q806" s="7" t="inlineStr">
        <is>
          <t>Sí</t>
        </is>
      </c>
      <c r="R806" s="9">
        <f>IF(N806="","",IF(Q806="Sí",ROUND(N806/1.18,2),N806))</f>
        <v/>
      </c>
      <c r="S806" s="7" t="inlineStr">
        <is>
          <t>2026-09-09</t>
        </is>
      </c>
      <c r="T806" s="5" t="inlineStr">
        <is>
          <t>1 cotización de proveedores</t>
        </is>
      </c>
    </row>
    <row r="807">
      <c r="A807" s="7" t="inlineStr">
        <is>
          <t>MAT-24-003</t>
        </is>
      </c>
      <c r="B807" s="7" t="inlineStr">
        <is>
          <t>Materiales</t>
        </is>
      </c>
      <c r="C807" s="7" t="inlineStr">
        <is>
          <t>Inodoros y urinarios</t>
        </is>
      </c>
      <c r="D807" s="5" t="inlineStr">
        <is>
          <t>Inodoro elongado Anubis con Asiento, blanco</t>
        </is>
      </c>
      <c r="E807" s="5" t="inlineStr">
        <is>
          <t>marca ULTRA · color blanco · referencia 2777BLANCO</t>
        </is>
      </c>
      <c r="F807" s="5" t="inlineStr">
        <is>
          <t>Material retirado en almacén</t>
        </is>
      </c>
      <c r="G807" s="5" t="inlineStr">
        <is>
          <t>inodoro, taza de baño, wc</t>
        </is>
      </c>
      <c r="H807" s="7" t="inlineStr">
        <is>
          <t>unidad</t>
        </is>
      </c>
      <c r="I807" s="7" t="inlineStr">
        <is>
          <t>Instalaciones</t>
        </is>
      </c>
      <c r="J807" s="7" t="inlineStr">
        <is>
          <t>estandar</t>
        </is>
      </c>
      <c r="K807" s="7" t="inlineStr">
        <is>
          <t>importado</t>
        </is>
      </c>
      <c r="L807" s="7" t="inlineStr">
        <is>
          <t>Verificado</t>
        </is>
      </c>
      <c r="M807" s="8" t="n">
        <v>1</v>
      </c>
      <c r="N807" s="9" t="n">
        <v>6458.6</v>
      </c>
      <c r="O807" s="9" t="n">
        <v>6458.6</v>
      </c>
      <c r="P807" s="9" t="n">
        <v>6458.6</v>
      </c>
      <c r="Q807" s="7" t="inlineStr">
        <is>
          <t>Sí</t>
        </is>
      </c>
      <c r="R807" s="9">
        <f>IF(N807="","",IF(Q807="Sí",ROUND(N807/1.18,2),N807))</f>
        <v/>
      </c>
      <c r="S807" s="7" t="inlineStr">
        <is>
          <t>2026-09-09</t>
        </is>
      </c>
      <c r="T807" s="5" t="inlineStr">
        <is>
          <t>1 cotización de proveedores</t>
        </is>
      </c>
    </row>
    <row r="808">
      <c r="A808" s="7" t="inlineStr">
        <is>
          <t>MAT-24-004</t>
        </is>
      </c>
      <c r="B808" s="7" t="inlineStr">
        <is>
          <t>Materiales</t>
        </is>
      </c>
      <c r="C808" s="7" t="inlineStr">
        <is>
          <t>Inodoros y urinarios</t>
        </is>
      </c>
      <c r="D808" s="5" t="inlineStr">
        <is>
          <t>Inodoro Jazmin redondo con Asiento, blanco</t>
        </is>
      </c>
      <c r="E808" s="5" t="inlineStr">
        <is>
          <t>marca CATO · color blanco · referencia BLANCO</t>
        </is>
      </c>
      <c r="F808" s="5" t="inlineStr">
        <is>
          <t>Material retirado en almacén</t>
        </is>
      </c>
      <c r="G808" s="5" t="inlineStr">
        <is>
          <t>inodoro, taza de baño, wc</t>
        </is>
      </c>
      <c r="H808" s="7" t="inlineStr">
        <is>
          <t>unidad</t>
        </is>
      </c>
      <c r="I808" s="7" t="inlineStr">
        <is>
          <t>Instalaciones</t>
        </is>
      </c>
      <c r="J808" s="7" t="inlineStr">
        <is>
          <t>estandar</t>
        </is>
      </c>
      <c r="K808" s="7" t="inlineStr">
        <is>
          <t>importado</t>
        </is>
      </c>
      <c r="L808" s="7" t="inlineStr">
        <is>
          <t>Verificado</t>
        </is>
      </c>
      <c r="M808" s="8" t="n">
        <v>1</v>
      </c>
      <c r="N808" s="9" t="n">
        <v>7263.45</v>
      </c>
      <c r="O808" s="9" t="n">
        <v>7263.45</v>
      </c>
      <c r="P808" s="9" t="n">
        <v>7263.45</v>
      </c>
      <c r="Q808" s="7" t="inlineStr">
        <is>
          <t>Sí</t>
        </is>
      </c>
      <c r="R808" s="9">
        <f>IF(N808="","",IF(Q808="Sí",ROUND(N808/1.18,2),N808))</f>
        <v/>
      </c>
      <c r="S808" s="7" t="inlineStr">
        <is>
          <t>2026-09-09</t>
        </is>
      </c>
      <c r="T808" s="5" t="inlineStr">
        <is>
          <t>1 cotización de proveedores</t>
        </is>
      </c>
    </row>
    <row r="809">
      <c r="A809" s="7" t="inlineStr">
        <is>
          <t>MAT-24-005</t>
        </is>
      </c>
      <c r="B809" s="7" t="inlineStr">
        <is>
          <t>Materiales</t>
        </is>
      </c>
      <c r="C809" s="7" t="inlineStr">
        <is>
          <t>Inodoros y urinarios</t>
        </is>
      </c>
      <c r="D809" s="5" t="inlineStr">
        <is>
          <t>Inodoro elongado Milenio con Asiento, blanco</t>
        </is>
      </c>
      <c r="E809" s="5" t="inlineStr">
        <is>
          <t>marca CATO · color blanco · referencia BLANCO</t>
        </is>
      </c>
      <c r="F809" s="5" t="inlineStr">
        <is>
          <t>Material retirado en almacén</t>
        </is>
      </c>
      <c r="G809" s="5" t="inlineStr">
        <is>
          <t>inodoro, taza de baño, wc</t>
        </is>
      </c>
      <c r="H809" s="7" t="inlineStr">
        <is>
          <t>unidad</t>
        </is>
      </c>
      <c r="I809" s="7" t="inlineStr">
        <is>
          <t>Instalaciones</t>
        </is>
      </c>
      <c r="J809" s="7" t="inlineStr">
        <is>
          <t>estandar</t>
        </is>
      </c>
      <c r="K809" s="7" t="inlineStr">
        <is>
          <t>importado</t>
        </is>
      </c>
      <c r="L809" s="7" t="inlineStr">
        <is>
          <t>Verificado</t>
        </is>
      </c>
      <c r="M809" s="8" t="n">
        <v>1</v>
      </c>
      <c r="N809" s="9" t="n">
        <v>8109.8</v>
      </c>
      <c r="O809" s="9" t="n">
        <v>8109.8</v>
      </c>
      <c r="P809" s="9" t="n">
        <v>8109.8</v>
      </c>
      <c r="Q809" s="7" t="inlineStr">
        <is>
          <t>Sí</t>
        </is>
      </c>
      <c r="R809" s="9">
        <f>IF(N809="","",IF(Q809="Sí",ROUND(N809/1.18,2),N809))</f>
        <v/>
      </c>
      <c r="S809" s="7" t="inlineStr">
        <is>
          <t>2026-09-09</t>
        </is>
      </c>
      <c r="T809" s="5" t="inlineStr">
        <is>
          <t>1 cotización de proveedores</t>
        </is>
      </c>
    </row>
    <row r="810">
      <c r="A810" s="7" t="inlineStr">
        <is>
          <t>MAT-24-006</t>
        </is>
      </c>
      <c r="B810" s="7" t="inlineStr">
        <is>
          <t>Materiales</t>
        </is>
      </c>
      <c r="C810" s="7" t="inlineStr">
        <is>
          <t>Inodoros y urinarios</t>
        </is>
      </c>
      <c r="D810" s="5" t="inlineStr">
        <is>
          <t>Inodoro elongado Zurich con Asiento, blanco</t>
        </is>
      </c>
      <c r="E810" s="5" t="inlineStr">
        <is>
          <t>marca CATO · color blanco · referencia BLANCO</t>
        </is>
      </c>
      <c r="F810" s="5" t="inlineStr">
        <is>
          <t>Material retirado en almacén</t>
        </is>
      </c>
      <c r="G810" s="5" t="inlineStr">
        <is>
          <t>inodoro, taza de baño, wc</t>
        </is>
      </c>
      <c r="H810" s="7" t="inlineStr">
        <is>
          <t>unidad</t>
        </is>
      </c>
      <c r="I810" s="7" t="inlineStr">
        <is>
          <t>Instalaciones</t>
        </is>
      </c>
      <c r="J810" s="7" t="inlineStr">
        <is>
          <t>estandar</t>
        </is>
      </c>
      <c r="K810" s="7" t="inlineStr">
        <is>
          <t>importado</t>
        </is>
      </c>
      <c r="L810" s="7" t="inlineStr">
        <is>
          <t>Verificado</t>
        </is>
      </c>
      <c r="M810" s="8" t="n">
        <v>1</v>
      </c>
      <c r="N810" s="9" t="n">
        <v>8116.49</v>
      </c>
      <c r="O810" s="9" t="n">
        <v>8116.49</v>
      </c>
      <c r="P810" s="9" t="n">
        <v>8116.49</v>
      </c>
      <c r="Q810" s="7" t="inlineStr">
        <is>
          <t>Sí</t>
        </is>
      </c>
      <c r="R810" s="9">
        <f>IF(N810="","",IF(Q810="Sí",ROUND(N810/1.18,2),N810))</f>
        <v/>
      </c>
      <c r="S810" s="7" t="inlineStr">
        <is>
          <t>2026-09-09</t>
        </is>
      </c>
      <c r="T810" s="5" t="inlineStr">
        <is>
          <t>1 cotización de proveedores</t>
        </is>
      </c>
    </row>
    <row r="811">
      <c r="A811" s="7" t="inlineStr">
        <is>
          <t>MAT-24-007</t>
        </is>
      </c>
      <c r="B811" s="7" t="inlineStr">
        <is>
          <t>Materiales</t>
        </is>
      </c>
      <c r="C811" s="7" t="inlineStr">
        <is>
          <t>Inodoros y urinarios</t>
        </is>
      </c>
      <c r="D811" s="5" t="inlineStr">
        <is>
          <t>Inodoro Jazmin redondo con Asiento, marfil</t>
        </is>
      </c>
      <c r="E811" s="5" t="inlineStr">
        <is>
          <t>marca CATO · color marfil · referencia MARFIL</t>
        </is>
      </c>
      <c r="F811" s="5" t="inlineStr">
        <is>
          <t>Material retirado en almacén</t>
        </is>
      </c>
      <c r="G811" s="5" t="inlineStr">
        <is>
          <t>inodoro, taza de baño, wc</t>
        </is>
      </c>
      <c r="H811" s="7" t="inlineStr">
        <is>
          <t>unidad</t>
        </is>
      </c>
      <c r="I811" s="7" t="inlineStr">
        <is>
          <t>Instalaciones</t>
        </is>
      </c>
      <c r="J811" s="7" t="inlineStr">
        <is>
          <t>estandar</t>
        </is>
      </c>
      <c r="K811" s="7" t="inlineStr">
        <is>
          <t>importado</t>
        </is>
      </c>
      <c r="L811" s="7" t="inlineStr">
        <is>
          <t>Verificado</t>
        </is>
      </c>
      <c r="M811" s="8" t="n">
        <v>1</v>
      </c>
      <c r="N811" s="9" t="n">
        <v>8541.469999999999</v>
      </c>
      <c r="O811" s="9" t="n">
        <v>8541.469999999999</v>
      </c>
      <c r="P811" s="9" t="n">
        <v>8541.469999999999</v>
      </c>
      <c r="Q811" s="7" t="inlineStr">
        <is>
          <t>Sí</t>
        </is>
      </c>
      <c r="R811" s="9">
        <f>IF(N811="","",IF(Q811="Sí",ROUND(N811/1.18,2),N811))</f>
        <v/>
      </c>
      <c r="S811" s="7" t="inlineStr">
        <is>
          <t>2026-09-09</t>
        </is>
      </c>
      <c r="T811" s="5" t="inlineStr">
        <is>
          <t>1 cotización de proveedores</t>
        </is>
      </c>
    </row>
    <row r="812">
      <c r="A812" s="7" t="inlineStr">
        <is>
          <t>MAT-24-008</t>
        </is>
      </c>
      <c r="B812" s="7" t="inlineStr">
        <is>
          <t>Materiales</t>
        </is>
      </c>
      <c r="C812" s="7" t="inlineStr">
        <is>
          <t>Inodoros y urinarios</t>
        </is>
      </c>
      <c r="D812" s="5" t="inlineStr">
        <is>
          <t>Inodoro elongado Tango con Asiento, blanco</t>
        </is>
      </c>
      <c r="E812" s="5" t="inlineStr">
        <is>
          <t>marca CATO · color blanco · referencia BLANCO</t>
        </is>
      </c>
      <c r="F812" s="5" t="inlineStr">
        <is>
          <t>Material retirado en almacén</t>
        </is>
      </c>
      <c r="G812" s="5" t="inlineStr">
        <is>
          <t>inodoro, taza de baño, wc</t>
        </is>
      </c>
      <c r="H812" s="7" t="inlineStr">
        <is>
          <t>unidad</t>
        </is>
      </c>
      <c r="I812" s="7" t="inlineStr">
        <is>
          <t>Instalaciones</t>
        </is>
      </c>
      <c r="J812" s="7" t="inlineStr">
        <is>
          <t>estandar</t>
        </is>
      </c>
      <c r="K812" s="7" t="inlineStr">
        <is>
          <t>importado</t>
        </is>
      </c>
      <c r="L812" s="7" t="inlineStr">
        <is>
          <t>Verificado</t>
        </is>
      </c>
      <c r="M812" s="8" t="n">
        <v>1</v>
      </c>
      <c r="N812" s="9" t="n">
        <v>8569.280000000001</v>
      </c>
      <c r="O812" s="9" t="n">
        <v>8569.280000000001</v>
      </c>
      <c r="P812" s="9" t="n">
        <v>8569.280000000001</v>
      </c>
      <c r="Q812" s="7" t="inlineStr">
        <is>
          <t>Sí</t>
        </is>
      </c>
      <c r="R812" s="9">
        <f>IF(N812="","",IF(Q812="Sí",ROUND(N812/1.18,2),N812))</f>
        <v/>
      </c>
      <c r="S812" s="7" t="inlineStr">
        <is>
          <t>2026-09-09</t>
        </is>
      </c>
      <c r="T812" s="5" t="inlineStr">
        <is>
          <t>1 cotización de proveedores</t>
        </is>
      </c>
    </row>
    <row r="813">
      <c r="A813" s="7" t="inlineStr">
        <is>
          <t>MAT-24-009</t>
        </is>
      </c>
      <c r="B813" s="7" t="inlineStr">
        <is>
          <t>Materiales</t>
        </is>
      </c>
      <c r="C813" s="7" t="inlineStr">
        <is>
          <t>Inodoros y urinarios</t>
        </is>
      </c>
      <c r="D813" s="5" t="inlineStr">
        <is>
          <t>Inodoro Jazmin elongado con Asiento, blanco</t>
        </is>
      </c>
      <c r="E813" s="5" t="inlineStr">
        <is>
          <t>marca CATO · color blanco · referencia BLANCO</t>
        </is>
      </c>
      <c r="F813" s="5" t="inlineStr">
        <is>
          <t>Material retirado en almacén</t>
        </is>
      </c>
      <c r="G813" s="5" t="inlineStr">
        <is>
          <t>inodoro, taza de baño, wc</t>
        </is>
      </c>
      <c r="H813" s="7" t="inlineStr">
        <is>
          <t>unidad</t>
        </is>
      </c>
      <c r="I813" s="7" t="inlineStr">
        <is>
          <t>Instalaciones</t>
        </is>
      </c>
      <c r="J813" s="7" t="inlineStr">
        <is>
          <t>estandar</t>
        </is>
      </c>
      <c r="K813" s="7" t="inlineStr">
        <is>
          <t>importado</t>
        </is>
      </c>
      <c r="L813" s="7" t="inlineStr">
        <is>
          <t>Verificado</t>
        </is>
      </c>
      <c r="M813" s="8" t="n">
        <v>1</v>
      </c>
      <c r="N813" s="9" t="n">
        <v>8937.51</v>
      </c>
      <c r="O813" s="9" t="n">
        <v>8937.51</v>
      </c>
      <c r="P813" s="9" t="n">
        <v>8937.51</v>
      </c>
      <c r="Q813" s="7" t="inlineStr">
        <is>
          <t>Sí</t>
        </is>
      </c>
      <c r="R813" s="9">
        <f>IF(N813="","",IF(Q813="Sí",ROUND(N813/1.18,2),N813))</f>
        <v/>
      </c>
      <c r="S813" s="7" t="inlineStr">
        <is>
          <t>2026-09-09</t>
        </is>
      </c>
      <c r="T813" s="5" t="inlineStr">
        <is>
          <t>1 cotización de proveedores</t>
        </is>
      </c>
    </row>
    <row r="814">
      <c r="A814" s="7" t="inlineStr">
        <is>
          <t>MAT-24-010</t>
        </is>
      </c>
      <c r="B814" s="7" t="inlineStr">
        <is>
          <t>Materiales</t>
        </is>
      </c>
      <c r="C814" s="7" t="inlineStr">
        <is>
          <t>Inodoros y urinarios</t>
        </is>
      </c>
      <c r="D814" s="5" t="inlineStr">
        <is>
          <t>Inodoro One Piece Atenas con Asiento, blanco</t>
        </is>
      </c>
      <c r="E814" s="5" t="inlineStr">
        <is>
          <t>marca ULTRA · color blanco · referencia 2064BLANCO</t>
        </is>
      </c>
      <c r="F814" s="5" t="inlineStr">
        <is>
          <t>Material retirado en almacén</t>
        </is>
      </c>
      <c r="G814" s="5" t="inlineStr">
        <is>
          <t>inodoro, taza de baño, wc</t>
        </is>
      </c>
      <c r="H814" s="7" t="inlineStr">
        <is>
          <t>unidad</t>
        </is>
      </c>
      <c r="I814" s="7" t="inlineStr">
        <is>
          <t>Instalaciones</t>
        </is>
      </c>
      <c r="J814" s="7" t="inlineStr">
        <is>
          <t>estandar</t>
        </is>
      </c>
      <c r="K814" s="7" t="inlineStr">
        <is>
          <t>importado</t>
        </is>
      </c>
      <c r="L814" s="7" t="inlineStr">
        <is>
          <t>Verificado</t>
        </is>
      </c>
      <c r="M814" s="8" t="n">
        <v>1</v>
      </c>
      <c r="N814" s="9" t="n">
        <v>8960.540000000001</v>
      </c>
      <c r="O814" s="9" t="n">
        <v>8960.540000000001</v>
      </c>
      <c r="P814" s="9" t="n">
        <v>8960.540000000001</v>
      </c>
      <c r="Q814" s="7" t="inlineStr">
        <is>
          <t>Sí</t>
        </is>
      </c>
      <c r="R814" s="9">
        <f>IF(N814="","",IF(Q814="Sí",ROUND(N814/1.18,2),N814))</f>
        <v/>
      </c>
      <c r="S814" s="7" t="inlineStr">
        <is>
          <t>2026-09-09</t>
        </is>
      </c>
      <c r="T814" s="5" t="inlineStr">
        <is>
          <t>1 cotización de proveedores</t>
        </is>
      </c>
    </row>
    <row r="815">
      <c r="A815" s="7" t="inlineStr">
        <is>
          <t>MAT-24-011</t>
        </is>
      </c>
      <c r="B815" s="7" t="inlineStr">
        <is>
          <t>Materiales</t>
        </is>
      </c>
      <c r="C815" s="7" t="inlineStr">
        <is>
          <t>Inodoros y urinarios</t>
        </is>
      </c>
      <c r="D815" s="5" t="inlineStr">
        <is>
          <t>Inodoro Fiore Elongado con Asiento, blanco</t>
        </is>
      </c>
      <c r="E815" s="5" t="inlineStr">
        <is>
          <t>marca CATO · color blanco · referencia BLANCO</t>
        </is>
      </c>
      <c r="F815" s="5" t="inlineStr">
        <is>
          <t>Material retirado en almacén</t>
        </is>
      </c>
      <c r="G815" s="5" t="inlineStr">
        <is>
          <t>inodoro, taza de baño, wc</t>
        </is>
      </c>
      <c r="H815" s="7" t="inlineStr">
        <is>
          <t>unidad</t>
        </is>
      </c>
      <c r="I815" s="7" t="inlineStr">
        <is>
          <t>Instalaciones</t>
        </is>
      </c>
      <c r="J815" s="7" t="inlineStr">
        <is>
          <t>estandar</t>
        </is>
      </c>
      <c r="K815" s="7" t="inlineStr">
        <is>
          <t>importado</t>
        </is>
      </c>
      <c r="L815" s="7" t="inlineStr">
        <is>
          <t>Verificado</t>
        </is>
      </c>
      <c r="M815" s="8" t="n">
        <v>1</v>
      </c>
      <c r="N815" s="9" t="n">
        <v>9157.35</v>
      </c>
      <c r="O815" s="9" t="n">
        <v>9157.35</v>
      </c>
      <c r="P815" s="9" t="n">
        <v>9157.35</v>
      </c>
      <c r="Q815" s="7" t="inlineStr">
        <is>
          <t>Sí</t>
        </is>
      </c>
      <c r="R815" s="9">
        <f>IF(N815="","",IF(Q815="Sí",ROUND(N815/1.18,2),N815))</f>
        <v/>
      </c>
      <c r="S815" s="7" t="inlineStr">
        <is>
          <t>2026-09-09</t>
        </is>
      </c>
      <c r="T815" s="5" t="inlineStr">
        <is>
          <t>1 cotización de proveedores</t>
        </is>
      </c>
    </row>
    <row r="816">
      <c r="A816" s="7" t="inlineStr">
        <is>
          <t>MAT-24-012</t>
        </is>
      </c>
      <c r="B816" s="7" t="inlineStr">
        <is>
          <t>Materiales</t>
        </is>
      </c>
      <c r="C816" s="7" t="inlineStr">
        <is>
          <t>Inodoros y urinarios</t>
        </is>
      </c>
      <c r="D816" s="5" t="inlineStr">
        <is>
          <t>Inodoro elongado Terra con Asiento, blanco</t>
        </is>
      </c>
      <c r="E816" s="5" t="inlineStr">
        <is>
          <t>marca CATO · color blanco · referencia BLANCO</t>
        </is>
      </c>
      <c r="F816" s="5" t="inlineStr">
        <is>
          <t>Material retirado en almacén</t>
        </is>
      </c>
      <c r="G816" s="5" t="inlineStr">
        <is>
          <t>inodoro, taza de baño, wc</t>
        </is>
      </c>
      <c r="H816" s="7" t="inlineStr">
        <is>
          <t>unidad</t>
        </is>
      </c>
      <c r="I816" s="7" t="inlineStr">
        <is>
          <t>Instalaciones</t>
        </is>
      </c>
      <c r="J816" s="7" t="inlineStr">
        <is>
          <t>estandar</t>
        </is>
      </c>
      <c r="K816" s="7" t="inlineStr">
        <is>
          <t>importado</t>
        </is>
      </c>
      <c r="L816" s="7" t="inlineStr">
        <is>
          <t>Verificado</t>
        </is>
      </c>
      <c r="M816" s="8" t="n">
        <v>1</v>
      </c>
      <c r="N816" s="9" t="n">
        <v>9595.18</v>
      </c>
      <c r="O816" s="9" t="n">
        <v>9595.18</v>
      </c>
      <c r="P816" s="9" t="n">
        <v>9595.18</v>
      </c>
      <c r="Q816" s="7" t="inlineStr">
        <is>
          <t>Sí</t>
        </is>
      </c>
      <c r="R816" s="9">
        <f>IF(N816="","",IF(Q816="Sí",ROUND(N816/1.18,2),N816))</f>
        <v/>
      </c>
      <c r="S816" s="7" t="inlineStr">
        <is>
          <t>2026-09-09</t>
        </is>
      </c>
      <c r="T816" s="5" t="inlineStr">
        <is>
          <t>1 cotización de proveedores</t>
        </is>
      </c>
    </row>
    <row r="817">
      <c r="A817" s="7" t="inlineStr">
        <is>
          <t>MAT-24-013</t>
        </is>
      </c>
      <c r="B817" s="7" t="inlineStr">
        <is>
          <t>Materiales</t>
        </is>
      </c>
      <c r="C817" s="7" t="inlineStr">
        <is>
          <t>Inodoros y urinarios</t>
        </is>
      </c>
      <c r="D817" s="5" t="inlineStr">
        <is>
          <t>Inodoro Bellini One Piece, blanco</t>
        </is>
      </c>
      <c r="E817" s="5" t="inlineStr">
        <is>
          <t>marca CATO · color blanco · referencia BLANCO</t>
        </is>
      </c>
      <c r="F817" s="5" t="inlineStr">
        <is>
          <t>Material retirado en almacén</t>
        </is>
      </c>
      <c r="G817" s="5" t="inlineStr">
        <is>
          <t>inodoro, taza de baño, wc</t>
        </is>
      </c>
      <c r="H817" s="7" t="inlineStr">
        <is>
          <t>unidad</t>
        </is>
      </c>
      <c r="I817" s="7" t="inlineStr">
        <is>
          <t>Instalaciones</t>
        </is>
      </c>
      <c r="J817" s="7" t="inlineStr">
        <is>
          <t>estandar</t>
        </is>
      </c>
      <c r="K817" s="7" t="inlineStr">
        <is>
          <t>importado</t>
        </is>
      </c>
      <c r="L817" s="7" t="inlineStr">
        <is>
          <t>Verificado</t>
        </is>
      </c>
      <c r="M817" s="8" t="n">
        <v>1</v>
      </c>
      <c r="N817" s="9" t="n">
        <v>10133.49</v>
      </c>
      <c r="O817" s="9" t="n">
        <v>10133.49</v>
      </c>
      <c r="P817" s="9" t="n">
        <v>10133.49</v>
      </c>
      <c r="Q817" s="7" t="inlineStr">
        <is>
          <t>Sí</t>
        </is>
      </c>
      <c r="R817" s="9">
        <f>IF(N817="","",IF(Q817="Sí",ROUND(N817/1.18,2),N817))</f>
        <v/>
      </c>
      <c r="S817" s="7" t="inlineStr">
        <is>
          <t>2026-09-09</t>
        </is>
      </c>
      <c r="T817" s="5" t="inlineStr">
        <is>
          <t>1 cotización de proveedores</t>
        </is>
      </c>
    </row>
    <row r="818">
      <c r="A818" s="7" t="inlineStr">
        <is>
          <t>MAT-24-014</t>
        </is>
      </c>
      <c r="B818" s="7" t="inlineStr">
        <is>
          <t>Materiales</t>
        </is>
      </c>
      <c r="C818" s="7" t="inlineStr">
        <is>
          <t>Inodoros y urinarios</t>
        </is>
      </c>
      <c r="D818" s="5" t="inlineStr">
        <is>
          <t>Inodoro One Piece Hermes con Asiento, blanco</t>
        </is>
      </c>
      <c r="E818" s="5" t="inlineStr">
        <is>
          <t>marca ULTRA · color blanco · referencia 2054BLANCO</t>
        </is>
      </c>
      <c r="F818" s="5" t="inlineStr">
        <is>
          <t>Material retirado en almacén</t>
        </is>
      </c>
      <c r="G818" s="5" t="inlineStr">
        <is>
          <t>inodoro, taza de baño, wc</t>
        </is>
      </c>
      <c r="H818" s="7" t="inlineStr">
        <is>
          <t>unidad</t>
        </is>
      </c>
      <c r="I818" s="7" t="inlineStr">
        <is>
          <t>Instalaciones</t>
        </is>
      </c>
      <c r="J818" s="7" t="inlineStr">
        <is>
          <t>estandar</t>
        </is>
      </c>
      <c r="K818" s="7" t="inlineStr">
        <is>
          <t>importado</t>
        </is>
      </c>
      <c r="L818" s="7" t="inlineStr">
        <is>
          <t>Verificado</t>
        </is>
      </c>
      <c r="M818" s="8" t="n">
        <v>1</v>
      </c>
      <c r="N818" s="9" t="n">
        <v>10517.13</v>
      </c>
      <c r="O818" s="9" t="n">
        <v>10517.13</v>
      </c>
      <c r="P818" s="9" t="n">
        <v>10517.13</v>
      </c>
      <c r="Q818" s="7" t="inlineStr">
        <is>
          <t>Sí</t>
        </is>
      </c>
      <c r="R818" s="9">
        <f>IF(N818="","",IF(Q818="Sí",ROUND(N818/1.18,2),N818))</f>
        <v/>
      </c>
      <c r="S818" s="7" t="inlineStr">
        <is>
          <t>2026-09-09</t>
        </is>
      </c>
      <c r="T818" s="5" t="inlineStr">
        <is>
          <t>1 cotización de proveedores</t>
        </is>
      </c>
    </row>
    <row r="819">
      <c r="A819" s="7" t="inlineStr">
        <is>
          <t>MAT-24-015</t>
        </is>
      </c>
      <c r="B819" s="7" t="inlineStr">
        <is>
          <t>Materiales</t>
        </is>
      </c>
      <c r="C819" s="7" t="inlineStr">
        <is>
          <t>Inodoros y urinarios</t>
        </is>
      </c>
      <c r="D819" s="5" t="inlineStr">
        <is>
          <t>Inodoro Jazmin elongado con Asiento, marfil</t>
        </is>
      </c>
      <c r="E819" s="5" t="inlineStr">
        <is>
          <t>marca CATO · color marfil · referencia MARFIL</t>
        </is>
      </c>
      <c r="F819" s="5" t="inlineStr">
        <is>
          <t>Material retirado en almacén</t>
        </is>
      </c>
      <c r="G819" s="5" t="inlineStr">
        <is>
          <t>inodoro, taza de baño, wc</t>
        </is>
      </c>
      <c r="H819" s="7" t="inlineStr">
        <is>
          <t>unidad</t>
        </is>
      </c>
      <c r="I819" s="7" t="inlineStr">
        <is>
          <t>Instalaciones</t>
        </is>
      </c>
      <c r="J819" s="7" t="inlineStr">
        <is>
          <t>estandar</t>
        </is>
      </c>
      <c r="K819" s="7" t="inlineStr">
        <is>
          <t>importado</t>
        </is>
      </c>
      <c r="L819" s="7" t="inlineStr">
        <is>
          <t>Verificado</t>
        </is>
      </c>
      <c r="M819" s="8" t="n">
        <v>1</v>
      </c>
      <c r="N819" s="9" t="n">
        <v>10904.75</v>
      </c>
      <c r="O819" s="9" t="n">
        <v>10904.75</v>
      </c>
      <c r="P819" s="9" t="n">
        <v>10904.75</v>
      </c>
      <c r="Q819" s="7" t="inlineStr">
        <is>
          <t>Sí</t>
        </is>
      </c>
      <c r="R819" s="9">
        <f>IF(N819="","",IF(Q819="Sí",ROUND(N819/1.18,2),N819))</f>
        <v/>
      </c>
      <c r="S819" s="7" t="inlineStr">
        <is>
          <t>2026-09-09</t>
        </is>
      </c>
      <c r="T819" s="5" t="inlineStr">
        <is>
          <t>1 cotización de proveedores</t>
        </is>
      </c>
    </row>
    <row r="820">
      <c r="A820" s="7" t="inlineStr">
        <is>
          <t>MAT-24-016</t>
        </is>
      </c>
      <c r="B820" s="7" t="inlineStr">
        <is>
          <t>Materiales</t>
        </is>
      </c>
      <c r="C820" s="7" t="inlineStr">
        <is>
          <t>Inodoros y urinarios</t>
        </is>
      </c>
      <c r="D820" s="5" t="inlineStr">
        <is>
          <t>Inodoro elongado Tango con Asiento, marfil</t>
        </is>
      </c>
      <c r="E820" s="5" t="inlineStr">
        <is>
          <t>marca CATO · color marfil · referencia MARFIL</t>
        </is>
      </c>
      <c r="F820" s="5" t="inlineStr">
        <is>
          <t>Material retirado en almacén</t>
        </is>
      </c>
      <c r="G820" s="5" t="inlineStr">
        <is>
          <t>inodoro, taza de baño, wc</t>
        </is>
      </c>
      <c r="H820" s="7" t="inlineStr">
        <is>
          <t>unidad</t>
        </is>
      </c>
      <c r="I820" s="7" t="inlineStr">
        <is>
          <t>Instalaciones</t>
        </is>
      </c>
      <c r="J820" s="7" t="inlineStr">
        <is>
          <t>estandar</t>
        </is>
      </c>
      <c r="K820" s="7" t="inlineStr">
        <is>
          <t>importado</t>
        </is>
      </c>
      <c r="L820" s="7" t="inlineStr">
        <is>
          <t>Verificado</t>
        </is>
      </c>
      <c r="M820" s="8" t="n">
        <v>1</v>
      </c>
      <c r="N820" s="9" t="n">
        <v>11433.48</v>
      </c>
      <c r="O820" s="9" t="n">
        <v>11433.48</v>
      </c>
      <c r="P820" s="9" t="n">
        <v>11433.48</v>
      </c>
      <c r="Q820" s="7" t="inlineStr">
        <is>
          <t>Sí</t>
        </is>
      </c>
      <c r="R820" s="9">
        <f>IF(N820="","",IF(Q820="Sí",ROUND(N820/1.18,2),N820))</f>
        <v/>
      </c>
      <c r="S820" s="7" t="inlineStr">
        <is>
          <t>2026-09-09</t>
        </is>
      </c>
      <c r="T820" s="5" t="inlineStr">
        <is>
          <t>1 cotización de proveedores</t>
        </is>
      </c>
    </row>
    <row r="821">
      <c r="A821" s="7" t="inlineStr">
        <is>
          <t>MAT-24-017</t>
        </is>
      </c>
      <c r="B821" s="7" t="inlineStr">
        <is>
          <t>Materiales</t>
        </is>
      </c>
      <c r="C821" s="7" t="inlineStr">
        <is>
          <t>Inodoros y urinarios</t>
        </is>
      </c>
      <c r="D821" s="5" t="inlineStr">
        <is>
          <t>Inodoro One Piece Zaya con Asiento, blanco</t>
        </is>
      </c>
      <c r="E821" s="5" t="inlineStr">
        <is>
          <t>marca ULTRA · color blanco · referencia 2920BLANCO</t>
        </is>
      </c>
      <c r="F821" s="5" t="inlineStr">
        <is>
          <t>Material retirado en almacén</t>
        </is>
      </c>
      <c r="G821" s="5" t="inlineStr">
        <is>
          <t>inodoro, taza de baño, wc</t>
        </is>
      </c>
      <c r="H821" s="7" t="inlineStr">
        <is>
          <t>unidad</t>
        </is>
      </c>
      <c r="I821" s="7" t="inlineStr">
        <is>
          <t>Instalaciones</t>
        </is>
      </c>
      <c r="J821" s="7" t="inlineStr">
        <is>
          <t>estandar</t>
        </is>
      </c>
      <c r="K821" s="7" t="inlineStr">
        <is>
          <t>importado</t>
        </is>
      </c>
      <c r="L821" s="7" t="inlineStr">
        <is>
          <t>Verificado</t>
        </is>
      </c>
      <c r="M821" s="8" t="n">
        <v>1</v>
      </c>
      <c r="N821" s="9" t="n">
        <v>11783.07</v>
      </c>
      <c r="O821" s="9" t="n">
        <v>11783.07</v>
      </c>
      <c r="P821" s="9" t="n">
        <v>11783.07</v>
      </c>
      <c r="Q821" s="7" t="inlineStr">
        <is>
          <t>Sí</t>
        </is>
      </c>
      <c r="R821" s="9">
        <f>IF(N821="","",IF(Q821="Sí",ROUND(N821/1.18,2),N821))</f>
        <v/>
      </c>
      <c r="S821" s="7" t="inlineStr">
        <is>
          <t>2026-09-09</t>
        </is>
      </c>
      <c r="T821" s="5" t="inlineStr">
        <is>
          <t>1 cotización de proveedores</t>
        </is>
      </c>
    </row>
    <row r="822">
      <c r="A822" s="7" t="inlineStr">
        <is>
          <t>MAT-24-018</t>
        </is>
      </c>
      <c r="B822" s="7" t="inlineStr">
        <is>
          <t>Materiales</t>
        </is>
      </c>
      <c r="C822" s="7" t="inlineStr">
        <is>
          <t>Inodoros y urinarios</t>
        </is>
      </c>
      <c r="D822" s="5" t="inlineStr">
        <is>
          <t>Inodoro elongado Chichen Itza con Asiento, marfil</t>
        </is>
      </c>
      <c r="E822" s="5" t="inlineStr">
        <is>
          <t>marca CATO · color marfil · referencia MARFIL</t>
        </is>
      </c>
      <c r="F822" s="5" t="inlineStr">
        <is>
          <t>Material retirado en almacén</t>
        </is>
      </c>
      <c r="G822" s="5" t="inlineStr">
        <is>
          <t>inodoro, taza de baño, wc</t>
        </is>
      </c>
      <c r="H822" s="7" t="inlineStr">
        <is>
          <t>unidad</t>
        </is>
      </c>
      <c r="I822" s="7" t="inlineStr">
        <is>
          <t>Instalaciones</t>
        </is>
      </c>
      <c r="J822" s="7" t="inlineStr">
        <is>
          <t>estandar</t>
        </is>
      </c>
      <c r="K822" s="7" t="inlineStr">
        <is>
          <t>importado</t>
        </is>
      </c>
      <c r="L822" s="7" t="inlineStr">
        <is>
          <t>Verificado</t>
        </is>
      </c>
      <c r="M822" s="8" t="n">
        <v>1</v>
      </c>
      <c r="N822" s="9" t="n">
        <v>11988.89</v>
      </c>
      <c r="O822" s="9" t="n">
        <v>11988.89</v>
      </c>
      <c r="P822" s="9" t="n">
        <v>11988.89</v>
      </c>
      <c r="Q822" s="7" t="inlineStr">
        <is>
          <t>Sí</t>
        </is>
      </c>
      <c r="R822" s="9">
        <f>IF(N822="","",IF(Q822="Sí",ROUND(N822/1.18,2),N822))</f>
        <v/>
      </c>
      <c r="S822" s="7" t="inlineStr">
        <is>
          <t>2026-09-09</t>
        </is>
      </c>
      <c r="T822" s="5" t="inlineStr">
        <is>
          <t>1 cotización de proveedores</t>
        </is>
      </c>
    </row>
    <row r="823">
      <c r="A823" s="7" t="inlineStr">
        <is>
          <t>MAT-24-019</t>
        </is>
      </c>
      <c r="B823" s="7" t="inlineStr">
        <is>
          <t>Materiales</t>
        </is>
      </c>
      <c r="C823" s="7" t="inlineStr">
        <is>
          <t>Inodoros y urinarios</t>
        </is>
      </c>
      <c r="D823" s="5" t="inlineStr">
        <is>
          <t>Inodoro Olimpia Con Asiento, blanco</t>
        </is>
      </c>
      <c r="E823" s="5" t="inlineStr">
        <is>
          <t>marca HELVEX · color blanco · referencia TTRBLANCO</t>
        </is>
      </c>
      <c r="F823" s="5" t="inlineStr">
        <is>
          <t>Material retirado en almacén</t>
        </is>
      </c>
      <c r="G823" s="5" t="inlineStr">
        <is>
          <t>inodoro, taza de baño, wc</t>
        </is>
      </c>
      <c r="H823" s="7" t="inlineStr">
        <is>
          <t>unidad</t>
        </is>
      </c>
      <c r="I823" s="7" t="inlineStr">
        <is>
          <t>Instalaciones</t>
        </is>
      </c>
      <c r="J823" s="7" t="inlineStr">
        <is>
          <t>estandar</t>
        </is>
      </c>
      <c r="K823" s="7" t="inlineStr">
        <is>
          <t>importado</t>
        </is>
      </c>
      <c r="L823" s="7" t="inlineStr">
        <is>
          <t>Verificado</t>
        </is>
      </c>
      <c r="M823" s="8" t="n">
        <v>1</v>
      </c>
      <c r="N823" s="9" t="n">
        <v>12917.29</v>
      </c>
      <c r="O823" s="9" t="n">
        <v>12917.29</v>
      </c>
      <c r="P823" s="9" t="n">
        <v>12917.29</v>
      </c>
      <c r="Q823" s="7" t="inlineStr">
        <is>
          <t>Sí</t>
        </is>
      </c>
      <c r="R823" s="9">
        <f>IF(N823="","",IF(Q823="Sí",ROUND(N823/1.18,2),N823))</f>
        <v/>
      </c>
      <c r="S823" s="7" t="inlineStr">
        <is>
          <t>2026-09-09</t>
        </is>
      </c>
      <c r="T823" s="5" t="inlineStr">
        <is>
          <t>1 cotización de proveedores</t>
        </is>
      </c>
    </row>
    <row r="824">
      <c r="A824" s="7" t="inlineStr">
        <is>
          <t>MAT-24-020</t>
        </is>
      </c>
      <c r="B824" s="7" t="inlineStr">
        <is>
          <t>Materiales</t>
        </is>
      </c>
      <c r="C824" s="7" t="inlineStr">
        <is>
          <t>Inodoros y urinarios</t>
        </is>
      </c>
      <c r="D824" s="5" t="inlineStr">
        <is>
          <t>Inodoro elongado Austral Compac 3.8L, blanco</t>
        </is>
      </c>
      <c r="E824" s="5" t="inlineStr">
        <is>
          <t>marca HELVEX · color blanco · referencia WCAUSTRALBLANCO</t>
        </is>
      </c>
      <c r="F824" s="5" t="inlineStr">
        <is>
          <t>Material retirado en almacén</t>
        </is>
      </c>
      <c r="G824" s="5" t="inlineStr">
        <is>
          <t>inodoro, taza de baño, wc</t>
        </is>
      </c>
      <c r="H824" s="7" t="inlineStr">
        <is>
          <t>unidad</t>
        </is>
      </c>
      <c r="I824" s="7" t="inlineStr">
        <is>
          <t>Instalaciones</t>
        </is>
      </c>
      <c r="J824" s="7" t="inlineStr">
        <is>
          <t>estandar</t>
        </is>
      </c>
      <c r="K824" s="7" t="inlineStr">
        <is>
          <t>importado</t>
        </is>
      </c>
      <c r="L824" s="7" t="inlineStr">
        <is>
          <t>Verificado</t>
        </is>
      </c>
      <c r="M824" s="8" t="n">
        <v>1</v>
      </c>
      <c r="N824" s="9" t="n">
        <v>13890.26</v>
      </c>
      <c r="O824" s="9" t="n">
        <v>13890.26</v>
      </c>
      <c r="P824" s="9" t="n">
        <v>13890.26</v>
      </c>
      <c r="Q824" s="7" t="inlineStr">
        <is>
          <t>Sí</t>
        </is>
      </c>
      <c r="R824" s="9">
        <f>IF(N824="","",IF(Q824="Sí",ROUND(N824/1.18,2),N824))</f>
        <v/>
      </c>
      <c r="S824" s="7" t="inlineStr">
        <is>
          <t>2026-09-09</t>
        </is>
      </c>
      <c r="T824" s="5" t="inlineStr">
        <is>
          <t>1 cotización de proveedores</t>
        </is>
      </c>
    </row>
    <row r="825">
      <c r="A825" s="7" t="inlineStr">
        <is>
          <t>MAT-24-021</t>
        </is>
      </c>
      <c r="B825" s="7" t="inlineStr">
        <is>
          <t>Materiales</t>
        </is>
      </c>
      <c r="C825" s="7" t="inlineStr">
        <is>
          <t>Inodoros y urinarios</t>
        </is>
      </c>
      <c r="D825" s="5" t="inlineStr">
        <is>
          <t>Inodoro Option Elongado 4.8L, blanco</t>
        </is>
      </c>
      <c r="E825" s="5" t="inlineStr">
        <is>
          <t>marca HELVEX · color blanco · referencia WCBLANCO</t>
        </is>
      </c>
      <c r="F825" s="5" t="inlineStr">
        <is>
          <t>Material retirado en almacén</t>
        </is>
      </c>
      <c r="G825" s="5" t="inlineStr">
        <is>
          <t>inodoro, taza de baño, wc</t>
        </is>
      </c>
      <c r="H825" s="7" t="inlineStr">
        <is>
          <t>unidad</t>
        </is>
      </c>
      <c r="I825" s="7" t="inlineStr">
        <is>
          <t>Instalaciones</t>
        </is>
      </c>
      <c r="J825" s="7" t="inlineStr">
        <is>
          <t>estandar</t>
        </is>
      </c>
      <c r="K825" s="7" t="inlineStr">
        <is>
          <t>importado</t>
        </is>
      </c>
      <c r="L825" s="7" t="inlineStr">
        <is>
          <t>Verificado</t>
        </is>
      </c>
      <c r="M825" s="8" t="n">
        <v>1</v>
      </c>
      <c r="N825" s="9" t="n">
        <v>14950.43</v>
      </c>
      <c r="O825" s="9" t="n">
        <v>14950.43</v>
      </c>
      <c r="P825" s="9" t="n">
        <v>14950.43</v>
      </c>
      <c r="Q825" s="7" t="inlineStr">
        <is>
          <t>Sí</t>
        </is>
      </c>
      <c r="R825" s="9">
        <f>IF(N825="","",IF(Q825="Sí",ROUND(N825/1.18,2),N825))</f>
        <v/>
      </c>
      <c r="S825" s="7" t="inlineStr">
        <is>
          <t>2026-09-09</t>
        </is>
      </c>
      <c r="T825" s="5" t="inlineStr">
        <is>
          <t>1 cotización de proveedores</t>
        </is>
      </c>
    </row>
    <row r="826">
      <c r="A826" s="7" t="inlineStr">
        <is>
          <t>MAT-24-022</t>
        </is>
      </c>
      <c r="B826" s="7" t="inlineStr">
        <is>
          <t>Materiales</t>
        </is>
      </c>
      <c r="C826" s="7" t="inlineStr">
        <is>
          <t>Inodoros y urinarios</t>
        </is>
      </c>
      <c r="D826" s="5" t="inlineStr">
        <is>
          <t>Inodoro Elongado Drakar 16, blanco</t>
        </is>
      </c>
      <c r="E826" s="5" t="inlineStr">
        <is>
          <t>marca HELVEX · color blanco · referencia BLANCO4.8LT</t>
        </is>
      </c>
      <c r="F826" s="5" t="inlineStr">
        <is>
          <t>Material retirado en almacén</t>
        </is>
      </c>
      <c r="G826" s="5" t="inlineStr">
        <is>
          <t>inodoro, taza de baño, wc</t>
        </is>
      </c>
      <c r="H826" s="7" t="inlineStr">
        <is>
          <t>unidad</t>
        </is>
      </c>
      <c r="I826" s="7" t="inlineStr">
        <is>
          <t>Instalaciones</t>
        </is>
      </c>
      <c r="J826" s="7" t="inlineStr">
        <is>
          <t>estandar</t>
        </is>
      </c>
      <c r="K826" s="7" t="inlineStr">
        <is>
          <t>importado</t>
        </is>
      </c>
      <c r="L826" s="7" t="inlineStr">
        <is>
          <t>Verificado</t>
        </is>
      </c>
      <c r="M826" s="8" t="n">
        <v>1</v>
      </c>
      <c r="N826" s="9" t="n">
        <v>15757.84</v>
      </c>
      <c r="O826" s="9" t="n">
        <v>15757.84</v>
      </c>
      <c r="P826" s="9" t="n">
        <v>15757.84</v>
      </c>
      <c r="Q826" s="7" t="inlineStr">
        <is>
          <t>Sí</t>
        </is>
      </c>
      <c r="R826" s="9">
        <f>IF(N826="","",IF(Q826="Sí",ROUND(N826/1.18,2),N826))</f>
        <v/>
      </c>
      <c r="S826" s="7" t="inlineStr">
        <is>
          <t>2026-09-09</t>
        </is>
      </c>
      <c r="T826" s="5" t="inlineStr">
        <is>
          <t>1 cotización de proveedores</t>
        </is>
      </c>
    </row>
    <row r="827">
      <c r="A827" s="7" t="inlineStr">
        <is>
          <t>MAT-24-023</t>
        </is>
      </c>
      <c r="B827" s="7" t="inlineStr">
        <is>
          <t>Materiales</t>
        </is>
      </c>
      <c r="C827" s="7" t="inlineStr">
        <is>
          <t>Inodoros y urinarios</t>
        </is>
      </c>
      <c r="D827" s="5" t="inlineStr">
        <is>
          <t>Inodoro elongado Sarez con Asiento, negro</t>
        </is>
      </c>
      <c r="E827" s="5" t="inlineStr">
        <is>
          <t>marca ULTRA · color negro · referencia 2094MBNEGROMATE</t>
        </is>
      </c>
      <c r="F827" s="5" t="inlineStr">
        <is>
          <t>Material retirado en almacén</t>
        </is>
      </c>
      <c r="G827" s="5" t="inlineStr">
        <is>
          <t>inodoro, taza de baño, wc</t>
        </is>
      </c>
      <c r="H827" s="7" t="inlineStr">
        <is>
          <t>unidad</t>
        </is>
      </c>
      <c r="I827" s="7" t="inlineStr">
        <is>
          <t>Instalaciones</t>
        </is>
      </c>
      <c r="J827" s="7" t="inlineStr">
        <is>
          <t>estandar</t>
        </is>
      </c>
      <c r="K827" s="7" t="inlineStr">
        <is>
          <t>importado</t>
        </is>
      </c>
      <c r="L827" s="7" t="inlineStr">
        <is>
          <t>Verificado</t>
        </is>
      </c>
      <c r="M827" s="8" t="n">
        <v>1</v>
      </c>
      <c r="N827" s="9" t="n">
        <v>16560.53</v>
      </c>
      <c r="O827" s="9" t="n">
        <v>16560.53</v>
      </c>
      <c r="P827" s="9" t="n">
        <v>16560.53</v>
      </c>
      <c r="Q827" s="7" t="inlineStr">
        <is>
          <t>Sí</t>
        </is>
      </c>
      <c r="R827" s="9">
        <f>IF(N827="","",IF(Q827="Sí",ROUND(N827/1.18,2),N827))</f>
        <v/>
      </c>
      <c r="S827" s="7" t="inlineStr">
        <is>
          <t>2026-09-09</t>
        </is>
      </c>
      <c r="T827" s="5" t="inlineStr">
        <is>
          <t>1 cotización de proveedores</t>
        </is>
      </c>
    </row>
    <row r="828">
      <c r="A828" s="7" t="inlineStr">
        <is>
          <t>MAT-24-024</t>
        </is>
      </c>
      <c r="B828" s="7" t="inlineStr">
        <is>
          <t>Materiales</t>
        </is>
      </c>
      <c r="C828" s="7" t="inlineStr">
        <is>
          <t>Inodoros y urinarios</t>
        </is>
      </c>
      <c r="D828" s="5" t="inlineStr">
        <is>
          <t>Inodoro One Piece Nemes con Asiento, negro</t>
        </is>
      </c>
      <c r="E828" s="5" t="inlineStr">
        <is>
          <t>marca ULTRA · color negro · referencia 2920NEGROMATE</t>
        </is>
      </c>
      <c r="F828" s="5" t="inlineStr">
        <is>
          <t>Material retirado en almacén</t>
        </is>
      </c>
      <c r="G828" s="5" t="inlineStr">
        <is>
          <t>inodoro, taza de baño, wc</t>
        </is>
      </c>
      <c r="H828" s="7" t="inlineStr">
        <is>
          <t>unidad</t>
        </is>
      </c>
      <c r="I828" s="7" t="inlineStr">
        <is>
          <t>Instalaciones</t>
        </is>
      </c>
      <c r="J828" s="7" t="inlineStr">
        <is>
          <t>estandar</t>
        </is>
      </c>
      <c r="K828" s="7" t="inlineStr">
        <is>
          <t>importado</t>
        </is>
      </c>
      <c r="L828" s="7" t="inlineStr">
        <is>
          <t>Verificado</t>
        </is>
      </c>
      <c r="M828" s="8" t="n">
        <v>1</v>
      </c>
      <c r="N828" s="9" t="n">
        <v>16560.53</v>
      </c>
      <c r="O828" s="9" t="n">
        <v>16560.53</v>
      </c>
      <c r="P828" s="9" t="n">
        <v>16560.53</v>
      </c>
      <c r="Q828" s="7" t="inlineStr">
        <is>
          <t>Sí</t>
        </is>
      </c>
      <c r="R828" s="9">
        <f>IF(N828="","",IF(Q828="Sí",ROUND(N828/1.18,2),N828))</f>
        <v/>
      </c>
      <c r="S828" s="7" t="inlineStr">
        <is>
          <t>2026-09-09</t>
        </is>
      </c>
      <c r="T828" s="5" t="inlineStr">
        <is>
          <t>1 cotización de proveedores</t>
        </is>
      </c>
    </row>
    <row r="829">
      <c r="A829" s="7" t="inlineStr">
        <is>
          <t>MAT-24-025</t>
        </is>
      </c>
      <c r="B829" s="7" t="inlineStr">
        <is>
          <t>Materiales</t>
        </is>
      </c>
      <c r="C829" s="7" t="inlineStr">
        <is>
          <t>Inodoros y urinarios</t>
        </is>
      </c>
      <c r="D829" s="5" t="inlineStr">
        <is>
          <t>Inodoro Elongado Bolmen, marfil</t>
        </is>
      </c>
      <c r="E829" s="5" t="inlineStr">
        <is>
          <t>marca HELVEX · color marfil · referencia TT1316MSMARFIL</t>
        </is>
      </c>
      <c r="F829" s="5" t="inlineStr">
        <is>
          <t>Material retirado en almacén</t>
        </is>
      </c>
      <c r="G829" s="5" t="inlineStr">
        <is>
          <t>inodoro, taza de baño, wc</t>
        </is>
      </c>
      <c r="H829" s="7" t="inlineStr">
        <is>
          <t>unidad</t>
        </is>
      </c>
      <c r="I829" s="7" t="inlineStr">
        <is>
          <t>Instalaciones</t>
        </is>
      </c>
      <c r="J829" s="7" t="inlineStr">
        <is>
          <t>estandar</t>
        </is>
      </c>
      <c r="K829" s="7" t="inlineStr">
        <is>
          <t>importado</t>
        </is>
      </c>
      <c r="L829" s="7" t="inlineStr">
        <is>
          <t>Verificado</t>
        </is>
      </c>
      <c r="M829" s="8" t="n">
        <v>1</v>
      </c>
      <c r="N829" s="9" t="n">
        <v>19389.02</v>
      </c>
      <c r="O829" s="9" t="n">
        <v>19389.02</v>
      </c>
      <c r="P829" s="9" t="n">
        <v>19389.02</v>
      </c>
      <c r="Q829" s="7" t="inlineStr">
        <is>
          <t>Sí</t>
        </is>
      </c>
      <c r="R829" s="9">
        <f>IF(N829="","",IF(Q829="Sí",ROUND(N829/1.18,2),N829))</f>
        <v/>
      </c>
      <c r="S829" s="7" t="inlineStr">
        <is>
          <t>2026-09-09</t>
        </is>
      </c>
      <c r="T829" s="5" t="inlineStr">
        <is>
          <t>1 cotización de proveedores</t>
        </is>
      </c>
    </row>
    <row r="830">
      <c r="A830" s="7" t="inlineStr">
        <is>
          <t>MAT-24-026</t>
        </is>
      </c>
      <c r="B830" s="7" t="inlineStr">
        <is>
          <t>Materiales</t>
        </is>
      </c>
      <c r="C830" s="7" t="inlineStr">
        <is>
          <t>Inodoros y urinarios</t>
        </is>
      </c>
      <c r="D830" s="5" t="inlineStr">
        <is>
          <t>Inodoro Rivoli Plus One Piece, blanco</t>
        </is>
      </c>
      <c r="E830" s="5" t="inlineStr">
        <is>
          <t>marca HELVEX · color blanco · referencia BLANCO</t>
        </is>
      </c>
      <c r="F830" s="5" t="inlineStr">
        <is>
          <t>Material retirado en almacén</t>
        </is>
      </c>
      <c r="G830" s="5" t="inlineStr">
        <is>
          <t>inodoro, taza de baño, wc</t>
        </is>
      </c>
      <c r="H830" s="7" t="inlineStr">
        <is>
          <t>unidad</t>
        </is>
      </c>
      <c r="I830" s="7" t="inlineStr">
        <is>
          <t>Instalaciones</t>
        </is>
      </c>
      <c r="J830" s="7" t="inlineStr">
        <is>
          <t>estandar</t>
        </is>
      </c>
      <c r="K830" s="7" t="inlineStr">
        <is>
          <t>importado</t>
        </is>
      </c>
      <c r="L830" s="7" t="inlineStr">
        <is>
          <t>Verificado</t>
        </is>
      </c>
      <c r="M830" s="8" t="n">
        <v>1</v>
      </c>
      <c r="N830" s="9" t="n">
        <v>27004.54</v>
      </c>
      <c r="O830" s="9" t="n">
        <v>27004.54</v>
      </c>
      <c r="P830" s="9" t="n">
        <v>27004.54</v>
      </c>
      <c r="Q830" s="7" t="inlineStr">
        <is>
          <t>Sí</t>
        </is>
      </c>
      <c r="R830" s="9">
        <f>IF(N830="","",IF(Q830="Sí",ROUND(N830/1.18,2),N830))</f>
        <v/>
      </c>
      <c r="S830" s="7" t="inlineStr">
        <is>
          <t>2026-09-09</t>
        </is>
      </c>
      <c r="T830" s="5" t="inlineStr">
        <is>
          <t>1 cotización de proveedores</t>
        </is>
      </c>
    </row>
    <row r="831">
      <c r="A831" s="7" t="inlineStr">
        <is>
          <t>MAT-24-027</t>
        </is>
      </c>
      <c r="B831" s="7" t="inlineStr">
        <is>
          <t>Materiales</t>
        </is>
      </c>
      <c r="C831" s="7" t="inlineStr">
        <is>
          <t>Inodoros y urinarios</t>
        </is>
      </c>
      <c r="D831" s="5" t="inlineStr">
        <is>
          <t>Inodoro suspendido Genius + Cisterna, blanco</t>
        </is>
      </c>
      <c r="E831" s="5" t="inlineStr">
        <is>
          <t>marca ULTRA · color blanco · referencia 1907BLANCO</t>
        </is>
      </c>
      <c r="F831" s="5" t="inlineStr">
        <is>
          <t>Material retirado en almacén</t>
        </is>
      </c>
      <c r="G831" s="5" t="inlineStr">
        <is>
          <t>inodoro, taza de baño, wc</t>
        </is>
      </c>
      <c r="H831" s="7" t="inlineStr">
        <is>
          <t>unidad</t>
        </is>
      </c>
      <c r="I831" s="7" t="inlineStr">
        <is>
          <t>Instalaciones</t>
        </is>
      </c>
      <c r="J831" s="7" t="inlineStr">
        <is>
          <t>estandar</t>
        </is>
      </c>
      <c r="K831" s="7" t="inlineStr">
        <is>
          <t>importado</t>
        </is>
      </c>
      <c r="L831" s="7" t="inlineStr">
        <is>
          <t>Verificado</t>
        </is>
      </c>
      <c r="M831" s="8" t="n">
        <v>1</v>
      </c>
      <c r="N831" s="9" t="n">
        <v>27009.41</v>
      </c>
      <c r="O831" s="9" t="n">
        <v>27009.41</v>
      </c>
      <c r="P831" s="9" t="n">
        <v>27009.41</v>
      </c>
      <c r="Q831" s="7" t="inlineStr">
        <is>
          <t>Sí</t>
        </is>
      </c>
      <c r="R831" s="9">
        <f>IF(N831="","",IF(Q831="Sí",ROUND(N831/1.18,2),N831))</f>
        <v/>
      </c>
      <c r="S831" s="7" t="inlineStr">
        <is>
          <t>2026-09-09</t>
        </is>
      </c>
      <c r="T831" s="5" t="inlineStr">
        <is>
          <t>1 cotización de proveedores</t>
        </is>
      </c>
    </row>
    <row r="832">
      <c r="A832" s="7" t="inlineStr">
        <is>
          <t>MAT-24-028</t>
        </is>
      </c>
      <c r="B832" s="7" t="inlineStr">
        <is>
          <t>Materiales</t>
        </is>
      </c>
      <c r="C832" s="7" t="inlineStr">
        <is>
          <t>Inodoros y urinarios</t>
        </is>
      </c>
      <c r="D832" s="5" t="inlineStr">
        <is>
          <t>Inodoro Miura 16, blanco</t>
        </is>
      </c>
      <c r="E832" s="5" t="inlineStr">
        <is>
          <t>marca HELVEX · color blanco · referencia WCMIURA16BLANCO</t>
        </is>
      </c>
      <c r="F832" s="5" t="inlineStr">
        <is>
          <t>Material retirado en almacén</t>
        </is>
      </c>
      <c r="G832" s="5" t="inlineStr">
        <is>
          <t>inodoro, taza de baño, wc</t>
        </is>
      </c>
      <c r="H832" s="7" t="inlineStr">
        <is>
          <t>unidad</t>
        </is>
      </c>
      <c r="I832" s="7" t="inlineStr">
        <is>
          <t>Instalaciones</t>
        </is>
      </c>
      <c r="J832" s="7" t="inlineStr">
        <is>
          <t>estandar</t>
        </is>
      </c>
      <c r="K832" s="7" t="inlineStr">
        <is>
          <t>importado</t>
        </is>
      </c>
      <c r="L832" s="7" t="inlineStr">
        <is>
          <t>Verificado</t>
        </is>
      </c>
      <c r="M832" s="8" t="n">
        <v>1</v>
      </c>
      <c r="N832" s="9" t="n">
        <v>32824.98</v>
      </c>
      <c r="O832" s="9" t="n">
        <v>32824.98</v>
      </c>
      <c r="P832" s="9" t="n">
        <v>32824.98</v>
      </c>
      <c r="Q832" s="7" t="inlineStr">
        <is>
          <t>Sí</t>
        </is>
      </c>
      <c r="R832" s="9">
        <f>IF(N832="","",IF(Q832="Sí",ROUND(N832/1.18,2),N832))</f>
        <v/>
      </c>
      <c r="S832" s="7" t="inlineStr">
        <is>
          <t>2026-09-09</t>
        </is>
      </c>
      <c r="T832" s="5" t="inlineStr">
        <is>
          <t>1 cotización de proveedores</t>
        </is>
      </c>
    </row>
    <row r="833">
      <c r="A833" s="7" t="inlineStr">
        <is>
          <t>MAT-24-029</t>
        </is>
      </c>
      <c r="B833" s="7" t="inlineStr">
        <is>
          <t>Materiales</t>
        </is>
      </c>
      <c r="C833" s="7" t="inlineStr">
        <is>
          <t>Inodoros y urinarios</t>
        </is>
      </c>
      <c r="D833" s="5" t="inlineStr">
        <is>
          <t>Inodoro Op Capri Plus 4.8 Lpd</t>
        </is>
      </c>
      <c r="E833" s="5" t="inlineStr">
        <is>
          <t>marca HELVEX · referencia OPCARPIPLUSB</t>
        </is>
      </c>
      <c r="F833" s="5" t="inlineStr">
        <is>
          <t>Material retirado en almacén</t>
        </is>
      </c>
      <c r="G833" s="5" t="inlineStr">
        <is>
          <t>inodoro, taza de baño, wc</t>
        </is>
      </c>
      <c r="H833" s="7" t="inlineStr">
        <is>
          <t>unidad</t>
        </is>
      </c>
      <c r="I833" s="7" t="inlineStr">
        <is>
          <t>Instalaciones</t>
        </is>
      </c>
      <c r="J833" s="7" t="inlineStr">
        <is>
          <t>estandar</t>
        </is>
      </c>
      <c r="K833" s="7" t="inlineStr">
        <is>
          <t>importado</t>
        </is>
      </c>
      <c r="L833" s="7" t="inlineStr">
        <is>
          <t>Verificado</t>
        </is>
      </c>
      <c r="M833" s="8" t="n">
        <v>1</v>
      </c>
      <c r="N833" s="9" t="n">
        <v>34487.85</v>
      </c>
      <c r="O833" s="9" t="n">
        <v>34487.85</v>
      </c>
      <c r="P833" s="9" t="n">
        <v>34487.85</v>
      </c>
      <c r="Q833" s="7" t="inlineStr">
        <is>
          <t>Sí</t>
        </is>
      </c>
      <c r="R833" s="9">
        <f>IF(N833="","",IF(Q833="Sí",ROUND(N833/1.18,2),N833))</f>
        <v/>
      </c>
      <c r="S833" s="7" t="inlineStr">
        <is>
          <t>2026-09-09</t>
        </is>
      </c>
      <c r="T833" s="5" t="inlineStr">
        <is>
          <t>1 cotización de proveedores</t>
        </is>
      </c>
    </row>
    <row r="834">
      <c r="A834" s="7" t="inlineStr">
        <is>
          <t>MAT-24-030</t>
        </is>
      </c>
      <c r="B834" s="7" t="inlineStr">
        <is>
          <t>Materiales</t>
        </is>
      </c>
      <c r="C834" s="7" t="inlineStr">
        <is>
          <t>Inodoros y urinarios</t>
        </is>
      </c>
      <c r="D834" s="5" t="inlineStr">
        <is>
          <t>Tanque Para Inodoro Bellini, blanco</t>
        </is>
      </c>
      <c r="E834" s="5" t="inlineStr">
        <is>
          <t>marca CATO · color blanco · referencia BLANCO</t>
        </is>
      </c>
      <c r="F834" s="5" t="inlineStr">
        <is>
          <t>Material retirado en almacén</t>
        </is>
      </c>
      <c r="G834" s="5" t="inlineStr">
        <is>
          <t>tanque de inodoro, cisterna</t>
        </is>
      </c>
      <c r="H834" s="7" t="inlineStr">
        <is>
          <t>unidad</t>
        </is>
      </c>
      <c r="I834" s="7" t="inlineStr">
        <is>
          <t>Instalaciones</t>
        </is>
      </c>
      <c r="J834" s="7" t="inlineStr">
        <is>
          <t>estandar</t>
        </is>
      </c>
      <c r="K834" s="7" t="inlineStr">
        <is>
          <t>importado</t>
        </is>
      </c>
      <c r="L834" s="7" t="inlineStr">
        <is>
          <t>Verificado</t>
        </is>
      </c>
      <c r="M834" s="8" t="n">
        <v>1</v>
      </c>
      <c r="N834" s="9" t="n">
        <v>586.47</v>
      </c>
      <c r="O834" s="9" t="n">
        <v>586.47</v>
      </c>
      <c r="P834" s="9" t="n">
        <v>586.47</v>
      </c>
      <c r="Q834" s="7" t="inlineStr">
        <is>
          <t>Sí</t>
        </is>
      </c>
      <c r="R834" s="9">
        <f>IF(N834="","",IF(Q834="Sí",ROUND(N834/1.18,2),N834))</f>
        <v/>
      </c>
      <c r="S834" s="7" t="inlineStr">
        <is>
          <t>2026-09-09</t>
        </is>
      </c>
      <c r="T834" s="5" t="inlineStr">
        <is>
          <t>1 cotización de proveedores</t>
        </is>
      </c>
    </row>
    <row r="835">
      <c r="A835" s="7" t="inlineStr">
        <is>
          <t>MAT-24-031</t>
        </is>
      </c>
      <c r="B835" s="7" t="inlineStr">
        <is>
          <t>Materiales</t>
        </is>
      </c>
      <c r="C835" s="7" t="inlineStr">
        <is>
          <t>Inodoros y urinarios</t>
        </is>
      </c>
      <c r="D835" s="5" t="inlineStr">
        <is>
          <t>Tanque Ceres, blanco</t>
        </is>
      </c>
      <c r="E835" s="5" t="inlineStr">
        <is>
          <t>marca ULTRA · color blanco · referencia BLANCO</t>
        </is>
      </c>
      <c r="F835" s="5" t="inlineStr">
        <is>
          <t>Material retirado en almacén</t>
        </is>
      </c>
      <c r="G835" s="5" t="inlineStr">
        <is>
          <t>tanque de inodoro, cisterna</t>
        </is>
      </c>
      <c r="H835" s="7" t="inlineStr">
        <is>
          <t>unidad</t>
        </is>
      </c>
      <c r="I835" s="7" t="inlineStr">
        <is>
          <t>Instalaciones</t>
        </is>
      </c>
      <c r="J835" s="7" t="inlineStr">
        <is>
          <t>estandar</t>
        </is>
      </c>
      <c r="K835" s="7" t="inlineStr">
        <is>
          <t>importado</t>
        </is>
      </c>
      <c r="L835" s="7" t="inlineStr">
        <is>
          <t>Verificado</t>
        </is>
      </c>
      <c r="M835" s="8" t="n">
        <v>1</v>
      </c>
      <c r="N835" s="9" t="n">
        <v>1220.26</v>
      </c>
      <c r="O835" s="9" t="n">
        <v>1220.26</v>
      </c>
      <c r="P835" s="9" t="n">
        <v>1220.26</v>
      </c>
      <c r="Q835" s="7" t="inlineStr">
        <is>
          <t>Sí</t>
        </is>
      </c>
      <c r="R835" s="9">
        <f>IF(N835="","",IF(Q835="Sí",ROUND(N835/1.18,2),N835))</f>
        <v/>
      </c>
      <c r="S835" s="7" t="inlineStr">
        <is>
          <t>2026-09-09</t>
        </is>
      </c>
      <c r="T835" s="5" t="inlineStr">
        <is>
          <t>1 cotización de proveedores</t>
        </is>
      </c>
    </row>
    <row r="836">
      <c r="A836" s="7" t="inlineStr">
        <is>
          <t>MAT-24-032</t>
        </is>
      </c>
      <c r="B836" s="7" t="inlineStr">
        <is>
          <t>Materiales</t>
        </is>
      </c>
      <c r="C836" s="7" t="inlineStr">
        <is>
          <t>Inodoros y urinarios</t>
        </is>
      </c>
      <c r="D836" s="5" t="inlineStr">
        <is>
          <t>Tanque Toronto Ii Ada Manija, marfil</t>
        </is>
      </c>
      <c r="E836" s="5" t="inlineStr">
        <is>
          <t>marca ULTRA · color marfil · referencia KLIPENIVORY</t>
        </is>
      </c>
      <c r="F836" s="5" t="inlineStr">
        <is>
          <t>Material retirado en almacén</t>
        </is>
      </c>
      <c r="G836" s="5" t="inlineStr">
        <is>
          <t>tanque de inodoro, cisterna</t>
        </is>
      </c>
      <c r="H836" s="7" t="inlineStr">
        <is>
          <t>unidad</t>
        </is>
      </c>
      <c r="I836" s="7" t="inlineStr">
        <is>
          <t>Instalaciones</t>
        </is>
      </c>
      <c r="J836" s="7" t="inlineStr">
        <is>
          <t>estandar</t>
        </is>
      </c>
      <c r="K836" s="7" t="inlineStr">
        <is>
          <t>importado</t>
        </is>
      </c>
      <c r="L836" s="7" t="inlineStr">
        <is>
          <t>Verificado</t>
        </is>
      </c>
      <c r="M836" s="8" t="n">
        <v>1</v>
      </c>
      <c r="N836" s="9" t="n">
        <v>1707.44</v>
      </c>
      <c r="O836" s="9" t="n">
        <v>1707.44</v>
      </c>
      <c r="P836" s="9" t="n">
        <v>1707.44</v>
      </c>
      <c r="Q836" s="7" t="inlineStr">
        <is>
          <t>Sí</t>
        </is>
      </c>
      <c r="R836" s="9">
        <f>IF(N836="","",IF(Q836="Sí",ROUND(N836/1.18,2),N836))</f>
        <v/>
      </c>
      <c r="S836" s="7" t="inlineStr">
        <is>
          <t>2026-09-09</t>
        </is>
      </c>
      <c r="T836" s="5" t="inlineStr">
        <is>
          <t>1 cotización de proveedores</t>
        </is>
      </c>
    </row>
    <row r="837">
      <c r="A837" s="7" t="inlineStr">
        <is>
          <t>MAT-24-033</t>
        </is>
      </c>
      <c r="B837" s="7" t="inlineStr">
        <is>
          <t>Materiales</t>
        </is>
      </c>
      <c r="C837" s="7" t="inlineStr">
        <is>
          <t>Inodoros y urinarios</t>
        </is>
      </c>
      <c r="D837" s="5" t="inlineStr">
        <is>
          <t>Tanque Lucas redondo 3'' 4.8 Lpd, blanco</t>
        </is>
      </c>
      <c r="E837" s="5" t="inlineStr">
        <is>
          <t>marca CATO · color blanco · referencia BLANCO</t>
        </is>
      </c>
      <c r="F837" s="5" t="inlineStr">
        <is>
          <t>Material retirado en almacén</t>
        </is>
      </c>
      <c r="G837" s="5" t="inlineStr">
        <is>
          <t>tanque de inodoro, cisterna</t>
        </is>
      </c>
      <c r="H837" s="7" t="inlineStr">
        <is>
          <t>unidad</t>
        </is>
      </c>
      <c r="I837" s="7" t="inlineStr">
        <is>
          <t>Instalaciones</t>
        </is>
      </c>
      <c r="J837" s="7" t="inlineStr">
        <is>
          <t>estandar</t>
        </is>
      </c>
      <c r="K837" s="7" t="inlineStr">
        <is>
          <t>importado</t>
        </is>
      </c>
      <c r="L837" s="7" t="inlineStr">
        <is>
          <t>Verificado</t>
        </is>
      </c>
      <c r="M837" s="8" t="n">
        <v>1</v>
      </c>
      <c r="N837" s="9" t="n">
        <v>2559.07</v>
      </c>
      <c r="O837" s="9" t="n">
        <v>2559.07</v>
      </c>
      <c r="P837" s="9" t="n">
        <v>2559.07</v>
      </c>
      <c r="Q837" s="7" t="inlineStr">
        <is>
          <t>Sí</t>
        </is>
      </c>
      <c r="R837" s="9">
        <f>IF(N837="","",IF(Q837="Sí",ROUND(N837/1.18,2),N837))</f>
        <v/>
      </c>
      <c r="S837" s="7" t="inlineStr">
        <is>
          <t>2026-09-09</t>
        </is>
      </c>
      <c r="T837" s="5" t="inlineStr">
        <is>
          <t>1 cotización de proveedores</t>
        </is>
      </c>
    </row>
    <row r="838">
      <c r="A838" s="7" t="inlineStr">
        <is>
          <t>MAT-24-034</t>
        </is>
      </c>
      <c r="B838" s="7" t="inlineStr">
        <is>
          <t>Materiales</t>
        </is>
      </c>
      <c r="C838" s="7" t="inlineStr">
        <is>
          <t>Inodoros y urinarios</t>
        </is>
      </c>
      <c r="D838" s="5" t="inlineStr">
        <is>
          <t>Tanque Artemis Push 710 x 415 x 800 Mm, blanco</t>
        </is>
      </c>
      <c r="E838" s="5" t="inlineStr">
        <is>
          <t>marca ULTRA · color blanco · referencia 2758BLANCO</t>
        </is>
      </c>
      <c r="F838" s="5" t="inlineStr">
        <is>
          <t>Material retirado en almacén</t>
        </is>
      </c>
      <c r="G838" s="5" t="inlineStr">
        <is>
          <t>tanque de inodoro, cisterna</t>
        </is>
      </c>
      <c r="H838" s="7" t="inlineStr">
        <is>
          <t>unidad</t>
        </is>
      </c>
      <c r="I838" s="7" t="inlineStr">
        <is>
          <t>Instalaciones</t>
        </is>
      </c>
      <c r="J838" s="7" t="inlineStr">
        <is>
          <t>estandar</t>
        </is>
      </c>
      <c r="K838" s="7" t="inlineStr">
        <is>
          <t>importado</t>
        </is>
      </c>
      <c r="L838" s="7" t="inlineStr">
        <is>
          <t>Verificado</t>
        </is>
      </c>
      <c r="M838" s="8" t="n">
        <v>1</v>
      </c>
      <c r="N838" s="9" t="n">
        <v>2587.8</v>
      </c>
      <c r="O838" s="9" t="n">
        <v>2587.8</v>
      </c>
      <c r="P838" s="9" t="n">
        <v>2587.8</v>
      </c>
      <c r="Q838" s="7" t="inlineStr">
        <is>
          <t>Sí</t>
        </is>
      </c>
      <c r="R838" s="9">
        <f>IF(N838="","",IF(Q838="Sí",ROUND(N838/1.18,2),N838))</f>
        <v/>
      </c>
      <c r="S838" s="7" t="inlineStr">
        <is>
          <t>2026-09-09</t>
        </is>
      </c>
      <c r="T838" s="5" t="inlineStr">
        <is>
          <t>1 cotización de proveedores</t>
        </is>
      </c>
    </row>
    <row r="839">
      <c r="A839" s="7" t="inlineStr">
        <is>
          <t>MAT-24-035</t>
        </is>
      </c>
      <c r="B839" s="7" t="inlineStr">
        <is>
          <t>Materiales</t>
        </is>
      </c>
      <c r="C839" s="7" t="inlineStr">
        <is>
          <t>Inodoros y urinarios</t>
        </is>
      </c>
      <c r="D839" s="5" t="inlineStr">
        <is>
          <t>Tanque Aguazul Calidad Universal, blanco</t>
        </is>
      </c>
      <c r="E839" s="5" t="inlineStr">
        <is>
          <t>marca CATO · color blanco · referencia BLANCO</t>
        </is>
      </c>
      <c r="F839" s="5" t="inlineStr">
        <is>
          <t>Material retirado en almacén</t>
        </is>
      </c>
      <c r="G839" s="5" t="inlineStr">
        <is>
          <t>tanque de inodoro, cisterna</t>
        </is>
      </c>
      <c r="H839" s="7" t="inlineStr">
        <is>
          <t>unidad</t>
        </is>
      </c>
      <c r="I839" s="7" t="inlineStr">
        <is>
          <t>Instalaciones</t>
        </is>
      </c>
      <c r="J839" s="7" t="inlineStr">
        <is>
          <t>estandar</t>
        </is>
      </c>
      <c r="K839" s="7" t="inlineStr">
        <is>
          <t>importado</t>
        </is>
      </c>
      <c r="L839" s="7" t="inlineStr">
        <is>
          <t>Verificado</t>
        </is>
      </c>
      <c r="M839" s="8" t="n">
        <v>1</v>
      </c>
      <c r="N839" s="9" t="n">
        <v>2732.09</v>
      </c>
      <c r="O839" s="9" t="n">
        <v>2732.09</v>
      </c>
      <c r="P839" s="9" t="n">
        <v>2732.09</v>
      </c>
      <c r="Q839" s="7" t="inlineStr">
        <is>
          <t>Sí</t>
        </is>
      </c>
      <c r="R839" s="9">
        <f>IF(N839="","",IF(Q839="Sí",ROUND(N839/1.18,2),N839))</f>
        <v/>
      </c>
      <c r="S839" s="7" t="inlineStr">
        <is>
          <t>2026-09-09</t>
        </is>
      </c>
      <c r="T839" s="5" t="inlineStr">
        <is>
          <t>1 cotización de proveedores</t>
        </is>
      </c>
    </row>
    <row r="840">
      <c r="A840" s="7" t="inlineStr">
        <is>
          <t>MAT-24-036</t>
        </is>
      </c>
      <c r="B840" s="7" t="inlineStr">
        <is>
          <t>Materiales</t>
        </is>
      </c>
      <c r="C840" s="7" t="inlineStr">
        <is>
          <t>Inodoros y urinarios</t>
        </is>
      </c>
      <c r="D840" s="5" t="inlineStr">
        <is>
          <t>Tanque Para Inodoro Milenio, blanco</t>
        </is>
      </c>
      <c r="E840" s="5" t="inlineStr">
        <is>
          <t>marca CATO · color blanco · referencia BLANCO</t>
        </is>
      </c>
      <c r="F840" s="5" t="inlineStr">
        <is>
          <t>Material retirado en almacén</t>
        </is>
      </c>
      <c r="G840" s="5" t="inlineStr">
        <is>
          <t>tanque de inodoro, cisterna</t>
        </is>
      </c>
      <c r="H840" s="7" t="inlineStr">
        <is>
          <t>unidad</t>
        </is>
      </c>
      <c r="I840" s="7" t="inlineStr">
        <is>
          <t>Instalaciones</t>
        </is>
      </c>
      <c r="J840" s="7" t="inlineStr">
        <is>
          <t>estandar</t>
        </is>
      </c>
      <c r="K840" s="7" t="inlineStr">
        <is>
          <t>importado</t>
        </is>
      </c>
      <c r="L840" s="7" t="inlineStr">
        <is>
          <t>Verificado</t>
        </is>
      </c>
      <c r="M840" s="8" t="n">
        <v>1</v>
      </c>
      <c r="N840" s="9" t="n">
        <v>2942.09</v>
      </c>
      <c r="O840" s="9" t="n">
        <v>2942.09</v>
      </c>
      <c r="P840" s="9" t="n">
        <v>2942.09</v>
      </c>
      <c r="Q840" s="7" t="inlineStr">
        <is>
          <t>Sí</t>
        </is>
      </c>
      <c r="R840" s="9">
        <f>IF(N840="","",IF(Q840="Sí",ROUND(N840/1.18,2),N840))</f>
        <v/>
      </c>
      <c r="S840" s="7" t="inlineStr">
        <is>
          <t>2026-09-09</t>
        </is>
      </c>
      <c r="T840" s="5" t="inlineStr">
        <is>
          <t>1 cotización de proveedores</t>
        </is>
      </c>
    </row>
    <row r="841">
      <c r="A841" s="7" t="inlineStr">
        <is>
          <t>MAT-24-037</t>
        </is>
      </c>
      <c r="B841" s="7" t="inlineStr">
        <is>
          <t>Materiales</t>
        </is>
      </c>
      <c r="C841" s="7" t="inlineStr">
        <is>
          <t>Inodoros y urinarios</t>
        </is>
      </c>
      <c r="D841" s="5" t="inlineStr">
        <is>
          <t>Tanque Para Inodoro Zurich, blanco</t>
        </is>
      </c>
      <c r="E841" s="5" t="inlineStr">
        <is>
          <t>marca CATO · color blanco · referencia BLANCO</t>
        </is>
      </c>
      <c r="F841" s="5" t="inlineStr">
        <is>
          <t>Material retirado en almacén</t>
        </is>
      </c>
      <c r="G841" s="5" t="inlineStr">
        <is>
          <t>tanque de inodoro, cisterna</t>
        </is>
      </c>
      <c r="H841" s="7" t="inlineStr">
        <is>
          <t>unidad</t>
        </is>
      </c>
      <c r="I841" s="7" t="inlineStr">
        <is>
          <t>Instalaciones</t>
        </is>
      </c>
      <c r="J841" s="7" t="inlineStr">
        <is>
          <t>estandar</t>
        </is>
      </c>
      <c r="K841" s="7" t="inlineStr">
        <is>
          <t>importado</t>
        </is>
      </c>
      <c r="L841" s="7" t="inlineStr">
        <is>
          <t>Verificado</t>
        </is>
      </c>
      <c r="M841" s="8" t="n">
        <v>1</v>
      </c>
      <c r="N841" s="9" t="n">
        <v>2953.4</v>
      </c>
      <c r="O841" s="9" t="n">
        <v>2953.4</v>
      </c>
      <c r="P841" s="9" t="n">
        <v>2953.4</v>
      </c>
      <c r="Q841" s="7" t="inlineStr">
        <is>
          <t>Sí</t>
        </is>
      </c>
      <c r="R841" s="9">
        <f>IF(N841="","",IF(Q841="Sí",ROUND(N841/1.18,2),N841))</f>
        <v/>
      </c>
      <c r="S841" s="7" t="inlineStr">
        <is>
          <t>2026-09-09</t>
        </is>
      </c>
      <c r="T841" s="5" t="inlineStr">
        <is>
          <t>1 cotización de proveedores</t>
        </is>
      </c>
    </row>
    <row r="842">
      <c r="A842" s="7" t="inlineStr">
        <is>
          <t>MAT-24-038</t>
        </is>
      </c>
      <c r="B842" s="7" t="inlineStr">
        <is>
          <t>Materiales</t>
        </is>
      </c>
      <c r="C842" s="7" t="inlineStr">
        <is>
          <t>Inodoros y urinarios</t>
        </is>
      </c>
      <c r="D842" s="5" t="inlineStr">
        <is>
          <t>Tanque 3'' Lucas 4.8, negro</t>
        </is>
      </c>
      <c r="E842" s="5" t="inlineStr">
        <is>
          <t>marca CATO · color negro · referencia NEGRO</t>
        </is>
      </c>
      <c r="F842" s="5" t="inlineStr">
        <is>
          <t>Material retirado en almacén</t>
        </is>
      </c>
      <c r="G842" s="5" t="inlineStr">
        <is>
          <t>tanque de inodoro, cisterna</t>
        </is>
      </c>
      <c r="H842" s="7" t="inlineStr">
        <is>
          <t>unidad</t>
        </is>
      </c>
      <c r="I842" s="7" t="inlineStr">
        <is>
          <t>Instalaciones</t>
        </is>
      </c>
      <c r="J842" s="7" t="inlineStr">
        <is>
          <t>estandar</t>
        </is>
      </c>
      <c r="K842" s="7" t="inlineStr">
        <is>
          <t>importado</t>
        </is>
      </c>
      <c r="L842" s="7" t="inlineStr">
        <is>
          <t>Verificado</t>
        </is>
      </c>
      <c r="M842" s="8" t="n">
        <v>1</v>
      </c>
      <c r="N842" s="9" t="n">
        <v>3205.05</v>
      </c>
      <c r="O842" s="9" t="n">
        <v>3205.05</v>
      </c>
      <c r="P842" s="9" t="n">
        <v>3205.05</v>
      </c>
      <c r="Q842" s="7" t="inlineStr">
        <is>
          <t>Sí</t>
        </is>
      </c>
      <c r="R842" s="9">
        <f>IF(N842="","",IF(Q842="Sí",ROUND(N842/1.18,2),N842))</f>
        <v/>
      </c>
      <c r="S842" s="7" t="inlineStr">
        <is>
          <t>2026-09-09</t>
        </is>
      </c>
      <c r="T842" s="5" t="inlineStr">
        <is>
          <t>1 cotización de proveedores</t>
        </is>
      </c>
    </row>
    <row r="843">
      <c r="A843" s="7" t="inlineStr">
        <is>
          <t>MAT-24-039</t>
        </is>
      </c>
      <c r="B843" s="7" t="inlineStr">
        <is>
          <t>Materiales</t>
        </is>
      </c>
      <c r="C843" s="7" t="inlineStr">
        <is>
          <t>Inodoros y urinarios</t>
        </is>
      </c>
      <c r="D843" s="5" t="inlineStr">
        <is>
          <t>Tanque Milenio, marfil</t>
        </is>
      </c>
      <c r="E843" s="5" t="inlineStr">
        <is>
          <t>marca CATO · color marfil · referencia MARFIL</t>
        </is>
      </c>
      <c r="F843" s="5" t="inlineStr">
        <is>
          <t>Material retirado en almacén</t>
        </is>
      </c>
      <c r="G843" s="5" t="inlineStr">
        <is>
          <t>tanque de inodoro, cisterna</t>
        </is>
      </c>
      <c r="H843" s="7" t="inlineStr">
        <is>
          <t>unidad</t>
        </is>
      </c>
      <c r="I843" s="7" t="inlineStr">
        <is>
          <t>Instalaciones</t>
        </is>
      </c>
      <c r="J843" s="7" t="inlineStr">
        <is>
          <t>estandar</t>
        </is>
      </c>
      <c r="K843" s="7" t="inlineStr">
        <is>
          <t>importado</t>
        </is>
      </c>
      <c r="L843" s="7" t="inlineStr">
        <is>
          <t>Verificado</t>
        </is>
      </c>
      <c r="M843" s="8" t="n">
        <v>1</v>
      </c>
      <c r="N843" s="9" t="n">
        <v>3281.77</v>
      </c>
      <c r="O843" s="9" t="n">
        <v>3281.77</v>
      </c>
      <c r="P843" s="9" t="n">
        <v>3281.77</v>
      </c>
      <c r="Q843" s="7" t="inlineStr">
        <is>
          <t>Sí</t>
        </is>
      </c>
      <c r="R843" s="9">
        <f>IF(N843="","",IF(Q843="Sí",ROUND(N843/1.18,2),N843))</f>
        <v/>
      </c>
      <c r="S843" s="7" t="inlineStr">
        <is>
          <t>2026-09-09</t>
        </is>
      </c>
      <c r="T843" s="5" t="inlineStr">
        <is>
          <t>1 cotización de proveedores</t>
        </is>
      </c>
    </row>
    <row r="844">
      <c r="A844" s="7" t="inlineStr">
        <is>
          <t>MAT-24-040</t>
        </is>
      </c>
      <c r="B844" s="7" t="inlineStr">
        <is>
          <t>Materiales</t>
        </is>
      </c>
      <c r="C844" s="7" t="inlineStr">
        <is>
          <t>Inodoros y urinarios</t>
        </is>
      </c>
      <c r="D844" s="5" t="inlineStr">
        <is>
          <t>Tanque Para Inodoro Zurich, marfil</t>
        </is>
      </c>
      <c r="E844" s="5" t="inlineStr">
        <is>
          <t>marca CATO · color marfil · referencia MARFIL</t>
        </is>
      </c>
      <c r="F844" s="5" t="inlineStr">
        <is>
          <t>Material retirado en almacén</t>
        </is>
      </c>
      <c r="G844" s="5" t="inlineStr">
        <is>
          <t>tanque de inodoro, cisterna</t>
        </is>
      </c>
      <c r="H844" s="7" t="inlineStr">
        <is>
          <t>unidad</t>
        </is>
      </c>
      <c r="I844" s="7" t="inlineStr">
        <is>
          <t>Instalaciones</t>
        </is>
      </c>
      <c r="J844" s="7" t="inlineStr">
        <is>
          <t>estandar</t>
        </is>
      </c>
      <c r="K844" s="7" t="inlineStr">
        <is>
          <t>importado</t>
        </is>
      </c>
      <c r="L844" s="7" t="inlineStr">
        <is>
          <t>Verificado</t>
        </is>
      </c>
      <c r="M844" s="8" t="n">
        <v>1</v>
      </c>
      <c r="N844" s="9" t="n">
        <v>3294.37</v>
      </c>
      <c r="O844" s="9" t="n">
        <v>3294.37</v>
      </c>
      <c r="P844" s="9" t="n">
        <v>3294.37</v>
      </c>
      <c r="Q844" s="7" t="inlineStr">
        <is>
          <t>Sí</t>
        </is>
      </c>
      <c r="R844" s="9">
        <f>IF(N844="","",IF(Q844="Sí",ROUND(N844/1.18,2),N844))</f>
        <v/>
      </c>
      <c r="S844" s="7" t="inlineStr">
        <is>
          <t>2026-09-09</t>
        </is>
      </c>
      <c r="T844" s="5" t="inlineStr">
        <is>
          <t>1 cotización de proveedores</t>
        </is>
      </c>
    </row>
    <row r="845">
      <c r="A845" s="7" t="inlineStr">
        <is>
          <t>MAT-24-041</t>
        </is>
      </c>
      <c r="B845" s="7" t="inlineStr">
        <is>
          <t>Materiales</t>
        </is>
      </c>
      <c r="C845" s="7" t="inlineStr">
        <is>
          <t>Inodoros y urinarios</t>
        </is>
      </c>
      <c r="D845" s="5" t="inlineStr">
        <is>
          <t>Tanque Para Inodoro Jazmin, blanco</t>
        </is>
      </c>
      <c r="E845" s="5" t="inlineStr">
        <is>
          <t>marca CATO · color blanco · referencia BLANCO</t>
        </is>
      </c>
      <c r="F845" s="5" t="inlineStr">
        <is>
          <t>Material retirado en almacén</t>
        </is>
      </c>
      <c r="G845" s="5" t="inlineStr">
        <is>
          <t>tanque de inodoro, cisterna</t>
        </is>
      </c>
      <c r="H845" s="7" t="inlineStr">
        <is>
          <t>unidad</t>
        </is>
      </c>
      <c r="I845" s="7" t="inlineStr">
        <is>
          <t>Instalaciones</t>
        </is>
      </c>
      <c r="J845" s="7" t="inlineStr">
        <is>
          <t>estandar</t>
        </is>
      </c>
      <c r="K845" s="7" t="inlineStr">
        <is>
          <t>importado</t>
        </is>
      </c>
      <c r="L845" s="7" t="inlineStr">
        <is>
          <t>Verificado</t>
        </is>
      </c>
      <c r="M845" s="8" t="n">
        <v>1</v>
      </c>
      <c r="N845" s="9" t="n">
        <v>3353.81</v>
      </c>
      <c r="O845" s="9" t="n">
        <v>3353.81</v>
      </c>
      <c r="P845" s="9" t="n">
        <v>3353.81</v>
      </c>
      <c r="Q845" s="7" t="inlineStr">
        <is>
          <t>Sí</t>
        </is>
      </c>
      <c r="R845" s="9">
        <f>IF(N845="","",IF(Q845="Sí",ROUND(N845/1.18,2),N845))</f>
        <v/>
      </c>
      <c r="S845" s="7" t="inlineStr">
        <is>
          <t>2026-09-09</t>
        </is>
      </c>
      <c r="T845" s="5" t="inlineStr">
        <is>
          <t>1 cotización de proveedores</t>
        </is>
      </c>
    </row>
    <row r="846">
      <c r="A846" s="7" t="inlineStr">
        <is>
          <t>MAT-24-042</t>
        </is>
      </c>
      <c r="B846" s="7" t="inlineStr">
        <is>
          <t>Materiales</t>
        </is>
      </c>
      <c r="C846" s="7" t="inlineStr">
        <is>
          <t>Inodoros y urinarios</t>
        </is>
      </c>
      <c r="D846" s="5" t="inlineStr">
        <is>
          <t>Tanque Aguazul Calidad Universal, marfil</t>
        </is>
      </c>
      <c r="E846" s="5" t="inlineStr">
        <is>
          <t>marca CATO · color marfil · referencia MARFIL</t>
        </is>
      </c>
      <c r="F846" s="5" t="inlineStr">
        <is>
          <t>Material retirado en almacén</t>
        </is>
      </c>
      <c r="G846" s="5" t="inlineStr">
        <is>
          <t>tanque de inodoro, cisterna</t>
        </is>
      </c>
      <c r="H846" s="7" t="inlineStr">
        <is>
          <t>unidad</t>
        </is>
      </c>
      <c r="I846" s="7" t="inlineStr">
        <is>
          <t>Instalaciones</t>
        </is>
      </c>
      <c r="J846" s="7" t="inlineStr">
        <is>
          <t>estandar</t>
        </is>
      </c>
      <c r="K846" s="7" t="inlineStr">
        <is>
          <t>importado</t>
        </is>
      </c>
      <c r="L846" s="7" t="inlineStr">
        <is>
          <t>Verificado</t>
        </is>
      </c>
      <c r="M846" s="8" t="n">
        <v>1</v>
      </c>
      <c r="N846" s="9" t="n">
        <v>3460.52</v>
      </c>
      <c r="O846" s="9" t="n">
        <v>3460.52</v>
      </c>
      <c r="P846" s="9" t="n">
        <v>3460.52</v>
      </c>
      <c r="Q846" s="7" t="inlineStr">
        <is>
          <t>Sí</t>
        </is>
      </c>
      <c r="R846" s="9">
        <f>IF(N846="","",IF(Q846="Sí",ROUND(N846/1.18,2),N846))</f>
        <v/>
      </c>
      <c r="S846" s="7" t="inlineStr">
        <is>
          <t>2026-09-09</t>
        </is>
      </c>
      <c r="T846" s="5" t="inlineStr">
        <is>
          <t>1 cotización de proveedores</t>
        </is>
      </c>
    </row>
    <row r="847">
      <c r="A847" s="7" t="inlineStr">
        <is>
          <t>MAT-24-043</t>
        </is>
      </c>
      <c r="B847" s="7" t="inlineStr">
        <is>
          <t>Materiales</t>
        </is>
      </c>
      <c r="C847" s="7" t="inlineStr">
        <is>
          <t>Inodoros y urinarios</t>
        </is>
      </c>
      <c r="D847" s="5" t="inlineStr">
        <is>
          <t>Tanque Tango 3", blanco</t>
        </is>
      </c>
      <c r="E847" s="5" t="inlineStr">
        <is>
          <t>marca CATO · color blanco · referencia BLANCO</t>
        </is>
      </c>
      <c r="F847" s="5" t="inlineStr">
        <is>
          <t>Material retirado en almacén</t>
        </is>
      </c>
      <c r="G847" s="5" t="inlineStr">
        <is>
          <t>tanque de inodoro, cisterna</t>
        </is>
      </c>
      <c r="H847" s="7" t="inlineStr">
        <is>
          <t>unidad</t>
        </is>
      </c>
      <c r="I847" s="7" t="inlineStr">
        <is>
          <t>Instalaciones</t>
        </is>
      </c>
      <c r="J847" s="7" t="inlineStr">
        <is>
          <t>estandar</t>
        </is>
      </c>
      <c r="K847" s="7" t="inlineStr">
        <is>
          <t>importado</t>
        </is>
      </c>
      <c r="L847" s="7" t="inlineStr">
        <is>
          <t>Verificado</t>
        </is>
      </c>
      <c r="M847" s="8" t="n">
        <v>1</v>
      </c>
      <c r="N847" s="9" t="n">
        <v>3504.93</v>
      </c>
      <c r="O847" s="9" t="n">
        <v>3504.93</v>
      </c>
      <c r="P847" s="9" t="n">
        <v>3504.93</v>
      </c>
      <c r="Q847" s="7" t="inlineStr">
        <is>
          <t>Sí</t>
        </is>
      </c>
      <c r="R847" s="9">
        <f>IF(N847="","",IF(Q847="Sí",ROUND(N847/1.18,2),N847))</f>
        <v/>
      </c>
      <c r="S847" s="7" t="inlineStr">
        <is>
          <t>2026-09-09</t>
        </is>
      </c>
      <c r="T847" s="5" t="inlineStr">
        <is>
          <t>1 cotización de proveedores</t>
        </is>
      </c>
    </row>
    <row r="848">
      <c r="A848" s="7" t="inlineStr">
        <is>
          <t>MAT-24-044</t>
        </is>
      </c>
      <c r="B848" s="7" t="inlineStr">
        <is>
          <t>Materiales</t>
        </is>
      </c>
      <c r="C848" s="7" t="inlineStr">
        <is>
          <t>Inodoros y urinarios</t>
        </is>
      </c>
      <c r="D848" s="5" t="inlineStr">
        <is>
          <t>Tanque Para Inodoro Fiore, blanco</t>
        </is>
      </c>
      <c r="E848" s="5" t="inlineStr">
        <is>
          <t>marca CATO · color blanco · referencia BLANCO</t>
        </is>
      </c>
      <c r="F848" s="5" t="inlineStr">
        <is>
          <t>Material retirado en almacén</t>
        </is>
      </c>
      <c r="G848" s="5" t="inlineStr">
        <is>
          <t>tanque de inodoro, cisterna</t>
        </is>
      </c>
      <c r="H848" s="7" t="inlineStr">
        <is>
          <t>unidad</t>
        </is>
      </c>
      <c r="I848" s="7" t="inlineStr">
        <is>
          <t>Instalaciones</t>
        </is>
      </c>
      <c r="J848" s="7" t="inlineStr">
        <is>
          <t>estandar</t>
        </is>
      </c>
      <c r="K848" s="7" t="inlineStr">
        <is>
          <t>importado</t>
        </is>
      </c>
      <c r="L848" s="7" t="inlineStr">
        <is>
          <t>Verificado</t>
        </is>
      </c>
      <c r="M848" s="8" t="n">
        <v>1</v>
      </c>
      <c r="N848" s="9" t="n">
        <v>3523.85</v>
      </c>
      <c r="O848" s="9" t="n">
        <v>3523.85</v>
      </c>
      <c r="P848" s="9" t="n">
        <v>3523.85</v>
      </c>
      <c r="Q848" s="7" t="inlineStr">
        <is>
          <t>Sí</t>
        </is>
      </c>
      <c r="R848" s="9">
        <f>IF(N848="","",IF(Q848="Sí",ROUND(N848/1.18,2),N848))</f>
        <v/>
      </c>
      <c r="S848" s="7" t="inlineStr">
        <is>
          <t>2026-09-09</t>
        </is>
      </c>
      <c r="T848" s="5" t="inlineStr">
        <is>
          <t>1 cotización de proveedores</t>
        </is>
      </c>
    </row>
    <row r="849">
      <c r="A849" s="7" t="inlineStr">
        <is>
          <t>MAT-24-045</t>
        </is>
      </c>
      <c r="B849" s="7" t="inlineStr">
        <is>
          <t>Materiales</t>
        </is>
      </c>
      <c r="C849" s="7" t="inlineStr">
        <is>
          <t>Inodoros y urinarios</t>
        </is>
      </c>
      <c r="D849" s="5" t="inlineStr">
        <is>
          <t>Tanque Para Inodoro Jazmin, marfil</t>
        </is>
      </c>
      <c r="E849" s="5" t="inlineStr">
        <is>
          <t>marca CATO · color marfil · referencia MARFIL</t>
        </is>
      </c>
      <c r="F849" s="5" t="inlineStr">
        <is>
          <t>Material retirado en almacén</t>
        </is>
      </c>
      <c r="G849" s="5" t="inlineStr">
        <is>
          <t>tanque de inodoro, cisterna</t>
        </is>
      </c>
      <c r="H849" s="7" t="inlineStr">
        <is>
          <t>unidad</t>
        </is>
      </c>
      <c r="I849" s="7" t="inlineStr">
        <is>
          <t>Instalaciones</t>
        </is>
      </c>
      <c r="J849" s="7" t="inlineStr">
        <is>
          <t>estandar</t>
        </is>
      </c>
      <c r="K849" s="7" t="inlineStr">
        <is>
          <t>importado</t>
        </is>
      </c>
      <c r="L849" s="7" t="inlineStr">
        <is>
          <t>Verificado</t>
        </is>
      </c>
      <c r="M849" s="8" t="n">
        <v>1</v>
      </c>
      <c r="N849" s="9" t="n">
        <v>3686.21</v>
      </c>
      <c r="O849" s="9" t="n">
        <v>3686.21</v>
      </c>
      <c r="P849" s="9" t="n">
        <v>3686.21</v>
      </c>
      <c r="Q849" s="7" t="inlineStr">
        <is>
          <t>Sí</t>
        </is>
      </c>
      <c r="R849" s="9">
        <f>IF(N849="","",IF(Q849="Sí",ROUND(N849/1.18,2),N849))</f>
        <v/>
      </c>
      <c r="S849" s="7" t="inlineStr">
        <is>
          <t>2026-09-09</t>
        </is>
      </c>
      <c r="T849" s="5" t="inlineStr">
        <is>
          <t>1 cotización de proveedores</t>
        </is>
      </c>
    </row>
    <row r="850">
      <c r="A850" s="7" t="inlineStr">
        <is>
          <t>MAT-24-046</t>
        </is>
      </c>
      <c r="B850" s="7" t="inlineStr">
        <is>
          <t>Materiales</t>
        </is>
      </c>
      <c r="C850" s="7" t="inlineStr">
        <is>
          <t>Inodoros y urinarios</t>
        </is>
      </c>
      <c r="D850" s="5" t="inlineStr">
        <is>
          <t>Tanque Goya con Boton 3.8, blanco</t>
        </is>
      </c>
      <c r="E850" s="5" t="inlineStr">
        <is>
          <t>marca CATO · color blanco · referencia BLANCO</t>
        </is>
      </c>
      <c r="F850" s="5" t="inlineStr">
        <is>
          <t>Material retirado en almacén</t>
        </is>
      </c>
      <c r="G850" s="5" t="inlineStr">
        <is>
          <t>tanque de inodoro, cisterna</t>
        </is>
      </c>
      <c r="H850" s="7" t="inlineStr">
        <is>
          <t>unidad</t>
        </is>
      </c>
      <c r="I850" s="7" t="inlineStr">
        <is>
          <t>Instalaciones</t>
        </is>
      </c>
      <c r="J850" s="7" t="inlineStr">
        <is>
          <t>estandar</t>
        </is>
      </c>
      <c r="K850" s="7" t="inlineStr">
        <is>
          <t>importado</t>
        </is>
      </c>
      <c r="L850" s="7" t="inlineStr">
        <is>
          <t>Verificado</t>
        </is>
      </c>
      <c r="M850" s="8" t="n">
        <v>1</v>
      </c>
      <c r="N850" s="9" t="n">
        <v>3935.55</v>
      </c>
      <c r="O850" s="9" t="n">
        <v>3935.55</v>
      </c>
      <c r="P850" s="9" t="n">
        <v>3935.55</v>
      </c>
      <c r="Q850" s="7" t="inlineStr">
        <is>
          <t>Sí</t>
        </is>
      </c>
      <c r="R850" s="9">
        <f>IF(N850="","",IF(Q850="Sí",ROUND(N850/1.18,2),N850))</f>
        <v/>
      </c>
      <c r="S850" s="7" t="inlineStr">
        <is>
          <t>2026-09-09</t>
        </is>
      </c>
      <c r="T850" s="5" t="inlineStr">
        <is>
          <t>1 cotización de proveedores</t>
        </is>
      </c>
    </row>
    <row r="851">
      <c r="A851" s="7" t="inlineStr">
        <is>
          <t>MAT-24-047</t>
        </is>
      </c>
      <c r="B851" s="7" t="inlineStr">
        <is>
          <t>Materiales</t>
        </is>
      </c>
      <c r="C851" s="7" t="inlineStr">
        <is>
          <t>Inodoros y urinarios</t>
        </is>
      </c>
      <c r="D851" s="5" t="inlineStr">
        <is>
          <t>Tanque De Inodoro Rodano, marfil</t>
        </is>
      </c>
      <c r="E851" s="5" t="inlineStr">
        <is>
          <t>marca HELVEX · color marfil · referencia TQ1-2-MMARFIL</t>
        </is>
      </c>
      <c r="F851" s="5" t="inlineStr">
        <is>
          <t>Material retirado en almacén</t>
        </is>
      </c>
      <c r="G851" s="5" t="inlineStr">
        <is>
          <t>tanque de inodoro, cisterna</t>
        </is>
      </c>
      <c r="H851" s="7" t="inlineStr">
        <is>
          <t>unidad</t>
        </is>
      </c>
      <c r="I851" s="7" t="inlineStr">
        <is>
          <t>Instalaciones</t>
        </is>
      </c>
      <c r="J851" s="7" t="inlineStr">
        <is>
          <t>estandar</t>
        </is>
      </c>
      <c r="K851" s="7" t="inlineStr">
        <is>
          <t>importado</t>
        </is>
      </c>
      <c r="L851" s="7" t="inlineStr">
        <is>
          <t>Verificado</t>
        </is>
      </c>
      <c r="M851" s="8" t="n">
        <v>1</v>
      </c>
      <c r="N851" s="9" t="n">
        <v>3963.53</v>
      </c>
      <c r="O851" s="9" t="n">
        <v>3963.53</v>
      </c>
      <c r="P851" s="9" t="n">
        <v>3963.53</v>
      </c>
      <c r="Q851" s="7" t="inlineStr">
        <is>
          <t>Sí</t>
        </is>
      </c>
      <c r="R851" s="9">
        <f>IF(N851="","",IF(Q851="Sí",ROUND(N851/1.18,2),N851))</f>
        <v/>
      </c>
      <c r="S851" s="7" t="inlineStr">
        <is>
          <t>2026-09-09</t>
        </is>
      </c>
      <c r="T851" s="5" t="inlineStr">
        <is>
          <t>1 cotización de proveedores</t>
        </is>
      </c>
    </row>
    <row r="852">
      <c r="A852" s="7" t="inlineStr">
        <is>
          <t>MAT-24-048</t>
        </is>
      </c>
      <c r="B852" s="7" t="inlineStr">
        <is>
          <t>Materiales</t>
        </is>
      </c>
      <c r="C852" s="7" t="inlineStr">
        <is>
          <t>Inodoros y urinarios</t>
        </is>
      </c>
      <c r="D852" s="5" t="inlineStr">
        <is>
          <t>Tanque Inodoro Chichen Itza, blanco</t>
        </is>
      </c>
      <c r="E852" s="5" t="inlineStr">
        <is>
          <t>marca CATO · color blanco · referencia BLANCO</t>
        </is>
      </c>
      <c r="F852" s="5" t="inlineStr">
        <is>
          <t>Material retirado en almacén</t>
        </is>
      </c>
      <c r="G852" s="5" t="inlineStr">
        <is>
          <t>tanque de inodoro, cisterna</t>
        </is>
      </c>
      <c r="H852" s="7" t="inlineStr">
        <is>
          <t>unidad</t>
        </is>
      </c>
      <c r="I852" s="7" t="inlineStr">
        <is>
          <t>Instalaciones</t>
        </is>
      </c>
      <c r="J852" s="7" t="inlineStr">
        <is>
          <t>estandar</t>
        </is>
      </c>
      <c r="K852" s="7" t="inlineStr">
        <is>
          <t>importado</t>
        </is>
      </c>
      <c r="L852" s="7" t="inlineStr">
        <is>
          <t>Verificado</t>
        </is>
      </c>
      <c r="M852" s="8" t="n">
        <v>1</v>
      </c>
      <c r="N852" s="9" t="n">
        <v>3963.96</v>
      </c>
      <c r="O852" s="9" t="n">
        <v>3963.96</v>
      </c>
      <c r="P852" s="9" t="n">
        <v>3963.96</v>
      </c>
      <c r="Q852" s="7" t="inlineStr">
        <is>
          <t>Sí</t>
        </is>
      </c>
      <c r="R852" s="9">
        <f>IF(N852="","",IF(Q852="Sí",ROUND(N852/1.18,2),N852))</f>
        <v/>
      </c>
      <c r="S852" s="7" t="inlineStr">
        <is>
          <t>2026-09-09</t>
        </is>
      </c>
      <c r="T852" s="5" t="inlineStr">
        <is>
          <t>1 cotización de proveedores</t>
        </is>
      </c>
    </row>
    <row r="853">
      <c r="A853" s="7" t="inlineStr">
        <is>
          <t>MAT-24-049</t>
        </is>
      </c>
      <c r="B853" s="7" t="inlineStr">
        <is>
          <t>Materiales</t>
        </is>
      </c>
      <c r="C853" s="7" t="inlineStr">
        <is>
          <t>Inodoros y urinarios</t>
        </is>
      </c>
      <c r="D853" s="5" t="inlineStr">
        <is>
          <t>Tanque Para Inodoro Terra Iii, blanco</t>
        </is>
      </c>
      <c r="E853" s="5" t="inlineStr">
        <is>
          <t>marca CATO · color blanco · referencia BLANCO</t>
        </is>
      </c>
      <c r="F853" s="5" t="inlineStr">
        <is>
          <t>Material retirado en almacén</t>
        </is>
      </c>
      <c r="G853" s="5" t="inlineStr">
        <is>
          <t>tanque de inodoro, cisterna</t>
        </is>
      </c>
      <c r="H853" s="7" t="inlineStr">
        <is>
          <t>unidad</t>
        </is>
      </c>
      <c r="I853" s="7" t="inlineStr">
        <is>
          <t>Instalaciones</t>
        </is>
      </c>
      <c r="J853" s="7" t="inlineStr">
        <is>
          <t>estandar</t>
        </is>
      </c>
      <c r="K853" s="7" t="inlineStr">
        <is>
          <t>importado</t>
        </is>
      </c>
      <c r="L853" s="7" t="inlineStr">
        <is>
          <t>Verificado</t>
        </is>
      </c>
      <c r="M853" s="8" t="n">
        <v>1</v>
      </c>
      <c r="N853" s="9" t="n">
        <v>4050.93</v>
      </c>
      <c r="O853" s="9" t="n">
        <v>4050.93</v>
      </c>
      <c r="P853" s="9" t="n">
        <v>4050.93</v>
      </c>
      <c r="Q853" s="7" t="inlineStr">
        <is>
          <t>Sí</t>
        </is>
      </c>
      <c r="R853" s="9">
        <f>IF(N853="","",IF(Q853="Sí",ROUND(N853/1.18,2),N853))</f>
        <v/>
      </c>
      <c r="S853" s="7" t="inlineStr">
        <is>
          <t>2026-09-09</t>
        </is>
      </c>
      <c r="T853" s="5" t="inlineStr">
        <is>
          <t>1 cotización de proveedores</t>
        </is>
      </c>
    </row>
    <row r="854">
      <c r="A854" s="7" t="inlineStr">
        <is>
          <t>MAT-24-050</t>
        </is>
      </c>
      <c r="B854" s="7" t="inlineStr">
        <is>
          <t>Materiales</t>
        </is>
      </c>
      <c r="C854" s="7" t="inlineStr">
        <is>
          <t>Inodoros y urinarios</t>
        </is>
      </c>
      <c r="D854" s="5" t="inlineStr">
        <is>
          <t>Tanque Para Inodoro Tango, marfil</t>
        </is>
      </c>
      <c r="E854" s="5" t="inlineStr">
        <is>
          <t>marca CATO · color marfil · referencia MARFIL</t>
        </is>
      </c>
      <c r="F854" s="5" t="inlineStr">
        <is>
          <t>Material retirado en almacén</t>
        </is>
      </c>
      <c r="G854" s="5" t="inlineStr">
        <is>
          <t>tanque de inodoro, cisterna</t>
        </is>
      </c>
      <c r="H854" s="7" t="inlineStr">
        <is>
          <t>unidad</t>
        </is>
      </c>
      <c r="I854" s="7" t="inlineStr">
        <is>
          <t>Instalaciones</t>
        </is>
      </c>
      <c r="J854" s="7" t="inlineStr">
        <is>
          <t>estandar</t>
        </is>
      </c>
      <c r="K854" s="7" t="inlineStr">
        <is>
          <t>importado</t>
        </is>
      </c>
      <c r="L854" s="7" t="inlineStr">
        <is>
          <t>Verificado</t>
        </is>
      </c>
      <c r="M854" s="8" t="n">
        <v>1</v>
      </c>
      <c r="N854" s="9" t="n">
        <v>4346.65</v>
      </c>
      <c r="O854" s="9" t="n">
        <v>4346.65</v>
      </c>
      <c r="P854" s="9" t="n">
        <v>4346.65</v>
      </c>
      <c r="Q854" s="7" t="inlineStr">
        <is>
          <t>Sí</t>
        </is>
      </c>
      <c r="R854" s="9">
        <f>IF(N854="","",IF(Q854="Sí",ROUND(N854/1.18,2),N854))</f>
        <v/>
      </c>
      <c r="S854" s="7" t="inlineStr">
        <is>
          <t>2026-09-09</t>
        </is>
      </c>
      <c r="T854" s="5" t="inlineStr">
        <is>
          <t>1 cotización de proveedores</t>
        </is>
      </c>
    </row>
    <row r="855">
      <c r="A855" s="7" t="inlineStr">
        <is>
          <t>MAT-24-051</t>
        </is>
      </c>
      <c r="B855" s="7" t="inlineStr">
        <is>
          <t>Materiales</t>
        </is>
      </c>
      <c r="C855" s="7" t="inlineStr">
        <is>
          <t>Inodoros y urinarios</t>
        </is>
      </c>
      <c r="D855" s="5" t="inlineStr">
        <is>
          <t>Tanque Olimpia, blanco</t>
        </is>
      </c>
      <c r="E855" s="5" t="inlineStr">
        <is>
          <t>marca HELVEX · color blanco · referencia BLANCO</t>
        </is>
      </c>
      <c r="F855" s="5" t="inlineStr">
        <is>
          <t>Material retirado en almacén</t>
        </is>
      </c>
      <c r="G855" s="5" t="inlineStr">
        <is>
          <t>tanque de inodoro, cisterna</t>
        </is>
      </c>
      <c r="H855" s="7" t="inlineStr">
        <is>
          <t>unidad</t>
        </is>
      </c>
      <c r="I855" s="7" t="inlineStr">
        <is>
          <t>Instalaciones</t>
        </is>
      </c>
      <c r="J855" s="7" t="inlineStr">
        <is>
          <t>estandar</t>
        </is>
      </c>
      <c r="K855" s="7" t="inlineStr">
        <is>
          <t>importado</t>
        </is>
      </c>
      <c r="L855" s="7" t="inlineStr">
        <is>
          <t>Verificado</t>
        </is>
      </c>
      <c r="M855" s="8" t="n">
        <v>1</v>
      </c>
      <c r="N855" s="9" t="n">
        <v>4513.21</v>
      </c>
      <c r="O855" s="9" t="n">
        <v>4513.21</v>
      </c>
      <c r="P855" s="9" t="n">
        <v>4513.21</v>
      </c>
      <c r="Q855" s="7" t="inlineStr">
        <is>
          <t>Sí</t>
        </is>
      </c>
      <c r="R855" s="9">
        <f>IF(N855="","",IF(Q855="Sí",ROUND(N855/1.18,2),N855))</f>
        <v/>
      </c>
      <c r="S855" s="7" t="inlineStr">
        <is>
          <t>2026-09-09</t>
        </is>
      </c>
      <c r="T855" s="5" t="inlineStr">
        <is>
          <t>1 cotización de proveedores</t>
        </is>
      </c>
    </row>
    <row r="856">
      <c r="A856" s="7" t="inlineStr">
        <is>
          <t>MAT-24-052</t>
        </is>
      </c>
      <c r="B856" s="7" t="inlineStr">
        <is>
          <t>Materiales</t>
        </is>
      </c>
      <c r="C856" s="7" t="inlineStr">
        <is>
          <t>Inodoros y urinarios</t>
        </is>
      </c>
      <c r="D856" s="5" t="inlineStr">
        <is>
          <t>Tanque Inodoro Chichen Itza, marfil</t>
        </is>
      </c>
      <c r="E856" s="5" t="inlineStr">
        <is>
          <t>marca CATO · color marfil · referencia MARFIL</t>
        </is>
      </c>
      <c r="F856" s="5" t="inlineStr">
        <is>
          <t>Material retirado en almacén</t>
        </is>
      </c>
      <c r="G856" s="5" t="inlineStr">
        <is>
          <t>tanque de inodoro, cisterna</t>
        </is>
      </c>
      <c r="H856" s="7" t="inlineStr">
        <is>
          <t>unidad</t>
        </is>
      </c>
      <c r="I856" s="7" t="inlineStr">
        <is>
          <t>Instalaciones</t>
        </is>
      </c>
      <c r="J856" s="7" t="inlineStr">
        <is>
          <t>estandar</t>
        </is>
      </c>
      <c r="K856" s="7" t="inlineStr">
        <is>
          <t>importado</t>
        </is>
      </c>
      <c r="L856" s="7" t="inlineStr">
        <is>
          <t>Verificado</t>
        </is>
      </c>
      <c r="M856" s="8" t="n">
        <v>1</v>
      </c>
      <c r="N856" s="9" t="n">
        <v>4532.11</v>
      </c>
      <c r="O856" s="9" t="n">
        <v>4532.11</v>
      </c>
      <c r="P856" s="9" t="n">
        <v>4532.11</v>
      </c>
      <c r="Q856" s="7" t="inlineStr">
        <is>
          <t>Sí</t>
        </is>
      </c>
      <c r="R856" s="9">
        <f>IF(N856="","",IF(Q856="Sí",ROUND(N856/1.18,2),N856))</f>
        <v/>
      </c>
      <c r="S856" s="7" t="inlineStr">
        <is>
          <t>2026-09-09</t>
        </is>
      </c>
      <c r="T856" s="5" t="inlineStr">
        <is>
          <t>1 cotización de proveedores</t>
        </is>
      </c>
    </row>
    <row r="857">
      <c r="A857" s="7" t="inlineStr">
        <is>
          <t>MAT-24-053</t>
        </is>
      </c>
      <c r="B857" s="7" t="inlineStr">
        <is>
          <t>Materiales</t>
        </is>
      </c>
      <c r="C857" s="7" t="inlineStr">
        <is>
          <t>Inodoros y urinarios</t>
        </is>
      </c>
      <c r="D857" s="5" t="inlineStr">
        <is>
          <t>Tanque Terra 3", marfil</t>
        </is>
      </c>
      <c r="E857" s="5" t="inlineStr">
        <is>
          <t>marca CATO · color marfil · referencia MARFIL</t>
        </is>
      </c>
      <c r="F857" s="5" t="inlineStr">
        <is>
          <t>Material retirado en almacén</t>
        </is>
      </c>
      <c r="G857" s="5" t="inlineStr">
        <is>
          <t>tanque de inodoro, cisterna</t>
        </is>
      </c>
      <c r="H857" s="7" t="inlineStr">
        <is>
          <t>unidad</t>
        </is>
      </c>
      <c r="I857" s="7" t="inlineStr">
        <is>
          <t>Instalaciones</t>
        </is>
      </c>
      <c r="J857" s="7" t="inlineStr">
        <is>
          <t>estandar</t>
        </is>
      </c>
      <c r="K857" s="7" t="inlineStr">
        <is>
          <t>importado</t>
        </is>
      </c>
      <c r="L857" s="7" t="inlineStr">
        <is>
          <t>Verificado</t>
        </is>
      </c>
      <c r="M857" s="8" t="n">
        <v>1</v>
      </c>
      <c r="N857" s="9" t="n">
        <v>4629.65</v>
      </c>
      <c r="O857" s="9" t="n">
        <v>4629.65</v>
      </c>
      <c r="P857" s="9" t="n">
        <v>4629.65</v>
      </c>
      <c r="Q857" s="7" t="inlineStr">
        <is>
          <t>Sí</t>
        </is>
      </c>
      <c r="R857" s="9">
        <f>IF(N857="","",IF(Q857="Sí",ROUND(N857/1.18,2),N857))</f>
        <v/>
      </c>
      <c r="S857" s="7" t="inlineStr">
        <is>
          <t>2026-09-09</t>
        </is>
      </c>
      <c r="T857" s="5" t="inlineStr">
        <is>
          <t>1 cotización de proveedores</t>
        </is>
      </c>
    </row>
    <row r="858">
      <c r="A858" s="7" t="inlineStr">
        <is>
          <t>MAT-24-054</t>
        </is>
      </c>
      <c r="B858" s="7" t="inlineStr">
        <is>
          <t>Materiales</t>
        </is>
      </c>
      <c r="C858" s="7" t="inlineStr">
        <is>
          <t>Inodoros y urinarios</t>
        </is>
      </c>
      <c r="D858" s="5" t="inlineStr">
        <is>
          <t>Tanque De Inodoro Option, blanco</t>
        </is>
      </c>
      <c r="E858" s="5" t="inlineStr">
        <is>
          <t>marca HELVEX · color blanco · referencia BLANCO</t>
        </is>
      </c>
      <c r="F858" s="5" t="inlineStr">
        <is>
          <t>Material retirado en almacén</t>
        </is>
      </c>
      <c r="G858" s="5" t="inlineStr">
        <is>
          <t>tanque de inodoro, cisterna</t>
        </is>
      </c>
      <c r="H858" s="7" t="inlineStr">
        <is>
          <t>unidad</t>
        </is>
      </c>
      <c r="I858" s="7" t="inlineStr">
        <is>
          <t>Instalaciones</t>
        </is>
      </c>
      <c r="J858" s="7" t="inlineStr">
        <is>
          <t>estandar</t>
        </is>
      </c>
      <c r="K858" s="7" t="inlineStr">
        <is>
          <t>importado</t>
        </is>
      </c>
      <c r="L858" s="7" t="inlineStr">
        <is>
          <t>Verificado</t>
        </is>
      </c>
      <c r="M858" s="8" t="n">
        <v>1</v>
      </c>
      <c r="N858" s="9" t="n">
        <v>4844.47</v>
      </c>
      <c r="O858" s="9" t="n">
        <v>4844.47</v>
      </c>
      <c r="P858" s="9" t="n">
        <v>4844.47</v>
      </c>
      <c r="Q858" s="7" t="inlineStr">
        <is>
          <t>Sí</t>
        </is>
      </c>
      <c r="R858" s="9">
        <f>IF(N858="","",IF(Q858="Sí",ROUND(N858/1.18,2),N858))</f>
        <v/>
      </c>
      <c r="S858" s="7" t="inlineStr">
        <is>
          <t>2026-09-09</t>
        </is>
      </c>
      <c r="T858" s="5" t="inlineStr">
        <is>
          <t>1 cotización de proveedores</t>
        </is>
      </c>
    </row>
    <row r="859">
      <c r="A859" s="7" t="inlineStr">
        <is>
          <t>MAT-24-055</t>
        </is>
      </c>
      <c r="B859" s="7" t="inlineStr">
        <is>
          <t>Materiales</t>
        </is>
      </c>
      <c r="C859" s="7" t="inlineStr">
        <is>
          <t>Inodoros y urinarios</t>
        </is>
      </c>
      <c r="D859" s="5" t="inlineStr">
        <is>
          <t>Tanque De Inodoro Rodano, blanco</t>
        </is>
      </c>
      <c r="E859" s="5" t="inlineStr">
        <is>
          <t>marca HELVEX · color blanco · referencia TQ1-2BLANCO</t>
        </is>
      </c>
      <c r="F859" s="5" t="inlineStr">
        <is>
          <t>Material retirado en almacén</t>
        </is>
      </c>
      <c r="G859" s="5" t="inlineStr">
        <is>
          <t>tanque de inodoro, cisterna</t>
        </is>
      </c>
      <c r="H859" s="7" t="inlineStr">
        <is>
          <t>unidad</t>
        </is>
      </c>
      <c r="I859" s="7" t="inlineStr">
        <is>
          <t>Instalaciones</t>
        </is>
      </c>
      <c r="J859" s="7" t="inlineStr">
        <is>
          <t>estandar</t>
        </is>
      </c>
      <c r="K859" s="7" t="inlineStr">
        <is>
          <t>importado</t>
        </is>
      </c>
      <c r="L859" s="7" t="inlineStr">
        <is>
          <t>Verificado</t>
        </is>
      </c>
      <c r="M859" s="8" t="n">
        <v>1</v>
      </c>
      <c r="N859" s="9" t="n">
        <v>4864.27</v>
      </c>
      <c r="O859" s="9" t="n">
        <v>4864.27</v>
      </c>
      <c r="P859" s="9" t="n">
        <v>4864.27</v>
      </c>
      <c r="Q859" s="7" t="inlineStr">
        <is>
          <t>Sí</t>
        </is>
      </c>
      <c r="R859" s="9">
        <f>IF(N859="","",IF(Q859="Sí",ROUND(N859/1.18,2),N859))</f>
        <v/>
      </c>
      <c r="S859" s="7" t="inlineStr">
        <is>
          <t>2026-09-09</t>
        </is>
      </c>
      <c r="T859" s="5" t="inlineStr">
        <is>
          <t>1 cotización de proveedores</t>
        </is>
      </c>
    </row>
    <row r="860">
      <c r="A860" s="7" t="inlineStr">
        <is>
          <t>MAT-24-056</t>
        </is>
      </c>
      <c r="B860" s="7" t="inlineStr">
        <is>
          <t>Materiales</t>
        </is>
      </c>
      <c r="C860" s="7" t="inlineStr">
        <is>
          <t>Inodoros y urinarios</t>
        </is>
      </c>
      <c r="D860" s="5" t="inlineStr">
        <is>
          <t>Tanque Olimpia, marfil</t>
        </is>
      </c>
      <c r="E860" s="5" t="inlineStr">
        <is>
          <t>marca HELVEX · color marfil · referencia MARFIL</t>
        </is>
      </c>
      <c r="F860" s="5" t="inlineStr">
        <is>
          <t>Material retirado en almacén</t>
        </is>
      </c>
      <c r="G860" s="5" t="inlineStr">
        <is>
          <t>tanque de inodoro, cisterna</t>
        </is>
      </c>
      <c r="H860" s="7" t="inlineStr">
        <is>
          <t>unidad</t>
        </is>
      </c>
      <c r="I860" s="7" t="inlineStr">
        <is>
          <t>Instalaciones</t>
        </is>
      </c>
      <c r="J860" s="7" t="inlineStr">
        <is>
          <t>estandar</t>
        </is>
      </c>
      <c r="K860" s="7" t="inlineStr">
        <is>
          <t>importado</t>
        </is>
      </c>
      <c r="L860" s="7" t="inlineStr">
        <is>
          <t>Verificado</t>
        </is>
      </c>
      <c r="M860" s="8" t="n">
        <v>1</v>
      </c>
      <c r="N860" s="9" t="n">
        <v>4918.97</v>
      </c>
      <c r="O860" s="9" t="n">
        <v>4918.97</v>
      </c>
      <c r="P860" s="9" t="n">
        <v>4918.97</v>
      </c>
      <c r="Q860" s="7" t="inlineStr">
        <is>
          <t>Sí</t>
        </is>
      </c>
      <c r="R860" s="9">
        <f>IF(N860="","",IF(Q860="Sí",ROUND(N860/1.18,2),N860))</f>
        <v/>
      </c>
      <c r="S860" s="7" t="inlineStr">
        <is>
          <t>2026-09-09</t>
        </is>
      </c>
      <c r="T860" s="5" t="inlineStr">
        <is>
          <t>1 cotización de proveedores</t>
        </is>
      </c>
    </row>
    <row r="861">
      <c r="A861" s="7" t="inlineStr">
        <is>
          <t>MAT-24-057</t>
        </is>
      </c>
      <c r="B861" s="7" t="inlineStr">
        <is>
          <t>Materiales</t>
        </is>
      </c>
      <c r="C861" s="7" t="inlineStr">
        <is>
          <t>Inodoros y urinarios</t>
        </is>
      </c>
      <c r="D861" s="5" t="inlineStr">
        <is>
          <t>Tanque Austral, blanco</t>
        </is>
      </c>
      <c r="E861" s="5" t="inlineStr">
        <is>
          <t>marca HELVEX · color blanco · referencia WCAUSTRALBLANCO</t>
        </is>
      </c>
      <c r="F861" s="5" t="inlineStr">
        <is>
          <t>Material retirado en almacén</t>
        </is>
      </c>
      <c r="G861" s="5" t="inlineStr">
        <is>
          <t>tanque de inodoro, cisterna</t>
        </is>
      </c>
      <c r="H861" s="7" t="inlineStr">
        <is>
          <t>unidad</t>
        </is>
      </c>
      <c r="I861" s="7" t="inlineStr">
        <is>
          <t>Instalaciones</t>
        </is>
      </c>
      <c r="J861" s="7" t="inlineStr">
        <is>
          <t>estandar</t>
        </is>
      </c>
      <c r="K861" s="7" t="inlineStr">
        <is>
          <t>importado</t>
        </is>
      </c>
      <c r="L861" s="7" t="inlineStr">
        <is>
          <t>Verificado</t>
        </is>
      </c>
      <c r="M861" s="8" t="n">
        <v>1</v>
      </c>
      <c r="N861" s="9" t="n">
        <v>5209.9</v>
      </c>
      <c r="O861" s="9" t="n">
        <v>5209.9</v>
      </c>
      <c r="P861" s="9" t="n">
        <v>5209.9</v>
      </c>
      <c r="Q861" s="7" t="inlineStr">
        <is>
          <t>Sí</t>
        </is>
      </c>
      <c r="R861" s="9">
        <f>IF(N861="","",IF(Q861="Sí",ROUND(N861/1.18,2),N861))</f>
        <v/>
      </c>
      <c r="S861" s="7" t="inlineStr">
        <is>
          <t>2026-09-09</t>
        </is>
      </c>
      <c r="T861" s="5" t="inlineStr">
        <is>
          <t>1 cotización de proveedores</t>
        </is>
      </c>
    </row>
    <row r="862">
      <c r="A862" s="7" t="inlineStr">
        <is>
          <t>MAT-24-058</t>
        </is>
      </c>
      <c r="B862" s="7" t="inlineStr">
        <is>
          <t>Materiales</t>
        </is>
      </c>
      <c r="C862" s="7" t="inlineStr">
        <is>
          <t>Inodoros y urinarios</t>
        </is>
      </c>
      <c r="D862" s="5" t="inlineStr">
        <is>
          <t>Tanque Inodoro Drakar 16, blanco</t>
        </is>
      </c>
      <c r="E862" s="5" t="inlineStr">
        <is>
          <t>marca HELVEX · color blanco · referencia BLANCO</t>
        </is>
      </c>
      <c r="F862" s="5" t="inlineStr">
        <is>
          <t>Material retirado en almacén</t>
        </is>
      </c>
      <c r="G862" s="5" t="inlineStr">
        <is>
          <t>tanque de inodoro, cisterna</t>
        </is>
      </c>
      <c r="H862" s="7" t="inlineStr">
        <is>
          <t>unidad</t>
        </is>
      </c>
      <c r="I862" s="7" t="inlineStr">
        <is>
          <t>Instalaciones</t>
        </is>
      </c>
      <c r="J862" s="7" t="inlineStr">
        <is>
          <t>estandar</t>
        </is>
      </c>
      <c r="K862" s="7" t="inlineStr">
        <is>
          <t>importado</t>
        </is>
      </c>
      <c r="L862" s="7" t="inlineStr">
        <is>
          <t>Verificado</t>
        </is>
      </c>
      <c r="M862" s="8" t="n">
        <v>1</v>
      </c>
      <c r="N862" s="9" t="n">
        <v>5283.05</v>
      </c>
      <c r="O862" s="9" t="n">
        <v>5283.05</v>
      </c>
      <c r="P862" s="9" t="n">
        <v>5283.05</v>
      </c>
      <c r="Q862" s="7" t="inlineStr">
        <is>
          <t>Sí</t>
        </is>
      </c>
      <c r="R862" s="9">
        <f>IF(N862="","",IF(Q862="Sí",ROUND(N862/1.18,2),N862))</f>
        <v/>
      </c>
      <c r="S862" s="7" t="inlineStr">
        <is>
          <t>2026-09-09</t>
        </is>
      </c>
      <c r="T862" s="5" t="inlineStr">
        <is>
          <t>1 cotización de proveedores</t>
        </is>
      </c>
    </row>
    <row r="863">
      <c r="A863" s="7" t="inlineStr">
        <is>
          <t>MAT-24-059</t>
        </is>
      </c>
      <c r="B863" s="7" t="inlineStr">
        <is>
          <t>Materiales</t>
        </is>
      </c>
      <c r="C863" s="7" t="inlineStr">
        <is>
          <t>Inodoros y urinarios</t>
        </is>
      </c>
      <c r="D863" s="5" t="inlineStr">
        <is>
          <t>Tanque Sustenta, blanco</t>
        </is>
      </c>
      <c r="E863" s="5" t="inlineStr">
        <is>
          <t>marca HELVEX · color blanco · referencia BLANCO</t>
        </is>
      </c>
      <c r="F863" s="5" t="inlineStr">
        <is>
          <t>Material retirado en almacén</t>
        </is>
      </c>
      <c r="G863" s="5" t="inlineStr">
        <is>
          <t>tanque de inodoro, cisterna</t>
        </is>
      </c>
      <c r="H863" s="7" t="inlineStr">
        <is>
          <t>unidad</t>
        </is>
      </c>
      <c r="I863" s="7" t="inlineStr">
        <is>
          <t>Instalaciones</t>
        </is>
      </c>
      <c r="J863" s="7" t="inlineStr">
        <is>
          <t>estandar</t>
        </is>
      </c>
      <c r="K863" s="7" t="inlineStr">
        <is>
          <t>importado</t>
        </is>
      </c>
      <c r="L863" s="7" t="inlineStr">
        <is>
          <t>Verificado</t>
        </is>
      </c>
      <c r="M863" s="8" t="n">
        <v>1</v>
      </c>
      <c r="N863" s="9" t="n">
        <v>5467.75</v>
      </c>
      <c r="O863" s="9" t="n">
        <v>5467.75</v>
      </c>
      <c r="P863" s="9" t="n">
        <v>5467.75</v>
      </c>
      <c r="Q863" s="7" t="inlineStr">
        <is>
          <t>Sí</t>
        </is>
      </c>
      <c r="R863" s="9">
        <f>IF(N863="","",IF(Q863="Sí",ROUND(N863/1.18,2),N863))</f>
        <v/>
      </c>
      <c r="S863" s="7" t="inlineStr">
        <is>
          <t>2026-09-09</t>
        </is>
      </c>
      <c r="T863" s="5" t="inlineStr">
        <is>
          <t>1 cotización de proveedores</t>
        </is>
      </c>
    </row>
    <row r="864">
      <c r="A864" s="7" t="inlineStr">
        <is>
          <t>MAT-24-060</t>
        </is>
      </c>
      <c r="B864" s="7" t="inlineStr">
        <is>
          <t>Materiales</t>
        </is>
      </c>
      <c r="C864" s="7" t="inlineStr">
        <is>
          <t>Inodoros y urinarios</t>
        </is>
      </c>
      <c r="D864" s="5" t="inlineStr">
        <is>
          <t>Tanque Bolmen 16, blanco</t>
        </is>
      </c>
      <c r="E864" s="5" t="inlineStr">
        <is>
          <t>marca HELVEX · color blanco · referencia BLANCO</t>
        </is>
      </c>
      <c r="F864" s="5" t="inlineStr">
        <is>
          <t>Material retirado en almacén</t>
        </is>
      </c>
      <c r="G864" s="5" t="inlineStr">
        <is>
          <t>tanque de inodoro, cisterna</t>
        </is>
      </c>
      <c r="H864" s="7" t="inlineStr">
        <is>
          <t>unidad</t>
        </is>
      </c>
      <c r="I864" s="7" t="inlineStr">
        <is>
          <t>Instalaciones</t>
        </is>
      </c>
      <c r="J864" s="7" t="inlineStr">
        <is>
          <t>estandar</t>
        </is>
      </c>
      <c r="K864" s="7" t="inlineStr">
        <is>
          <t>importado</t>
        </is>
      </c>
      <c r="L864" s="7" t="inlineStr">
        <is>
          <t>Verificado</t>
        </is>
      </c>
      <c r="M864" s="8" t="n">
        <v>1</v>
      </c>
      <c r="N864" s="9" t="n">
        <v>5914.29</v>
      </c>
      <c r="O864" s="9" t="n">
        <v>5914.29</v>
      </c>
      <c r="P864" s="9" t="n">
        <v>5914.29</v>
      </c>
      <c r="Q864" s="7" t="inlineStr">
        <is>
          <t>Sí</t>
        </is>
      </c>
      <c r="R864" s="9">
        <f>IF(N864="","",IF(Q864="Sí",ROUND(N864/1.18,2),N864))</f>
        <v/>
      </c>
      <c r="S864" s="7" t="inlineStr">
        <is>
          <t>2026-09-09</t>
        </is>
      </c>
      <c r="T864" s="5" t="inlineStr">
        <is>
          <t>1 cotización de proveedores</t>
        </is>
      </c>
    </row>
    <row r="865">
      <c r="A865" s="7" t="inlineStr">
        <is>
          <t>MAT-24-061</t>
        </is>
      </c>
      <c r="B865" s="7" t="inlineStr">
        <is>
          <t>Materiales</t>
        </is>
      </c>
      <c r="C865" s="7" t="inlineStr">
        <is>
          <t>Inodoros y urinarios</t>
        </is>
      </c>
      <c r="D865" s="5" t="inlineStr">
        <is>
          <t>Tanque Para Inodoros Rodano, blanco</t>
        </is>
      </c>
      <c r="E865" s="5" t="inlineStr">
        <is>
          <t>marca HELVEX · color blanco · referencia BLANCO</t>
        </is>
      </c>
      <c r="F865" s="5" t="inlineStr">
        <is>
          <t>Material retirado en almacén</t>
        </is>
      </c>
      <c r="G865" s="5" t="inlineStr">
        <is>
          <t>tanque de inodoro, cisterna</t>
        </is>
      </c>
      <c r="H865" s="7" t="inlineStr">
        <is>
          <t>unidad</t>
        </is>
      </c>
      <c r="I865" s="7" t="inlineStr">
        <is>
          <t>Instalaciones</t>
        </is>
      </c>
      <c r="J865" s="7" t="inlineStr">
        <is>
          <t>estandar</t>
        </is>
      </c>
      <c r="K865" s="7" t="inlineStr">
        <is>
          <t>importado</t>
        </is>
      </c>
      <c r="L865" s="7" t="inlineStr">
        <is>
          <t>Verificado</t>
        </is>
      </c>
      <c r="M865" s="8" t="n">
        <v>1</v>
      </c>
      <c r="N865" s="9" t="n">
        <v>6050.86</v>
      </c>
      <c r="O865" s="9" t="n">
        <v>6050.86</v>
      </c>
      <c r="P865" s="9" t="n">
        <v>6050.86</v>
      </c>
      <c r="Q865" s="7" t="inlineStr">
        <is>
          <t>Sí</t>
        </is>
      </c>
      <c r="R865" s="9">
        <f>IF(N865="","",IF(Q865="Sí",ROUND(N865/1.18,2),N865))</f>
        <v/>
      </c>
      <c r="S865" s="7" t="inlineStr">
        <is>
          <t>2026-09-09</t>
        </is>
      </c>
      <c r="T865" s="5" t="inlineStr">
        <is>
          <t>1 cotización de proveedores</t>
        </is>
      </c>
    </row>
    <row r="866">
      <c r="A866" s="7" t="inlineStr">
        <is>
          <t>MAT-24-062</t>
        </is>
      </c>
      <c r="B866" s="7" t="inlineStr">
        <is>
          <t>Materiales</t>
        </is>
      </c>
      <c r="C866" s="7" t="inlineStr">
        <is>
          <t>Inodoros y urinarios</t>
        </is>
      </c>
      <c r="D866" s="5" t="inlineStr">
        <is>
          <t>Tanque Rodano 16, marfil</t>
        </is>
      </c>
      <c r="E866" s="5" t="inlineStr">
        <is>
          <t>marca HELVEX · color marfil · referencia MARFIL</t>
        </is>
      </c>
      <c r="F866" s="5" t="inlineStr">
        <is>
          <t>Material retirado en almacén</t>
        </is>
      </c>
      <c r="G866" s="5" t="inlineStr">
        <is>
          <t>tanque de inodoro, cisterna</t>
        </is>
      </c>
      <c r="H866" s="7" t="inlineStr">
        <is>
          <t>unidad</t>
        </is>
      </c>
      <c r="I866" s="7" t="inlineStr">
        <is>
          <t>Instalaciones</t>
        </is>
      </c>
      <c r="J866" s="7" t="inlineStr">
        <is>
          <t>estandar</t>
        </is>
      </c>
      <c r="K866" s="7" t="inlineStr">
        <is>
          <t>importado</t>
        </is>
      </c>
      <c r="L866" s="7" t="inlineStr">
        <is>
          <t>Verificado</t>
        </is>
      </c>
      <c r="M866" s="8" t="n">
        <v>1</v>
      </c>
      <c r="N866" s="9" t="n">
        <v>6289.99</v>
      </c>
      <c r="O866" s="9" t="n">
        <v>6289.99</v>
      </c>
      <c r="P866" s="9" t="n">
        <v>6289.99</v>
      </c>
      <c r="Q866" s="7" t="inlineStr">
        <is>
          <t>Sí</t>
        </is>
      </c>
      <c r="R866" s="9">
        <f>IF(N866="","",IF(Q866="Sí",ROUND(N866/1.18,2),N866))</f>
        <v/>
      </c>
      <c r="S866" s="7" t="inlineStr">
        <is>
          <t>2026-09-09</t>
        </is>
      </c>
      <c r="T866" s="5" t="inlineStr">
        <is>
          <t>1 cotización de proveedores</t>
        </is>
      </c>
    </row>
    <row r="867">
      <c r="A867" s="7" t="inlineStr">
        <is>
          <t>MAT-24-063</t>
        </is>
      </c>
      <c r="B867" s="7" t="inlineStr">
        <is>
          <t>Materiales</t>
        </is>
      </c>
      <c r="C867" s="7" t="inlineStr">
        <is>
          <t>Inodoros y urinarios</t>
        </is>
      </c>
      <c r="D867" s="5" t="inlineStr">
        <is>
          <t>Tanque Para Inodoro Bolmen, marfil</t>
        </is>
      </c>
      <c r="E867" s="5" t="inlineStr">
        <is>
          <t>marca HELVEX · color marfil · referencia MARFIL</t>
        </is>
      </c>
      <c r="F867" s="5" t="inlineStr">
        <is>
          <t>Material retirado en almacén</t>
        </is>
      </c>
      <c r="G867" s="5" t="inlineStr">
        <is>
          <t>tanque de inodoro, cisterna</t>
        </is>
      </c>
      <c r="H867" s="7" t="inlineStr">
        <is>
          <t>unidad</t>
        </is>
      </c>
      <c r="I867" s="7" t="inlineStr">
        <is>
          <t>Instalaciones</t>
        </is>
      </c>
      <c r="J867" s="7" t="inlineStr">
        <is>
          <t>estandar</t>
        </is>
      </c>
      <c r="K867" s="7" t="inlineStr">
        <is>
          <t>importado</t>
        </is>
      </c>
      <c r="L867" s="7" t="inlineStr">
        <is>
          <t>Verificado</t>
        </is>
      </c>
      <c r="M867" s="8" t="n">
        <v>1</v>
      </c>
      <c r="N867" s="9" t="n">
        <v>6467.83</v>
      </c>
      <c r="O867" s="9" t="n">
        <v>6467.83</v>
      </c>
      <c r="P867" s="9" t="n">
        <v>6467.83</v>
      </c>
      <c r="Q867" s="7" t="inlineStr">
        <is>
          <t>Sí</t>
        </is>
      </c>
      <c r="R867" s="9">
        <f>IF(N867="","",IF(Q867="Sí",ROUND(N867/1.18,2),N867))</f>
        <v/>
      </c>
      <c r="S867" s="7" t="inlineStr">
        <is>
          <t>2026-09-09</t>
        </is>
      </c>
      <c r="T867" s="5" t="inlineStr">
        <is>
          <t>1 cotización de proveedores</t>
        </is>
      </c>
    </row>
    <row r="868">
      <c r="A868" s="7" t="inlineStr">
        <is>
          <t>MAT-24-064</t>
        </is>
      </c>
      <c r="B868" s="7" t="inlineStr">
        <is>
          <t>Materiales</t>
        </is>
      </c>
      <c r="C868" s="7" t="inlineStr">
        <is>
          <t>Inodoros y urinarios</t>
        </is>
      </c>
      <c r="D868" s="5" t="inlineStr">
        <is>
          <t>Tanque Murano Murano, blanco</t>
        </is>
      </c>
      <c r="E868" s="5" t="inlineStr">
        <is>
          <t>marca HELVEX · color blanco · referencia BLANCO</t>
        </is>
      </c>
      <c r="F868" s="5" t="inlineStr">
        <is>
          <t>Material retirado en almacén</t>
        </is>
      </c>
      <c r="G868" s="5" t="inlineStr">
        <is>
          <t>tanque de inodoro, cisterna</t>
        </is>
      </c>
      <c r="H868" s="7" t="inlineStr">
        <is>
          <t>unidad</t>
        </is>
      </c>
      <c r="I868" s="7" t="inlineStr">
        <is>
          <t>Instalaciones</t>
        </is>
      </c>
      <c r="J868" s="7" t="inlineStr">
        <is>
          <t>estandar</t>
        </is>
      </c>
      <c r="K868" s="7" t="inlineStr">
        <is>
          <t>importado</t>
        </is>
      </c>
      <c r="L868" s="7" t="inlineStr">
        <is>
          <t>Verificado</t>
        </is>
      </c>
      <c r="M868" s="8" t="n">
        <v>1</v>
      </c>
      <c r="N868" s="9" t="n">
        <v>10691.99</v>
      </c>
      <c r="O868" s="9" t="n">
        <v>10691.99</v>
      </c>
      <c r="P868" s="9" t="n">
        <v>10691.99</v>
      </c>
      <c r="Q868" s="7" t="inlineStr">
        <is>
          <t>Sí</t>
        </is>
      </c>
      <c r="R868" s="9">
        <f>IF(N868="","",IF(Q868="Sí",ROUND(N868/1.18,2),N868))</f>
        <v/>
      </c>
      <c r="S868" s="7" t="inlineStr">
        <is>
          <t>2026-09-09</t>
        </is>
      </c>
      <c r="T868" s="5" t="inlineStr">
        <is>
          <t>1 cotización de proveedores</t>
        </is>
      </c>
    </row>
    <row r="869">
      <c r="A869" s="7" t="inlineStr">
        <is>
          <t>MAT-24-065</t>
        </is>
      </c>
      <c r="B869" s="7" t="inlineStr">
        <is>
          <t>Materiales</t>
        </is>
      </c>
      <c r="C869" s="7" t="inlineStr">
        <is>
          <t>Inodoros y urinarios</t>
        </is>
      </c>
      <c r="D869" s="5" t="inlineStr">
        <is>
          <t>Tanque Miura 16, blanco</t>
        </is>
      </c>
      <c r="E869" s="5" t="inlineStr">
        <is>
          <t>marca HELVEX · color blanco · referencia BLANCO</t>
        </is>
      </c>
      <c r="F869" s="5" t="inlineStr">
        <is>
          <t>Material retirado en almacén</t>
        </is>
      </c>
      <c r="G869" s="5" t="inlineStr">
        <is>
          <t>tanque de inodoro, cisterna</t>
        </is>
      </c>
      <c r="H869" s="7" t="inlineStr">
        <is>
          <t>unidad</t>
        </is>
      </c>
      <c r="I869" s="7" t="inlineStr">
        <is>
          <t>Instalaciones</t>
        </is>
      </c>
      <c r="J869" s="7" t="inlineStr">
        <is>
          <t>estandar</t>
        </is>
      </c>
      <c r="K869" s="7" t="inlineStr">
        <is>
          <t>importado</t>
        </is>
      </c>
      <c r="L869" s="7" t="inlineStr">
        <is>
          <t>Verificado</t>
        </is>
      </c>
      <c r="M869" s="8" t="n">
        <v>1</v>
      </c>
      <c r="N869" s="9" t="n">
        <v>13128.56</v>
      </c>
      <c r="O869" s="9" t="n">
        <v>13128.56</v>
      </c>
      <c r="P869" s="9" t="n">
        <v>13128.56</v>
      </c>
      <c r="Q869" s="7" t="inlineStr">
        <is>
          <t>Sí</t>
        </is>
      </c>
      <c r="R869" s="9">
        <f>IF(N869="","",IF(Q869="Sí",ROUND(N869/1.18,2),N869))</f>
        <v/>
      </c>
      <c r="S869" s="7" t="inlineStr">
        <is>
          <t>2026-09-09</t>
        </is>
      </c>
      <c r="T869" s="5" t="inlineStr">
        <is>
          <t>1 cotización de proveedores</t>
        </is>
      </c>
    </row>
    <row r="870">
      <c r="A870" s="7" t="inlineStr">
        <is>
          <t>MAT-24-066</t>
        </is>
      </c>
      <c r="B870" s="7" t="inlineStr">
        <is>
          <t>Materiales</t>
        </is>
      </c>
      <c r="C870" s="7" t="inlineStr">
        <is>
          <t>Inodoros y urinarios</t>
        </is>
      </c>
      <c r="D870" s="5" t="inlineStr">
        <is>
          <t>Tanque Miura Con Sensor Miura 4.8, blanco</t>
        </is>
      </c>
      <c r="E870" s="5" t="inlineStr">
        <is>
          <t>marca HELVEX · color blanco · referencia MIURA16TCCBLANCO</t>
        </is>
      </c>
      <c r="F870" s="5" t="inlineStr">
        <is>
          <t>Material retirado en almacén</t>
        </is>
      </c>
      <c r="G870" s="5" t="inlineStr">
        <is>
          <t>tanque de inodoro, cisterna</t>
        </is>
      </c>
      <c r="H870" s="7" t="inlineStr">
        <is>
          <t>unidad</t>
        </is>
      </c>
      <c r="I870" s="7" t="inlineStr">
        <is>
          <t>Instalaciones</t>
        </is>
      </c>
      <c r="J870" s="7" t="inlineStr">
        <is>
          <t>estandar</t>
        </is>
      </c>
      <c r="K870" s="7" t="inlineStr">
        <is>
          <t>importado</t>
        </is>
      </c>
      <c r="L870" s="7" t="inlineStr">
        <is>
          <t>Verificado</t>
        </is>
      </c>
      <c r="M870" s="8" t="n">
        <v>1</v>
      </c>
      <c r="N870" s="9" t="n">
        <v>18906.72</v>
      </c>
      <c r="O870" s="9" t="n">
        <v>18906.72</v>
      </c>
      <c r="P870" s="9" t="n">
        <v>18906.72</v>
      </c>
      <c r="Q870" s="7" t="inlineStr">
        <is>
          <t>Sí</t>
        </is>
      </c>
      <c r="R870" s="9">
        <f>IF(N870="","",IF(Q870="Sí",ROUND(N870/1.18,2),N870))</f>
        <v/>
      </c>
      <c r="S870" s="7" t="inlineStr">
        <is>
          <t>2026-09-09</t>
        </is>
      </c>
      <c r="T870" s="5" t="inlineStr">
        <is>
          <t>1 cotización de proveedores</t>
        </is>
      </c>
    </row>
    <row r="871">
      <c r="A871" s="7" t="inlineStr">
        <is>
          <t>MAT-24-067</t>
        </is>
      </c>
      <c r="B871" s="7" t="inlineStr">
        <is>
          <t>Materiales</t>
        </is>
      </c>
      <c r="C871" s="7" t="inlineStr">
        <is>
          <t>Inodoros y urinarios</t>
        </is>
      </c>
      <c r="D871" s="5" t="inlineStr">
        <is>
          <t>Basineta Universal, blanco</t>
        </is>
      </c>
      <c r="E871" s="5" t="inlineStr">
        <is>
          <t>marca TREBOL · color blanco · referencia 110018033BLANCO</t>
        </is>
      </c>
      <c r="F871" s="5" t="inlineStr">
        <is>
          <t>Material retirado en almacén</t>
        </is>
      </c>
      <c r="G871" s="5" t="inlineStr">
        <is>
          <t>basineta, taza, cuerpo del inodoro</t>
        </is>
      </c>
      <c r="H871" s="7" t="inlineStr">
        <is>
          <t>unidad</t>
        </is>
      </c>
      <c r="I871" s="7" t="inlineStr">
        <is>
          <t>Instalaciones</t>
        </is>
      </c>
      <c r="J871" s="7" t="inlineStr">
        <is>
          <t>estandar</t>
        </is>
      </c>
      <c r="K871" s="7" t="inlineStr">
        <is>
          <t>importado</t>
        </is>
      </c>
      <c r="L871" s="7" t="inlineStr">
        <is>
          <t>Verificado</t>
        </is>
      </c>
      <c r="M871" s="8" t="n">
        <v>1</v>
      </c>
      <c r="N871" s="9" t="n">
        <v>2129.12</v>
      </c>
      <c r="O871" s="9" t="n">
        <v>2129.12</v>
      </c>
      <c r="P871" s="9" t="n">
        <v>2129.12</v>
      </c>
      <c r="Q871" s="7" t="inlineStr">
        <is>
          <t>Sí</t>
        </is>
      </c>
      <c r="R871" s="9">
        <f>IF(N871="","",IF(Q871="Sí",ROUND(N871/1.18,2),N871))</f>
        <v/>
      </c>
      <c r="S871" s="7" t="inlineStr">
        <is>
          <t>2026-09-09</t>
        </is>
      </c>
      <c r="T871" s="5" t="inlineStr">
        <is>
          <t>1 cotización de proveedores</t>
        </is>
      </c>
    </row>
    <row r="872">
      <c r="A872" s="7" t="inlineStr">
        <is>
          <t>MAT-24-068</t>
        </is>
      </c>
      <c r="B872" s="7" t="inlineStr">
        <is>
          <t>Materiales</t>
        </is>
      </c>
      <c r="C872" s="7" t="inlineStr">
        <is>
          <t>Inodoros y urinarios</t>
        </is>
      </c>
      <c r="D872" s="5" t="inlineStr">
        <is>
          <t>Basineta Elongado Ceres, blanco</t>
        </is>
      </c>
      <c r="E872" s="5" t="inlineStr">
        <is>
          <t>marca ULTRA · color blanco · referencia BLANCO</t>
        </is>
      </c>
      <c r="F872" s="5" t="inlineStr">
        <is>
          <t>Material retirado en almacén</t>
        </is>
      </c>
      <c r="G872" s="5" t="inlineStr">
        <is>
          <t>basineta, taza, cuerpo del inodoro</t>
        </is>
      </c>
      <c r="H872" s="7" t="inlineStr">
        <is>
          <t>unidad</t>
        </is>
      </c>
      <c r="I872" s="7" t="inlineStr">
        <is>
          <t>Instalaciones</t>
        </is>
      </c>
      <c r="J872" s="7" t="inlineStr">
        <is>
          <t>estandar</t>
        </is>
      </c>
      <c r="K872" s="7" t="inlineStr">
        <is>
          <t>importado</t>
        </is>
      </c>
      <c r="L872" s="7" t="inlineStr">
        <is>
          <t>Verificado</t>
        </is>
      </c>
      <c r="M872" s="8" t="n">
        <v>1</v>
      </c>
      <c r="N872" s="9" t="n">
        <v>2176.6</v>
      </c>
      <c r="O872" s="9" t="n">
        <v>2176.6</v>
      </c>
      <c r="P872" s="9" t="n">
        <v>2176.6</v>
      </c>
      <c r="Q872" s="7" t="inlineStr">
        <is>
          <t>Sí</t>
        </is>
      </c>
      <c r="R872" s="9">
        <f>IF(N872="","",IF(Q872="Sí",ROUND(N872/1.18,2),N872))</f>
        <v/>
      </c>
      <c r="S872" s="7" t="inlineStr">
        <is>
          <t>2026-09-09</t>
        </is>
      </c>
      <c r="T872" s="5" t="inlineStr">
        <is>
          <t>1 cotización de proveedores</t>
        </is>
      </c>
    </row>
    <row r="873">
      <c r="A873" s="7" t="inlineStr">
        <is>
          <t>MAT-24-069</t>
        </is>
      </c>
      <c r="B873" s="7" t="inlineStr">
        <is>
          <t>Materiales</t>
        </is>
      </c>
      <c r="C873" s="7" t="inlineStr">
        <is>
          <t>Inodoros y urinarios</t>
        </is>
      </c>
      <c r="D873" s="5" t="inlineStr">
        <is>
          <t>Basineta De Cerámica Redonda, blanco</t>
        </is>
      </c>
      <c r="E873" s="5" t="inlineStr">
        <is>
          <t>marca CATO · color blanco · referencia BLANCO</t>
        </is>
      </c>
      <c r="F873" s="5" t="inlineStr">
        <is>
          <t>Material retirado en almacén</t>
        </is>
      </c>
      <c r="G873" s="5" t="inlineStr">
        <is>
          <t>basineta, taza, cuerpo del inodoro</t>
        </is>
      </c>
      <c r="H873" s="7" t="inlineStr">
        <is>
          <t>unidad</t>
        </is>
      </c>
      <c r="I873" s="7" t="inlineStr">
        <is>
          <t>Instalaciones</t>
        </is>
      </c>
      <c r="J873" s="7" t="inlineStr">
        <is>
          <t>estandar</t>
        </is>
      </c>
      <c r="K873" s="7" t="inlineStr">
        <is>
          <t>importado</t>
        </is>
      </c>
      <c r="L873" s="7" t="inlineStr">
        <is>
          <t>Verificado</t>
        </is>
      </c>
      <c r="M873" s="8" t="n">
        <v>1</v>
      </c>
      <c r="N873" s="9" t="n">
        <v>2501.14</v>
      </c>
      <c r="O873" s="9" t="n">
        <v>2501.14</v>
      </c>
      <c r="P873" s="9" t="n">
        <v>2501.14</v>
      </c>
      <c r="Q873" s="7" t="inlineStr">
        <is>
          <t>Sí</t>
        </is>
      </c>
      <c r="R873" s="9">
        <f>IF(N873="","",IF(Q873="Sí",ROUND(N873/1.18,2),N873))</f>
        <v/>
      </c>
      <c r="S873" s="7" t="inlineStr">
        <is>
          <t>2026-09-09</t>
        </is>
      </c>
      <c r="T873" s="5" t="inlineStr">
        <is>
          <t>1 cotización de proveedores</t>
        </is>
      </c>
    </row>
    <row r="874">
      <c r="A874" s="7" t="inlineStr">
        <is>
          <t>MAT-24-070</t>
        </is>
      </c>
      <c r="B874" s="7" t="inlineStr">
        <is>
          <t>Materiales</t>
        </is>
      </c>
      <c r="C874" s="7" t="inlineStr">
        <is>
          <t>Inodoros y urinarios</t>
        </is>
      </c>
      <c r="D874" s="5" t="inlineStr">
        <is>
          <t>Basineta Lucas redondo 3'' 4.8 Lpd, blanco</t>
        </is>
      </c>
      <c r="E874" s="5" t="inlineStr">
        <is>
          <t>marca CATO · color blanco · referencia BLANCO</t>
        </is>
      </c>
      <c r="F874" s="5" t="inlineStr">
        <is>
          <t>Material retirado en almacén</t>
        </is>
      </c>
      <c r="G874" s="5" t="inlineStr">
        <is>
          <t>basineta, taza, cuerpo del inodoro</t>
        </is>
      </c>
      <c r="H874" s="7" t="inlineStr">
        <is>
          <t>unidad</t>
        </is>
      </c>
      <c r="I874" s="7" t="inlineStr">
        <is>
          <t>Instalaciones</t>
        </is>
      </c>
      <c r="J874" s="7" t="inlineStr">
        <is>
          <t>estandar</t>
        </is>
      </c>
      <c r="K874" s="7" t="inlineStr">
        <is>
          <t>importado</t>
        </is>
      </c>
      <c r="L874" s="7" t="inlineStr">
        <is>
          <t>Verificado</t>
        </is>
      </c>
      <c r="M874" s="8" t="n">
        <v>1</v>
      </c>
      <c r="N874" s="9" t="n">
        <v>2558.56</v>
      </c>
      <c r="O874" s="9" t="n">
        <v>2558.56</v>
      </c>
      <c r="P874" s="9" t="n">
        <v>2558.56</v>
      </c>
      <c r="Q874" s="7" t="inlineStr">
        <is>
          <t>Sí</t>
        </is>
      </c>
      <c r="R874" s="9">
        <f>IF(N874="","",IF(Q874="Sí",ROUND(N874/1.18,2),N874))</f>
        <v/>
      </c>
      <c r="S874" s="7" t="inlineStr">
        <is>
          <t>2026-09-09</t>
        </is>
      </c>
      <c r="T874" s="5" t="inlineStr">
        <is>
          <t>1 cotización de proveedores</t>
        </is>
      </c>
    </row>
    <row r="875">
      <c r="A875" s="7" t="inlineStr">
        <is>
          <t>MAT-24-071</t>
        </is>
      </c>
      <c r="B875" s="7" t="inlineStr">
        <is>
          <t>Materiales</t>
        </is>
      </c>
      <c r="C875" s="7" t="inlineStr">
        <is>
          <t>Inodoros y urinarios</t>
        </is>
      </c>
      <c r="D875" s="5" t="inlineStr">
        <is>
          <t>Basineta Aguazul redondo Calidad Universal, blanca</t>
        </is>
      </c>
      <c r="E875" s="5" t="inlineStr">
        <is>
          <t>marca CATO · color blanca · referencia BLANCA</t>
        </is>
      </c>
      <c r="F875" s="5" t="inlineStr">
        <is>
          <t>Material retirado en almacén</t>
        </is>
      </c>
      <c r="G875" s="5" t="inlineStr">
        <is>
          <t>basineta, taza, cuerpo del inodoro</t>
        </is>
      </c>
      <c r="H875" s="7" t="inlineStr">
        <is>
          <t>unidad</t>
        </is>
      </c>
      <c r="I875" s="7" t="inlineStr">
        <is>
          <t>Instalaciones</t>
        </is>
      </c>
      <c r="J875" s="7" t="inlineStr">
        <is>
          <t>estandar</t>
        </is>
      </c>
      <c r="K875" s="7" t="inlineStr">
        <is>
          <t>importado</t>
        </is>
      </c>
      <c r="L875" s="7" t="inlineStr">
        <is>
          <t>Verificado</t>
        </is>
      </c>
      <c r="M875" s="8" t="n">
        <v>1</v>
      </c>
      <c r="N875" s="9" t="n">
        <v>2731.31</v>
      </c>
      <c r="O875" s="9" t="n">
        <v>2731.31</v>
      </c>
      <c r="P875" s="9" t="n">
        <v>2731.31</v>
      </c>
      <c r="Q875" s="7" t="inlineStr">
        <is>
          <t>Sí</t>
        </is>
      </c>
      <c r="R875" s="9">
        <f>IF(N875="","",IF(Q875="Sí",ROUND(N875/1.18,2),N875))</f>
        <v/>
      </c>
      <c r="S875" s="7" t="inlineStr">
        <is>
          <t>2026-09-09</t>
        </is>
      </c>
      <c r="T875" s="5" t="inlineStr">
        <is>
          <t>1 cotización de proveedores</t>
        </is>
      </c>
    </row>
    <row r="876">
      <c r="A876" s="7" t="inlineStr">
        <is>
          <t>MAT-24-072</t>
        </is>
      </c>
      <c r="B876" s="7" t="inlineStr">
        <is>
          <t>Materiales</t>
        </is>
      </c>
      <c r="C876" s="7" t="inlineStr">
        <is>
          <t>Inodoros y urinarios</t>
        </is>
      </c>
      <c r="D876" s="5" t="inlineStr">
        <is>
          <t>Basineta Baby, blanco</t>
        </is>
      </c>
      <c r="E876" s="5" t="inlineStr">
        <is>
          <t>marca TREBOL · color blanco · referencia BLANCO</t>
        </is>
      </c>
      <c r="F876" s="5" t="inlineStr">
        <is>
          <t>Material retirado en almacén</t>
        </is>
      </c>
      <c r="G876" s="5" t="inlineStr">
        <is>
          <t>basineta, taza, cuerpo del inodoro</t>
        </is>
      </c>
      <c r="H876" s="7" t="inlineStr">
        <is>
          <t>unidad</t>
        </is>
      </c>
      <c r="I876" s="7" t="inlineStr">
        <is>
          <t>Instalaciones</t>
        </is>
      </c>
      <c r="J876" s="7" t="inlineStr">
        <is>
          <t>estandar</t>
        </is>
      </c>
      <c r="K876" s="7" t="inlineStr">
        <is>
          <t>importado</t>
        </is>
      </c>
      <c r="L876" s="7" t="inlineStr">
        <is>
          <t>Verificado</t>
        </is>
      </c>
      <c r="M876" s="8" t="n">
        <v>1</v>
      </c>
      <c r="N876" s="9" t="n">
        <v>3026.71</v>
      </c>
      <c r="O876" s="9" t="n">
        <v>3026.71</v>
      </c>
      <c r="P876" s="9" t="n">
        <v>3026.71</v>
      </c>
      <c r="Q876" s="7" t="inlineStr">
        <is>
          <t>Sí</t>
        </is>
      </c>
      <c r="R876" s="9">
        <f>IF(N876="","",IF(Q876="Sí",ROUND(N876/1.18,2),N876))</f>
        <v/>
      </c>
      <c r="S876" s="7" t="inlineStr">
        <is>
          <t>2026-09-09</t>
        </is>
      </c>
      <c r="T876" s="5" t="inlineStr">
        <is>
          <t>1 cotización de proveedores</t>
        </is>
      </c>
    </row>
    <row r="877">
      <c r="A877" s="7" t="inlineStr">
        <is>
          <t>MAT-24-073</t>
        </is>
      </c>
      <c r="B877" s="7" t="inlineStr">
        <is>
          <t>Materiales</t>
        </is>
      </c>
      <c r="C877" s="7" t="inlineStr">
        <is>
          <t>Inodoros y urinarios</t>
        </is>
      </c>
      <c r="D877" s="5" t="inlineStr">
        <is>
          <t>Basineta redondo 3'' Lucas 4.8, negro</t>
        </is>
      </c>
      <c r="E877" s="5" t="inlineStr">
        <is>
          <t>marca CATO · color negro · referencia NEGRO</t>
        </is>
      </c>
      <c r="F877" s="5" t="inlineStr">
        <is>
          <t>Material retirado en almacén</t>
        </is>
      </c>
      <c r="G877" s="5" t="inlineStr">
        <is>
          <t>basineta, taza, cuerpo del inodoro</t>
        </is>
      </c>
      <c r="H877" s="7" t="inlineStr">
        <is>
          <t>unidad</t>
        </is>
      </c>
      <c r="I877" s="7" t="inlineStr">
        <is>
          <t>Instalaciones</t>
        </is>
      </c>
      <c r="J877" s="7" t="inlineStr">
        <is>
          <t>estandar</t>
        </is>
      </c>
      <c r="K877" s="7" t="inlineStr">
        <is>
          <t>importado</t>
        </is>
      </c>
      <c r="L877" s="7" t="inlineStr">
        <is>
          <t>Verificado</t>
        </is>
      </c>
      <c r="M877" s="8" t="n">
        <v>1</v>
      </c>
      <c r="N877" s="9" t="n">
        <v>3204.84</v>
      </c>
      <c r="O877" s="9" t="n">
        <v>3204.84</v>
      </c>
      <c r="P877" s="9" t="n">
        <v>3204.84</v>
      </c>
      <c r="Q877" s="7" t="inlineStr">
        <is>
          <t>Sí</t>
        </is>
      </c>
      <c r="R877" s="9">
        <f>IF(N877="","",IF(Q877="Sí",ROUND(N877/1.18,2),N877))</f>
        <v/>
      </c>
      <c r="S877" s="7" t="inlineStr">
        <is>
          <t>2026-09-09</t>
        </is>
      </c>
      <c r="T877" s="5" t="inlineStr">
        <is>
          <t>1 cotización de proveedores</t>
        </is>
      </c>
    </row>
    <row r="878">
      <c r="A878" s="7" t="inlineStr">
        <is>
          <t>MAT-24-074</t>
        </is>
      </c>
      <c r="B878" s="7" t="inlineStr">
        <is>
          <t>Materiales</t>
        </is>
      </c>
      <c r="C878" s="7" t="inlineStr">
        <is>
          <t>Inodoros y urinarios</t>
        </is>
      </c>
      <c r="D878" s="5" t="inlineStr">
        <is>
          <t>Basineta Jazmin redondo 3" 4.8 Lpd, blanca</t>
        </is>
      </c>
      <c r="E878" s="5" t="inlineStr">
        <is>
          <t>marca CATO · color blanca · referencia BLANCA</t>
        </is>
      </c>
      <c r="F878" s="5" t="inlineStr">
        <is>
          <t>Material retirado en almacén</t>
        </is>
      </c>
      <c r="G878" s="5" t="inlineStr">
        <is>
          <t>basineta, taza, cuerpo del inodoro</t>
        </is>
      </c>
      <c r="H878" s="7" t="inlineStr">
        <is>
          <t>unidad</t>
        </is>
      </c>
      <c r="I878" s="7" t="inlineStr">
        <is>
          <t>Instalaciones</t>
        </is>
      </c>
      <c r="J878" s="7" t="inlineStr">
        <is>
          <t>estandar</t>
        </is>
      </c>
      <c r="K878" s="7" t="inlineStr">
        <is>
          <t>importado</t>
        </is>
      </c>
      <c r="L878" s="7" t="inlineStr">
        <is>
          <t>Verificado</t>
        </is>
      </c>
      <c r="M878" s="8" t="n">
        <v>1</v>
      </c>
      <c r="N878" s="9" t="n">
        <v>3391.69</v>
      </c>
      <c r="O878" s="9" t="n">
        <v>3391.69</v>
      </c>
      <c r="P878" s="9" t="n">
        <v>3391.69</v>
      </c>
      <c r="Q878" s="7" t="inlineStr">
        <is>
          <t>Sí</t>
        </is>
      </c>
      <c r="R878" s="9">
        <f>IF(N878="","",IF(Q878="Sí",ROUND(N878/1.18,2),N878))</f>
        <v/>
      </c>
      <c r="S878" s="7" t="inlineStr">
        <is>
          <t>2026-09-09</t>
        </is>
      </c>
      <c r="T878" s="5" t="inlineStr">
        <is>
          <t>1 cotización de proveedores</t>
        </is>
      </c>
    </row>
    <row r="879">
      <c r="A879" s="7" t="inlineStr">
        <is>
          <t>MAT-24-075</t>
        </is>
      </c>
      <c r="B879" s="7" t="inlineStr">
        <is>
          <t>Materiales</t>
        </is>
      </c>
      <c r="C879" s="7" t="inlineStr">
        <is>
          <t>Inodoros y urinarios</t>
        </is>
      </c>
      <c r="D879" s="5" t="inlineStr">
        <is>
          <t>Basineta Aguazul redondo Calidad Universal, marfil</t>
        </is>
      </c>
      <c r="E879" s="5" t="inlineStr">
        <is>
          <t>marca CATO · color marfil · referencia MARFIL</t>
        </is>
      </c>
      <c r="F879" s="5" t="inlineStr">
        <is>
          <t>Material retirado en almacén</t>
        </is>
      </c>
      <c r="G879" s="5" t="inlineStr">
        <is>
          <t>basineta, taza, cuerpo del inodoro</t>
        </is>
      </c>
      <c r="H879" s="7" t="inlineStr">
        <is>
          <t>unidad</t>
        </is>
      </c>
      <c r="I879" s="7" t="inlineStr">
        <is>
          <t>Instalaciones</t>
        </is>
      </c>
      <c r="J879" s="7" t="inlineStr">
        <is>
          <t>estandar</t>
        </is>
      </c>
      <c r="K879" s="7" t="inlineStr">
        <is>
          <t>importado</t>
        </is>
      </c>
      <c r="L879" s="7" t="inlineStr">
        <is>
          <t>Verificado</t>
        </is>
      </c>
      <c r="M879" s="8" t="n">
        <v>1</v>
      </c>
      <c r="N879" s="9" t="n">
        <v>3445.23</v>
      </c>
      <c r="O879" s="9" t="n">
        <v>3445.23</v>
      </c>
      <c r="P879" s="9" t="n">
        <v>3445.23</v>
      </c>
      <c r="Q879" s="7" t="inlineStr">
        <is>
          <t>Sí</t>
        </is>
      </c>
      <c r="R879" s="9">
        <f>IF(N879="","",IF(Q879="Sí",ROUND(N879/1.18,2),N879))</f>
        <v/>
      </c>
      <c r="S879" s="7" t="inlineStr">
        <is>
          <t>2026-09-09</t>
        </is>
      </c>
      <c r="T879" s="5" t="inlineStr">
        <is>
          <t>1 cotización de proveedores</t>
        </is>
      </c>
    </row>
    <row r="880">
      <c r="A880" s="7" t="inlineStr">
        <is>
          <t>MAT-24-076</t>
        </is>
      </c>
      <c r="B880" s="7" t="inlineStr">
        <is>
          <t>Materiales</t>
        </is>
      </c>
      <c r="C880" s="7" t="inlineStr">
        <is>
          <t>Inodoros y urinarios</t>
        </is>
      </c>
      <c r="D880" s="5" t="inlineStr">
        <is>
          <t>Basineta Jazmin redondo 3" 4.8 Lpd, marfil</t>
        </is>
      </c>
      <c r="E880" s="5" t="inlineStr">
        <is>
          <t>marca CATO · color marfil · referencia MARFIL</t>
        </is>
      </c>
      <c r="F880" s="5" t="inlineStr">
        <is>
          <t>Material retirado en almacén</t>
        </is>
      </c>
      <c r="G880" s="5" t="inlineStr">
        <is>
          <t>basineta, taza, cuerpo del inodoro</t>
        </is>
      </c>
      <c r="H880" s="7" t="inlineStr">
        <is>
          <t>unidad</t>
        </is>
      </c>
      <c r="I880" s="7" t="inlineStr">
        <is>
          <t>Instalaciones</t>
        </is>
      </c>
      <c r="J880" s="7" t="inlineStr">
        <is>
          <t>estandar</t>
        </is>
      </c>
      <c r="K880" s="7" t="inlineStr">
        <is>
          <t>importado</t>
        </is>
      </c>
      <c r="L880" s="7" t="inlineStr">
        <is>
          <t>Verificado</t>
        </is>
      </c>
      <c r="M880" s="8" t="n">
        <v>1</v>
      </c>
      <c r="N880" s="9" t="n">
        <v>3686.21</v>
      </c>
      <c r="O880" s="9" t="n">
        <v>3686.21</v>
      </c>
      <c r="P880" s="9" t="n">
        <v>3686.21</v>
      </c>
      <c r="Q880" s="7" t="inlineStr">
        <is>
          <t>Sí</t>
        </is>
      </c>
      <c r="R880" s="9">
        <f>IF(N880="","",IF(Q880="Sí",ROUND(N880/1.18,2),N880))</f>
        <v/>
      </c>
      <c r="S880" s="7" t="inlineStr">
        <is>
          <t>2026-09-09</t>
        </is>
      </c>
      <c r="T880" s="5" t="inlineStr">
        <is>
          <t>1 cotización de proveedores</t>
        </is>
      </c>
    </row>
    <row r="881">
      <c r="A881" s="7" t="inlineStr">
        <is>
          <t>MAT-24-077</t>
        </is>
      </c>
      <c r="B881" s="7" t="inlineStr">
        <is>
          <t>Materiales</t>
        </is>
      </c>
      <c r="C881" s="7" t="inlineStr">
        <is>
          <t>Inodoros y urinarios</t>
        </is>
      </c>
      <c r="D881" s="5" t="inlineStr">
        <is>
          <t>Basineta elongado Anubis con Asientos, blanco</t>
        </is>
      </c>
      <c r="E881" s="5" t="inlineStr">
        <is>
          <t>marca ULTRA · color blanco · referencia 2777BLANCO</t>
        </is>
      </c>
      <c r="F881" s="5" t="inlineStr">
        <is>
          <t>Material retirado en almacén</t>
        </is>
      </c>
      <c r="G881" s="5" t="inlineStr">
        <is>
          <t>basineta, taza, cuerpo del inodoro</t>
        </is>
      </c>
      <c r="H881" s="7" t="inlineStr">
        <is>
          <t>unidad</t>
        </is>
      </c>
      <c r="I881" s="7" t="inlineStr">
        <is>
          <t>Instalaciones</t>
        </is>
      </c>
      <c r="J881" s="7" t="inlineStr">
        <is>
          <t>estandar</t>
        </is>
      </c>
      <c r="K881" s="7" t="inlineStr">
        <is>
          <t>importado</t>
        </is>
      </c>
      <c r="L881" s="7" t="inlineStr">
        <is>
          <t>Verificado</t>
        </is>
      </c>
      <c r="M881" s="8" t="n">
        <v>1</v>
      </c>
      <c r="N881" s="9" t="n">
        <v>3893.76</v>
      </c>
      <c r="O881" s="9" t="n">
        <v>3893.76</v>
      </c>
      <c r="P881" s="9" t="n">
        <v>3893.76</v>
      </c>
      <c r="Q881" s="7" t="inlineStr">
        <is>
          <t>Sí</t>
        </is>
      </c>
      <c r="R881" s="9">
        <f>IF(N881="","",IF(Q881="Sí",ROUND(N881/1.18,2),N881))</f>
        <v/>
      </c>
      <c r="S881" s="7" t="inlineStr">
        <is>
          <t>2026-09-09</t>
        </is>
      </c>
      <c r="T881" s="5" t="inlineStr">
        <is>
          <t>1 cotización de proveedores</t>
        </is>
      </c>
    </row>
    <row r="882">
      <c r="A882" s="7" t="inlineStr">
        <is>
          <t>MAT-24-078</t>
        </is>
      </c>
      <c r="B882" s="7" t="inlineStr">
        <is>
          <t>Materiales</t>
        </is>
      </c>
      <c r="C882" s="7" t="inlineStr">
        <is>
          <t>Inodoros y urinarios</t>
        </is>
      </c>
      <c r="D882" s="5" t="inlineStr">
        <is>
          <t>Basineta Artemis 2 con A. 700 x 360 x 740, blanco</t>
        </is>
      </c>
      <c r="E882" s="5" t="inlineStr">
        <is>
          <t>marca ULTRA · color blanco · referencia BLANCO</t>
        </is>
      </c>
      <c r="F882" s="5" t="inlineStr">
        <is>
          <t>Material retirado en almacén</t>
        </is>
      </c>
      <c r="G882" s="5" t="inlineStr">
        <is>
          <t>basineta, taza, cuerpo del inodoro</t>
        </is>
      </c>
      <c r="H882" s="7" t="inlineStr">
        <is>
          <t>unidad</t>
        </is>
      </c>
      <c r="I882" s="7" t="inlineStr">
        <is>
          <t>Instalaciones</t>
        </is>
      </c>
      <c r="J882" s="7" t="inlineStr">
        <is>
          <t>estandar</t>
        </is>
      </c>
      <c r="K882" s="7" t="inlineStr">
        <is>
          <t>importado</t>
        </is>
      </c>
      <c r="L882" s="7" t="inlineStr">
        <is>
          <t>Verificado</t>
        </is>
      </c>
      <c r="M882" s="8" t="n">
        <v>1</v>
      </c>
      <c r="N882" s="9" t="n">
        <v>4011.15</v>
      </c>
      <c r="O882" s="9" t="n">
        <v>4011.15</v>
      </c>
      <c r="P882" s="9" t="n">
        <v>4011.15</v>
      </c>
      <c r="Q882" s="7" t="inlineStr">
        <is>
          <t>Sí</t>
        </is>
      </c>
      <c r="R882" s="9">
        <f>IF(N882="","",IF(Q882="Sí",ROUND(N882/1.18,2),N882))</f>
        <v/>
      </c>
      <c r="S882" s="7" t="inlineStr">
        <is>
          <t>2026-09-09</t>
        </is>
      </c>
      <c r="T882" s="5" t="inlineStr">
        <is>
          <t>1 cotización de proveedores</t>
        </is>
      </c>
    </row>
    <row r="883">
      <c r="A883" s="7" t="inlineStr">
        <is>
          <t>MAT-24-079</t>
        </is>
      </c>
      <c r="B883" s="7" t="inlineStr">
        <is>
          <t>Materiales</t>
        </is>
      </c>
      <c r="C883" s="7" t="inlineStr">
        <is>
          <t>Inodoros y urinarios</t>
        </is>
      </c>
      <c r="D883" s="5" t="inlineStr">
        <is>
          <t>Basineta elongado Armin con Asiento, blanco</t>
        </is>
      </c>
      <c r="E883" s="5" t="inlineStr">
        <is>
          <t>marca ULTRA · color blanco · referencia LX-2596BLANCO</t>
        </is>
      </c>
      <c r="F883" s="5" t="inlineStr">
        <is>
          <t>Material retirado en almacén</t>
        </is>
      </c>
      <c r="G883" s="5" t="inlineStr">
        <is>
          <t>basineta, taza, cuerpo del inodoro</t>
        </is>
      </c>
      <c r="H883" s="7" t="inlineStr">
        <is>
          <t>unidad</t>
        </is>
      </c>
      <c r="I883" s="7" t="inlineStr">
        <is>
          <t>Instalaciones</t>
        </is>
      </c>
      <c r="J883" s="7" t="inlineStr">
        <is>
          <t>estandar</t>
        </is>
      </c>
      <c r="K883" s="7" t="inlineStr">
        <is>
          <t>importado</t>
        </is>
      </c>
      <c r="L883" s="7" t="inlineStr">
        <is>
          <t>Verificado</t>
        </is>
      </c>
      <c r="M883" s="8" t="n">
        <v>1</v>
      </c>
      <c r="N883" s="9" t="n">
        <v>4090.27</v>
      </c>
      <c r="O883" s="9" t="n">
        <v>4090.27</v>
      </c>
      <c r="P883" s="9" t="n">
        <v>4090.27</v>
      </c>
      <c r="Q883" s="7" t="inlineStr">
        <is>
          <t>Sí</t>
        </is>
      </c>
      <c r="R883" s="9">
        <f>IF(N883="","",IF(Q883="Sí",ROUND(N883/1.18,2),N883))</f>
        <v/>
      </c>
      <c r="S883" s="7" t="inlineStr">
        <is>
          <t>2026-09-09</t>
        </is>
      </c>
      <c r="T883" s="5" t="inlineStr">
        <is>
          <t>1 cotización de proveedores</t>
        </is>
      </c>
    </row>
    <row r="884">
      <c r="A884" s="7" t="inlineStr">
        <is>
          <t>MAT-24-080</t>
        </is>
      </c>
      <c r="B884" s="7" t="inlineStr">
        <is>
          <t>Materiales</t>
        </is>
      </c>
      <c r="C884" s="7" t="inlineStr">
        <is>
          <t>Inodoros y urinarios</t>
        </is>
      </c>
      <c r="D884" s="5" t="inlineStr">
        <is>
          <t>Basineta elongado Artemis con A. 710 x 415 x 800, blanco</t>
        </is>
      </c>
      <c r="E884" s="5" t="inlineStr">
        <is>
          <t>marca ULTRA · color blanco · referencia 2758BLANCO</t>
        </is>
      </c>
      <c r="F884" s="5" t="inlineStr">
        <is>
          <t>Material retirado en almacén</t>
        </is>
      </c>
      <c r="G884" s="5" t="inlineStr">
        <is>
          <t>basineta, taza, cuerpo del inodoro</t>
        </is>
      </c>
      <c r="H884" s="7" t="inlineStr">
        <is>
          <t>unidad</t>
        </is>
      </c>
      <c r="I884" s="7" t="inlineStr">
        <is>
          <t>Instalaciones</t>
        </is>
      </c>
      <c r="J884" s="7" t="inlineStr">
        <is>
          <t>estandar</t>
        </is>
      </c>
      <c r="K884" s="7" t="inlineStr">
        <is>
          <t>importado</t>
        </is>
      </c>
      <c r="L884" s="7" t="inlineStr">
        <is>
          <t>Verificado</t>
        </is>
      </c>
      <c r="M884" s="8" t="n">
        <v>1</v>
      </c>
      <c r="N884" s="9" t="n">
        <v>4174.16</v>
      </c>
      <c r="O884" s="9" t="n">
        <v>4174.16</v>
      </c>
      <c r="P884" s="9" t="n">
        <v>4174.16</v>
      </c>
      <c r="Q884" s="7" t="inlineStr">
        <is>
          <t>Sí</t>
        </is>
      </c>
      <c r="R884" s="9">
        <f>IF(N884="","",IF(Q884="Sí",ROUND(N884/1.18,2),N884))</f>
        <v/>
      </c>
      <c r="S884" s="7" t="inlineStr">
        <is>
          <t>2026-09-09</t>
        </is>
      </c>
      <c r="T884" s="5" t="inlineStr">
        <is>
          <t>1 cotización de proveedores</t>
        </is>
      </c>
    </row>
    <row r="885">
      <c r="A885" s="7" t="inlineStr">
        <is>
          <t>MAT-24-081</t>
        </is>
      </c>
      <c r="B885" s="7" t="inlineStr">
        <is>
          <t>Materiales</t>
        </is>
      </c>
      <c r="C885" s="7" t="inlineStr">
        <is>
          <t>Inodoros y urinarios</t>
        </is>
      </c>
      <c r="D885" s="5" t="inlineStr">
        <is>
          <t>Basineta elongado Tango elongado 3" 3.8 Lpd, blanco</t>
        </is>
      </c>
      <c r="E885" s="5" t="inlineStr">
        <is>
          <t>marca CATO · color blanco · referencia BLANCO</t>
        </is>
      </c>
      <c r="F885" s="5" t="inlineStr">
        <is>
          <t>Material retirado en almacén</t>
        </is>
      </c>
      <c r="G885" s="5" t="inlineStr">
        <is>
          <t>basineta, taza, cuerpo del inodoro</t>
        </is>
      </c>
      <c r="H885" s="7" t="inlineStr">
        <is>
          <t>unidad</t>
        </is>
      </c>
      <c r="I885" s="7" t="inlineStr">
        <is>
          <t>Instalaciones</t>
        </is>
      </c>
      <c r="J885" s="7" t="inlineStr">
        <is>
          <t>estandar</t>
        </is>
      </c>
      <c r="K885" s="7" t="inlineStr">
        <is>
          <t>importado</t>
        </is>
      </c>
      <c r="L885" s="7" t="inlineStr">
        <is>
          <t>Verificado</t>
        </is>
      </c>
      <c r="M885" s="8" t="n">
        <v>1</v>
      </c>
      <c r="N885" s="9" t="n">
        <v>4494.81</v>
      </c>
      <c r="O885" s="9" t="n">
        <v>4494.81</v>
      </c>
      <c r="P885" s="9" t="n">
        <v>4494.81</v>
      </c>
      <c r="Q885" s="7" t="inlineStr">
        <is>
          <t>Sí</t>
        </is>
      </c>
      <c r="R885" s="9">
        <f>IF(N885="","",IF(Q885="Sí",ROUND(N885/1.18,2),N885))</f>
        <v/>
      </c>
      <c r="S885" s="7" t="inlineStr">
        <is>
          <t>2026-09-09</t>
        </is>
      </c>
      <c r="T885" s="5" t="inlineStr">
        <is>
          <t>1 cotización de proveedores</t>
        </is>
      </c>
    </row>
    <row r="886">
      <c r="A886" s="7" t="inlineStr">
        <is>
          <t>MAT-24-082</t>
        </is>
      </c>
      <c r="B886" s="7" t="inlineStr">
        <is>
          <t>Materiales</t>
        </is>
      </c>
      <c r="C886" s="7" t="inlineStr">
        <is>
          <t>Inodoros y urinarios</t>
        </is>
      </c>
      <c r="D886" s="5" t="inlineStr">
        <is>
          <t>Basineta elongado Zurich 3" 4.8 Lpd, blanca</t>
        </is>
      </c>
      <c r="E886" s="5" t="inlineStr">
        <is>
          <t>marca CATO · color blanca · referencia BLANCA</t>
        </is>
      </c>
      <c r="F886" s="5" t="inlineStr">
        <is>
          <t>Material retirado en almacén</t>
        </is>
      </c>
      <c r="G886" s="5" t="inlineStr">
        <is>
          <t>basineta, taza, cuerpo del inodoro</t>
        </is>
      </c>
      <c r="H886" s="7" t="inlineStr">
        <is>
          <t>unidad</t>
        </is>
      </c>
      <c r="I886" s="7" t="inlineStr">
        <is>
          <t>Instalaciones</t>
        </is>
      </c>
      <c r="J886" s="7" t="inlineStr">
        <is>
          <t>estandar</t>
        </is>
      </c>
      <c r="K886" s="7" t="inlineStr">
        <is>
          <t>importado</t>
        </is>
      </c>
      <c r="L886" s="7" t="inlineStr">
        <is>
          <t>Verificado</t>
        </is>
      </c>
      <c r="M886" s="8" t="n">
        <v>1</v>
      </c>
      <c r="N886" s="9" t="n">
        <v>4593.55</v>
      </c>
      <c r="O886" s="9" t="n">
        <v>4593.55</v>
      </c>
      <c r="P886" s="9" t="n">
        <v>4593.55</v>
      </c>
      <c r="Q886" s="7" t="inlineStr">
        <is>
          <t>Sí</t>
        </is>
      </c>
      <c r="R886" s="9">
        <f>IF(N886="","",IF(Q886="Sí",ROUND(N886/1.18,2),N886))</f>
        <v/>
      </c>
      <c r="S886" s="7" t="inlineStr">
        <is>
          <t>2026-09-09</t>
        </is>
      </c>
      <c r="T886" s="5" t="inlineStr">
        <is>
          <t>1 cotización de proveedores</t>
        </is>
      </c>
    </row>
    <row r="887">
      <c r="A887" s="7" t="inlineStr">
        <is>
          <t>MAT-24-083</t>
        </is>
      </c>
      <c r="B887" s="7" t="inlineStr">
        <is>
          <t>Materiales</t>
        </is>
      </c>
      <c r="C887" s="7" t="inlineStr">
        <is>
          <t>Inodoros y urinarios</t>
        </is>
      </c>
      <c r="D887" s="5" t="inlineStr">
        <is>
          <t>Basineta Milenio elongado 3.8 Lpd, blanco</t>
        </is>
      </c>
      <c r="E887" s="5" t="inlineStr">
        <is>
          <t>marca CATO · color blanco · referencia BLANCO</t>
        </is>
      </c>
      <c r="F887" s="5" t="inlineStr">
        <is>
          <t>Material retirado en almacén</t>
        </is>
      </c>
      <c r="G887" s="5" t="inlineStr">
        <is>
          <t>basineta, taza, cuerpo del inodoro</t>
        </is>
      </c>
      <c r="H887" s="7" t="inlineStr">
        <is>
          <t>unidad</t>
        </is>
      </c>
      <c r="I887" s="7" t="inlineStr">
        <is>
          <t>Instalaciones</t>
        </is>
      </c>
      <c r="J887" s="7" t="inlineStr">
        <is>
          <t>estandar</t>
        </is>
      </c>
      <c r="K887" s="7" t="inlineStr">
        <is>
          <t>importado</t>
        </is>
      </c>
      <c r="L887" s="7" t="inlineStr">
        <is>
          <t>Verificado</t>
        </is>
      </c>
      <c r="M887" s="8" t="n">
        <v>1</v>
      </c>
      <c r="N887" s="9" t="n">
        <v>4598.17</v>
      </c>
      <c r="O887" s="9" t="n">
        <v>4598.17</v>
      </c>
      <c r="P887" s="9" t="n">
        <v>4598.17</v>
      </c>
      <c r="Q887" s="7" t="inlineStr">
        <is>
          <t>Sí</t>
        </is>
      </c>
      <c r="R887" s="9">
        <f>IF(N887="","",IF(Q887="Sí",ROUND(N887/1.18,2),N887))</f>
        <v/>
      </c>
      <c r="S887" s="7" t="inlineStr">
        <is>
          <t>2026-09-09</t>
        </is>
      </c>
      <c r="T887" s="5" t="inlineStr">
        <is>
          <t>1 cotización de proveedores</t>
        </is>
      </c>
    </row>
    <row r="888">
      <c r="A888" s="7" t="inlineStr">
        <is>
          <t>MAT-24-084</t>
        </is>
      </c>
      <c r="B888" s="7" t="inlineStr">
        <is>
          <t>Materiales</t>
        </is>
      </c>
      <c r="C888" s="7" t="inlineStr">
        <is>
          <t>Inodoros y urinarios</t>
        </is>
      </c>
      <c r="D888" s="5" t="inlineStr">
        <is>
          <t>Basineta inodoro Drakar 1 Tt1, blanco</t>
        </is>
      </c>
      <c r="E888" s="5" t="inlineStr">
        <is>
          <t>marca HELVEX · color blanco · referencia TZ1BLANCO</t>
        </is>
      </c>
      <c r="F888" s="5" t="inlineStr">
        <is>
          <t>Material retirado en almacén</t>
        </is>
      </c>
      <c r="G888" s="5" t="inlineStr">
        <is>
          <t>basineta, taza, cuerpo del inodoro</t>
        </is>
      </c>
      <c r="H888" s="7" t="inlineStr">
        <is>
          <t>unidad</t>
        </is>
      </c>
      <c r="I888" s="7" t="inlineStr">
        <is>
          <t>Instalaciones</t>
        </is>
      </c>
      <c r="J888" s="7" t="inlineStr">
        <is>
          <t>estandar</t>
        </is>
      </c>
      <c r="K888" s="7" t="inlineStr">
        <is>
          <t>importado</t>
        </is>
      </c>
      <c r="L888" s="7" t="inlineStr">
        <is>
          <t>Verificado</t>
        </is>
      </c>
      <c r="M888" s="8" t="n">
        <v>1</v>
      </c>
      <c r="N888" s="9" t="n">
        <v>4717.05</v>
      </c>
      <c r="O888" s="9" t="n">
        <v>4717.05</v>
      </c>
      <c r="P888" s="9" t="n">
        <v>4717.05</v>
      </c>
      <c r="Q888" s="7" t="inlineStr">
        <is>
          <t>Sí</t>
        </is>
      </c>
      <c r="R888" s="9">
        <f>IF(N888="","",IF(Q888="Sí",ROUND(N888/1.18,2),N888))</f>
        <v/>
      </c>
      <c r="S888" s="7" t="inlineStr">
        <is>
          <t>2026-09-09</t>
        </is>
      </c>
      <c r="T888" s="5" t="inlineStr">
        <is>
          <t>1 cotización de proveedores</t>
        </is>
      </c>
    </row>
    <row r="889">
      <c r="A889" s="7" t="inlineStr">
        <is>
          <t>MAT-24-085</t>
        </is>
      </c>
      <c r="B889" s="7" t="inlineStr">
        <is>
          <t>Materiales</t>
        </is>
      </c>
      <c r="C889" s="7" t="inlineStr">
        <is>
          <t>Inodoros y urinarios</t>
        </is>
      </c>
      <c r="D889" s="5" t="inlineStr">
        <is>
          <t>Basineta elongado Terra 3" 4.8 Lpd, blanca</t>
        </is>
      </c>
      <c r="E889" s="5" t="inlineStr">
        <is>
          <t>marca CATO · color blanca · referencia BLANCA</t>
        </is>
      </c>
      <c r="F889" s="5" t="inlineStr">
        <is>
          <t>Material retirado en almacén</t>
        </is>
      </c>
      <c r="G889" s="5" t="inlineStr">
        <is>
          <t>basineta, taza, cuerpo del inodoro</t>
        </is>
      </c>
      <c r="H889" s="7" t="inlineStr">
        <is>
          <t>unidad</t>
        </is>
      </c>
      <c r="I889" s="7" t="inlineStr">
        <is>
          <t>Instalaciones</t>
        </is>
      </c>
      <c r="J889" s="7" t="inlineStr">
        <is>
          <t>estandar</t>
        </is>
      </c>
      <c r="K889" s="7" t="inlineStr">
        <is>
          <t>importado</t>
        </is>
      </c>
      <c r="L889" s="7" t="inlineStr">
        <is>
          <t>Verificado</t>
        </is>
      </c>
      <c r="M889" s="8" t="n">
        <v>1</v>
      </c>
      <c r="N889" s="9" t="n">
        <v>4974.71</v>
      </c>
      <c r="O889" s="9" t="n">
        <v>4974.71</v>
      </c>
      <c r="P889" s="9" t="n">
        <v>4974.71</v>
      </c>
      <c r="Q889" s="7" t="inlineStr">
        <is>
          <t>Sí</t>
        </is>
      </c>
      <c r="R889" s="9">
        <f>IF(N889="","",IF(Q889="Sí",ROUND(N889/1.18,2),N889))</f>
        <v/>
      </c>
      <c r="S889" s="7" t="inlineStr">
        <is>
          <t>2026-09-09</t>
        </is>
      </c>
      <c r="T889" s="5" t="inlineStr">
        <is>
          <t>1 cotización de proveedores</t>
        </is>
      </c>
    </row>
    <row r="890">
      <c r="A890" s="7" t="inlineStr">
        <is>
          <t>MAT-24-086</t>
        </is>
      </c>
      <c r="B890" s="7" t="inlineStr">
        <is>
          <t>Materiales</t>
        </is>
      </c>
      <c r="C890" s="7" t="inlineStr">
        <is>
          <t>Inodoros y urinarios</t>
        </is>
      </c>
      <c r="D890" s="5" t="inlineStr">
        <is>
          <t>Basineta Jazmin elongado 3" 4.8 Lpd, blanca</t>
        </is>
      </c>
      <c r="E890" s="5" t="inlineStr">
        <is>
          <t>marca CATO · color blanca · referencia BLANCA</t>
        </is>
      </c>
      <c r="F890" s="5" t="inlineStr">
        <is>
          <t>Material retirado en almacén</t>
        </is>
      </c>
      <c r="G890" s="5" t="inlineStr">
        <is>
          <t>basineta, taza, cuerpo del inodoro</t>
        </is>
      </c>
      <c r="H890" s="7" t="inlineStr">
        <is>
          <t>unidad</t>
        </is>
      </c>
      <c r="I890" s="7" t="inlineStr">
        <is>
          <t>Instalaciones</t>
        </is>
      </c>
      <c r="J890" s="7" t="inlineStr">
        <is>
          <t>estandar</t>
        </is>
      </c>
      <c r="K890" s="7" t="inlineStr">
        <is>
          <t>importado</t>
        </is>
      </c>
      <c r="L890" s="7" t="inlineStr">
        <is>
          <t>Verificado</t>
        </is>
      </c>
      <c r="M890" s="8" t="n">
        <v>1</v>
      </c>
      <c r="N890" s="9" t="n">
        <v>5014.16</v>
      </c>
      <c r="O890" s="9" t="n">
        <v>5014.16</v>
      </c>
      <c r="P890" s="9" t="n">
        <v>5014.16</v>
      </c>
      <c r="Q890" s="7" t="inlineStr">
        <is>
          <t>Sí</t>
        </is>
      </c>
      <c r="R890" s="9">
        <f>IF(N890="","",IF(Q890="Sí",ROUND(N890/1.18,2),N890))</f>
        <v/>
      </c>
      <c r="S890" s="7" t="inlineStr">
        <is>
          <t>2026-09-09</t>
        </is>
      </c>
      <c r="T890" s="5" t="inlineStr">
        <is>
          <t>1 cotización de proveedores</t>
        </is>
      </c>
    </row>
    <row r="891">
      <c r="A891" s="7" t="inlineStr">
        <is>
          <t>MAT-24-087</t>
        </is>
      </c>
      <c r="B891" s="7" t="inlineStr">
        <is>
          <t>Materiales</t>
        </is>
      </c>
      <c r="C891" s="7" t="inlineStr">
        <is>
          <t>Inodoros y urinarios</t>
        </is>
      </c>
      <c r="D891" s="5" t="inlineStr">
        <is>
          <t>Basineta De Cerámica Fiore, blanco</t>
        </is>
      </c>
      <c r="E891" s="5" t="inlineStr">
        <is>
          <t>marca CATO · color blanco · referencia BLANCO</t>
        </is>
      </c>
      <c r="F891" s="5" t="inlineStr">
        <is>
          <t>Material retirado en almacén</t>
        </is>
      </c>
      <c r="G891" s="5" t="inlineStr">
        <is>
          <t>basineta, taza, cuerpo del inodoro</t>
        </is>
      </c>
      <c r="H891" s="7" t="inlineStr">
        <is>
          <t>unidad</t>
        </is>
      </c>
      <c r="I891" s="7" t="inlineStr">
        <is>
          <t>Instalaciones</t>
        </is>
      </c>
      <c r="J891" s="7" t="inlineStr">
        <is>
          <t>estandar</t>
        </is>
      </c>
      <c r="K891" s="7" t="inlineStr">
        <is>
          <t>importado</t>
        </is>
      </c>
      <c r="L891" s="7" t="inlineStr">
        <is>
          <t>Verificado</t>
        </is>
      </c>
      <c r="M891" s="8" t="n">
        <v>1</v>
      </c>
      <c r="N891" s="9" t="n">
        <v>5063.97</v>
      </c>
      <c r="O891" s="9" t="n">
        <v>5063.97</v>
      </c>
      <c r="P891" s="9" t="n">
        <v>5063.97</v>
      </c>
      <c r="Q891" s="7" t="inlineStr">
        <is>
          <t>Sí</t>
        </is>
      </c>
      <c r="R891" s="9">
        <f>IF(N891="","",IF(Q891="Sí",ROUND(N891/1.18,2),N891))</f>
        <v/>
      </c>
      <c r="S891" s="7" t="inlineStr">
        <is>
          <t>2026-09-09</t>
        </is>
      </c>
      <c r="T891" s="5" t="inlineStr">
        <is>
          <t>1 cotización de proveedores</t>
        </is>
      </c>
    </row>
    <row r="892">
      <c r="A892" s="7" t="inlineStr">
        <is>
          <t>MAT-24-088</t>
        </is>
      </c>
      <c r="B892" s="7" t="inlineStr">
        <is>
          <t>Materiales</t>
        </is>
      </c>
      <c r="C892" s="7" t="inlineStr">
        <is>
          <t>Inodoros y urinarios</t>
        </is>
      </c>
      <c r="D892" s="5" t="inlineStr">
        <is>
          <t>Basineta elongado Goya 3" 3.8 Lpd, blanco</t>
        </is>
      </c>
      <c r="E892" s="5" t="inlineStr">
        <is>
          <t>marca CATO · color blanco · referencia BLANCO</t>
        </is>
      </c>
      <c r="F892" s="5" t="inlineStr">
        <is>
          <t>Material retirado en almacén</t>
        </is>
      </c>
      <c r="G892" s="5" t="inlineStr">
        <is>
          <t>basineta, taza, cuerpo del inodoro</t>
        </is>
      </c>
      <c r="H892" s="7" t="inlineStr">
        <is>
          <t>unidad</t>
        </is>
      </c>
      <c r="I892" s="7" t="inlineStr">
        <is>
          <t>Instalaciones</t>
        </is>
      </c>
      <c r="J892" s="7" t="inlineStr">
        <is>
          <t>estandar</t>
        </is>
      </c>
      <c r="K892" s="7" t="inlineStr">
        <is>
          <t>importado</t>
        </is>
      </c>
      <c r="L892" s="7" t="inlineStr">
        <is>
          <t>Verificado</t>
        </is>
      </c>
      <c r="M892" s="8" t="n">
        <v>1</v>
      </c>
      <c r="N892" s="9" t="n">
        <v>5127.81</v>
      </c>
      <c r="O892" s="9" t="n">
        <v>5127.81</v>
      </c>
      <c r="P892" s="9" t="n">
        <v>5127.81</v>
      </c>
      <c r="Q892" s="7" t="inlineStr">
        <is>
          <t>Sí</t>
        </is>
      </c>
      <c r="R892" s="9">
        <f>IF(N892="","",IF(Q892="Sí",ROUND(N892/1.18,2),N892))</f>
        <v/>
      </c>
      <c r="S892" s="7" t="inlineStr">
        <is>
          <t>2026-09-09</t>
        </is>
      </c>
      <c r="T892" s="5" t="inlineStr">
        <is>
          <t>1 cotización de proveedores</t>
        </is>
      </c>
    </row>
    <row r="893">
      <c r="A893" s="7" t="inlineStr">
        <is>
          <t>MAT-24-089</t>
        </is>
      </c>
      <c r="B893" s="7" t="inlineStr">
        <is>
          <t>Materiales</t>
        </is>
      </c>
      <c r="C893" s="7" t="inlineStr">
        <is>
          <t>Inodoros y urinarios</t>
        </is>
      </c>
      <c r="D893" s="5" t="inlineStr">
        <is>
          <t>Basineta elongado Tango 3" 3.8 Lpd, marfil</t>
        </is>
      </c>
      <c r="E893" s="5" t="inlineStr">
        <is>
          <t>marca CATO · color marfil · referencia MARFIL</t>
        </is>
      </c>
      <c r="F893" s="5" t="inlineStr">
        <is>
          <t>Material retirado en almacén</t>
        </is>
      </c>
      <c r="G893" s="5" t="inlineStr">
        <is>
          <t>basineta, taza, cuerpo del inodoro</t>
        </is>
      </c>
      <c r="H893" s="7" t="inlineStr">
        <is>
          <t>unidad</t>
        </is>
      </c>
      <c r="I893" s="7" t="inlineStr">
        <is>
          <t>Instalaciones</t>
        </is>
      </c>
      <c r="J893" s="7" t="inlineStr">
        <is>
          <t>estandar</t>
        </is>
      </c>
      <c r="K893" s="7" t="inlineStr">
        <is>
          <t>importado</t>
        </is>
      </c>
      <c r="L893" s="7" t="inlineStr">
        <is>
          <t>Verificado</t>
        </is>
      </c>
      <c r="M893" s="8" t="n">
        <v>1</v>
      </c>
      <c r="N893" s="9" t="n">
        <v>5568.04</v>
      </c>
      <c r="O893" s="9" t="n">
        <v>5568.04</v>
      </c>
      <c r="P893" s="9" t="n">
        <v>5568.04</v>
      </c>
      <c r="Q893" s="7" t="inlineStr">
        <is>
          <t>Sí</t>
        </is>
      </c>
      <c r="R893" s="9">
        <f>IF(N893="","",IF(Q893="Sí",ROUND(N893/1.18,2),N893))</f>
        <v/>
      </c>
      <c r="S893" s="7" t="inlineStr">
        <is>
          <t>2026-09-09</t>
        </is>
      </c>
      <c r="T893" s="5" t="inlineStr">
        <is>
          <t>1 cotización de proveedores</t>
        </is>
      </c>
    </row>
    <row r="894">
      <c r="A894" s="7" t="inlineStr">
        <is>
          <t>MAT-24-090</t>
        </is>
      </c>
      <c r="B894" s="7" t="inlineStr">
        <is>
          <t>Materiales</t>
        </is>
      </c>
      <c r="C894" s="7" t="inlineStr">
        <is>
          <t>Inodoros y urinarios</t>
        </is>
      </c>
      <c r="D894" s="5" t="inlineStr">
        <is>
          <t>Basineta elongado Zurich 3" 4.8 Lpd, marfil</t>
        </is>
      </c>
      <c r="E894" s="5" t="inlineStr">
        <is>
          <t>marca CATO · color marfil · referencia MARFIL</t>
        </is>
      </c>
      <c r="F894" s="5" t="inlineStr">
        <is>
          <t>Material retirado en almacén</t>
        </is>
      </c>
      <c r="G894" s="5" t="inlineStr">
        <is>
          <t>basineta, taza, cuerpo del inodoro</t>
        </is>
      </c>
      <c r="H894" s="7" t="inlineStr">
        <is>
          <t>unidad</t>
        </is>
      </c>
      <c r="I894" s="7" t="inlineStr">
        <is>
          <t>Instalaciones</t>
        </is>
      </c>
      <c r="J894" s="7" t="inlineStr">
        <is>
          <t>estandar</t>
        </is>
      </c>
      <c r="K894" s="7" t="inlineStr">
        <is>
          <t>importado</t>
        </is>
      </c>
      <c r="L894" s="7" t="inlineStr">
        <is>
          <t>Verificado</t>
        </is>
      </c>
      <c r="M894" s="8" t="n">
        <v>1</v>
      </c>
      <c r="N894" s="9" t="n">
        <v>5574.97</v>
      </c>
      <c r="O894" s="9" t="n">
        <v>5574.97</v>
      </c>
      <c r="P894" s="9" t="n">
        <v>5574.97</v>
      </c>
      <c r="Q894" s="7" t="inlineStr">
        <is>
          <t>Sí</t>
        </is>
      </c>
      <c r="R894" s="9">
        <f>IF(N894="","",IF(Q894="Sí",ROUND(N894/1.18,2),N894))</f>
        <v/>
      </c>
      <c r="S894" s="7" t="inlineStr">
        <is>
          <t>2026-09-09</t>
        </is>
      </c>
      <c r="T894" s="5" t="inlineStr">
        <is>
          <t>1 cotización de proveedores</t>
        </is>
      </c>
    </row>
    <row r="895">
      <c r="A895" s="7" t="inlineStr">
        <is>
          <t>MAT-24-091</t>
        </is>
      </c>
      <c r="B895" s="7" t="inlineStr">
        <is>
          <t>Materiales</t>
        </is>
      </c>
      <c r="C895" s="7" t="inlineStr">
        <is>
          <t>Inodoros y urinarios</t>
        </is>
      </c>
      <c r="D895" s="5" t="inlineStr">
        <is>
          <t>Basineta Milenio elongado 3.8 Lpd, marfil</t>
        </is>
      </c>
      <c r="E895" s="5" t="inlineStr">
        <is>
          <t>marca CATO · color marfil · referencia MARFIL</t>
        </is>
      </c>
      <c r="F895" s="5" t="inlineStr">
        <is>
          <t>Material retirado en almacén</t>
        </is>
      </c>
      <c r="G895" s="5" t="inlineStr">
        <is>
          <t>basineta, taza, cuerpo del inodoro</t>
        </is>
      </c>
      <c r="H895" s="7" t="inlineStr">
        <is>
          <t>unidad</t>
        </is>
      </c>
      <c r="I895" s="7" t="inlineStr">
        <is>
          <t>Instalaciones</t>
        </is>
      </c>
      <c r="J895" s="7" t="inlineStr">
        <is>
          <t>estandar</t>
        </is>
      </c>
      <c r="K895" s="7" t="inlineStr">
        <is>
          <t>importado</t>
        </is>
      </c>
      <c r="L895" s="7" t="inlineStr">
        <is>
          <t>Verificado</t>
        </is>
      </c>
      <c r="M895" s="8" t="n">
        <v>1</v>
      </c>
      <c r="N895" s="9" t="n">
        <v>5574.97</v>
      </c>
      <c r="O895" s="9" t="n">
        <v>5574.97</v>
      </c>
      <c r="P895" s="9" t="n">
        <v>5574.97</v>
      </c>
      <c r="Q895" s="7" t="inlineStr">
        <is>
          <t>Sí</t>
        </is>
      </c>
      <c r="R895" s="9">
        <f>IF(N895="","",IF(Q895="Sí",ROUND(N895/1.18,2),N895))</f>
        <v/>
      </c>
      <c r="S895" s="7" t="inlineStr">
        <is>
          <t>2026-09-09</t>
        </is>
      </c>
      <c r="T895" s="5" t="inlineStr">
        <is>
          <t>1 cotización de proveedores</t>
        </is>
      </c>
    </row>
    <row r="896">
      <c r="A896" s="7" t="inlineStr">
        <is>
          <t>MAT-24-092</t>
        </is>
      </c>
      <c r="B896" s="7" t="inlineStr">
        <is>
          <t>Materiales</t>
        </is>
      </c>
      <c r="C896" s="7" t="inlineStr">
        <is>
          <t>Inodoros y urinarios</t>
        </is>
      </c>
      <c r="D896" s="5" t="inlineStr">
        <is>
          <t>Basineta elongado Terra 3" 3.8 Lpd, marfil</t>
        </is>
      </c>
      <c r="E896" s="5" t="inlineStr">
        <is>
          <t>marca CATO · color marfil · referencia MARFIL</t>
        </is>
      </c>
      <c r="F896" s="5" t="inlineStr">
        <is>
          <t>Material retirado en almacén</t>
        </is>
      </c>
      <c r="G896" s="5" t="inlineStr">
        <is>
          <t>basineta, taza, cuerpo del inodoro</t>
        </is>
      </c>
      <c r="H896" s="7" t="inlineStr">
        <is>
          <t>unidad</t>
        </is>
      </c>
      <c r="I896" s="7" t="inlineStr">
        <is>
          <t>Instalaciones</t>
        </is>
      </c>
      <c r="J896" s="7" t="inlineStr">
        <is>
          <t>estandar</t>
        </is>
      </c>
      <c r="K896" s="7" t="inlineStr">
        <is>
          <t>importado</t>
        </is>
      </c>
      <c r="L896" s="7" t="inlineStr">
        <is>
          <t>Verificado</t>
        </is>
      </c>
      <c r="M896" s="8" t="n">
        <v>1</v>
      </c>
      <c r="N896" s="9" t="n">
        <v>5688.79</v>
      </c>
      <c r="O896" s="9" t="n">
        <v>5688.79</v>
      </c>
      <c r="P896" s="9" t="n">
        <v>5688.79</v>
      </c>
      <c r="Q896" s="7" t="inlineStr">
        <is>
          <t>Sí</t>
        </is>
      </c>
      <c r="R896" s="9">
        <f>IF(N896="","",IF(Q896="Sí",ROUND(N896/1.18,2),N896))</f>
        <v/>
      </c>
      <c r="S896" s="7" t="inlineStr">
        <is>
          <t>2026-09-09</t>
        </is>
      </c>
      <c r="T896" s="5" t="inlineStr">
        <is>
          <t>1 cotización de proveedores</t>
        </is>
      </c>
    </row>
    <row r="897">
      <c r="A897" s="7" t="inlineStr">
        <is>
          <t>MAT-24-093</t>
        </is>
      </c>
      <c r="B897" s="7" t="inlineStr">
        <is>
          <t>Materiales</t>
        </is>
      </c>
      <c r="C897" s="7" t="inlineStr">
        <is>
          <t>Inodoros y urinarios</t>
        </is>
      </c>
      <c r="D897" s="5" t="inlineStr">
        <is>
          <t>Basineta Jazmin elongado 3" 4.8 Lpd, marfil</t>
        </is>
      </c>
      <c r="E897" s="5" t="inlineStr">
        <is>
          <t>marca CATO · color marfil · referencia MARFIL</t>
        </is>
      </c>
      <c r="F897" s="5" t="inlineStr">
        <is>
          <t>Material retirado en almacén</t>
        </is>
      </c>
      <c r="G897" s="5" t="inlineStr">
        <is>
          <t>basineta, taza, cuerpo del inodoro</t>
        </is>
      </c>
      <c r="H897" s="7" t="inlineStr">
        <is>
          <t>unidad</t>
        </is>
      </c>
      <c r="I897" s="7" t="inlineStr">
        <is>
          <t>Instalaciones</t>
        </is>
      </c>
      <c r="J897" s="7" t="inlineStr">
        <is>
          <t>estandar</t>
        </is>
      </c>
      <c r="K897" s="7" t="inlineStr">
        <is>
          <t>importado</t>
        </is>
      </c>
      <c r="L897" s="7" t="inlineStr">
        <is>
          <t>Verificado</t>
        </is>
      </c>
      <c r="M897" s="8" t="n">
        <v>1</v>
      </c>
      <c r="N897" s="9" t="n">
        <v>5699.74</v>
      </c>
      <c r="O897" s="9" t="n">
        <v>5699.74</v>
      </c>
      <c r="P897" s="9" t="n">
        <v>5699.74</v>
      </c>
      <c r="Q897" s="7" t="inlineStr">
        <is>
          <t>Sí</t>
        </is>
      </c>
      <c r="R897" s="9">
        <f>IF(N897="","",IF(Q897="Sí",ROUND(N897/1.18,2),N897))</f>
        <v/>
      </c>
      <c r="S897" s="7" t="inlineStr">
        <is>
          <t>2026-09-09</t>
        </is>
      </c>
      <c r="T897" s="5" t="inlineStr">
        <is>
          <t>1 cotización de proveedores</t>
        </is>
      </c>
    </row>
    <row r="898">
      <c r="A898" s="7" t="inlineStr">
        <is>
          <t>MAT-24-094</t>
        </is>
      </c>
      <c r="B898" s="7" t="inlineStr">
        <is>
          <t>Materiales</t>
        </is>
      </c>
      <c r="C898" s="7" t="inlineStr">
        <is>
          <t>Inodoros y urinarios</t>
        </is>
      </c>
      <c r="D898" s="5" t="inlineStr">
        <is>
          <t>Basineta Emma Square</t>
        </is>
      </c>
      <c r="E898" s="5" t="inlineStr">
        <is>
          <t>marca GALA · referencia G2716001</t>
        </is>
      </c>
      <c r="F898" s="5" t="inlineStr">
        <is>
          <t>Material retirado en almacén</t>
        </is>
      </c>
      <c r="G898" s="5" t="inlineStr">
        <is>
          <t>basineta, taza, cuerpo del inodoro</t>
        </is>
      </c>
      <c r="H898" s="7" t="inlineStr">
        <is>
          <t>unidad</t>
        </is>
      </c>
      <c r="I898" s="7" t="inlineStr">
        <is>
          <t>Instalaciones</t>
        </is>
      </c>
      <c r="J898" s="7" t="inlineStr">
        <is>
          <t>estandar</t>
        </is>
      </c>
      <c r="K898" s="7" t="inlineStr">
        <is>
          <t>importado</t>
        </is>
      </c>
      <c r="L898" s="7" t="inlineStr">
        <is>
          <t>Verificado</t>
        </is>
      </c>
      <c r="M898" s="8" t="n">
        <v>1</v>
      </c>
      <c r="N898" s="9" t="n">
        <v>5846.69</v>
      </c>
      <c r="O898" s="9" t="n">
        <v>5846.69</v>
      </c>
      <c r="P898" s="9" t="n">
        <v>5846.69</v>
      </c>
      <c r="Q898" s="7" t="inlineStr">
        <is>
          <t>Sí</t>
        </is>
      </c>
      <c r="R898" s="9">
        <f>IF(N898="","",IF(Q898="Sí",ROUND(N898/1.18,2),N898))</f>
        <v/>
      </c>
      <c r="S898" s="7" t="inlineStr">
        <is>
          <t>2026-09-09</t>
        </is>
      </c>
      <c r="T898" s="5" t="inlineStr">
        <is>
          <t>1 cotización de proveedores</t>
        </is>
      </c>
    </row>
    <row r="899">
      <c r="A899" s="7" t="inlineStr">
        <is>
          <t>MAT-24-095</t>
        </is>
      </c>
      <c r="B899" s="7" t="inlineStr">
        <is>
          <t>Materiales</t>
        </is>
      </c>
      <c r="C899" s="7" t="inlineStr">
        <is>
          <t>Inodoros y urinarios</t>
        </is>
      </c>
      <c r="D899" s="5" t="inlineStr">
        <is>
          <t>Basineta elongado Goya 3" 3.8 Lpd, marfil</t>
        </is>
      </c>
      <c r="E899" s="5" t="inlineStr">
        <is>
          <t>marca CATO · color marfil · referencia MARFIL</t>
        </is>
      </c>
      <c r="F899" s="5" t="inlineStr">
        <is>
          <t>Material retirado en almacén</t>
        </is>
      </c>
      <c r="G899" s="5" t="inlineStr">
        <is>
          <t>basineta, taza, cuerpo del inodoro</t>
        </is>
      </c>
      <c r="H899" s="7" t="inlineStr">
        <is>
          <t>unidad</t>
        </is>
      </c>
      <c r="I899" s="7" t="inlineStr">
        <is>
          <t>Instalaciones</t>
        </is>
      </c>
      <c r="J899" s="7" t="inlineStr">
        <is>
          <t>estandar</t>
        </is>
      </c>
      <c r="K899" s="7" t="inlineStr">
        <is>
          <t>importado</t>
        </is>
      </c>
      <c r="L899" s="7" t="inlineStr">
        <is>
          <t>Verificado</t>
        </is>
      </c>
      <c r="M899" s="8" t="n">
        <v>1</v>
      </c>
      <c r="N899" s="9" t="n">
        <v>5938</v>
      </c>
      <c r="O899" s="9" t="n">
        <v>5938</v>
      </c>
      <c r="P899" s="9" t="n">
        <v>5938</v>
      </c>
      <c r="Q899" s="7" t="inlineStr">
        <is>
          <t>Sí</t>
        </is>
      </c>
      <c r="R899" s="9">
        <f>IF(N899="","",IF(Q899="Sí",ROUND(N899/1.18,2),N899))</f>
        <v/>
      </c>
      <c r="S899" s="7" t="inlineStr">
        <is>
          <t>2026-09-09</t>
        </is>
      </c>
      <c r="T899" s="5" t="inlineStr">
        <is>
          <t>1 cotización de proveedores</t>
        </is>
      </c>
    </row>
    <row r="900">
      <c r="A900" s="7" t="inlineStr">
        <is>
          <t>MAT-24-096</t>
        </is>
      </c>
      <c r="B900" s="7" t="inlineStr">
        <is>
          <t>Materiales</t>
        </is>
      </c>
      <c r="C900" s="7" t="inlineStr">
        <is>
          <t>Inodoros y urinarios</t>
        </is>
      </c>
      <c r="D900" s="5" t="inlineStr">
        <is>
          <t>Basineta elongado Austral 3.8 L, blanco</t>
        </is>
      </c>
      <c r="E900" s="5" t="inlineStr">
        <is>
          <t>marca HELVEX · color blanco · referencia WCAUSTRALBLANCO</t>
        </is>
      </c>
      <c r="F900" s="5" t="inlineStr">
        <is>
          <t>Material retirado en almacén</t>
        </is>
      </c>
      <c r="G900" s="5" t="inlineStr">
        <is>
          <t>basineta, taza, cuerpo del inodoro</t>
        </is>
      </c>
      <c r="H900" s="7" t="inlineStr">
        <is>
          <t>unidad</t>
        </is>
      </c>
      <c r="I900" s="7" t="inlineStr">
        <is>
          <t>Instalaciones</t>
        </is>
      </c>
      <c r="J900" s="7" t="inlineStr">
        <is>
          <t>estandar</t>
        </is>
      </c>
      <c r="K900" s="7" t="inlineStr">
        <is>
          <t>importado</t>
        </is>
      </c>
      <c r="L900" s="7" t="inlineStr">
        <is>
          <t>Verificado</t>
        </is>
      </c>
      <c r="M900" s="8" t="n">
        <v>1</v>
      </c>
      <c r="N900" s="9" t="n">
        <v>6111.94</v>
      </c>
      <c r="O900" s="9" t="n">
        <v>6111.94</v>
      </c>
      <c r="P900" s="9" t="n">
        <v>6111.94</v>
      </c>
      <c r="Q900" s="7" t="inlineStr">
        <is>
          <t>Sí</t>
        </is>
      </c>
      <c r="R900" s="9">
        <f>IF(N900="","",IF(Q900="Sí",ROUND(N900/1.18,2),N900))</f>
        <v/>
      </c>
      <c r="S900" s="7" t="inlineStr">
        <is>
          <t>2026-09-09</t>
        </is>
      </c>
      <c r="T900" s="5" t="inlineStr">
        <is>
          <t>1 cotización de proveedores</t>
        </is>
      </c>
    </row>
    <row r="901">
      <c r="A901" s="7" t="inlineStr">
        <is>
          <t>MAT-24-097</t>
        </is>
      </c>
      <c r="B901" s="7" t="inlineStr">
        <is>
          <t>Materiales</t>
        </is>
      </c>
      <c r="C901" s="7" t="inlineStr">
        <is>
          <t>Inodoros y urinarios</t>
        </is>
      </c>
      <c r="D901" s="5" t="inlineStr">
        <is>
          <t>Basineta Olimpia redondo, blanco</t>
        </is>
      </c>
      <c r="E901" s="5" t="inlineStr">
        <is>
          <t>marca HELVEX · color blanco · referencia BLANCO</t>
        </is>
      </c>
      <c r="F901" s="5" t="inlineStr">
        <is>
          <t>Material retirado en almacén</t>
        </is>
      </c>
      <c r="G901" s="5" t="inlineStr">
        <is>
          <t>basineta, taza, cuerpo del inodoro</t>
        </is>
      </c>
      <c r="H901" s="7" t="inlineStr">
        <is>
          <t>unidad</t>
        </is>
      </c>
      <c r="I901" s="7" t="inlineStr">
        <is>
          <t>Instalaciones</t>
        </is>
      </c>
      <c r="J901" s="7" t="inlineStr">
        <is>
          <t>estandar</t>
        </is>
      </c>
      <c r="K901" s="7" t="inlineStr">
        <is>
          <t>importado</t>
        </is>
      </c>
      <c r="L901" s="7" t="inlineStr">
        <is>
          <t>Verificado</t>
        </is>
      </c>
      <c r="M901" s="8" t="n">
        <v>1</v>
      </c>
      <c r="N901" s="9" t="n">
        <v>6768.83</v>
      </c>
      <c r="O901" s="9" t="n">
        <v>6768.83</v>
      </c>
      <c r="P901" s="9" t="n">
        <v>6768.83</v>
      </c>
      <c r="Q901" s="7" t="inlineStr">
        <is>
          <t>Sí</t>
        </is>
      </c>
      <c r="R901" s="9">
        <f>IF(N901="","",IF(Q901="Sí",ROUND(N901/1.18,2),N901))</f>
        <v/>
      </c>
      <c r="S901" s="7" t="inlineStr">
        <is>
          <t>2026-09-09</t>
        </is>
      </c>
      <c r="T901" s="5" t="inlineStr">
        <is>
          <t>1 cotización de proveedores</t>
        </is>
      </c>
    </row>
    <row r="902">
      <c r="A902" s="7" t="inlineStr">
        <is>
          <t>MAT-24-098</t>
        </is>
      </c>
      <c r="B902" s="7" t="inlineStr">
        <is>
          <t>Materiales</t>
        </is>
      </c>
      <c r="C902" s="7" t="inlineStr">
        <is>
          <t>Inodoros y urinarios</t>
        </is>
      </c>
      <c r="D902" s="5" t="inlineStr">
        <is>
          <t>Taza De Inodoro Olimpia, marfil</t>
        </is>
      </c>
      <c r="E902" s="5" t="inlineStr">
        <is>
          <t>marca HELVEX · color marfil · referencia MARFIL</t>
        </is>
      </c>
      <c r="F902" s="5" t="inlineStr">
        <is>
          <t>Material retirado en almacén</t>
        </is>
      </c>
      <c r="G902" s="5" t="inlineStr">
        <is>
          <t>basineta, taza, cuerpo del inodoro</t>
        </is>
      </c>
      <c r="H902" s="7" t="inlineStr">
        <is>
          <t>unidad</t>
        </is>
      </c>
      <c r="I902" s="7" t="inlineStr">
        <is>
          <t>Instalaciones</t>
        </is>
      </c>
      <c r="J902" s="7" t="inlineStr">
        <is>
          <t>estandar</t>
        </is>
      </c>
      <c r="K902" s="7" t="inlineStr">
        <is>
          <t>importado</t>
        </is>
      </c>
      <c r="L902" s="7" t="inlineStr">
        <is>
          <t>Verificado</t>
        </is>
      </c>
      <c r="M902" s="8" t="n">
        <v>1</v>
      </c>
      <c r="N902" s="9" t="n">
        <v>7335.22</v>
      </c>
      <c r="O902" s="9" t="n">
        <v>7335.22</v>
      </c>
      <c r="P902" s="9" t="n">
        <v>7335.22</v>
      </c>
      <c r="Q902" s="7" t="inlineStr">
        <is>
          <t>Sí</t>
        </is>
      </c>
      <c r="R902" s="9">
        <f>IF(N902="","",IF(Q902="Sí",ROUND(N902/1.18,2),N902))</f>
        <v/>
      </c>
      <c r="S902" s="7" t="inlineStr">
        <is>
          <t>2026-09-09</t>
        </is>
      </c>
      <c r="T902" s="5" t="inlineStr">
        <is>
          <t>1 cotización de proveedores</t>
        </is>
      </c>
    </row>
    <row r="903">
      <c r="A903" s="7" t="inlineStr">
        <is>
          <t>MAT-24-099</t>
        </is>
      </c>
      <c r="B903" s="7" t="inlineStr">
        <is>
          <t>Materiales</t>
        </is>
      </c>
      <c r="C903" s="7" t="inlineStr">
        <is>
          <t>Inodoros y urinarios</t>
        </is>
      </c>
      <c r="D903" s="5" t="inlineStr">
        <is>
          <t>Taza De Inodoro Option, blanco</t>
        </is>
      </c>
      <c r="E903" s="5" t="inlineStr">
        <is>
          <t>marca HELVEX · color blanco · referencia BLANCO</t>
        </is>
      </c>
      <c r="F903" s="5" t="inlineStr">
        <is>
          <t>Material retirado en almacén</t>
        </is>
      </c>
      <c r="G903" s="5" t="inlineStr">
        <is>
          <t>basineta, taza, cuerpo del inodoro</t>
        </is>
      </c>
      <c r="H903" s="7" t="inlineStr">
        <is>
          <t>unidad</t>
        </is>
      </c>
      <c r="I903" s="7" t="inlineStr">
        <is>
          <t>Instalaciones</t>
        </is>
      </c>
      <c r="J903" s="7" t="inlineStr">
        <is>
          <t>estandar</t>
        </is>
      </c>
      <c r="K903" s="7" t="inlineStr">
        <is>
          <t>importado</t>
        </is>
      </c>
      <c r="L903" s="7" t="inlineStr">
        <is>
          <t>Verificado</t>
        </is>
      </c>
      <c r="M903" s="8" t="n">
        <v>1</v>
      </c>
      <c r="N903" s="9" t="n">
        <v>7537.55</v>
      </c>
      <c r="O903" s="9" t="n">
        <v>7537.55</v>
      </c>
      <c r="P903" s="9" t="n">
        <v>7537.55</v>
      </c>
      <c r="Q903" s="7" t="inlineStr">
        <is>
          <t>Sí</t>
        </is>
      </c>
      <c r="R903" s="9">
        <f>IF(N903="","",IF(Q903="Sí",ROUND(N903/1.18,2),N903))</f>
        <v/>
      </c>
      <c r="S903" s="7" t="inlineStr">
        <is>
          <t>2026-09-09</t>
        </is>
      </c>
      <c r="T903" s="5" t="inlineStr">
        <is>
          <t>1 cotización de proveedores</t>
        </is>
      </c>
    </row>
    <row r="904">
      <c r="A904" s="7" t="inlineStr">
        <is>
          <t>MAT-24-100</t>
        </is>
      </c>
      <c r="B904" s="7" t="inlineStr">
        <is>
          <t>Materiales</t>
        </is>
      </c>
      <c r="C904" s="7" t="inlineStr">
        <is>
          <t>Inodoros y urinarios</t>
        </is>
      </c>
      <c r="D904" s="5" t="inlineStr">
        <is>
          <t>Taza Terra Fluxometro, blanco</t>
        </is>
      </c>
      <c r="E904" s="5" t="inlineStr">
        <is>
          <t>marca CATO · color blanco · referencia BLANCO</t>
        </is>
      </c>
      <c r="F904" s="5" t="inlineStr">
        <is>
          <t>Material retirado en almacén</t>
        </is>
      </c>
      <c r="G904" s="5" t="inlineStr">
        <is>
          <t>basineta, taza, cuerpo del inodoro</t>
        </is>
      </c>
      <c r="H904" s="7" t="inlineStr">
        <is>
          <t>unidad</t>
        </is>
      </c>
      <c r="I904" s="7" t="inlineStr">
        <is>
          <t>Instalaciones</t>
        </is>
      </c>
      <c r="J904" s="7" t="inlineStr">
        <is>
          <t>estandar</t>
        </is>
      </c>
      <c r="K904" s="7" t="inlineStr">
        <is>
          <t>importado</t>
        </is>
      </c>
      <c r="L904" s="7" t="inlineStr">
        <is>
          <t>Verificado</t>
        </is>
      </c>
      <c r="M904" s="8" t="n">
        <v>1</v>
      </c>
      <c r="N904" s="9" t="n">
        <v>7759.2</v>
      </c>
      <c r="O904" s="9" t="n">
        <v>7759.2</v>
      </c>
      <c r="P904" s="9" t="n">
        <v>7759.2</v>
      </c>
      <c r="Q904" s="7" t="inlineStr">
        <is>
          <t>Sí</t>
        </is>
      </c>
      <c r="R904" s="9">
        <f>IF(N904="","",IF(Q904="Sí",ROUND(N904/1.18,2),N904))</f>
        <v/>
      </c>
      <c r="S904" s="7" t="inlineStr">
        <is>
          <t>2026-09-09</t>
        </is>
      </c>
      <c r="T904" s="5" t="inlineStr">
        <is>
          <t>1 cotización de proveedores</t>
        </is>
      </c>
    </row>
    <row r="905">
      <c r="A905" s="7" t="inlineStr">
        <is>
          <t>MAT-24-101</t>
        </is>
      </c>
      <c r="B905" s="7" t="inlineStr">
        <is>
          <t>Materiales</t>
        </is>
      </c>
      <c r="C905" s="7" t="inlineStr">
        <is>
          <t>Inodoros y urinarios</t>
        </is>
      </c>
      <c r="D905" s="5" t="inlineStr">
        <is>
          <t>Basineta Drakar 16, blanco</t>
        </is>
      </c>
      <c r="E905" s="5" t="inlineStr">
        <is>
          <t>marca HELVEX · color blanco · referencia BLANCO</t>
        </is>
      </c>
      <c r="F905" s="5" t="inlineStr">
        <is>
          <t>Material retirado en almacén</t>
        </is>
      </c>
      <c r="G905" s="5" t="inlineStr">
        <is>
          <t>basineta, taza, cuerpo del inodoro</t>
        </is>
      </c>
      <c r="H905" s="7" t="inlineStr">
        <is>
          <t>unidad</t>
        </is>
      </c>
      <c r="I905" s="7" t="inlineStr">
        <is>
          <t>Instalaciones</t>
        </is>
      </c>
      <c r="J905" s="7" t="inlineStr">
        <is>
          <t>estandar</t>
        </is>
      </c>
      <c r="K905" s="7" t="inlineStr">
        <is>
          <t>importado</t>
        </is>
      </c>
      <c r="L905" s="7" t="inlineStr">
        <is>
          <t>Verificado</t>
        </is>
      </c>
      <c r="M905" s="8" t="n">
        <v>1</v>
      </c>
      <c r="N905" s="9" t="n">
        <v>7906.37</v>
      </c>
      <c r="O905" s="9" t="n">
        <v>7906.37</v>
      </c>
      <c r="P905" s="9" t="n">
        <v>7906.37</v>
      </c>
      <c r="Q905" s="7" t="inlineStr">
        <is>
          <t>Sí</t>
        </is>
      </c>
      <c r="R905" s="9">
        <f>IF(N905="","",IF(Q905="Sí",ROUND(N905/1.18,2),N905))</f>
        <v/>
      </c>
      <c r="S905" s="7" t="inlineStr">
        <is>
          <t>2026-09-09</t>
        </is>
      </c>
      <c r="T905" s="5" t="inlineStr">
        <is>
          <t>1 cotización de proveedores</t>
        </is>
      </c>
    </row>
    <row r="906">
      <c r="A906" s="7" t="inlineStr">
        <is>
          <t>MAT-24-102</t>
        </is>
      </c>
      <c r="B906" s="7" t="inlineStr">
        <is>
          <t>Materiales</t>
        </is>
      </c>
      <c r="C906" s="7" t="inlineStr">
        <is>
          <t>Inodoros y urinarios</t>
        </is>
      </c>
      <c r="D906" s="5" t="inlineStr">
        <is>
          <t>Basineta Elongada Sustenta, blanco</t>
        </is>
      </c>
      <c r="E906" s="5" t="inlineStr">
        <is>
          <t>marca HELVEX · color blanco · referencia BLANCO</t>
        </is>
      </c>
      <c r="F906" s="5" t="inlineStr">
        <is>
          <t>Material retirado en almacén</t>
        </is>
      </c>
      <c r="G906" s="5" t="inlineStr">
        <is>
          <t>basineta, taza, cuerpo del inodoro</t>
        </is>
      </c>
      <c r="H906" s="7" t="inlineStr">
        <is>
          <t>unidad</t>
        </is>
      </c>
      <c r="I906" s="7" t="inlineStr">
        <is>
          <t>Instalaciones</t>
        </is>
      </c>
      <c r="J906" s="7" t="inlineStr">
        <is>
          <t>estandar</t>
        </is>
      </c>
      <c r="K906" s="7" t="inlineStr">
        <is>
          <t>importado</t>
        </is>
      </c>
      <c r="L906" s="7" t="inlineStr">
        <is>
          <t>Verificado</t>
        </is>
      </c>
      <c r="M906" s="8" t="n">
        <v>1</v>
      </c>
      <c r="N906" s="9" t="n">
        <v>8277.43</v>
      </c>
      <c r="O906" s="9" t="n">
        <v>8277.43</v>
      </c>
      <c r="P906" s="9" t="n">
        <v>8277.43</v>
      </c>
      <c r="Q906" s="7" t="inlineStr">
        <is>
          <t>Sí</t>
        </is>
      </c>
      <c r="R906" s="9">
        <f>IF(N906="","",IF(Q906="Sí",ROUND(N906/1.18,2),N906))</f>
        <v/>
      </c>
      <c r="S906" s="7" t="inlineStr">
        <is>
          <t>2026-09-09</t>
        </is>
      </c>
      <c r="T906" s="5" t="inlineStr">
        <is>
          <t>1 cotización de proveedores</t>
        </is>
      </c>
    </row>
    <row r="907">
      <c r="A907" s="7" t="inlineStr">
        <is>
          <t>MAT-24-103</t>
        </is>
      </c>
      <c r="B907" s="7" t="inlineStr">
        <is>
          <t>Materiales</t>
        </is>
      </c>
      <c r="C907" s="7" t="inlineStr">
        <is>
          <t>Inodoros y urinarios</t>
        </is>
      </c>
      <c r="D907" s="5" t="inlineStr">
        <is>
          <t>Basineta Bolmen 16, blanco</t>
        </is>
      </c>
      <c r="E907" s="5" t="inlineStr">
        <is>
          <t>marca HELVEX · color blanco · referencia BLANCO</t>
        </is>
      </c>
      <c r="F907" s="5" t="inlineStr">
        <is>
          <t>Material retirado en almacén</t>
        </is>
      </c>
      <c r="G907" s="5" t="inlineStr">
        <is>
          <t>basineta, taza, cuerpo del inodoro</t>
        </is>
      </c>
      <c r="H907" s="7" t="inlineStr">
        <is>
          <t>unidad</t>
        </is>
      </c>
      <c r="I907" s="7" t="inlineStr">
        <is>
          <t>Instalaciones</t>
        </is>
      </c>
      <c r="J907" s="7" t="inlineStr">
        <is>
          <t>estandar</t>
        </is>
      </c>
      <c r="K907" s="7" t="inlineStr">
        <is>
          <t>importado</t>
        </is>
      </c>
      <c r="L907" s="7" t="inlineStr">
        <is>
          <t>Verificado</t>
        </is>
      </c>
      <c r="M907" s="8" t="n">
        <v>1</v>
      </c>
      <c r="N907" s="9" t="n">
        <v>8732.4</v>
      </c>
      <c r="O907" s="9" t="n">
        <v>8732.4</v>
      </c>
      <c r="P907" s="9" t="n">
        <v>8732.4</v>
      </c>
      <c r="Q907" s="7" t="inlineStr">
        <is>
          <t>Sí</t>
        </is>
      </c>
      <c r="R907" s="9">
        <f>IF(N907="","",IF(Q907="Sí",ROUND(N907/1.18,2),N907))</f>
        <v/>
      </c>
      <c r="S907" s="7" t="inlineStr">
        <is>
          <t>2026-09-09</t>
        </is>
      </c>
      <c r="T907" s="5" t="inlineStr">
        <is>
          <t>1 cotización de proveedores</t>
        </is>
      </c>
    </row>
    <row r="908">
      <c r="A908" s="7" t="inlineStr">
        <is>
          <t>MAT-24-104</t>
        </is>
      </c>
      <c r="B908" s="7" t="inlineStr">
        <is>
          <t>Materiales</t>
        </is>
      </c>
      <c r="C908" s="7" t="inlineStr">
        <is>
          <t>Inodoros y urinarios</t>
        </is>
      </c>
      <c r="D908" s="5" t="inlineStr">
        <is>
          <t>Basineta Rodano 16, blanco</t>
        </is>
      </c>
      <c r="E908" s="5" t="inlineStr">
        <is>
          <t>marca HELVEX · color blanco · referencia BLANCO</t>
        </is>
      </c>
      <c r="F908" s="5" t="inlineStr">
        <is>
          <t>Material retirado en almacén</t>
        </is>
      </c>
      <c r="G908" s="5" t="inlineStr">
        <is>
          <t>basineta, taza, cuerpo del inodoro</t>
        </is>
      </c>
      <c r="H908" s="7" t="inlineStr">
        <is>
          <t>unidad</t>
        </is>
      </c>
      <c r="I908" s="7" t="inlineStr">
        <is>
          <t>Instalaciones</t>
        </is>
      </c>
      <c r="J908" s="7" t="inlineStr">
        <is>
          <t>estandar</t>
        </is>
      </c>
      <c r="K908" s="7" t="inlineStr">
        <is>
          <t>importado</t>
        </is>
      </c>
      <c r="L908" s="7" t="inlineStr">
        <is>
          <t>Verificado</t>
        </is>
      </c>
      <c r="M908" s="8" t="n">
        <v>1</v>
      </c>
      <c r="N908" s="9" t="n">
        <v>8922.82</v>
      </c>
      <c r="O908" s="9" t="n">
        <v>8922.82</v>
      </c>
      <c r="P908" s="9" t="n">
        <v>8922.82</v>
      </c>
      <c r="Q908" s="7" t="inlineStr">
        <is>
          <t>Sí</t>
        </is>
      </c>
      <c r="R908" s="9">
        <f>IF(N908="","",IF(Q908="Sí",ROUND(N908/1.18,2),N908))</f>
        <v/>
      </c>
      <c r="S908" s="7" t="inlineStr">
        <is>
          <t>2026-09-09</t>
        </is>
      </c>
      <c r="T908" s="5" t="inlineStr">
        <is>
          <t>1 cotización de proveedores</t>
        </is>
      </c>
    </row>
    <row r="909">
      <c r="A909" s="7" t="inlineStr">
        <is>
          <t>MAT-24-105</t>
        </is>
      </c>
      <c r="B909" s="7" t="inlineStr">
        <is>
          <t>Materiales</t>
        </is>
      </c>
      <c r="C909" s="7" t="inlineStr">
        <is>
          <t>Inodoros y urinarios</t>
        </is>
      </c>
      <c r="D909" s="5" t="inlineStr">
        <is>
          <t>Basineta Bolmen 16, marfil</t>
        </is>
      </c>
      <c r="E909" s="5" t="inlineStr">
        <is>
          <t>marca HELVEX · color marfil · referencia MARFIL</t>
        </is>
      </c>
      <c r="F909" s="5" t="inlineStr">
        <is>
          <t>Material retirado en almacén</t>
        </is>
      </c>
      <c r="G909" s="5" t="inlineStr">
        <is>
          <t>basineta, taza, cuerpo del inodoro</t>
        </is>
      </c>
      <c r="H909" s="7" t="inlineStr">
        <is>
          <t>unidad</t>
        </is>
      </c>
      <c r="I909" s="7" t="inlineStr">
        <is>
          <t>Instalaciones</t>
        </is>
      </c>
      <c r="J909" s="7" t="inlineStr">
        <is>
          <t>estandar</t>
        </is>
      </c>
      <c r="K909" s="7" t="inlineStr">
        <is>
          <t>importado</t>
        </is>
      </c>
      <c r="L909" s="7" t="inlineStr">
        <is>
          <t>Verificado</t>
        </is>
      </c>
      <c r="M909" s="8" t="n">
        <v>1</v>
      </c>
      <c r="N909" s="9" t="n">
        <v>9558</v>
      </c>
      <c r="O909" s="9" t="n">
        <v>9558</v>
      </c>
      <c r="P909" s="9" t="n">
        <v>9558</v>
      </c>
      <c r="Q909" s="7" t="inlineStr">
        <is>
          <t>Sí</t>
        </is>
      </c>
      <c r="R909" s="9">
        <f>IF(N909="","",IF(Q909="Sí",ROUND(N909/1.18,2),N909))</f>
        <v/>
      </c>
      <c r="S909" s="7" t="inlineStr">
        <is>
          <t>2026-09-09</t>
        </is>
      </c>
      <c r="T909" s="5" t="inlineStr">
        <is>
          <t>1 cotización de proveedores</t>
        </is>
      </c>
    </row>
    <row r="910">
      <c r="A910" s="7" t="inlineStr">
        <is>
          <t>MAT-24-106</t>
        </is>
      </c>
      <c r="B910" s="7" t="inlineStr">
        <is>
          <t>Materiales</t>
        </is>
      </c>
      <c r="C910" s="7" t="inlineStr">
        <is>
          <t>Inodoros y urinarios</t>
        </is>
      </c>
      <c r="D910" s="5" t="inlineStr">
        <is>
          <t>Taza Fluxpared Semiocul 3.5, 4.8, 6L Nao</t>
        </is>
      </c>
      <c r="E910" s="5" t="inlineStr">
        <is>
          <t>marca HELVEX · referencia TZFNAOP</t>
        </is>
      </c>
      <c r="F910" s="5" t="inlineStr">
        <is>
          <t>Material retirado en almacén</t>
        </is>
      </c>
      <c r="G910" s="5" t="inlineStr">
        <is>
          <t>basineta, taza, cuerpo del inodoro</t>
        </is>
      </c>
      <c r="H910" s="7" t="inlineStr">
        <is>
          <t>unidad</t>
        </is>
      </c>
      <c r="I910" s="7" t="inlineStr">
        <is>
          <t>Instalaciones</t>
        </is>
      </c>
      <c r="J910" s="7" t="inlineStr">
        <is>
          <t>estandar</t>
        </is>
      </c>
      <c r="K910" s="7" t="inlineStr">
        <is>
          <t>importado</t>
        </is>
      </c>
      <c r="L910" s="7" t="inlineStr">
        <is>
          <t>Verificado</t>
        </is>
      </c>
      <c r="M910" s="8" t="n">
        <v>1</v>
      </c>
      <c r="N910" s="9" t="n">
        <v>15300.18</v>
      </c>
      <c r="O910" s="9" t="n">
        <v>15300.18</v>
      </c>
      <c r="P910" s="9" t="n">
        <v>15300.18</v>
      </c>
      <c r="Q910" s="7" t="inlineStr">
        <is>
          <t>Sí</t>
        </is>
      </c>
      <c r="R910" s="9">
        <f>IF(N910="","",IF(Q910="Sí",ROUND(N910/1.18,2),N910))</f>
        <v/>
      </c>
      <c r="S910" s="7" t="inlineStr">
        <is>
          <t>2026-09-09</t>
        </is>
      </c>
      <c r="T910" s="5" t="inlineStr">
        <is>
          <t>1 cotización de proveedores</t>
        </is>
      </c>
    </row>
    <row r="911">
      <c r="A911" s="7" t="inlineStr">
        <is>
          <t>MAT-24-107</t>
        </is>
      </c>
      <c r="B911" s="7" t="inlineStr">
        <is>
          <t>Materiales</t>
        </is>
      </c>
      <c r="C911" s="7" t="inlineStr">
        <is>
          <t>Inodoros y urinarios</t>
        </is>
      </c>
      <c r="D911" s="5" t="inlineStr">
        <is>
          <t>Taza Para Flux Nao con Asiento</t>
        </is>
      </c>
      <c r="E911" s="5" t="inlineStr">
        <is>
          <t>marca HELVEX · referencia TZF1S</t>
        </is>
      </c>
      <c r="F911" s="5" t="inlineStr">
        <is>
          <t>Material retirado en almacén</t>
        </is>
      </c>
      <c r="G911" s="5" t="inlineStr">
        <is>
          <t>basineta, taza, cuerpo del inodoro</t>
        </is>
      </c>
      <c r="H911" s="7" t="inlineStr">
        <is>
          <t>unidad</t>
        </is>
      </c>
      <c r="I911" s="7" t="inlineStr">
        <is>
          <t>Instalaciones</t>
        </is>
      </c>
      <c r="J911" s="7" t="inlineStr">
        <is>
          <t>estandar</t>
        </is>
      </c>
      <c r="K911" s="7" t="inlineStr">
        <is>
          <t>importado</t>
        </is>
      </c>
      <c r="L911" s="7" t="inlineStr">
        <is>
          <t>Verificado</t>
        </is>
      </c>
      <c r="M911" s="8" t="n">
        <v>1</v>
      </c>
      <c r="N911" s="9" t="n">
        <v>15716.08</v>
      </c>
      <c r="O911" s="9" t="n">
        <v>15716.08</v>
      </c>
      <c r="P911" s="9" t="n">
        <v>15716.08</v>
      </c>
      <c r="Q911" s="7" t="inlineStr">
        <is>
          <t>Sí</t>
        </is>
      </c>
      <c r="R911" s="9">
        <f>IF(N911="","",IF(Q911="Sí",ROUND(N911/1.18,2),N911))</f>
        <v/>
      </c>
      <c r="S911" s="7" t="inlineStr">
        <is>
          <t>2026-09-09</t>
        </is>
      </c>
      <c r="T911" s="5" t="inlineStr">
        <is>
          <t>1 cotización de proveedores</t>
        </is>
      </c>
    </row>
    <row r="912">
      <c r="A912" s="7" t="inlineStr">
        <is>
          <t>MAT-24-108</t>
        </is>
      </c>
      <c r="B912" s="7" t="inlineStr">
        <is>
          <t>Materiales</t>
        </is>
      </c>
      <c r="C912" s="7" t="inlineStr">
        <is>
          <t>Inodoros y urinarios</t>
        </is>
      </c>
      <c r="D912" s="5" t="inlineStr">
        <is>
          <t>Basineta con Asiento Murano, blanco</t>
        </is>
      </c>
      <c r="E912" s="5" t="inlineStr">
        <is>
          <t>marca HELVEX · color blanco · referencia BLANCO</t>
        </is>
      </c>
      <c r="F912" s="5" t="inlineStr">
        <is>
          <t>Material retirado en almacén</t>
        </is>
      </c>
      <c r="G912" s="5" t="inlineStr">
        <is>
          <t>basineta, taza, cuerpo del inodoro</t>
        </is>
      </c>
      <c r="H912" s="7" t="inlineStr">
        <is>
          <t>unidad</t>
        </is>
      </c>
      <c r="I912" s="7" t="inlineStr">
        <is>
          <t>Instalaciones</t>
        </is>
      </c>
      <c r="J912" s="7" t="inlineStr">
        <is>
          <t>estandar</t>
        </is>
      </c>
      <c r="K912" s="7" t="inlineStr">
        <is>
          <t>importado</t>
        </is>
      </c>
      <c r="L912" s="7" t="inlineStr">
        <is>
          <t>Verificado</t>
        </is>
      </c>
      <c r="M912" s="8" t="n">
        <v>1</v>
      </c>
      <c r="N912" s="9" t="n">
        <v>15899.37</v>
      </c>
      <c r="O912" s="9" t="n">
        <v>15899.37</v>
      </c>
      <c r="P912" s="9" t="n">
        <v>15899.37</v>
      </c>
      <c r="Q912" s="7" t="inlineStr">
        <is>
          <t>Sí</t>
        </is>
      </c>
      <c r="R912" s="9">
        <f>IF(N912="","",IF(Q912="Sí",ROUND(N912/1.18,2),N912))</f>
        <v/>
      </c>
      <c r="S912" s="7" t="inlineStr">
        <is>
          <t>2026-09-09</t>
        </is>
      </c>
      <c r="T912" s="5" t="inlineStr">
        <is>
          <t>1 cotización de proveedores</t>
        </is>
      </c>
    </row>
    <row r="913">
      <c r="A913" s="7" t="inlineStr">
        <is>
          <t>MAT-24-109</t>
        </is>
      </c>
      <c r="B913" s="7" t="inlineStr">
        <is>
          <t>Materiales</t>
        </is>
      </c>
      <c r="C913" s="7" t="inlineStr">
        <is>
          <t>Inodoros y urinarios</t>
        </is>
      </c>
      <c r="D913" s="5" t="inlineStr">
        <is>
          <t>Basineta Miura 16 Con Asiento, blanco</t>
        </is>
      </c>
      <c r="E913" s="5" t="inlineStr">
        <is>
          <t>marca HELVEX · color blanco · referencia BLANCO</t>
        </is>
      </c>
      <c r="F913" s="5" t="inlineStr">
        <is>
          <t>Material retirado en almacén</t>
        </is>
      </c>
      <c r="G913" s="5" t="inlineStr">
        <is>
          <t>basineta, taza, cuerpo del inodoro</t>
        </is>
      </c>
      <c r="H913" s="7" t="inlineStr">
        <is>
          <t>unidad</t>
        </is>
      </c>
      <c r="I913" s="7" t="inlineStr">
        <is>
          <t>Instalaciones</t>
        </is>
      </c>
      <c r="J913" s="7" t="inlineStr">
        <is>
          <t>estandar</t>
        </is>
      </c>
      <c r="K913" s="7" t="inlineStr">
        <is>
          <t>importado</t>
        </is>
      </c>
      <c r="L913" s="7" t="inlineStr">
        <is>
          <t>Verificado</t>
        </is>
      </c>
      <c r="M913" s="8" t="n">
        <v>1</v>
      </c>
      <c r="N913" s="9" t="n">
        <v>19696.42</v>
      </c>
      <c r="O913" s="9" t="n">
        <v>19696.42</v>
      </c>
      <c r="P913" s="9" t="n">
        <v>19696.42</v>
      </c>
      <c r="Q913" s="7" t="inlineStr">
        <is>
          <t>Sí</t>
        </is>
      </c>
      <c r="R913" s="9">
        <f>IF(N913="","",IF(Q913="Sí",ROUND(N913/1.18,2),N913))</f>
        <v/>
      </c>
      <c r="S913" s="7" t="inlineStr">
        <is>
          <t>2026-09-09</t>
        </is>
      </c>
      <c r="T913" s="5" t="inlineStr">
        <is>
          <t>1 cotización de proveedores</t>
        </is>
      </c>
    </row>
    <row r="914">
      <c r="A914" s="7" t="inlineStr">
        <is>
          <t>MAT-24-110</t>
        </is>
      </c>
      <c r="B914" s="7" t="inlineStr">
        <is>
          <t>Materiales</t>
        </is>
      </c>
      <c r="C914" s="7" t="inlineStr">
        <is>
          <t>Inodoros y urinarios</t>
        </is>
      </c>
      <c r="D914" s="5" t="inlineStr">
        <is>
          <t>Orinal Duero con Accesorios, blanco</t>
        </is>
      </c>
      <c r="E914" s="5" t="inlineStr">
        <is>
          <t>marca ULTRA · color blanco · referencia 3107HBLANCO</t>
        </is>
      </c>
      <c r="F914" s="5" t="inlineStr">
        <is>
          <t>Material retirado en almacén</t>
        </is>
      </c>
      <c r="G914" s="5" t="inlineStr">
        <is>
          <t>orinal, mingitorio, urinario</t>
        </is>
      </c>
      <c r="H914" s="7" t="inlineStr">
        <is>
          <t>unidad</t>
        </is>
      </c>
      <c r="I914" s="7" t="inlineStr">
        <is>
          <t>Instalaciones</t>
        </is>
      </c>
      <c r="J914" s="7" t="inlineStr">
        <is>
          <t>estandar</t>
        </is>
      </c>
      <c r="K914" s="7" t="inlineStr">
        <is>
          <t>importado</t>
        </is>
      </c>
      <c r="L914" s="7" t="inlineStr">
        <is>
          <t>Verificado</t>
        </is>
      </c>
      <c r="M914" s="8" t="n">
        <v>1</v>
      </c>
      <c r="N914" s="9" t="n">
        <v>4422.13</v>
      </c>
      <c r="O914" s="9" t="n">
        <v>4422.13</v>
      </c>
      <c r="P914" s="9" t="n">
        <v>4422.13</v>
      </c>
      <c r="Q914" s="7" t="inlineStr">
        <is>
          <t>Sí</t>
        </is>
      </c>
      <c r="R914" s="9">
        <f>IF(N914="","",IF(Q914="Sí",ROUND(N914/1.18,2),N914))</f>
        <v/>
      </c>
      <c r="S914" s="7" t="inlineStr">
        <is>
          <t>2026-09-09</t>
        </is>
      </c>
      <c r="T914" s="5" t="inlineStr">
        <is>
          <t>1 cotización de proveedores</t>
        </is>
      </c>
    </row>
    <row r="915">
      <c r="A915" s="7" t="inlineStr">
        <is>
          <t>MAT-24-111</t>
        </is>
      </c>
      <c r="B915" s="7" t="inlineStr">
        <is>
          <t>Materiales</t>
        </is>
      </c>
      <c r="C915" s="7" t="inlineStr">
        <is>
          <t>Inodoros y urinarios</t>
        </is>
      </c>
      <c r="D915" s="5" t="inlineStr">
        <is>
          <t>Mingitorio Orinal Misisipi, blanco</t>
        </is>
      </c>
      <c r="E915" s="5" t="inlineStr">
        <is>
          <t>marca CATO · color blanco · referencia BLANCO</t>
        </is>
      </c>
      <c r="F915" s="5" t="inlineStr">
        <is>
          <t>Material retirado en almacén</t>
        </is>
      </c>
      <c r="G915" s="5" t="inlineStr">
        <is>
          <t>orinal, mingitorio, urinario</t>
        </is>
      </c>
      <c r="H915" s="7" t="inlineStr">
        <is>
          <t>unidad</t>
        </is>
      </c>
      <c r="I915" s="7" t="inlineStr">
        <is>
          <t>Instalaciones</t>
        </is>
      </c>
      <c r="J915" s="7" t="inlineStr">
        <is>
          <t>estandar</t>
        </is>
      </c>
      <c r="K915" s="7" t="inlineStr">
        <is>
          <t>importado</t>
        </is>
      </c>
      <c r="L915" s="7" t="inlineStr">
        <is>
          <t>Verificado</t>
        </is>
      </c>
      <c r="M915" s="8" t="n">
        <v>1</v>
      </c>
      <c r="N915" s="9" t="n">
        <v>5473.28</v>
      </c>
      <c r="O915" s="9" t="n">
        <v>5473.28</v>
      </c>
      <c r="P915" s="9" t="n">
        <v>5473.28</v>
      </c>
      <c r="Q915" s="7" t="inlineStr">
        <is>
          <t>Sí</t>
        </is>
      </c>
      <c r="R915" s="9">
        <f>IF(N915="","",IF(Q915="Sí",ROUND(N915/1.18,2),N915))</f>
        <v/>
      </c>
      <c r="S915" s="7" t="inlineStr">
        <is>
          <t>2026-09-09</t>
        </is>
      </c>
      <c r="T915" s="5" t="inlineStr">
        <is>
          <t>1 cotización de proveedores</t>
        </is>
      </c>
    </row>
    <row r="916">
      <c r="A916" s="7" t="inlineStr">
        <is>
          <t>MAT-24-112</t>
        </is>
      </c>
      <c r="B916" s="7" t="inlineStr">
        <is>
          <t>Materiales</t>
        </is>
      </c>
      <c r="C916" s="7" t="inlineStr">
        <is>
          <t>Inodoros y urinarios</t>
        </is>
      </c>
      <c r="D916" s="5" t="inlineStr">
        <is>
          <t>Orinal Volga con Accesorios, blanco</t>
        </is>
      </c>
      <c r="E916" s="5" t="inlineStr">
        <is>
          <t>marca ULTRA · color blanco · referencia 3108BLANCO</t>
        </is>
      </c>
      <c r="F916" s="5" t="inlineStr">
        <is>
          <t>Material retirado en almacén</t>
        </is>
      </c>
      <c r="G916" s="5" t="inlineStr">
        <is>
          <t>orinal, mingitorio, urinario</t>
        </is>
      </c>
      <c r="H916" s="7" t="inlineStr">
        <is>
          <t>unidad</t>
        </is>
      </c>
      <c r="I916" s="7" t="inlineStr">
        <is>
          <t>Instalaciones</t>
        </is>
      </c>
      <c r="J916" s="7" t="inlineStr">
        <is>
          <t>estandar</t>
        </is>
      </c>
      <c r="K916" s="7" t="inlineStr">
        <is>
          <t>importado</t>
        </is>
      </c>
      <c r="L916" s="7" t="inlineStr">
        <is>
          <t>Verificado</t>
        </is>
      </c>
      <c r="M916" s="8" t="n">
        <v>1</v>
      </c>
      <c r="N916" s="9" t="n">
        <v>5887.21</v>
      </c>
      <c r="O916" s="9" t="n">
        <v>5887.21</v>
      </c>
      <c r="P916" s="9" t="n">
        <v>5887.21</v>
      </c>
      <c r="Q916" s="7" t="inlineStr">
        <is>
          <t>Sí</t>
        </is>
      </c>
      <c r="R916" s="9">
        <f>IF(N916="","",IF(Q916="Sí",ROUND(N916/1.18,2),N916))</f>
        <v/>
      </c>
      <c r="S916" s="7" t="inlineStr">
        <is>
          <t>2026-09-09</t>
        </is>
      </c>
      <c r="T916" s="5" t="inlineStr">
        <is>
          <t>1 cotización de proveedores</t>
        </is>
      </c>
    </row>
    <row r="917">
      <c r="A917" s="7" t="inlineStr">
        <is>
          <t>MAT-24-113</t>
        </is>
      </c>
      <c r="B917" s="7" t="inlineStr">
        <is>
          <t>Materiales</t>
        </is>
      </c>
      <c r="C917" s="7" t="inlineStr">
        <is>
          <t>Inodoros y urinarios</t>
        </is>
      </c>
      <c r="D917" s="5" t="inlineStr">
        <is>
          <t>Orinal Obi con Sensor, blanco</t>
        </is>
      </c>
      <c r="E917" s="5" t="inlineStr">
        <is>
          <t>marca ULTRA · color blanco · referencia 3103BLANCO</t>
        </is>
      </c>
      <c r="F917" s="5" t="inlineStr">
        <is>
          <t>Material retirado en almacén</t>
        </is>
      </c>
      <c r="G917" s="5" t="inlineStr">
        <is>
          <t>orinal, mingitorio, urinario</t>
        </is>
      </c>
      <c r="H917" s="7" t="inlineStr">
        <is>
          <t>unidad</t>
        </is>
      </c>
      <c r="I917" s="7" t="inlineStr">
        <is>
          <t>Instalaciones</t>
        </is>
      </c>
      <c r="J917" s="7" t="inlineStr">
        <is>
          <t>estandar</t>
        </is>
      </c>
      <c r="K917" s="7" t="inlineStr">
        <is>
          <t>importado</t>
        </is>
      </c>
      <c r="L917" s="7" t="inlineStr">
        <is>
          <t>Verificado</t>
        </is>
      </c>
      <c r="M917" s="8" t="n">
        <v>1</v>
      </c>
      <c r="N917" s="9" t="n">
        <v>7374.92</v>
      </c>
      <c r="O917" s="9" t="n">
        <v>7374.92</v>
      </c>
      <c r="P917" s="9" t="n">
        <v>7374.92</v>
      </c>
      <c r="Q917" s="7" t="inlineStr">
        <is>
          <t>Sí</t>
        </is>
      </c>
      <c r="R917" s="9">
        <f>IF(N917="","",IF(Q917="Sí",ROUND(N917/1.18,2),N917))</f>
        <v/>
      </c>
      <c r="S917" s="7" t="inlineStr">
        <is>
          <t>2026-09-09</t>
        </is>
      </c>
      <c r="T917" s="5" t="inlineStr">
        <is>
          <t>1 cotización de proveedores</t>
        </is>
      </c>
    </row>
    <row r="918">
      <c r="A918" s="7" t="inlineStr">
        <is>
          <t>MAT-24-114</t>
        </is>
      </c>
      <c r="B918" s="7" t="inlineStr">
        <is>
          <t>Materiales</t>
        </is>
      </c>
      <c r="C918" s="7" t="inlineStr">
        <is>
          <t>Inodoros y urinarios</t>
        </is>
      </c>
      <c r="D918" s="5" t="inlineStr">
        <is>
          <t>Orinal Victoria con Sensor, blanco</t>
        </is>
      </c>
      <c r="E918" s="5" t="inlineStr">
        <is>
          <t>marca ULTRA · color blanco · referencia 3102BLANCO</t>
        </is>
      </c>
      <c r="F918" s="5" t="inlineStr">
        <is>
          <t>Material retirado en almacén</t>
        </is>
      </c>
      <c r="G918" s="5" t="inlineStr">
        <is>
          <t>orinal, mingitorio, urinario</t>
        </is>
      </c>
      <c r="H918" s="7" t="inlineStr">
        <is>
          <t>unidad</t>
        </is>
      </c>
      <c r="I918" s="7" t="inlineStr">
        <is>
          <t>Instalaciones</t>
        </is>
      </c>
      <c r="J918" s="7" t="inlineStr">
        <is>
          <t>estandar</t>
        </is>
      </c>
      <c r="K918" s="7" t="inlineStr">
        <is>
          <t>importado</t>
        </is>
      </c>
      <c r="L918" s="7" t="inlineStr">
        <is>
          <t>Verificado</t>
        </is>
      </c>
      <c r="M918" s="8" t="n">
        <v>1</v>
      </c>
      <c r="N918" s="9" t="n">
        <v>8145.95</v>
      </c>
      <c r="O918" s="9" t="n">
        <v>8145.95</v>
      </c>
      <c r="P918" s="9" t="n">
        <v>8145.95</v>
      </c>
      <c r="Q918" s="7" t="inlineStr">
        <is>
          <t>Sí</t>
        </is>
      </c>
      <c r="R918" s="9">
        <f>IF(N918="","",IF(Q918="Sí",ROUND(N918/1.18,2),N918))</f>
        <v/>
      </c>
      <c r="S918" s="7" t="inlineStr">
        <is>
          <t>2026-09-09</t>
        </is>
      </c>
      <c r="T918" s="5" t="inlineStr">
        <is>
          <t>1 cotización de proveedores</t>
        </is>
      </c>
    </row>
    <row r="919">
      <c r="A919" s="7" t="inlineStr">
        <is>
          <t>MAT-24-115</t>
        </is>
      </c>
      <c r="B919" s="7" t="inlineStr">
        <is>
          <t>Materiales</t>
        </is>
      </c>
      <c r="C919" s="7" t="inlineStr">
        <is>
          <t>Inodoros y urinarios</t>
        </is>
      </c>
      <c r="D919" s="5" t="inlineStr">
        <is>
          <t>Mingitorio / Orinal Terra Iii, blanco</t>
        </is>
      </c>
      <c r="E919" s="5" t="inlineStr">
        <is>
          <t>marca CATO · color blanco · referencia BLANCO</t>
        </is>
      </c>
      <c r="F919" s="5" t="inlineStr">
        <is>
          <t>Material retirado en almacén</t>
        </is>
      </c>
      <c r="G919" s="5" t="inlineStr">
        <is>
          <t>orinal, mingitorio, urinario</t>
        </is>
      </c>
      <c r="H919" s="7" t="inlineStr">
        <is>
          <t>unidad</t>
        </is>
      </c>
      <c r="I919" s="7" t="inlineStr">
        <is>
          <t>Instalaciones</t>
        </is>
      </c>
      <c r="J919" s="7" t="inlineStr">
        <is>
          <t>estandar</t>
        </is>
      </c>
      <c r="K919" s="7" t="inlineStr">
        <is>
          <t>importado</t>
        </is>
      </c>
      <c r="L919" s="7" t="inlineStr">
        <is>
          <t>Verificado</t>
        </is>
      </c>
      <c r="M919" s="8" t="n">
        <v>1</v>
      </c>
      <c r="N919" s="9" t="n">
        <v>11016.2</v>
      </c>
      <c r="O919" s="9" t="n">
        <v>11016.2</v>
      </c>
      <c r="P919" s="9" t="n">
        <v>11016.2</v>
      </c>
      <c r="Q919" s="7" t="inlineStr">
        <is>
          <t>Sí</t>
        </is>
      </c>
      <c r="R919" s="9">
        <f>IF(N919="","",IF(Q919="Sí",ROUND(N919/1.18,2),N919))</f>
        <v/>
      </c>
      <c r="S919" s="7" t="inlineStr">
        <is>
          <t>2026-09-09</t>
        </is>
      </c>
      <c r="T919" s="5" t="inlineStr">
        <is>
          <t>1 cotización de proveedores</t>
        </is>
      </c>
    </row>
    <row r="920">
      <c r="A920" s="7" t="inlineStr">
        <is>
          <t>MAT-24-116</t>
        </is>
      </c>
      <c r="B920" s="7" t="inlineStr">
        <is>
          <t>Materiales</t>
        </is>
      </c>
      <c r="C920" s="7" t="inlineStr">
        <is>
          <t>Inodoros y urinarios</t>
        </is>
      </c>
      <c r="D920" s="5" t="inlineStr">
        <is>
          <t>Urinario Ferris, blanco</t>
        </is>
      </c>
      <c r="E920" s="5" t="inlineStr">
        <is>
          <t>marca HELVEX · color blanco · referencia MG-1BLANCO</t>
        </is>
      </c>
      <c r="F920" s="5" t="inlineStr">
        <is>
          <t>Material retirado en almacén</t>
        </is>
      </c>
      <c r="G920" s="5" t="inlineStr">
        <is>
          <t>orinal, mingitorio, urinario</t>
        </is>
      </c>
      <c r="H920" s="7" t="inlineStr">
        <is>
          <t>unidad</t>
        </is>
      </c>
      <c r="I920" s="7" t="inlineStr">
        <is>
          <t>Instalaciones</t>
        </is>
      </c>
      <c r="J920" s="7" t="inlineStr">
        <is>
          <t>estandar</t>
        </is>
      </c>
      <c r="K920" s="7" t="inlineStr">
        <is>
          <t>importado</t>
        </is>
      </c>
      <c r="L920" s="7" t="inlineStr">
        <is>
          <t>Verificado</t>
        </is>
      </c>
      <c r="M920" s="8" t="n">
        <v>1</v>
      </c>
      <c r="N920" s="9" t="n">
        <v>21399.06</v>
      </c>
      <c r="O920" s="9" t="n">
        <v>21399.06</v>
      </c>
      <c r="P920" s="9" t="n">
        <v>21399.06</v>
      </c>
      <c r="Q920" s="7" t="inlineStr">
        <is>
          <t>Sí</t>
        </is>
      </c>
      <c r="R920" s="9">
        <f>IF(N920="","",IF(Q920="Sí",ROUND(N920/1.18,2),N920))</f>
        <v/>
      </c>
      <c r="S920" s="7" t="inlineStr">
        <is>
          <t>2026-09-09</t>
        </is>
      </c>
      <c r="T920" s="5" t="inlineStr">
        <is>
          <t>1 cotización de proveedores</t>
        </is>
      </c>
    </row>
    <row r="921">
      <c r="A921" s="7" t="inlineStr">
        <is>
          <t>MAT-25-001</t>
        </is>
      </c>
      <c r="B921" s="7" t="inlineStr">
        <is>
          <t>Materiales</t>
        </is>
      </c>
      <c r="C921" s="7" t="inlineStr">
        <is>
          <t>Lavamanos y pedestales</t>
        </is>
      </c>
      <c r="D921" s="5" t="inlineStr">
        <is>
          <t>Lavamanos De Esquina Bnw209, blanco</t>
        </is>
      </c>
      <c r="E921" s="5" t="inlineStr">
        <is>
          <t>marca TILBY-BAN · color blanco · referencia BLANCO</t>
        </is>
      </c>
      <c r="F921" s="5" t="inlineStr">
        <is>
          <t>Material retirado en almacén</t>
        </is>
      </c>
      <c r="G921" s="5" t="inlineStr">
        <is>
          <t>lavamanos, lavabo, lavatorio</t>
        </is>
      </c>
      <c r="H921" s="7" t="inlineStr">
        <is>
          <t>unidad</t>
        </is>
      </c>
      <c r="I921" s="7" t="inlineStr">
        <is>
          <t>Instalaciones</t>
        </is>
      </c>
      <c r="J921" s="7" t="inlineStr">
        <is>
          <t>estandar</t>
        </is>
      </c>
      <c r="K921" s="7" t="inlineStr">
        <is>
          <t>importado</t>
        </is>
      </c>
      <c r="L921" s="7" t="inlineStr">
        <is>
          <t>Verificado</t>
        </is>
      </c>
      <c r="M921" s="8" t="n">
        <v>1</v>
      </c>
      <c r="N921" s="9" t="n">
        <v>684.67</v>
      </c>
      <c r="O921" s="9" t="n">
        <v>684.67</v>
      </c>
      <c r="P921" s="9" t="n">
        <v>684.67</v>
      </c>
      <c r="Q921" s="7" t="inlineStr">
        <is>
          <t>Sí</t>
        </is>
      </c>
      <c r="R921" s="9">
        <f>IF(N921="","",IF(Q921="Sí",ROUND(N921/1.18,2),N921))</f>
        <v/>
      </c>
      <c r="S921" s="7" t="inlineStr">
        <is>
          <t>2026-09-09</t>
        </is>
      </c>
      <c r="T921" s="5" t="inlineStr">
        <is>
          <t>1 cotización de proveedores</t>
        </is>
      </c>
    </row>
    <row r="922">
      <c r="A922" s="7" t="inlineStr">
        <is>
          <t>MAT-25-002</t>
        </is>
      </c>
      <c r="B922" s="7" t="inlineStr">
        <is>
          <t>Materiales</t>
        </is>
      </c>
      <c r="C922" s="7" t="inlineStr">
        <is>
          <t>Lavamanos y pedestales</t>
        </is>
      </c>
      <c r="D922" s="5" t="inlineStr">
        <is>
          <t>Lavamanos Erie, blanco</t>
        </is>
      </c>
      <c r="E922" s="5" t="inlineStr">
        <is>
          <t>marca ULTRA · color blanco · referencia BLANCO</t>
        </is>
      </c>
      <c r="F922" s="5" t="inlineStr">
        <is>
          <t>Material retirado en almacén</t>
        </is>
      </c>
      <c r="G922" s="5" t="inlineStr">
        <is>
          <t>lavamanos, lavabo, lavatorio</t>
        </is>
      </c>
      <c r="H922" s="7" t="inlineStr">
        <is>
          <t>unidad</t>
        </is>
      </c>
      <c r="I922" s="7" t="inlineStr">
        <is>
          <t>Instalaciones</t>
        </is>
      </c>
      <c r="J922" s="7" t="inlineStr">
        <is>
          <t>estandar</t>
        </is>
      </c>
      <c r="K922" s="7" t="inlineStr">
        <is>
          <t>importado</t>
        </is>
      </c>
      <c r="L922" s="7" t="inlineStr">
        <is>
          <t>Verificado</t>
        </is>
      </c>
      <c r="M922" s="8" t="n">
        <v>1</v>
      </c>
      <c r="N922" s="9" t="n">
        <v>1093</v>
      </c>
      <c r="O922" s="9" t="n">
        <v>1093</v>
      </c>
      <c r="P922" s="9" t="n">
        <v>1093</v>
      </c>
      <c r="Q922" s="7" t="inlineStr">
        <is>
          <t>Sí</t>
        </is>
      </c>
      <c r="R922" s="9">
        <f>IF(N922="","",IF(Q922="Sí",ROUND(N922/1.18,2),N922))</f>
        <v/>
      </c>
      <c r="S922" s="7" t="inlineStr">
        <is>
          <t>2026-09-09</t>
        </is>
      </c>
      <c r="T922" s="5" t="inlineStr">
        <is>
          <t>1 cotización de proveedores</t>
        </is>
      </c>
    </row>
    <row r="923">
      <c r="A923" s="7" t="inlineStr">
        <is>
          <t>MAT-25-003</t>
        </is>
      </c>
      <c r="B923" s="7" t="inlineStr">
        <is>
          <t>Materiales</t>
        </is>
      </c>
      <c r="C923" s="7" t="inlineStr">
        <is>
          <t>Lavamanos y pedestales</t>
        </is>
      </c>
      <c r="D923" s="5" t="inlineStr">
        <is>
          <t>Lavamanos Caprio, blanco</t>
        </is>
      </c>
      <c r="E923" s="5" t="inlineStr">
        <is>
          <t>marca ULTRA · color blanco · referencia BLANCO</t>
        </is>
      </c>
      <c r="F923" s="5" t="inlineStr">
        <is>
          <t>Material retirado en almacén</t>
        </is>
      </c>
      <c r="G923" s="5" t="inlineStr">
        <is>
          <t>lavamanos, lavabo, lavatorio</t>
        </is>
      </c>
      <c r="H923" s="7" t="inlineStr">
        <is>
          <t>unidad</t>
        </is>
      </c>
      <c r="I923" s="7" t="inlineStr">
        <is>
          <t>Instalaciones</t>
        </is>
      </c>
      <c r="J923" s="7" t="inlineStr">
        <is>
          <t>estandar</t>
        </is>
      </c>
      <c r="K923" s="7" t="inlineStr">
        <is>
          <t>importado</t>
        </is>
      </c>
      <c r="L923" s="7" t="inlineStr">
        <is>
          <t>Verificado</t>
        </is>
      </c>
      <c r="M923" s="8" t="n">
        <v>1</v>
      </c>
      <c r="N923" s="9" t="n">
        <v>1325.53</v>
      </c>
      <c r="O923" s="9" t="n">
        <v>1325.53</v>
      </c>
      <c r="P923" s="9" t="n">
        <v>1325.53</v>
      </c>
      <c r="Q923" s="7" t="inlineStr">
        <is>
          <t>Sí</t>
        </is>
      </c>
      <c r="R923" s="9">
        <f>IF(N923="","",IF(Q923="Sí",ROUND(N923/1.18,2),N923))</f>
        <v/>
      </c>
      <c r="S923" s="7" t="inlineStr">
        <is>
          <t>2026-09-09</t>
        </is>
      </c>
      <c r="T923" s="5" t="inlineStr">
        <is>
          <t>1 cotización de proveedores</t>
        </is>
      </c>
    </row>
    <row r="924">
      <c r="A924" s="7" t="inlineStr">
        <is>
          <t>MAT-25-004</t>
        </is>
      </c>
      <c r="B924" s="7" t="inlineStr">
        <is>
          <t>Materiales</t>
        </is>
      </c>
      <c r="C924" s="7" t="inlineStr">
        <is>
          <t>Lavamanos y pedestales</t>
        </is>
      </c>
      <c r="D924" s="5" t="inlineStr">
        <is>
          <t>Lavamanos Argos, blanco</t>
        </is>
      </c>
      <c r="E924" s="5" t="inlineStr">
        <is>
          <t>marca ULTRA · color blanco · referencia 5619BLANCO</t>
        </is>
      </c>
      <c r="F924" s="5" t="inlineStr">
        <is>
          <t>Material retirado en almacén</t>
        </is>
      </c>
      <c r="G924" s="5" t="inlineStr">
        <is>
          <t>lavamanos, lavabo, lavatorio</t>
        </is>
      </c>
      <c r="H924" s="7" t="inlineStr">
        <is>
          <t>unidad</t>
        </is>
      </c>
      <c r="I924" s="7" t="inlineStr">
        <is>
          <t>Instalaciones</t>
        </is>
      </c>
      <c r="J924" s="7" t="inlineStr">
        <is>
          <t>estandar</t>
        </is>
      </c>
      <c r="K924" s="7" t="inlineStr">
        <is>
          <t>importado</t>
        </is>
      </c>
      <c r="L924" s="7" t="inlineStr">
        <is>
          <t>Verificado</t>
        </is>
      </c>
      <c r="M924" s="8" t="n">
        <v>1</v>
      </c>
      <c r="N924" s="9" t="n">
        <v>1381.04</v>
      </c>
      <c r="O924" s="9" t="n">
        <v>1381.04</v>
      </c>
      <c r="P924" s="9" t="n">
        <v>1381.04</v>
      </c>
      <c r="Q924" s="7" t="inlineStr">
        <is>
          <t>Sí</t>
        </is>
      </c>
      <c r="R924" s="9">
        <f>IF(N924="","",IF(Q924="Sí",ROUND(N924/1.18,2),N924))</f>
        <v/>
      </c>
      <c r="S924" s="7" t="inlineStr">
        <is>
          <t>2026-09-09</t>
        </is>
      </c>
      <c r="T924" s="5" t="inlineStr">
        <is>
          <t>1 cotización de proveedores</t>
        </is>
      </c>
    </row>
    <row r="925">
      <c r="A925" s="7" t="inlineStr">
        <is>
          <t>MAT-25-005</t>
        </is>
      </c>
      <c r="B925" s="7" t="inlineStr">
        <is>
          <t>Materiales</t>
        </is>
      </c>
      <c r="C925" s="7" t="inlineStr">
        <is>
          <t>Lavamanos y pedestales</t>
        </is>
      </c>
      <c r="D925" s="5" t="inlineStr">
        <is>
          <t>Lavamanos Cerámica Junior, blanco</t>
        </is>
      </c>
      <c r="E925" s="5" t="inlineStr">
        <is>
          <t>marca CATO · color blanco · referencia BLANCO</t>
        </is>
      </c>
      <c r="F925" s="5" t="inlineStr">
        <is>
          <t>Material retirado en almacén</t>
        </is>
      </c>
      <c r="G925" s="5" t="inlineStr">
        <is>
          <t>lavamanos, lavabo, lavatorio</t>
        </is>
      </c>
      <c r="H925" s="7" t="inlineStr">
        <is>
          <t>unidad</t>
        </is>
      </c>
      <c r="I925" s="7" t="inlineStr">
        <is>
          <t>Instalaciones</t>
        </is>
      </c>
      <c r="J925" s="7" t="inlineStr">
        <is>
          <t>estandar</t>
        </is>
      </c>
      <c r="K925" s="7" t="inlineStr">
        <is>
          <t>importado</t>
        </is>
      </c>
      <c r="L925" s="7" t="inlineStr">
        <is>
          <t>Verificado</t>
        </is>
      </c>
      <c r="M925" s="8" t="n">
        <v>1</v>
      </c>
      <c r="N925" s="9" t="n">
        <v>1527.27</v>
      </c>
      <c r="O925" s="9" t="n">
        <v>1527.27</v>
      </c>
      <c r="P925" s="9" t="n">
        <v>1527.27</v>
      </c>
      <c r="Q925" s="7" t="inlineStr">
        <is>
          <t>Sí</t>
        </is>
      </c>
      <c r="R925" s="9">
        <f>IF(N925="","",IF(Q925="Sí",ROUND(N925/1.18,2),N925))</f>
        <v/>
      </c>
      <c r="S925" s="7" t="inlineStr">
        <is>
          <t>2026-09-09</t>
        </is>
      </c>
      <c r="T925" s="5" t="inlineStr">
        <is>
          <t>1 cotización de proveedores</t>
        </is>
      </c>
    </row>
    <row r="926">
      <c r="A926" s="7" t="inlineStr">
        <is>
          <t>MAT-25-006</t>
        </is>
      </c>
      <c r="B926" s="7" t="inlineStr">
        <is>
          <t>Materiales</t>
        </is>
      </c>
      <c r="C926" s="7" t="inlineStr">
        <is>
          <t>Lavamanos y pedestales</t>
        </is>
      </c>
      <c r="D926" s="5" t="inlineStr">
        <is>
          <t>Lavamanos De Cerámica Junior, blanco</t>
        </is>
      </c>
      <c r="E926" s="5" t="inlineStr">
        <is>
          <t>marca CATO · color blanco · referencia BLANCO</t>
        </is>
      </c>
      <c r="F926" s="5" t="inlineStr">
        <is>
          <t>Material retirado en almacén</t>
        </is>
      </c>
      <c r="G926" s="5" t="inlineStr">
        <is>
          <t>lavamanos, lavabo, lavatorio</t>
        </is>
      </c>
      <c r="H926" s="7" t="inlineStr">
        <is>
          <t>unidad</t>
        </is>
      </c>
      <c r="I926" s="7" t="inlineStr">
        <is>
          <t>Instalaciones</t>
        </is>
      </c>
      <c r="J926" s="7" t="inlineStr">
        <is>
          <t>estandar</t>
        </is>
      </c>
      <c r="K926" s="7" t="inlineStr">
        <is>
          <t>importado</t>
        </is>
      </c>
      <c r="L926" s="7" t="inlineStr">
        <is>
          <t>Verificado</t>
        </is>
      </c>
      <c r="M926" s="8" t="n">
        <v>1</v>
      </c>
      <c r="N926" s="9" t="n">
        <v>1527.27</v>
      </c>
      <c r="O926" s="9" t="n">
        <v>1527.27</v>
      </c>
      <c r="P926" s="9" t="n">
        <v>1527.27</v>
      </c>
      <c r="Q926" s="7" t="inlineStr">
        <is>
          <t>Sí</t>
        </is>
      </c>
      <c r="R926" s="9">
        <f>IF(N926="","",IF(Q926="Sí",ROUND(N926/1.18,2),N926))</f>
        <v/>
      </c>
      <c r="S926" s="7" t="inlineStr">
        <is>
          <t>2026-09-09</t>
        </is>
      </c>
      <c r="T926" s="5" t="inlineStr">
        <is>
          <t>1 cotización de proveedores</t>
        </is>
      </c>
    </row>
    <row r="927">
      <c r="A927" s="7" t="inlineStr">
        <is>
          <t>MAT-25-007</t>
        </is>
      </c>
      <c r="B927" s="7" t="inlineStr">
        <is>
          <t>Materiales</t>
        </is>
      </c>
      <c r="C927" s="7" t="inlineStr">
        <is>
          <t>Lavamanos y pedestales</t>
        </is>
      </c>
      <c r="D927" s="5" t="inlineStr">
        <is>
          <t>Lavamanos De Cerámica Junior, marfil</t>
        </is>
      </c>
      <c r="E927" s="5" t="inlineStr">
        <is>
          <t>marca CATO · color marfil · referencia MARFIL</t>
        </is>
      </c>
      <c r="F927" s="5" t="inlineStr">
        <is>
          <t>Material retirado en almacén</t>
        </is>
      </c>
      <c r="G927" s="5" t="inlineStr">
        <is>
          <t>lavamanos, lavabo, lavatorio</t>
        </is>
      </c>
      <c r="H927" s="7" t="inlineStr">
        <is>
          <t>unidad</t>
        </is>
      </c>
      <c r="I927" s="7" t="inlineStr">
        <is>
          <t>Instalaciones</t>
        </is>
      </c>
      <c r="J927" s="7" t="inlineStr">
        <is>
          <t>estandar</t>
        </is>
      </c>
      <c r="K927" s="7" t="inlineStr">
        <is>
          <t>importado</t>
        </is>
      </c>
      <c r="L927" s="7" t="inlineStr">
        <is>
          <t>Verificado</t>
        </is>
      </c>
      <c r="M927" s="8" t="n">
        <v>1</v>
      </c>
      <c r="N927" s="9" t="n">
        <v>1582.49</v>
      </c>
      <c r="O927" s="9" t="n">
        <v>1582.49</v>
      </c>
      <c r="P927" s="9" t="n">
        <v>1582.49</v>
      </c>
      <c r="Q927" s="7" t="inlineStr">
        <is>
          <t>Sí</t>
        </is>
      </c>
      <c r="R927" s="9">
        <f>IF(N927="","",IF(Q927="Sí",ROUND(N927/1.18,2),N927))</f>
        <v/>
      </c>
      <c r="S927" s="7" t="inlineStr">
        <is>
          <t>2026-09-09</t>
        </is>
      </c>
      <c r="T927" s="5" t="inlineStr">
        <is>
          <t>1 cotización de proveedores</t>
        </is>
      </c>
    </row>
    <row r="928">
      <c r="A928" s="7" t="inlineStr">
        <is>
          <t>MAT-25-008</t>
        </is>
      </c>
      <c r="B928" s="7" t="inlineStr">
        <is>
          <t>Materiales</t>
        </is>
      </c>
      <c r="C928" s="7" t="inlineStr">
        <is>
          <t>Lavamanos y pedestales</t>
        </is>
      </c>
      <c r="D928" s="5" t="inlineStr">
        <is>
          <t>Lavamanos De Cerámica Jazmin, marfil</t>
        </is>
      </c>
      <c r="E928" s="5" t="inlineStr">
        <is>
          <t>marca CATO · color marfil · referencia MARFIL</t>
        </is>
      </c>
      <c r="F928" s="5" t="inlineStr">
        <is>
          <t>Material retirado en almacén</t>
        </is>
      </c>
      <c r="G928" s="5" t="inlineStr">
        <is>
          <t>lavamanos, lavabo, lavatorio</t>
        </is>
      </c>
      <c r="H928" s="7" t="inlineStr">
        <is>
          <t>unidad</t>
        </is>
      </c>
      <c r="I928" s="7" t="inlineStr">
        <is>
          <t>Instalaciones</t>
        </is>
      </c>
      <c r="J928" s="7" t="inlineStr">
        <is>
          <t>estandar</t>
        </is>
      </c>
      <c r="K928" s="7" t="inlineStr">
        <is>
          <t>importado</t>
        </is>
      </c>
      <c r="L928" s="7" t="inlineStr">
        <is>
          <t>Verificado</t>
        </is>
      </c>
      <c r="M928" s="8" t="n">
        <v>1</v>
      </c>
      <c r="N928" s="9" t="n">
        <v>1973.66</v>
      </c>
      <c r="O928" s="9" t="n">
        <v>1789.16</v>
      </c>
      <c r="P928" s="9" t="n">
        <v>2158.15</v>
      </c>
      <c r="Q928" s="7" t="inlineStr">
        <is>
          <t>Sí</t>
        </is>
      </c>
      <c r="R928" s="9">
        <f>IF(N928="","",IF(Q928="Sí",ROUND(N928/1.18,2),N928))</f>
        <v/>
      </c>
      <c r="S928" s="7" t="inlineStr">
        <is>
          <t>2026-09-09</t>
        </is>
      </c>
      <c r="T928" s="5" t="inlineStr">
        <is>
          <t>2 cotizaciones de proveedores</t>
        </is>
      </c>
    </row>
    <row r="929">
      <c r="A929" s="7" t="inlineStr">
        <is>
          <t>MAT-25-009</t>
        </is>
      </c>
      <c r="B929" s="7" t="inlineStr">
        <is>
          <t>Materiales</t>
        </is>
      </c>
      <c r="C929" s="7" t="inlineStr">
        <is>
          <t>Lavamanos y pedestales</t>
        </is>
      </c>
      <c r="D929" s="5" t="inlineStr">
        <is>
          <t>Lavamanos De Cerámica Jazmin, blanco</t>
        </is>
      </c>
      <c r="E929" s="5" t="inlineStr">
        <is>
          <t>marca CATO · color blanco · referencia BLANCO</t>
        </is>
      </c>
      <c r="F929" s="5" t="inlineStr">
        <is>
          <t>Material retirado en almacén</t>
        </is>
      </c>
      <c r="G929" s="5" t="inlineStr">
        <is>
          <t>lavamanos, lavabo, lavatorio</t>
        </is>
      </c>
      <c r="H929" s="7" t="inlineStr">
        <is>
          <t>unidad</t>
        </is>
      </c>
      <c r="I929" s="7" t="inlineStr">
        <is>
          <t>Instalaciones</t>
        </is>
      </c>
      <c r="J929" s="7" t="inlineStr">
        <is>
          <t>estandar</t>
        </is>
      </c>
      <c r="K929" s="7" t="inlineStr">
        <is>
          <t>importado</t>
        </is>
      </c>
      <c r="L929" s="7" t="inlineStr">
        <is>
          <t>Verificado</t>
        </is>
      </c>
      <c r="M929" s="8" t="n">
        <v>1</v>
      </c>
      <c r="N929" s="9" t="n">
        <v>1770.56</v>
      </c>
      <c r="O929" s="9" t="n">
        <v>1681.49</v>
      </c>
      <c r="P929" s="9" t="n">
        <v>1859.63</v>
      </c>
      <c r="Q929" s="7" t="inlineStr">
        <is>
          <t>Sí</t>
        </is>
      </c>
      <c r="R929" s="9">
        <f>IF(N929="","",IF(Q929="Sí",ROUND(N929/1.18,2),N929))</f>
        <v/>
      </c>
      <c r="S929" s="7" t="inlineStr">
        <is>
          <t>2026-09-09</t>
        </is>
      </c>
      <c r="T929" s="5" t="inlineStr">
        <is>
          <t>2 cotizaciones de proveedores</t>
        </is>
      </c>
    </row>
    <row r="930">
      <c r="A930" s="7" t="inlineStr">
        <is>
          <t>MAT-25-010</t>
        </is>
      </c>
      <c r="B930" s="7" t="inlineStr">
        <is>
          <t>Materiales</t>
        </is>
      </c>
      <c r="C930" s="7" t="inlineStr">
        <is>
          <t>Lavamanos y pedestales</t>
        </is>
      </c>
      <c r="D930" s="5" t="inlineStr">
        <is>
          <t>Lavamanos 4'' Lucas, negro</t>
        </is>
      </c>
      <c r="E930" s="5" t="inlineStr">
        <is>
          <t>marca CATO · color negro · referencia NEGRO</t>
        </is>
      </c>
      <c r="F930" s="5" t="inlineStr">
        <is>
          <t>Material retirado en almacén</t>
        </is>
      </c>
      <c r="G930" s="5" t="inlineStr">
        <is>
          <t>lavamanos, lavabo, lavatorio</t>
        </is>
      </c>
      <c r="H930" s="7" t="inlineStr">
        <is>
          <t>unidad</t>
        </is>
      </c>
      <c r="I930" s="7" t="inlineStr">
        <is>
          <t>Instalaciones</t>
        </is>
      </c>
      <c r="J930" s="7" t="inlineStr">
        <is>
          <t>estandar</t>
        </is>
      </c>
      <c r="K930" s="7" t="inlineStr">
        <is>
          <t>importado</t>
        </is>
      </c>
      <c r="L930" s="7" t="inlineStr">
        <is>
          <t>Verificado</t>
        </is>
      </c>
      <c r="M930" s="8" t="n">
        <v>1</v>
      </c>
      <c r="N930" s="9" t="n">
        <v>1879.63</v>
      </c>
      <c r="O930" s="9" t="n">
        <v>1879.63</v>
      </c>
      <c r="P930" s="9" t="n">
        <v>1879.63</v>
      </c>
      <c r="Q930" s="7" t="inlineStr">
        <is>
          <t>Sí</t>
        </is>
      </c>
      <c r="R930" s="9">
        <f>IF(N930="","",IF(Q930="Sí",ROUND(N930/1.18,2),N930))</f>
        <v/>
      </c>
      <c r="S930" s="7" t="inlineStr">
        <is>
          <t>2026-09-09</t>
        </is>
      </c>
      <c r="T930" s="5" t="inlineStr">
        <is>
          <t>1 cotización de proveedores</t>
        </is>
      </c>
    </row>
    <row r="931">
      <c r="A931" s="7" t="inlineStr">
        <is>
          <t>MAT-25-011</t>
        </is>
      </c>
      <c r="B931" s="7" t="inlineStr">
        <is>
          <t>Materiales</t>
        </is>
      </c>
      <c r="C931" s="7" t="inlineStr">
        <is>
          <t>Lavamanos y pedestales</t>
        </is>
      </c>
      <c r="D931" s="5" t="inlineStr">
        <is>
          <t>Lavamanos Atenas 36 x 36, blanco</t>
        </is>
      </c>
      <c r="E931" s="5" t="inlineStr">
        <is>
          <t>marca ULTRA · color blanco · referencia 5206CBLANCO</t>
        </is>
      </c>
      <c r="F931" s="5" t="inlineStr">
        <is>
          <t>Material retirado en almacén</t>
        </is>
      </c>
      <c r="G931" s="5" t="inlineStr">
        <is>
          <t>lavamanos, lavabo, lavatorio</t>
        </is>
      </c>
      <c r="H931" s="7" t="inlineStr">
        <is>
          <t>unidad</t>
        </is>
      </c>
      <c r="I931" s="7" t="inlineStr">
        <is>
          <t>Instalaciones</t>
        </is>
      </c>
      <c r="J931" s="7" t="inlineStr">
        <is>
          <t>estandar</t>
        </is>
      </c>
      <c r="K931" s="7" t="inlineStr">
        <is>
          <t>importado</t>
        </is>
      </c>
      <c r="L931" s="7" t="inlineStr">
        <is>
          <t>Verificado</t>
        </is>
      </c>
      <c r="M931" s="8" t="n">
        <v>1</v>
      </c>
      <c r="N931" s="9" t="n">
        <v>2085.37</v>
      </c>
      <c r="O931" s="9" t="n">
        <v>2085.37</v>
      </c>
      <c r="P931" s="9" t="n">
        <v>2085.37</v>
      </c>
      <c r="Q931" s="7" t="inlineStr">
        <is>
          <t>Sí</t>
        </is>
      </c>
      <c r="R931" s="9">
        <f>IF(N931="","",IF(Q931="Sí",ROUND(N931/1.18,2),N931))</f>
        <v/>
      </c>
      <c r="S931" s="7" t="inlineStr">
        <is>
          <t>2026-09-09</t>
        </is>
      </c>
      <c r="T931" s="5" t="inlineStr">
        <is>
          <t>1 cotización de proveedores</t>
        </is>
      </c>
    </row>
    <row r="932">
      <c r="A932" s="7" t="inlineStr">
        <is>
          <t>MAT-25-012</t>
        </is>
      </c>
      <c r="B932" s="7" t="inlineStr">
        <is>
          <t>Materiales</t>
        </is>
      </c>
      <c r="C932" s="7" t="inlineStr">
        <is>
          <t>Lavamanos y pedestales</t>
        </is>
      </c>
      <c r="D932" s="5" t="inlineStr">
        <is>
          <t>Lavamanos Jazmin 1 H, marfil</t>
        </is>
      </c>
      <c r="E932" s="5" t="inlineStr">
        <is>
          <t>marca CATO · color marfil · referencia MARFIL</t>
        </is>
      </c>
      <c r="F932" s="5" t="inlineStr">
        <is>
          <t>Material retirado en almacén</t>
        </is>
      </c>
      <c r="G932" s="5" t="inlineStr">
        <is>
          <t>lavamanos, lavabo, lavatorio</t>
        </is>
      </c>
      <c r="H932" s="7" t="inlineStr">
        <is>
          <t>unidad</t>
        </is>
      </c>
      <c r="I932" s="7" t="inlineStr">
        <is>
          <t>Instalaciones</t>
        </is>
      </c>
      <c r="J932" s="7" t="inlineStr">
        <is>
          <t>estandar</t>
        </is>
      </c>
      <c r="K932" s="7" t="inlineStr">
        <is>
          <t>importado</t>
        </is>
      </c>
      <c r="L932" s="7" t="inlineStr">
        <is>
          <t>Verificado</t>
        </is>
      </c>
      <c r="M932" s="8" t="n">
        <v>1</v>
      </c>
      <c r="N932" s="9" t="n">
        <v>2158.15</v>
      </c>
      <c r="O932" s="9" t="n">
        <v>2158.15</v>
      </c>
      <c r="P932" s="9" t="n">
        <v>2158.15</v>
      </c>
      <c r="Q932" s="7" t="inlineStr">
        <is>
          <t>Sí</t>
        </is>
      </c>
      <c r="R932" s="9">
        <f>IF(N932="","",IF(Q932="Sí",ROUND(N932/1.18,2),N932))</f>
        <v/>
      </c>
      <c r="S932" s="7" t="inlineStr">
        <is>
          <t>2026-09-09</t>
        </is>
      </c>
      <c r="T932" s="5" t="inlineStr">
        <is>
          <t>1 cotización de proveedores</t>
        </is>
      </c>
    </row>
    <row r="933">
      <c r="A933" s="7" t="inlineStr">
        <is>
          <t>MAT-25-013</t>
        </is>
      </c>
      <c r="B933" s="7" t="inlineStr">
        <is>
          <t>Materiales</t>
        </is>
      </c>
      <c r="C933" s="7" t="inlineStr">
        <is>
          <t>Lavamanos y pedestales</t>
        </is>
      </c>
      <c r="D933" s="5" t="inlineStr">
        <is>
          <t>Lavamanos Eros 41 x 41, blanco</t>
        </is>
      </c>
      <c r="E933" s="5" t="inlineStr">
        <is>
          <t>marca ULTRA · color blanco · referencia 5002BBLANCO</t>
        </is>
      </c>
      <c r="F933" s="5" t="inlineStr">
        <is>
          <t>Material retirado en almacén</t>
        </is>
      </c>
      <c r="G933" s="5" t="inlineStr">
        <is>
          <t>lavamanos, lavabo, lavatorio</t>
        </is>
      </c>
      <c r="H933" s="7" t="inlineStr">
        <is>
          <t>unidad</t>
        </is>
      </c>
      <c r="I933" s="7" t="inlineStr">
        <is>
          <t>Instalaciones</t>
        </is>
      </c>
      <c r="J933" s="7" t="inlineStr">
        <is>
          <t>estandar</t>
        </is>
      </c>
      <c r="K933" s="7" t="inlineStr">
        <is>
          <t>importado</t>
        </is>
      </c>
      <c r="L933" s="7" t="inlineStr">
        <is>
          <t>Verificado</t>
        </is>
      </c>
      <c r="M933" s="8" t="n">
        <v>1</v>
      </c>
      <c r="N933" s="9" t="n">
        <v>2177.81</v>
      </c>
      <c r="O933" s="9" t="n">
        <v>2177.81</v>
      </c>
      <c r="P933" s="9" t="n">
        <v>2177.81</v>
      </c>
      <c r="Q933" s="7" t="inlineStr">
        <is>
          <t>Sí</t>
        </is>
      </c>
      <c r="R933" s="9">
        <f>IF(N933="","",IF(Q933="Sí",ROUND(N933/1.18,2),N933))</f>
        <v/>
      </c>
      <c r="S933" s="7" t="inlineStr">
        <is>
          <t>2026-09-09</t>
        </is>
      </c>
      <c r="T933" s="5" t="inlineStr">
        <is>
          <t>1 cotización de proveedores</t>
        </is>
      </c>
    </row>
    <row r="934">
      <c r="A934" s="7" t="inlineStr">
        <is>
          <t>MAT-25-014</t>
        </is>
      </c>
      <c r="B934" s="7" t="inlineStr">
        <is>
          <t>Materiales</t>
        </is>
      </c>
      <c r="C934" s="7" t="inlineStr">
        <is>
          <t>Lavamanos y pedestales</t>
        </is>
      </c>
      <c r="D934" s="5" t="inlineStr">
        <is>
          <t>Lavamanos con Pedestal Bp518., blanco</t>
        </is>
      </c>
      <c r="E934" s="5" t="inlineStr">
        <is>
          <t>marca TILBY-BAN · color blanco · referencia BLANCO</t>
        </is>
      </c>
      <c r="F934" s="5" t="inlineStr">
        <is>
          <t>Material retirado en almacén</t>
        </is>
      </c>
      <c r="G934" s="5" t="inlineStr">
        <is>
          <t>lavamanos, lavabo, lavatorio</t>
        </is>
      </c>
      <c r="H934" s="7" t="inlineStr">
        <is>
          <t>unidad</t>
        </is>
      </c>
      <c r="I934" s="7" t="inlineStr">
        <is>
          <t>Instalaciones</t>
        </is>
      </c>
      <c r="J934" s="7" t="inlineStr">
        <is>
          <t>estandar</t>
        </is>
      </c>
      <c r="K934" s="7" t="inlineStr">
        <is>
          <t>importado</t>
        </is>
      </c>
      <c r="L934" s="7" t="inlineStr">
        <is>
          <t>Verificado</t>
        </is>
      </c>
      <c r="M934" s="8" t="n">
        <v>1</v>
      </c>
      <c r="N934" s="9" t="n">
        <v>2188.73</v>
      </c>
      <c r="O934" s="9" t="n">
        <v>2188.73</v>
      </c>
      <c r="P934" s="9" t="n">
        <v>2188.73</v>
      </c>
      <c r="Q934" s="7" t="inlineStr">
        <is>
          <t>Sí</t>
        </is>
      </c>
      <c r="R934" s="9">
        <f>IF(N934="","",IF(Q934="Sí",ROUND(N934/1.18,2),N934))</f>
        <v/>
      </c>
      <c r="S934" s="7" t="inlineStr">
        <is>
          <t>2026-09-09</t>
        </is>
      </c>
      <c r="T934" s="5" t="inlineStr">
        <is>
          <t>1 cotización de proveedores</t>
        </is>
      </c>
    </row>
    <row r="935">
      <c r="A935" s="7" t="inlineStr">
        <is>
          <t>MAT-25-015</t>
        </is>
      </c>
      <c r="B935" s="7" t="inlineStr">
        <is>
          <t>Materiales</t>
        </is>
      </c>
      <c r="C935" s="7" t="inlineStr">
        <is>
          <t>Lavamanos y pedestales</t>
        </is>
      </c>
      <c r="D935" s="5" t="inlineStr">
        <is>
          <t>Lavamanos De Cerámica, blanco</t>
        </is>
      </c>
      <c r="E935" s="5" t="inlineStr">
        <is>
          <t>marca CATO · color blanco · referencia BLANCO</t>
        </is>
      </c>
      <c r="F935" s="5" t="inlineStr">
        <is>
          <t>Material retirado en almacén</t>
        </is>
      </c>
      <c r="G935" s="5" t="inlineStr">
        <is>
          <t>lavamanos, lavabo, lavatorio</t>
        </is>
      </c>
      <c r="H935" s="7" t="inlineStr">
        <is>
          <t>unidad</t>
        </is>
      </c>
      <c r="I935" s="7" t="inlineStr">
        <is>
          <t>Instalaciones</t>
        </is>
      </c>
      <c r="J935" s="7" t="inlineStr">
        <is>
          <t>estandar</t>
        </is>
      </c>
      <c r="K935" s="7" t="inlineStr">
        <is>
          <t>importado</t>
        </is>
      </c>
      <c r="L935" s="7" t="inlineStr">
        <is>
          <t>Verificado</t>
        </is>
      </c>
      <c r="M935" s="8" t="n">
        <v>1</v>
      </c>
      <c r="N935" s="9" t="n">
        <v>2565.83</v>
      </c>
      <c r="O935" s="9" t="n">
        <v>2565.83</v>
      </c>
      <c r="P935" s="9" t="n">
        <v>2565.83</v>
      </c>
      <c r="Q935" s="7" t="inlineStr">
        <is>
          <t>Sí</t>
        </is>
      </c>
      <c r="R935" s="9">
        <f>IF(N935="","",IF(Q935="Sí",ROUND(N935/1.18,2),N935))</f>
        <v/>
      </c>
      <c r="S935" s="7" t="inlineStr">
        <is>
          <t>2026-09-09</t>
        </is>
      </c>
      <c r="T935" s="5" t="inlineStr">
        <is>
          <t>1 cotización de proveedores</t>
        </is>
      </c>
    </row>
    <row r="936">
      <c r="A936" s="7" t="inlineStr">
        <is>
          <t>MAT-25-016</t>
        </is>
      </c>
      <c r="B936" s="7" t="inlineStr">
        <is>
          <t>Materiales</t>
        </is>
      </c>
      <c r="C936" s="7" t="inlineStr">
        <is>
          <t>Lavamanos y pedestales</t>
        </is>
      </c>
      <c r="D936" s="5" t="inlineStr">
        <is>
          <t>Lavamanos De Cerámica Terra, blanco</t>
        </is>
      </c>
      <c r="E936" s="5" t="inlineStr">
        <is>
          <t>marca CATO · color blanco · referencia BLANCO</t>
        </is>
      </c>
      <c r="F936" s="5" t="inlineStr">
        <is>
          <t>Material retirado en almacén</t>
        </is>
      </c>
      <c r="G936" s="5" t="inlineStr">
        <is>
          <t>lavamanos, lavabo, lavatorio</t>
        </is>
      </c>
      <c r="H936" s="7" t="inlineStr">
        <is>
          <t>unidad</t>
        </is>
      </c>
      <c r="I936" s="7" t="inlineStr">
        <is>
          <t>Instalaciones</t>
        </is>
      </c>
      <c r="J936" s="7" t="inlineStr">
        <is>
          <t>estandar</t>
        </is>
      </c>
      <c r="K936" s="7" t="inlineStr">
        <is>
          <t>importado</t>
        </is>
      </c>
      <c r="L936" s="7" t="inlineStr">
        <is>
          <t>Verificado</t>
        </is>
      </c>
      <c r="M936" s="8" t="n">
        <v>1</v>
      </c>
      <c r="N936" s="9" t="n">
        <v>2656.26</v>
      </c>
      <c r="O936" s="9" t="n">
        <v>2653.91</v>
      </c>
      <c r="P936" s="9" t="n">
        <v>2658.6</v>
      </c>
      <c r="Q936" s="7" t="inlineStr">
        <is>
          <t>Sí</t>
        </is>
      </c>
      <c r="R936" s="9">
        <f>IF(N936="","",IF(Q936="Sí",ROUND(N936/1.18,2),N936))</f>
        <v/>
      </c>
      <c r="S936" s="7" t="inlineStr">
        <is>
          <t>2026-09-09</t>
        </is>
      </c>
      <c r="T936" s="5" t="inlineStr">
        <is>
          <t>2 cotizaciones de proveedores</t>
        </is>
      </c>
    </row>
    <row r="937">
      <c r="A937" s="7" t="inlineStr">
        <is>
          <t>MAT-25-017</t>
        </is>
      </c>
      <c r="B937" s="7" t="inlineStr">
        <is>
          <t>Materiales</t>
        </is>
      </c>
      <c r="C937" s="7" t="inlineStr">
        <is>
          <t>Lavamanos y pedestales</t>
        </is>
      </c>
      <c r="D937" s="5" t="inlineStr">
        <is>
          <t>Lavamanos Jano redondo, blanco</t>
        </is>
      </c>
      <c r="E937" s="5" t="inlineStr">
        <is>
          <t>marca ULTRA · color blanco · referencia 5554BLANCO</t>
        </is>
      </c>
      <c r="F937" s="5" t="inlineStr">
        <is>
          <t>Material retirado en almacén</t>
        </is>
      </c>
      <c r="G937" s="5" t="inlineStr">
        <is>
          <t>lavamanos, lavabo, lavatorio</t>
        </is>
      </c>
      <c r="H937" s="7" t="inlineStr">
        <is>
          <t>unidad</t>
        </is>
      </c>
      <c r="I937" s="7" t="inlineStr">
        <is>
          <t>Instalaciones</t>
        </is>
      </c>
      <c r="J937" s="7" t="inlineStr">
        <is>
          <t>estandar</t>
        </is>
      </c>
      <c r="K937" s="7" t="inlineStr">
        <is>
          <t>importado</t>
        </is>
      </c>
      <c r="L937" s="7" t="inlineStr">
        <is>
          <t>Verificado</t>
        </is>
      </c>
      <c r="M937" s="8" t="n">
        <v>1</v>
      </c>
      <c r="N937" s="9" t="n">
        <v>2769.61</v>
      </c>
      <c r="O937" s="9" t="n">
        <v>2769.61</v>
      </c>
      <c r="P937" s="9" t="n">
        <v>2769.61</v>
      </c>
      <c r="Q937" s="7" t="inlineStr">
        <is>
          <t>Sí</t>
        </is>
      </c>
      <c r="R937" s="9">
        <f>IF(N937="","",IF(Q937="Sí",ROUND(N937/1.18,2),N937))</f>
        <v/>
      </c>
      <c r="S937" s="7" t="inlineStr">
        <is>
          <t>2026-09-09</t>
        </is>
      </c>
      <c r="T937" s="5" t="inlineStr">
        <is>
          <t>1 cotización de proveedores</t>
        </is>
      </c>
    </row>
    <row r="938">
      <c r="A938" s="7" t="inlineStr">
        <is>
          <t>MAT-25-018</t>
        </is>
      </c>
      <c r="B938" s="7" t="inlineStr">
        <is>
          <t>Materiales</t>
        </is>
      </c>
      <c r="C938" s="7" t="inlineStr">
        <is>
          <t>Lavamanos y pedestales</t>
        </is>
      </c>
      <c r="D938" s="5" t="inlineStr">
        <is>
          <t>Lavamanos Elpis 61 x 79, blanco</t>
        </is>
      </c>
      <c r="E938" s="5" t="inlineStr">
        <is>
          <t>marca ULTRA · color blanco · referencia 4001-60BLANCO</t>
        </is>
      </c>
      <c r="F938" s="5" t="inlineStr">
        <is>
          <t>Material retirado en almacén</t>
        </is>
      </c>
      <c r="G938" s="5" t="inlineStr">
        <is>
          <t>lavamanos, lavabo, lavatorio</t>
        </is>
      </c>
      <c r="H938" s="7" t="inlineStr">
        <is>
          <t>unidad</t>
        </is>
      </c>
      <c r="I938" s="7" t="inlineStr">
        <is>
          <t>Instalaciones</t>
        </is>
      </c>
      <c r="J938" s="7" t="inlineStr">
        <is>
          <t>estandar</t>
        </is>
      </c>
      <c r="K938" s="7" t="inlineStr">
        <is>
          <t>importado</t>
        </is>
      </c>
      <c r="L938" s="7" t="inlineStr">
        <is>
          <t>Verificado</t>
        </is>
      </c>
      <c r="M938" s="8" t="n">
        <v>1</v>
      </c>
      <c r="N938" s="9" t="n">
        <v>2807.64</v>
      </c>
      <c r="O938" s="9" t="n">
        <v>2807.64</v>
      </c>
      <c r="P938" s="9" t="n">
        <v>2807.64</v>
      </c>
      <c r="Q938" s="7" t="inlineStr">
        <is>
          <t>Sí</t>
        </is>
      </c>
      <c r="R938" s="9">
        <f>IF(N938="","",IF(Q938="Sí",ROUND(N938/1.18,2),N938))</f>
        <v/>
      </c>
      <c r="S938" s="7" t="inlineStr">
        <is>
          <t>2026-09-09</t>
        </is>
      </c>
      <c r="T938" s="5" t="inlineStr">
        <is>
          <t>1 cotización de proveedores</t>
        </is>
      </c>
    </row>
    <row r="939">
      <c r="A939" s="7" t="inlineStr">
        <is>
          <t>MAT-25-019</t>
        </is>
      </c>
      <c r="B939" s="7" t="inlineStr">
        <is>
          <t>Materiales</t>
        </is>
      </c>
      <c r="C939" s="7" t="inlineStr">
        <is>
          <t>Lavamanos y pedestales</t>
        </is>
      </c>
      <c r="D939" s="5" t="inlineStr">
        <is>
          <t>Lavamanos De Cerámica Zurich, blanco</t>
        </is>
      </c>
      <c r="E939" s="5" t="inlineStr">
        <is>
          <t>marca CATO · color blanco · referencia BLANCO</t>
        </is>
      </c>
      <c r="F939" s="5" t="inlineStr">
        <is>
          <t>Material retirado en almacén</t>
        </is>
      </c>
      <c r="G939" s="5" t="inlineStr">
        <is>
          <t>lavamanos, lavabo, lavatorio</t>
        </is>
      </c>
      <c r="H939" s="7" t="inlineStr">
        <is>
          <t>unidad</t>
        </is>
      </c>
      <c r="I939" s="7" t="inlineStr">
        <is>
          <t>Instalaciones</t>
        </is>
      </c>
      <c r="J939" s="7" t="inlineStr">
        <is>
          <t>estandar</t>
        </is>
      </c>
      <c r="K939" s="7" t="inlineStr">
        <is>
          <t>importado</t>
        </is>
      </c>
      <c r="L939" s="7" t="inlineStr">
        <is>
          <t>Verificado</t>
        </is>
      </c>
      <c r="M939" s="8" t="n">
        <v>1</v>
      </c>
      <c r="N939" s="9" t="n">
        <v>2923.3</v>
      </c>
      <c r="O939" s="9" t="n">
        <v>2913.99</v>
      </c>
      <c r="P939" s="9" t="n">
        <v>2932.6</v>
      </c>
      <c r="Q939" s="7" t="inlineStr">
        <is>
          <t>Sí</t>
        </is>
      </c>
      <c r="R939" s="9">
        <f>IF(N939="","",IF(Q939="Sí",ROUND(N939/1.18,2),N939))</f>
        <v/>
      </c>
      <c r="S939" s="7" t="inlineStr">
        <is>
          <t>2026-09-09</t>
        </is>
      </c>
      <c r="T939" s="5" t="inlineStr">
        <is>
          <t>2 cotizaciones de proveedores</t>
        </is>
      </c>
    </row>
    <row r="940">
      <c r="A940" s="7" t="inlineStr">
        <is>
          <t>MAT-25-020</t>
        </is>
      </c>
      <c r="B940" s="7" t="inlineStr">
        <is>
          <t>Materiales</t>
        </is>
      </c>
      <c r="C940" s="7" t="inlineStr">
        <is>
          <t>Lavamanos y pedestales</t>
        </is>
      </c>
      <c r="D940" s="5" t="inlineStr">
        <is>
          <t>Lavamanos Mono Milenio, blanco</t>
        </is>
      </c>
      <c r="E940" s="5" t="inlineStr">
        <is>
          <t>marca CATO · color blanco · referencia BLANCO</t>
        </is>
      </c>
      <c r="F940" s="5" t="inlineStr">
        <is>
          <t>Material retirado en almacén</t>
        </is>
      </c>
      <c r="G940" s="5" t="inlineStr">
        <is>
          <t>lavamanos, lavabo, lavatorio</t>
        </is>
      </c>
      <c r="H940" s="7" t="inlineStr">
        <is>
          <t>unidad</t>
        </is>
      </c>
      <c r="I940" s="7" t="inlineStr">
        <is>
          <t>Instalaciones</t>
        </is>
      </c>
      <c r="J940" s="7" t="inlineStr">
        <is>
          <t>estandar</t>
        </is>
      </c>
      <c r="K940" s="7" t="inlineStr">
        <is>
          <t>importado</t>
        </is>
      </c>
      <c r="L940" s="7" t="inlineStr">
        <is>
          <t>Verificado</t>
        </is>
      </c>
      <c r="M940" s="8" t="n">
        <v>1</v>
      </c>
      <c r="N940" s="9" t="n">
        <v>2925.8</v>
      </c>
      <c r="O940" s="9" t="n">
        <v>2925.8</v>
      </c>
      <c r="P940" s="9" t="n">
        <v>2925.8</v>
      </c>
      <c r="Q940" s="7" t="inlineStr">
        <is>
          <t>Sí</t>
        </is>
      </c>
      <c r="R940" s="9">
        <f>IF(N940="","",IF(Q940="Sí",ROUND(N940/1.18,2),N940))</f>
        <v/>
      </c>
      <c r="S940" s="7" t="inlineStr">
        <is>
          <t>2026-09-09</t>
        </is>
      </c>
      <c r="T940" s="5" t="inlineStr">
        <is>
          <t>1 cotización de proveedores</t>
        </is>
      </c>
    </row>
    <row r="941">
      <c r="A941" s="7" t="inlineStr">
        <is>
          <t>MAT-25-021</t>
        </is>
      </c>
      <c r="B941" s="7" t="inlineStr">
        <is>
          <t>Materiales</t>
        </is>
      </c>
      <c r="C941" s="7" t="inlineStr">
        <is>
          <t>Lavamanos y pedestales</t>
        </is>
      </c>
      <c r="D941" s="5" t="inlineStr">
        <is>
          <t>Lavamanos Sobreponer Ovalin 4", blanco</t>
        </is>
      </c>
      <c r="E941" s="5" t="inlineStr">
        <is>
          <t>marca CATO · color blanco · referencia BLANCO</t>
        </is>
      </c>
      <c r="F941" s="5" t="inlineStr">
        <is>
          <t>Material retirado en almacén</t>
        </is>
      </c>
      <c r="G941" s="5" t="inlineStr">
        <is>
          <t>lavamanos, lavabo, lavatorio</t>
        </is>
      </c>
      <c r="H941" s="7" t="inlineStr">
        <is>
          <t>unidad</t>
        </is>
      </c>
      <c r="I941" s="7" t="inlineStr">
        <is>
          <t>Instalaciones</t>
        </is>
      </c>
      <c r="J941" s="7" t="inlineStr">
        <is>
          <t>estandar</t>
        </is>
      </c>
      <c r="K941" s="7" t="inlineStr">
        <is>
          <t>importado</t>
        </is>
      </c>
      <c r="L941" s="7" t="inlineStr">
        <is>
          <t>Verificado</t>
        </is>
      </c>
      <c r="M941" s="8" t="n">
        <v>1</v>
      </c>
      <c r="N941" s="9" t="n">
        <v>2960.63</v>
      </c>
      <c r="O941" s="9" t="n">
        <v>2960.63</v>
      </c>
      <c r="P941" s="9" t="n">
        <v>2960.63</v>
      </c>
      <c r="Q941" s="7" t="inlineStr">
        <is>
          <t>Sí</t>
        </is>
      </c>
      <c r="R941" s="9">
        <f>IF(N941="","",IF(Q941="Sí",ROUND(N941/1.18,2),N941))</f>
        <v/>
      </c>
      <c r="S941" s="7" t="inlineStr">
        <is>
          <t>2026-09-09</t>
        </is>
      </c>
      <c r="T941" s="5" t="inlineStr">
        <is>
          <t>1 cotización de proveedores</t>
        </is>
      </c>
    </row>
    <row r="942">
      <c r="A942" s="7" t="inlineStr">
        <is>
          <t>MAT-25-022</t>
        </is>
      </c>
      <c r="B942" s="7" t="inlineStr">
        <is>
          <t>Materiales</t>
        </is>
      </c>
      <c r="C942" s="7" t="inlineStr">
        <is>
          <t>Lavamanos y pedestales</t>
        </is>
      </c>
      <c r="D942" s="5" t="inlineStr">
        <is>
          <t>Lavamanos De Cerámica Terra, marfil</t>
        </is>
      </c>
      <c r="E942" s="5" t="inlineStr">
        <is>
          <t>marca CATO · color marfil · referencia MARFIL</t>
        </is>
      </c>
      <c r="F942" s="5" t="inlineStr">
        <is>
          <t>Material retirado en almacén</t>
        </is>
      </c>
      <c r="G942" s="5" t="inlineStr">
        <is>
          <t>lavamanos, lavabo, lavatorio</t>
        </is>
      </c>
      <c r="H942" s="7" t="inlineStr">
        <is>
          <t>unidad</t>
        </is>
      </c>
      <c r="I942" s="7" t="inlineStr">
        <is>
          <t>Instalaciones</t>
        </is>
      </c>
      <c r="J942" s="7" t="inlineStr">
        <is>
          <t>estandar</t>
        </is>
      </c>
      <c r="K942" s="7" t="inlineStr">
        <is>
          <t>importado</t>
        </is>
      </c>
      <c r="L942" s="7" t="inlineStr">
        <is>
          <t>Verificado</t>
        </is>
      </c>
      <c r="M942" s="8" t="n">
        <v>1</v>
      </c>
      <c r="N942" s="9" t="n">
        <v>3026.74</v>
      </c>
      <c r="O942" s="9" t="n">
        <v>3026.28</v>
      </c>
      <c r="P942" s="9" t="n">
        <v>3027.2</v>
      </c>
      <c r="Q942" s="7" t="inlineStr">
        <is>
          <t>Sí</t>
        </is>
      </c>
      <c r="R942" s="9">
        <f>IF(N942="","",IF(Q942="Sí",ROUND(N942/1.18,2),N942))</f>
        <v/>
      </c>
      <c r="S942" s="7" t="inlineStr">
        <is>
          <t>2026-09-09</t>
        </is>
      </c>
      <c r="T942" s="5" t="inlineStr">
        <is>
          <t>2 cotizaciones de proveedores</t>
        </is>
      </c>
    </row>
    <row r="943">
      <c r="A943" s="7" t="inlineStr">
        <is>
          <t>MAT-25-023</t>
        </is>
      </c>
      <c r="B943" s="7" t="inlineStr">
        <is>
          <t>Materiales</t>
        </is>
      </c>
      <c r="C943" s="7" t="inlineStr">
        <is>
          <t>Lavamanos y pedestales</t>
        </is>
      </c>
      <c r="D943" s="5" t="inlineStr">
        <is>
          <t>Lavamanos Square 38 x 38, blanco</t>
        </is>
      </c>
      <c r="E943" s="5" t="inlineStr">
        <is>
          <t>marca ULTRA · color blanco · referencia 5079CBLANCO</t>
        </is>
      </c>
      <c r="F943" s="5" t="inlineStr">
        <is>
          <t>Material retirado en almacén</t>
        </is>
      </c>
      <c r="G943" s="5" t="inlineStr">
        <is>
          <t>lavamanos, lavabo, lavatorio</t>
        </is>
      </c>
      <c r="H943" s="7" t="inlineStr">
        <is>
          <t>unidad</t>
        </is>
      </c>
      <c r="I943" s="7" t="inlineStr">
        <is>
          <t>Instalaciones</t>
        </is>
      </c>
      <c r="J943" s="7" t="inlineStr">
        <is>
          <t>estandar</t>
        </is>
      </c>
      <c r="K943" s="7" t="inlineStr">
        <is>
          <t>importado</t>
        </is>
      </c>
      <c r="L943" s="7" t="inlineStr">
        <is>
          <t>Verificado</t>
        </is>
      </c>
      <c r="M943" s="8" t="n">
        <v>1</v>
      </c>
      <c r="N943" s="9" t="n">
        <v>3056.22</v>
      </c>
      <c r="O943" s="9" t="n">
        <v>3056.22</v>
      </c>
      <c r="P943" s="9" t="n">
        <v>3056.22</v>
      </c>
      <c r="Q943" s="7" t="inlineStr">
        <is>
          <t>Sí</t>
        </is>
      </c>
      <c r="R943" s="9">
        <f>IF(N943="","",IF(Q943="Sí",ROUND(N943/1.18,2),N943))</f>
        <v/>
      </c>
      <c r="S943" s="7" t="inlineStr">
        <is>
          <t>2026-09-09</t>
        </is>
      </c>
      <c r="T943" s="5" t="inlineStr">
        <is>
          <t>1 cotización de proveedores</t>
        </is>
      </c>
    </row>
    <row r="944">
      <c r="A944" s="7" t="inlineStr">
        <is>
          <t>MAT-25-024</t>
        </is>
      </c>
      <c r="B944" s="7" t="inlineStr">
        <is>
          <t>Materiales</t>
        </is>
      </c>
      <c r="C944" s="7" t="inlineStr">
        <is>
          <t>Lavamanos y pedestales</t>
        </is>
      </c>
      <c r="D944" s="5" t="inlineStr">
        <is>
          <t>Lavamanos Mono Milenio, marfil</t>
        </is>
      </c>
      <c r="E944" s="5" t="inlineStr">
        <is>
          <t>marca CATO · color marfil · referencia MARFIL</t>
        </is>
      </c>
      <c r="F944" s="5" t="inlineStr">
        <is>
          <t>Material retirado en almacén</t>
        </is>
      </c>
      <c r="G944" s="5" t="inlineStr">
        <is>
          <t>lavamanos, lavabo, lavatorio</t>
        </is>
      </c>
      <c r="H944" s="7" t="inlineStr">
        <is>
          <t>unidad</t>
        </is>
      </c>
      <c r="I944" s="7" t="inlineStr">
        <is>
          <t>Instalaciones</t>
        </is>
      </c>
      <c r="J944" s="7" t="inlineStr">
        <is>
          <t>estandar</t>
        </is>
      </c>
      <c r="K944" s="7" t="inlineStr">
        <is>
          <t>importado</t>
        </is>
      </c>
      <c r="L944" s="7" t="inlineStr">
        <is>
          <t>Verificado</t>
        </is>
      </c>
      <c r="M944" s="8" t="n">
        <v>1</v>
      </c>
      <c r="N944" s="9" t="n">
        <v>3186.28</v>
      </c>
      <c r="O944" s="9" t="n">
        <v>3186.28</v>
      </c>
      <c r="P944" s="9" t="n">
        <v>3186.28</v>
      </c>
      <c r="Q944" s="7" t="inlineStr">
        <is>
          <t>Sí</t>
        </is>
      </c>
      <c r="R944" s="9">
        <f>IF(N944="","",IF(Q944="Sí",ROUND(N944/1.18,2),N944))</f>
        <v/>
      </c>
      <c r="S944" s="7" t="inlineStr">
        <is>
          <t>2026-09-09</t>
        </is>
      </c>
      <c r="T944" s="5" t="inlineStr">
        <is>
          <t>1 cotización de proveedores</t>
        </is>
      </c>
    </row>
    <row r="945">
      <c r="A945" s="7" t="inlineStr">
        <is>
          <t>MAT-25-025</t>
        </is>
      </c>
      <c r="B945" s="7" t="inlineStr">
        <is>
          <t>Materiales</t>
        </is>
      </c>
      <c r="C945" s="7" t="inlineStr">
        <is>
          <t>Lavamanos y pedestales</t>
        </is>
      </c>
      <c r="D945" s="5" t="inlineStr">
        <is>
          <t>Lavamanos Label, blanco</t>
        </is>
      </c>
      <c r="E945" s="5" t="inlineStr">
        <is>
          <t>marca ULTRA · color blanco · referencia 5271BLANCO</t>
        </is>
      </c>
      <c r="F945" s="5" t="inlineStr">
        <is>
          <t>Material retirado en almacén</t>
        </is>
      </c>
      <c r="G945" s="5" t="inlineStr">
        <is>
          <t>lavamanos, lavabo, lavatorio</t>
        </is>
      </c>
      <c r="H945" s="7" t="inlineStr">
        <is>
          <t>unidad</t>
        </is>
      </c>
      <c r="I945" s="7" t="inlineStr">
        <is>
          <t>Instalaciones</t>
        </is>
      </c>
      <c r="J945" s="7" t="inlineStr">
        <is>
          <t>estandar</t>
        </is>
      </c>
      <c r="K945" s="7" t="inlineStr">
        <is>
          <t>importado</t>
        </is>
      </c>
      <c r="L945" s="7" t="inlineStr">
        <is>
          <t>Verificado</t>
        </is>
      </c>
      <c r="M945" s="8" t="n">
        <v>1</v>
      </c>
      <c r="N945" s="9" t="n">
        <v>3246.27</v>
      </c>
      <c r="O945" s="9" t="n">
        <v>3246.27</v>
      </c>
      <c r="P945" s="9" t="n">
        <v>3246.27</v>
      </c>
      <c r="Q945" s="7" t="inlineStr">
        <is>
          <t>Sí</t>
        </is>
      </c>
      <c r="R945" s="9">
        <f>IF(N945="","",IF(Q945="Sí",ROUND(N945/1.18,2),N945))</f>
        <v/>
      </c>
      <c r="S945" s="7" t="inlineStr">
        <is>
          <t>2026-09-09</t>
        </is>
      </c>
      <c r="T945" s="5" t="inlineStr">
        <is>
          <t>1 cotización de proveedores</t>
        </is>
      </c>
    </row>
    <row r="946">
      <c r="A946" s="7" t="inlineStr">
        <is>
          <t>MAT-25-026</t>
        </is>
      </c>
      <c r="B946" s="7" t="inlineStr">
        <is>
          <t>Materiales</t>
        </is>
      </c>
      <c r="C946" s="7" t="inlineStr">
        <is>
          <t>Lavamanos y pedestales</t>
        </is>
      </c>
      <c r="D946" s="5" t="inlineStr">
        <is>
          <t>Lavamanos Sobreponer Redondo 4", blanco</t>
        </is>
      </c>
      <c r="E946" s="5" t="inlineStr">
        <is>
          <t>marca CATO · color blanco · referencia BLANCO</t>
        </is>
      </c>
      <c r="F946" s="5" t="inlineStr">
        <is>
          <t>Material retirado en almacén</t>
        </is>
      </c>
      <c r="G946" s="5" t="inlineStr">
        <is>
          <t>lavamanos, lavabo, lavatorio</t>
        </is>
      </c>
      <c r="H946" s="7" t="inlineStr">
        <is>
          <t>unidad</t>
        </is>
      </c>
      <c r="I946" s="7" t="inlineStr">
        <is>
          <t>Instalaciones</t>
        </is>
      </c>
      <c r="J946" s="7" t="inlineStr">
        <is>
          <t>estandar</t>
        </is>
      </c>
      <c r="K946" s="7" t="inlineStr">
        <is>
          <t>importado</t>
        </is>
      </c>
      <c r="L946" s="7" t="inlineStr">
        <is>
          <t>Verificado</t>
        </is>
      </c>
      <c r="M946" s="8" t="n">
        <v>1</v>
      </c>
      <c r="N946" s="9" t="n">
        <v>3253.11</v>
      </c>
      <c r="O946" s="9" t="n">
        <v>3253.11</v>
      </c>
      <c r="P946" s="9" t="n">
        <v>3253.11</v>
      </c>
      <c r="Q946" s="7" t="inlineStr">
        <is>
          <t>Sí</t>
        </is>
      </c>
      <c r="R946" s="9">
        <f>IF(N946="","",IF(Q946="Sí",ROUND(N946/1.18,2),N946))</f>
        <v/>
      </c>
      <c r="S946" s="7" t="inlineStr">
        <is>
          <t>2026-09-09</t>
        </is>
      </c>
      <c r="T946" s="5" t="inlineStr">
        <is>
          <t>1 cotización de proveedores</t>
        </is>
      </c>
    </row>
    <row r="947">
      <c r="A947" s="7" t="inlineStr">
        <is>
          <t>MAT-25-027</t>
        </is>
      </c>
      <c r="B947" s="7" t="inlineStr">
        <is>
          <t>Materiales</t>
        </is>
      </c>
      <c r="C947" s="7" t="inlineStr">
        <is>
          <t>Lavamanos y pedestales</t>
        </is>
      </c>
      <c r="D947" s="5" t="inlineStr">
        <is>
          <t>Lavamanos Sobreponer Redondo 1H, blanco</t>
        </is>
      </c>
      <c r="E947" s="5" t="inlineStr">
        <is>
          <t>marca CATO · color blanco · referencia BLANCO</t>
        </is>
      </c>
      <c r="F947" s="5" t="inlineStr">
        <is>
          <t>Material retirado en almacén</t>
        </is>
      </c>
      <c r="G947" s="5" t="inlineStr">
        <is>
          <t>lavamanos, lavabo, lavatorio</t>
        </is>
      </c>
      <c r="H947" s="7" t="inlineStr">
        <is>
          <t>unidad</t>
        </is>
      </c>
      <c r="I947" s="7" t="inlineStr">
        <is>
          <t>Instalaciones</t>
        </is>
      </c>
      <c r="J947" s="7" t="inlineStr">
        <is>
          <t>estandar</t>
        </is>
      </c>
      <c r="K947" s="7" t="inlineStr">
        <is>
          <t>importado</t>
        </is>
      </c>
      <c r="L947" s="7" t="inlineStr">
        <is>
          <t>Verificado</t>
        </is>
      </c>
      <c r="M947" s="8" t="n">
        <v>1</v>
      </c>
      <c r="N947" s="9" t="n">
        <v>3261.93</v>
      </c>
      <c r="O947" s="9" t="n">
        <v>3261.93</v>
      </c>
      <c r="P947" s="9" t="n">
        <v>3261.93</v>
      </c>
      <c r="Q947" s="7" t="inlineStr">
        <is>
          <t>Sí</t>
        </is>
      </c>
      <c r="R947" s="9">
        <f>IF(N947="","",IF(Q947="Sí",ROUND(N947/1.18,2),N947))</f>
        <v/>
      </c>
      <c r="S947" s="7" t="inlineStr">
        <is>
          <t>2026-09-09</t>
        </is>
      </c>
      <c r="T947" s="5" t="inlineStr">
        <is>
          <t>1 cotización de proveedores</t>
        </is>
      </c>
    </row>
    <row r="948">
      <c r="A948" s="7" t="inlineStr">
        <is>
          <t>MAT-25-028</t>
        </is>
      </c>
      <c r="B948" s="7" t="inlineStr">
        <is>
          <t>Materiales</t>
        </is>
      </c>
      <c r="C948" s="7" t="inlineStr">
        <is>
          <t>Lavamanos y pedestales</t>
        </is>
      </c>
      <c r="D948" s="5" t="inlineStr">
        <is>
          <t>Lavamanos De Cerámica Goya, marfil</t>
        </is>
      </c>
      <c r="E948" s="5" t="inlineStr">
        <is>
          <t>marca CATO · color marfil · referencia MARFIL</t>
        </is>
      </c>
      <c r="F948" s="5" t="inlineStr">
        <is>
          <t>Material retirado en almacén</t>
        </is>
      </c>
      <c r="G948" s="5" t="inlineStr">
        <is>
          <t>lavamanos, lavabo, lavatorio</t>
        </is>
      </c>
      <c r="H948" s="7" t="inlineStr">
        <is>
          <t>unidad</t>
        </is>
      </c>
      <c r="I948" s="7" t="inlineStr">
        <is>
          <t>Instalaciones</t>
        </is>
      </c>
      <c r="J948" s="7" t="inlineStr">
        <is>
          <t>estandar</t>
        </is>
      </c>
      <c r="K948" s="7" t="inlineStr">
        <is>
          <t>importado</t>
        </is>
      </c>
      <c r="L948" s="7" t="inlineStr">
        <is>
          <t>Verificado</t>
        </is>
      </c>
      <c r="M948" s="8" t="n">
        <v>1</v>
      </c>
      <c r="N948" s="9" t="n">
        <v>3266.84</v>
      </c>
      <c r="O948" s="9" t="n">
        <v>3266.84</v>
      </c>
      <c r="P948" s="9" t="n">
        <v>3266.84</v>
      </c>
      <c r="Q948" s="7" t="inlineStr">
        <is>
          <t>Sí</t>
        </is>
      </c>
      <c r="R948" s="9">
        <f>IF(N948="","",IF(Q948="Sí",ROUND(N948/1.18,2),N948))</f>
        <v/>
      </c>
      <c r="S948" s="7" t="inlineStr">
        <is>
          <t>2026-09-09</t>
        </is>
      </c>
      <c r="T948" s="5" t="inlineStr">
        <is>
          <t>2 cotizaciones de proveedores</t>
        </is>
      </c>
    </row>
    <row r="949">
      <c r="A949" s="7" t="inlineStr">
        <is>
          <t>MAT-25-029</t>
        </is>
      </c>
      <c r="B949" s="7" t="inlineStr">
        <is>
          <t>Materiales</t>
        </is>
      </c>
      <c r="C949" s="7" t="inlineStr">
        <is>
          <t>Lavamanos y pedestales</t>
        </is>
      </c>
      <c r="D949" s="5" t="inlineStr">
        <is>
          <t>Lavamanos Sobreponer Ovalin 1H, blanco</t>
        </is>
      </c>
      <c r="E949" s="5" t="inlineStr">
        <is>
          <t>marca CATO · color blanco · referencia BLANCO</t>
        </is>
      </c>
      <c r="F949" s="5" t="inlineStr">
        <is>
          <t>Material retirado en almacén</t>
        </is>
      </c>
      <c r="G949" s="5" t="inlineStr">
        <is>
          <t>lavamanos, lavabo, lavatorio</t>
        </is>
      </c>
      <c r="H949" s="7" t="inlineStr">
        <is>
          <t>unidad</t>
        </is>
      </c>
      <c r="I949" s="7" t="inlineStr">
        <is>
          <t>Instalaciones</t>
        </is>
      </c>
      <c r="J949" s="7" t="inlineStr">
        <is>
          <t>estandar</t>
        </is>
      </c>
      <c r="K949" s="7" t="inlineStr">
        <is>
          <t>importado</t>
        </is>
      </c>
      <c r="L949" s="7" t="inlineStr">
        <is>
          <t>Verificado</t>
        </is>
      </c>
      <c r="M949" s="8" t="n">
        <v>1</v>
      </c>
      <c r="N949" s="9" t="n">
        <v>3272.47</v>
      </c>
      <c r="O949" s="9" t="n">
        <v>3272.47</v>
      </c>
      <c r="P949" s="9" t="n">
        <v>3272.47</v>
      </c>
      <c r="Q949" s="7" t="inlineStr">
        <is>
          <t>Sí</t>
        </is>
      </c>
      <c r="R949" s="9">
        <f>IF(N949="","",IF(Q949="Sí",ROUND(N949/1.18,2),N949))</f>
        <v/>
      </c>
      <c r="S949" s="7" t="inlineStr">
        <is>
          <t>2026-09-09</t>
        </is>
      </c>
      <c r="T949" s="5" t="inlineStr">
        <is>
          <t>1 cotización de proveedores</t>
        </is>
      </c>
    </row>
    <row r="950">
      <c r="A950" s="7" t="inlineStr">
        <is>
          <t>MAT-25-030</t>
        </is>
      </c>
      <c r="B950" s="7" t="inlineStr">
        <is>
          <t>Materiales</t>
        </is>
      </c>
      <c r="C950" s="7" t="inlineStr">
        <is>
          <t>Lavamanos y pedestales</t>
        </is>
      </c>
      <c r="D950" s="5" t="inlineStr">
        <is>
          <t>Lavamanos De Cerámica Zurich, marfil</t>
        </is>
      </c>
      <c r="E950" s="5" t="inlineStr">
        <is>
          <t>marca CATO · color marfil · referencia MARFIL</t>
        </is>
      </c>
      <c r="F950" s="5" t="inlineStr">
        <is>
          <t>Material retirado en almacén</t>
        </is>
      </c>
      <c r="G950" s="5" t="inlineStr">
        <is>
          <t>lavamanos, lavabo, lavatorio</t>
        </is>
      </c>
      <c r="H950" s="7" t="inlineStr">
        <is>
          <t>unidad</t>
        </is>
      </c>
      <c r="I950" s="7" t="inlineStr">
        <is>
          <t>Instalaciones</t>
        </is>
      </c>
      <c r="J950" s="7" t="inlineStr">
        <is>
          <t>estandar</t>
        </is>
      </c>
      <c r="K950" s="7" t="inlineStr">
        <is>
          <t>importado</t>
        </is>
      </c>
      <c r="L950" s="7" t="inlineStr">
        <is>
          <t>Verificado</t>
        </is>
      </c>
      <c r="M950" s="8" t="n">
        <v>1</v>
      </c>
      <c r="N950" s="9" t="n">
        <v>3411.25</v>
      </c>
      <c r="O950" s="9" t="n">
        <v>3411.25</v>
      </c>
      <c r="P950" s="9" t="n">
        <v>3411.25</v>
      </c>
      <c r="Q950" s="7" t="inlineStr">
        <is>
          <t>Sí</t>
        </is>
      </c>
      <c r="R950" s="9">
        <f>IF(N950="","",IF(Q950="Sí",ROUND(N950/1.18,2),N950))</f>
        <v/>
      </c>
      <c r="S950" s="7" t="inlineStr">
        <is>
          <t>2026-09-09</t>
        </is>
      </c>
      <c r="T950" s="5" t="inlineStr">
        <is>
          <t>1 cotización de proveedores</t>
        </is>
      </c>
    </row>
    <row r="951">
      <c r="A951" s="7" t="inlineStr">
        <is>
          <t>MAT-25-031</t>
        </is>
      </c>
      <c r="B951" s="7" t="inlineStr">
        <is>
          <t>Materiales</t>
        </is>
      </c>
      <c r="C951" s="7" t="inlineStr">
        <is>
          <t>Lavamanos y pedestales</t>
        </is>
      </c>
      <c r="D951" s="5" t="inlineStr">
        <is>
          <t>Lavamanos De Cerámica Tamayo, blanco</t>
        </is>
      </c>
      <c r="E951" s="5" t="inlineStr">
        <is>
          <t>marca CATO · color blanco · referencia BLANCO</t>
        </is>
      </c>
      <c r="F951" s="5" t="inlineStr">
        <is>
          <t>Material retirado en almacén</t>
        </is>
      </c>
      <c r="G951" s="5" t="inlineStr">
        <is>
          <t>lavamanos, lavabo, lavatorio</t>
        </is>
      </c>
      <c r="H951" s="7" t="inlineStr">
        <is>
          <t>unidad</t>
        </is>
      </c>
      <c r="I951" s="7" t="inlineStr">
        <is>
          <t>Instalaciones</t>
        </is>
      </c>
      <c r="J951" s="7" t="inlineStr">
        <is>
          <t>estandar</t>
        </is>
      </c>
      <c r="K951" s="7" t="inlineStr">
        <is>
          <t>importado</t>
        </is>
      </c>
      <c r="L951" s="7" t="inlineStr">
        <is>
          <t>Verificado</t>
        </is>
      </c>
      <c r="M951" s="8" t="n">
        <v>1</v>
      </c>
      <c r="N951" s="9" t="n">
        <v>3460.61</v>
      </c>
      <c r="O951" s="9" t="n">
        <v>3460.61</v>
      </c>
      <c r="P951" s="9" t="n">
        <v>3460.61</v>
      </c>
      <c r="Q951" s="7" t="inlineStr">
        <is>
          <t>Sí</t>
        </is>
      </c>
      <c r="R951" s="9">
        <f>IF(N951="","",IF(Q951="Sí",ROUND(N951/1.18,2),N951))</f>
        <v/>
      </c>
      <c r="S951" s="7" t="inlineStr">
        <is>
          <t>2026-09-09</t>
        </is>
      </c>
      <c r="T951" s="5" t="inlineStr">
        <is>
          <t>1 cotización de proveedores</t>
        </is>
      </c>
    </row>
    <row r="952">
      <c r="A952" s="7" t="inlineStr">
        <is>
          <t>MAT-25-032</t>
        </is>
      </c>
      <c r="B952" s="7" t="inlineStr">
        <is>
          <t>Materiales</t>
        </is>
      </c>
      <c r="C952" s="7" t="inlineStr">
        <is>
          <t>Lavamanos y pedestales</t>
        </is>
      </c>
      <c r="D952" s="5" t="inlineStr">
        <is>
          <t>Lavamanos Balder Cuad., blanco</t>
        </is>
      </c>
      <c r="E952" s="5" t="inlineStr">
        <is>
          <t>marca ULTRA · color blanco · referencia 5506BLANCO</t>
        </is>
      </c>
      <c r="F952" s="5" t="inlineStr">
        <is>
          <t>Material retirado en almacén</t>
        </is>
      </c>
      <c r="G952" s="5" t="inlineStr">
        <is>
          <t>lavamanos, lavabo, lavatorio</t>
        </is>
      </c>
      <c r="H952" s="7" t="inlineStr">
        <is>
          <t>unidad</t>
        </is>
      </c>
      <c r="I952" s="7" t="inlineStr">
        <is>
          <t>Instalaciones</t>
        </is>
      </c>
      <c r="J952" s="7" t="inlineStr">
        <is>
          <t>estandar</t>
        </is>
      </c>
      <c r="K952" s="7" t="inlineStr">
        <is>
          <t>importado</t>
        </is>
      </c>
      <c r="L952" s="7" t="inlineStr">
        <is>
          <t>Verificado</t>
        </is>
      </c>
      <c r="M952" s="8" t="n">
        <v>1</v>
      </c>
      <c r="N952" s="9" t="n">
        <v>3507.02</v>
      </c>
      <c r="O952" s="9" t="n">
        <v>3507.02</v>
      </c>
      <c r="P952" s="9" t="n">
        <v>3507.02</v>
      </c>
      <c r="Q952" s="7" t="inlineStr">
        <is>
          <t>Sí</t>
        </is>
      </c>
      <c r="R952" s="9">
        <f>IF(N952="","",IF(Q952="Sí",ROUND(N952/1.18,2),N952))</f>
        <v/>
      </c>
      <c r="S952" s="7" t="inlineStr">
        <is>
          <t>2026-09-09</t>
        </is>
      </c>
      <c r="T952" s="5" t="inlineStr">
        <is>
          <t>1 cotización de proveedores</t>
        </is>
      </c>
    </row>
    <row r="953">
      <c r="A953" s="7" t="inlineStr">
        <is>
          <t>MAT-25-033</t>
        </is>
      </c>
      <c r="B953" s="7" t="inlineStr">
        <is>
          <t>Materiales</t>
        </is>
      </c>
      <c r="C953" s="7" t="inlineStr">
        <is>
          <t>Lavamanos y pedestales</t>
        </is>
      </c>
      <c r="D953" s="5" t="inlineStr">
        <is>
          <t>Lavamanos Sobre Cubierta Turin, blanco</t>
        </is>
      </c>
      <c r="E953" s="5" t="inlineStr">
        <is>
          <t>marca CATO · color blanco · referencia BLANCO</t>
        </is>
      </c>
      <c r="F953" s="5" t="inlineStr">
        <is>
          <t>Material retirado en almacén</t>
        </is>
      </c>
      <c r="G953" s="5" t="inlineStr">
        <is>
          <t>lavamanos, lavabo, lavatorio</t>
        </is>
      </c>
      <c r="H953" s="7" t="inlineStr">
        <is>
          <t>unidad</t>
        </is>
      </c>
      <c r="I953" s="7" t="inlineStr">
        <is>
          <t>Instalaciones</t>
        </is>
      </c>
      <c r="J953" s="7" t="inlineStr">
        <is>
          <t>estandar</t>
        </is>
      </c>
      <c r="K953" s="7" t="inlineStr">
        <is>
          <t>importado</t>
        </is>
      </c>
      <c r="L953" s="7" t="inlineStr">
        <is>
          <t>Verificado</t>
        </is>
      </c>
      <c r="M953" s="8" t="n">
        <v>1</v>
      </c>
      <c r="N953" s="9" t="n">
        <v>3524.03</v>
      </c>
      <c r="O953" s="9" t="n">
        <v>3524.03</v>
      </c>
      <c r="P953" s="9" t="n">
        <v>3524.03</v>
      </c>
      <c r="Q953" s="7" t="inlineStr">
        <is>
          <t>Sí</t>
        </is>
      </c>
      <c r="R953" s="9">
        <f>IF(N953="","",IF(Q953="Sí",ROUND(N953/1.18,2),N953))</f>
        <v/>
      </c>
      <c r="S953" s="7" t="inlineStr">
        <is>
          <t>2026-09-09</t>
        </is>
      </c>
      <c r="T953" s="5" t="inlineStr">
        <is>
          <t>1 cotización de proveedores</t>
        </is>
      </c>
    </row>
    <row r="954">
      <c r="A954" s="7" t="inlineStr">
        <is>
          <t>MAT-25-034</t>
        </is>
      </c>
      <c r="B954" s="7" t="inlineStr">
        <is>
          <t>Materiales</t>
        </is>
      </c>
      <c r="C954" s="7" t="inlineStr">
        <is>
          <t>Lavamanos y pedestales</t>
        </is>
      </c>
      <c r="D954" s="5" t="inlineStr">
        <is>
          <t>Lavamanos Sobrecubierta Niza, blanco</t>
        </is>
      </c>
      <c r="E954" s="5" t="inlineStr">
        <is>
          <t>marca CATO · color blanco · referencia BLANCO</t>
        </is>
      </c>
      <c r="F954" s="5" t="inlineStr">
        <is>
          <t>Material retirado en almacén</t>
        </is>
      </c>
      <c r="G954" s="5" t="inlineStr">
        <is>
          <t>lavamanos, lavabo, lavatorio</t>
        </is>
      </c>
      <c r="H954" s="7" t="inlineStr">
        <is>
          <t>unidad</t>
        </is>
      </c>
      <c r="I954" s="7" t="inlineStr">
        <is>
          <t>Instalaciones</t>
        </is>
      </c>
      <c r="J954" s="7" t="inlineStr">
        <is>
          <t>estandar</t>
        </is>
      </c>
      <c r="K954" s="7" t="inlineStr">
        <is>
          <t>importado</t>
        </is>
      </c>
      <c r="L954" s="7" t="inlineStr">
        <is>
          <t>Verificado</t>
        </is>
      </c>
      <c r="M954" s="8" t="n">
        <v>1</v>
      </c>
      <c r="N954" s="9" t="n">
        <v>3524.03</v>
      </c>
      <c r="O954" s="9" t="n">
        <v>3524.03</v>
      </c>
      <c r="P954" s="9" t="n">
        <v>3524.03</v>
      </c>
      <c r="Q954" s="7" t="inlineStr">
        <is>
          <t>Sí</t>
        </is>
      </c>
      <c r="R954" s="9">
        <f>IF(N954="","",IF(Q954="Sí",ROUND(N954/1.18,2),N954))</f>
        <v/>
      </c>
      <c r="S954" s="7" t="inlineStr">
        <is>
          <t>2026-09-09</t>
        </is>
      </c>
      <c r="T954" s="5" t="inlineStr">
        <is>
          <t>1 cotización de proveedores</t>
        </is>
      </c>
    </row>
    <row r="955">
      <c r="A955" s="7" t="inlineStr">
        <is>
          <t>MAT-25-035</t>
        </is>
      </c>
      <c r="B955" s="7" t="inlineStr">
        <is>
          <t>Materiales</t>
        </is>
      </c>
      <c r="C955" s="7" t="inlineStr">
        <is>
          <t>Lavamanos y pedestales</t>
        </is>
      </c>
      <c r="D955" s="5" t="inlineStr">
        <is>
          <t>Lavamanos Selene 81 x 46, blanco</t>
        </is>
      </c>
      <c r="E955" s="5" t="inlineStr">
        <is>
          <t>marca ULTRA · color blanco · referencia 4001-80BLANCO</t>
        </is>
      </c>
      <c r="F955" s="5" t="inlineStr">
        <is>
          <t>Material retirado en almacén</t>
        </is>
      </c>
      <c r="G955" s="5" t="inlineStr">
        <is>
          <t>lavamanos, lavabo, lavatorio</t>
        </is>
      </c>
      <c r="H955" s="7" t="inlineStr">
        <is>
          <t>unidad</t>
        </is>
      </c>
      <c r="I955" s="7" t="inlineStr">
        <is>
          <t>Instalaciones</t>
        </is>
      </c>
      <c r="J955" s="7" t="inlineStr">
        <is>
          <t>estandar</t>
        </is>
      </c>
      <c r="K955" s="7" t="inlineStr">
        <is>
          <t>importado</t>
        </is>
      </c>
      <c r="L955" s="7" t="inlineStr">
        <is>
          <t>Verificado</t>
        </is>
      </c>
      <c r="M955" s="8" t="n">
        <v>1</v>
      </c>
      <c r="N955" s="9" t="n">
        <v>3887.52</v>
      </c>
      <c r="O955" s="9" t="n">
        <v>3887.52</v>
      </c>
      <c r="P955" s="9" t="n">
        <v>3887.52</v>
      </c>
      <c r="Q955" s="7" t="inlineStr">
        <is>
          <t>Sí</t>
        </is>
      </c>
      <c r="R955" s="9">
        <f>IF(N955="","",IF(Q955="Sí",ROUND(N955/1.18,2),N955))</f>
        <v/>
      </c>
      <c r="S955" s="7" t="inlineStr">
        <is>
          <t>2026-09-09</t>
        </is>
      </c>
      <c r="T955" s="5" t="inlineStr">
        <is>
          <t>1 cotización de proveedores</t>
        </is>
      </c>
    </row>
    <row r="956">
      <c r="A956" s="7" t="inlineStr">
        <is>
          <t>MAT-25-036</t>
        </is>
      </c>
      <c r="B956" s="7" t="inlineStr">
        <is>
          <t>Materiales</t>
        </is>
      </c>
      <c r="C956" s="7" t="inlineStr">
        <is>
          <t>Lavamanos y pedestales</t>
        </is>
      </c>
      <c r="D956" s="5" t="inlineStr">
        <is>
          <t>Lavamanos De Cerámica Niza, marfil</t>
        </is>
      </c>
      <c r="E956" s="5" t="inlineStr">
        <is>
          <t>marca CATO · color marfil · referencia MARFIL</t>
        </is>
      </c>
      <c r="F956" s="5" t="inlineStr">
        <is>
          <t>Material retirado en almacén</t>
        </is>
      </c>
      <c r="G956" s="5" t="inlineStr">
        <is>
          <t>lavamanos, lavabo, lavatorio</t>
        </is>
      </c>
      <c r="H956" s="7" t="inlineStr">
        <is>
          <t>unidad</t>
        </is>
      </c>
      <c r="I956" s="7" t="inlineStr">
        <is>
          <t>Instalaciones</t>
        </is>
      </c>
      <c r="J956" s="7" t="inlineStr">
        <is>
          <t>estandar</t>
        </is>
      </c>
      <c r="K956" s="7" t="inlineStr">
        <is>
          <t>importado</t>
        </is>
      </c>
      <c r="L956" s="7" t="inlineStr">
        <is>
          <t>Verificado</t>
        </is>
      </c>
      <c r="M956" s="8" t="n">
        <v>1</v>
      </c>
      <c r="N956" s="9" t="n">
        <v>3915.15</v>
      </c>
      <c r="O956" s="9" t="n">
        <v>3915.15</v>
      </c>
      <c r="P956" s="9" t="n">
        <v>3915.15</v>
      </c>
      <c r="Q956" s="7" t="inlineStr">
        <is>
          <t>Sí</t>
        </is>
      </c>
      <c r="R956" s="9">
        <f>IF(N956="","",IF(Q956="Sí",ROUND(N956/1.18,2),N956))</f>
        <v/>
      </c>
      <c r="S956" s="7" t="inlineStr">
        <is>
          <t>2026-09-09</t>
        </is>
      </c>
      <c r="T956" s="5" t="inlineStr">
        <is>
          <t>1 cotización de proveedores</t>
        </is>
      </c>
    </row>
    <row r="957">
      <c r="A957" s="7" t="inlineStr">
        <is>
          <t>MAT-25-037</t>
        </is>
      </c>
      <c r="B957" s="7" t="inlineStr">
        <is>
          <t>Materiales</t>
        </is>
      </c>
      <c r="C957" s="7" t="inlineStr">
        <is>
          <t>Lavamanos y pedestales</t>
        </is>
      </c>
      <c r="D957" s="5" t="inlineStr">
        <is>
          <t>Lavamanos Bragi redondo</t>
        </is>
      </c>
      <c r="E957" s="5" t="inlineStr">
        <is>
          <t>marca ULTRA · referencia 8428MA-10ART.COLOR</t>
        </is>
      </c>
      <c r="F957" s="5" t="inlineStr">
        <is>
          <t>Material retirado en almacén</t>
        </is>
      </c>
      <c r="G957" s="5" t="inlineStr">
        <is>
          <t>lavamanos, lavabo, lavatorio</t>
        </is>
      </c>
      <c r="H957" s="7" t="inlineStr">
        <is>
          <t>unidad</t>
        </is>
      </c>
      <c r="I957" s="7" t="inlineStr">
        <is>
          <t>Instalaciones</t>
        </is>
      </c>
      <c r="J957" s="7" t="inlineStr">
        <is>
          <t>estandar</t>
        </is>
      </c>
      <c r="K957" s="7" t="inlineStr">
        <is>
          <t>importado</t>
        </is>
      </c>
      <c r="L957" s="7" t="inlineStr">
        <is>
          <t>Verificado</t>
        </is>
      </c>
      <c r="M957" s="8" t="n">
        <v>1</v>
      </c>
      <c r="N957" s="9" t="n">
        <v>4072.97</v>
      </c>
      <c r="O957" s="9" t="n">
        <v>4072.97</v>
      </c>
      <c r="P957" s="9" t="n">
        <v>4072.97</v>
      </c>
      <c r="Q957" s="7" t="inlineStr">
        <is>
          <t>Sí</t>
        </is>
      </c>
      <c r="R957" s="9">
        <f>IF(N957="","",IF(Q957="Sí",ROUND(N957/1.18,2),N957))</f>
        <v/>
      </c>
      <c r="S957" s="7" t="inlineStr">
        <is>
          <t>2026-09-09</t>
        </is>
      </c>
      <c r="T957" s="5" t="inlineStr">
        <is>
          <t>1 cotización de proveedores</t>
        </is>
      </c>
    </row>
    <row r="958">
      <c r="A958" s="7" t="inlineStr">
        <is>
          <t>MAT-25-038</t>
        </is>
      </c>
      <c r="B958" s="7" t="inlineStr">
        <is>
          <t>Materiales</t>
        </is>
      </c>
      <c r="C958" s="7" t="inlineStr">
        <is>
          <t>Lavamanos y pedestales</t>
        </is>
      </c>
      <c r="D958" s="5" t="inlineStr">
        <is>
          <t>Lavamanos Odin redondo</t>
        </is>
      </c>
      <c r="E958" s="5" t="inlineStr">
        <is>
          <t>marca ULTRA · referencia 8428MA-9ART.COLOR</t>
        </is>
      </c>
      <c r="F958" s="5" t="inlineStr">
        <is>
          <t>Material retirado en almacén</t>
        </is>
      </c>
      <c r="G958" s="5" t="inlineStr">
        <is>
          <t>lavamanos, lavabo, lavatorio</t>
        </is>
      </c>
      <c r="H958" s="7" t="inlineStr">
        <is>
          <t>unidad</t>
        </is>
      </c>
      <c r="I958" s="7" t="inlineStr">
        <is>
          <t>Instalaciones</t>
        </is>
      </c>
      <c r="J958" s="7" t="inlineStr">
        <is>
          <t>estandar</t>
        </is>
      </c>
      <c r="K958" s="7" t="inlineStr">
        <is>
          <t>importado</t>
        </is>
      </c>
      <c r="L958" s="7" t="inlineStr">
        <is>
          <t>Verificado</t>
        </is>
      </c>
      <c r="M958" s="8" t="n">
        <v>1</v>
      </c>
      <c r="N958" s="9" t="n">
        <v>4096.36</v>
      </c>
      <c r="O958" s="9" t="n">
        <v>4096.36</v>
      </c>
      <c r="P958" s="9" t="n">
        <v>4096.36</v>
      </c>
      <c r="Q958" s="7" t="inlineStr">
        <is>
          <t>Sí</t>
        </is>
      </c>
      <c r="R958" s="9">
        <f>IF(N958="","",IF(Q958="Sí",ROUND(N958/1.18,2),N958))</f>
        <v/>
      </c>
      <c r="S958" s="7" t="inlineStr">
        <is>
          <t>2026-09-09</t>
        </is>
      </c>
      <c r="T958" s="5" t="inlineStr">
        <is>
          <t>1 cotización de proveedores</t>
        </is>
      </c>
    </row>
    <row r="959">
      <c r="A959" s="7" t="inlineStr">
        <is>
          <t>MAT-25-039</t>
        </is>
      </c>
      <c r="B959" s="7" t="inlineStr">
        <is>
          <t>Materiales</t>
        </is>
      </c>
      <c r="C959" s="7" t="inlineStr">
        <is>
          <t>Lavamanos y pedestales</t>
        </is>
      </c>
      <c r="D959" s="5" t="inlineStr">
        <is>
          <t>Lavamanos Sobreponer sin rebosadero Santorini, blanco</t>
        </is>
      </c>
      <c r="E959" s="5" t="inlineStr">
        <is>
          <t>marca HELVEX · color blanco · referencia BLANCOLVSANTORINI</t>
        </is>
      </c>
      <c r="F959" s="5" t="inlineStr">
        <is>
          <t>Material retirado en almacén</t>
        </is>
      </c>
      <c r="G959" s="5" t="inlineStr">
        <is>
          <t>lavamanos, lavabo, lavatorio</t>
        </is>
      </c>
      <c r="H959" s="7" t="inlineStr">
        <is>
          <t>unidad</t>
        </is>
      </c>
      <c r="I959" s="7" t="inlineStr">
        <is>
          <t>Instalaciones</t>
        </is>
      </c>
      <c r="J959" s="7" t="inlineStr">
        <is>
          <t>estandar</t>
        </is>
      </c>
      <c r="K959" s="7" t="inlineStr">
        <is>
          <t>importado</t>
        </is>
      </c>
      <c r="L959" s="7" t="inlineStr">
        <is>
          <t>Verificado</t>
        </is>
      </c>
      <c r="M959" s="8" t="n">
        <v>1</v>
      </c>
      <c r="N959" s="9" t="n">
        <v>4645.55</v>
      </c>
      <c r="O959" s="9" t="n">
        <v>4645.55</v>
      </c>
      <c r="P959" s="9" t="n">
        <v>4645.55</v>
      </c>
      <c r="Q959" s="7" t="inlineStr">
        <is>
          <t>Sí</t>
        </is>
      </c>
      <c r="R959" s="9">
        <f>IF(N959="","",IF(Q959="Sí",ROUND(N959/1.18,2),N959))</f>
        <v/>
      </c>
      <c r="S959" s="7" t="inlineStr">
        <is>
          <t>2026-09-09</t>
        </is>
      </c>
      <c r="T959" s="5" t="inlineStr">
        <is>
          <t>1 cotización de proveedores</t>
        </is>
      </c>
    </row>
    <row r="960">
      <c r="A960" s="7" t="inlineStr">
        <is>
          <t>MAT-25-040</t>
        </is>
      </c>
      <c r="B960" s="7" t="inlineStr">
        <is>
          <t>Materiales</t>
        </is>
      </c>
      <c r="C960" s="7" t="inlineStr">
        <is>
          <t>Lavamanos y pedestales</t>
        </is>
      </c>
      <c r="D960" s="5" t="inlineStr">
        <is>
          <t>Lavamanos Sobreponer 1P Santorini, blanco</t>
        </is>
      </c>
      <c r="E960" s="5" t="inlineStr">
        <is>
          <t>marca HELVEX · color blanco · referencia BLANCOLVSANTORINI1</t>
        </is>
      </c>
      <c r="F960" s="5" t="inlineStr">
        <is>
          <t>Material retirado en almacén</t>
        </is>
      </c>
      <c r="G960" s="5" t="inlineStr">
        <is>
          <t>lavamanos, lavabo, lavatorio</t>
        </is>
      </c>
      <c r="H960" s="7" t="inlineStr">
        <is>
          <t>unidad</t>
        </is>
      </c>
      <c r="I960" s="7" t="inlineStr">
        <is>
          <t>Instalaciones</t>
        </is>
      </c>
      <c r="J960" s="7" t="inlineStr">
        <is>
          <t>estandar</t>
        </is>
      </c>
      <c r="K960" s="7" t="inlineStr">
        <is>
          <t>importado</t>
        </is>
      </c>
      <c r="L960" s="7" t="inlineStr">
        <is>
          <t>Verificado</t>
        </is>
      </c>
      <c r="M960" s="8" t="n">
        <v>1</v>
      </c>
      <c r="N960" s="9" t="n">
        <v>4837.48</v>
      </c>
      <c r="O960" s="9" t="n">
        <v>4837.48</v>
      </c>
      <c r="P960" s="9" t="n">
        <v>4837.48</v>
      </c>
      <c r="Q960" s="7" t="inlineStr">
        <is>
          <t>Sí</t>
        </is>
      </c>
      <c r="R960" s="9">
        <f>IF(N960="","",IF(Q960="Sí",ROUND(N960/1.18,2),N960))</f>
        <v/>
      </c>
      <c r="S960" s="7" t="inlineStr">
        <is>
          <t>2026-09-09</t>
        </is>
      </c>
      <c r="T960" s="5" t="inlineStr">
        <is>
          <t>1 cotización de proveedores</t>
        </is>
      </c>
    </row>
    <row r="961">
      <c r="A961" s="7" t="inlineStr">
        <is>
          <t>MAT-25-041</t>
        </is>
      </c>
      <c r="B961" s="7" t="inlineStr">
        <is>
          <t>Materiales</t>
        </is>
      </c>
      <c r="C961" s="7" t="inlineStr">
        <is>
          <t>Lavamanos y pedestales</t>
        </is>
      </c>
      <c r="D961" s="5" t="inlineStr">
        <is>
          <t>Lavamanos Frey Cuad., blanco</t>
        </is>
      </c>
      <c r="E961" s="5" t="inlineStr">
        <is>
          <t>marca ULTRA · color blanco · referencia LX-5529BLANCO</t>
        </is>
      </c>
      <c r="F961" s="5" t="inlineStr">
        <is>
          <t>Material retirado en almacén</t>
        </is>
      </c>
      <c r="G961" s="5" t="inlineStr">
        <is>
          <t>lavamanos, lavabo, lavatorio</t>
        </is>
      </c>
      <c r="H961" s="7" t="inlineStr">
        <is>
          <t>unidad</t>
        </is>
      </c>
      <c r="I961" s="7" t="inlineStr">
        <is>
          <t>Instalaciones</t>
        </is>
      </c>
      <c r="J961" s="7" t="inlineStr">
        <is>
          <t>estandar</t>
        </is>
      </c>
      <c r="K961" s="7" t="inlineStr">
        <is>
          <t>importado</t>
        </is>
      </c>
      <c r="L961" s="7" t="inlineStr">
        <is>
          <t>Verificado</t>
        </is>
      </c>
      <c r="M961" s="8" t="n">
        <v>1</v>
      </c>
      <c r="N961" s="9" t="n">
        <v>4880.62</v>
      </c>
      <c r="O961" s="9" t="n">
        <v>4880.62</v>
      </c>
      <c r="P961" s="9" t="n">
        <v>4880.62</v>
      </c>
      <c r="Q961" s="7" t="inlineStr">
        <is>
          <t>Sí</t>
        </is>
      </c>
      <c r="R961" s="9">
        <f>IF(N961="","",IF(Q961="Sí",ROUND(N961/1.18,2),N961))</f>
        <v/>
      </c>
      <c r="S961" s="7" t="inlineStr">
        <is>
          <t>2026-09-09</t>
        </is>
      </c>
      <c r="T961" s="5" t="inlineStr">
        <is>
          <t>1 cotización de proveedores</t>
        </is>
      </c>
    </row>
    <row r="962">
      <c r="A962" s="7" t="inlineStr">
        <is>
          <t>MAT-25-042</t>
        </is>
      </c>
      <c r="B962" s="7" t="inlineStr">
        <is>
          <t>Materiales</t>
        </is>
      </c>
      <c r="C962" s="7" t="inlineStr">
        <is>
          <t>Lavamanos y pedestales</t>
        </is>
      </c>
      <c r="D962" s="5" t="inlineStr">
        <is>
          <t>Lavamanos Artemis, blanco</t>
        </is>
      </c>
      <c r="E962" s="5" t="inlineStr">
        <is>
          <t>marca ULTRA · color blanco · referencia C004BLANCO/ORO</t>
        </is>
      </c>
      <c r="F962" s="5" t="inlineStr">
        <is>
          <t>Material retirado en almacén</t>
        </is>
      </c>
      <c r="G962" s="5" t="inlineStr">
        <is>
          <t>lavamanos, lavabo, lavatorio</t>
        </is>
      </c>
      <c r="H962" s="7" t="inlineStr">
        <is>
          <t>unidad</t>
        </is>
      </c>
      <c r="I962" s="7" t="inlineStr">
        <is>
          <t>Instalaciones</t>
        </is>
      </c>
      <c r="J962" s="7" t="inlineStr">
        <is>
          <t>estandar</t>
        </is>
      </c>
      <c r="K962" s="7" t="inlineStr">
        <is>
          <t>importado</t>
        </is>
      </c>
      <c r="L962" s="7" t="inlineStr">
        <is>
          <t>Verificado</t>
        </is>
      </c>
      <c r="M962" s="8" t="n">
        <v>1</v>
      </c>
      <c r="N962" s="9" t="n">
        <v>4912.67</v>
      </c>
      <c r="O962" s="9" t="n">
        <v>4912.67</v>
      </c>
      <c r="P962" s="9" t="n">
        <v>4912.67</v>
      </c>
      <c r="Q962" s="7" t="inlineStr">
        <is>
          <t>Sí</t>
        </is>
      </c>
      <c r="R962" s="9">
        <f>IF(N962="","",IF(Q962="Sí",ROUND(N962/1.18,2),N962))</f>
        <v/>
      </c>
      <c r="S962" s="7" t="inlineStr">
        <is>
          <t>2026-09-09</t>
        </is>
      </c>
      <c r="T962" s="5" t="inlineStr">
        <is>
          <t>1 cotización de proveedores</t>
        </is>
      </c>
    </row>
    <row r="963">
      <c r="A963" s="7" t="inlineStr">
        <is>
          <t>MAT-25-043</t>
        </is>
      </c>
      <c r="B963" s="7" t="inlineStr">
        <is>
          <t>Materiales</t>
        </is>
      </c>
      <c r="C963" s="7" t="inlineStr">
        <is>
          <t>Lavamanos y pedestales</t>
        </is>
      </c>
      <c r="D963" s="5" t="inlineStr">
        <is>
          <t>Lavamanos Tuy 50 Blanco</t>
        </is>
      </c>
      <c r="E963" s="5" t="inlineStr">
        <is>
          <t>marca AML · referencia 2012000000153</t>
        </is>
      </c>
      <c r="F963" s="5" t="inlineStr">
        <is>
          <t>Material retirado en almacén</t>
        </is>
      </c>
      <c r="G963" s="5" t="inlineStr">
        <is>
          <t>lavamanos, lavabo, lavatorio</t>
        </is>
      </c>
      <c r="H963" s="7" t="inlineStr">
        <is>
          <t>unidad</t>
        </is>
      </c>
      <c r="I963" s="7" t="inlineStr">
        <is>
          <t>Instalaciones</t>
        </is>
      </c>
      <c r="J963" s="7" t="inlineStr">
        <is>
          <t>estandar</t>
        </is>
      </c>
      <c r="K963" s="7" t="inlineStr">
        <is>
          <t>importado</t>
        </is>
      </c>
      <c r="L963" s="7" t="inlineStr">
        <is>
          <t>Verificado</t>
        </is>
      </c>
      <c r="M963" s="8" t="n">
        <v>1</v>
      </c>
      <c r="N963" s="9" t="n">
        <v>5360.96</v>
      </c>
      <c r="O963" s="9" t="n">
        <v>5360.96</v>
      </c>
      <c r="P963" s="9" t="n">
        <v>5360.96</v>
      </c>
      <c r="Q963" s="7" t="inlineStr">
        <is>
          <t>Sí</t>
        </is>
      </c>
      <c r="R963" s="9">
        <f>IF(N963="","",IF(Q963="Sí",ROUND(N963/1.18,2),N963))</f>
        <v/>
      </c>
      <c r="S963" s="7" t="inlineStr">
        <is>
          <t>2026-09-09</t>
        </is>
      </c>
      <c r="T963" s="5" t="inlineStr">
        <is>
          <t>1 cotización de proveedores</t>
        </is>
      </c>
    </row>
    <row r="964">
      <c r="A964" s="7" t="inlineStr">
        <is>
          <t>MAT-25-044</t>
        </is>
      </c>
      <c r="B964" s="7" t="inlineStr">
        <is>
          <t>Materiales</t>
        </is>
      </c>
      <c r="C964" s="7" t="inlineStr">
        <is>
          <t>Lavamanos y pedestales</t>
        </is>
      </c>
      <c r="D964" s="5" t="inlineStr">
        <is>
          <t>Lavamanos Delos, negro</t>
        </is>
      </c>
      <c r="E964" s="5" t="inlineStr">
        <is>
          <t>marca ULTRA · color negro · referencia LX-C036NEGRO</t>
        </is>
      </c>
      <c r="F964" s="5" t="inlineStr">
        <is>
          <t>Material retirado en almacén</t>
        </is>
      </c>
      <c r="G964" s="5" t="inlineStr">
        <is>
          <t>lavamanos, lavabo, lavatorio</t>
        </is>
      </c>
      <c r="H964" s="7" t="inlineStr">
        <is>
          <t>unidad</t>
        </is>
      </c>
      <c r="I964" s="7" t="inlineStr">
        <is>
          <t>Instalaciones</t>
        </is>
      </c>
      <c r="J964" s="7" t="inlineStr">
        <is>
          <t>estandar</t>
        </is>
      </c>
      <c r="K964" s="7" t="inlineStr">
        <is>
          <t>importado</t>
        </is>
      </c>
      <c r="L964" s="7" t="inlineStr">
        <is>
          <t>Verificado</t>
        </is>
      </c>
      <c r="M964" s="8" t="n">
        <v>1</v>
      </c>
      <c r="N964" s="9" t="n">
        <v>5418.52</v>
      </c>
      <c r="O964" s="9" t="n">
        <v>5418.52</v>
      </c>
      <c r="P964" s="9" t="n">
        <v>5418.52</v>
      </c>
      <c r="Q964" s="7" t="inlineStr">
        <is>
          <t>Sí</t>
        </is>
      </c>
      <c r="R964" s="9">
        <f>IF(N964="","",IF(Q964="Sí",ROUND(N964/1.18,2),N964))</f>
        <v/>
      </c>
      <c r="S964" s="7" t="inlineStr">
        <is>
          <t>2026-09-09</t>
        </is>
      </c>
      <c r="T964" s="5" t="inlineStr">
        <is>
          <t>1 cotización de proveedores</t>
        </is>
      </c>
    </row>
    <row r="965">
      <c r="A965" s="7" t="inlineStr">
        <is>
          <t>MAT-25-045</t>
        </is>
      </c>
      <c r="B965" s="7" t="inlineStr">
        <is>
          <t>Materiales</t>
        </is>
      </c>
      <c r="C965" s="7" t="inlineStr">
        <is>
          <t>Lavamanos y pedestales</t>
        </is>
      </c>
      <c r="D965" s="5" t="inlineStr">
        <is>
          <t>Lavamanos Sobreponer sin rebosadero Moreab, blanco</t>
        </is>
      </c>
      <c r="E965" s="5" t="inlineStr">
        <is>
          <t>marca HELVEX · color blanco · referencia BLANCOLVMOREAB</t>
        </is>
      </c>
      <c r="F965" s="5" t="inlineStr">
        <is>
          <t>Material retirado en almacén</t>
        </is>
      </c>
      <c r="G965" s="5" t="inlineStr">
        <is>
          <t>lavamanos, lavabo, lavatorio</t>
        </is>
      </c>
      <c r="H965" s="7" t="inlineStr">
        <is>
          <t>unidad</t>
        </is>
      </c>
      <c r="I965" s="7" t="inlineStr">
        <is>
          <t>Instalaciones</t>
        </is>
      </c>
      <c r="J965" s="7" t="inlineStr">
        <is>
          <t>estandar</t>
        </is>
      </c>
      <c r="K965" s="7" t="inlineStr">
        <is>
          <t>importado</t>
        </is>
      </c>
      <c r="L965" s="7" t="inlineStr">
        <is>
          <t>Verificado</t>
        </is>
      </c>
      <c r="M965" s="8" t="n">
        <v>1</v>
      </c>
      <c r="N965" s="9" t="n">
        <v>5533.86</v>
      </c>
      <c r="O965" s="9" t="n">
        <v>5533.86</v>
      </c>
      <c r="P965" s="9" t="n">
        <v>5533.86</v>
      </c>
      <c r="Q965" s="7" t="inlineStr">
        <is>
          <t>Sí</t>
        </is>
      </c>
      <c r="R965" s="9">
        <f>IF(N965="","",IF(Q965="Sí",ROUND(N965/1.18,2),N965))</f>
        <v/>
      </c>
      <c r="S965" s="7" t="inlineStr">
        <is>
          <t>2026-09-09</t>
        </is>
      </c>
      <c r="T965" s="5" t="inlineStr">
        <is>
          <t>1 cotización de proveedores</t>
        </is>
      </c>
    </row>
    <row r="966">
      <c r="A966" s="7" t="inlineStr">
        <is>
          <t>MAT-25-046</t>
        </is>
      </c>
      <c r="B966" s="7" t="inlineStr">
        <is>
          <t>Materiales</t>
        </is>
      </c>
      <c r="C966" s="7" t="inlineStr">
        <is>
          <t>Lavamanos y pedestales</t>
        </is>
      </c>
      <c r="D966" s="5" t="inlineStr">
        <is>
          <t>Lavamanos Isis 41 x 41, blanco</t>
        </is>
      </c>
      <c r="E966" s="5" t="inlineStr">
        <is>
          <t>marca ULTRA · color blanco · referencia 7024BLANCO</t>
        </is>
      </c>
      <c r="F966" s="5" t="inlineStr">
        <is>
          <t>Material retirado en almacén</t>
        </is>
      </c>
      <c r="G966" s="5" t="inlineStr">
        <is>
          <t>lavamanos, lavabo, lavatorio</t>
        </is>
      </c>
      <c r="H966" s="7" t="inlineStr">
        <is>
          <t>unidad</t>
        </is>
      </c>
      <c r="I966" s="7" t="inlineStr">
        <is>
          <t>Instalaciones</t>
        </is>
      </c>
      <c r="J966" s="7" t="inlineStr">
        <is>
          <t>estandar</t>
        </is>
      </c>
      <c r="K966" s="7" t="inlineStr">
        <is>
          <t>importado</t>
        </is>
      </c>
      <c r="L966" s="7" t="inlineStr">
        <is>
          <t>Verificado</t>
        </is>
      </c>
      <c r="M966" s="8" t="n">
        <v>1</v>
      </c>
      <c r="N966" s="9" t="n">
        <v>5578.97</v>
      </c>
      <c r="O966" s="9" t="n">
        <v>5578.97</v>
      </c>
      <c r="P966" s="9" t="n">
        <v>5578.97</v>
      </c>
      <c r="Q966" s="7" t="inlineStr">
        <is>
          <t>Sí</t>
        </is>
      </c>
      <c r="R966" s="9">
        <f>IF(N966="","",IF(Q966="Sí",ROUND(N966/1.18,2),N966))</f>
        <v/>
      </c>
      <c r="S966" s="7" t="inlineStr">
        <is>
          <t>2026-09-09</t>
        </is>
      </c>
      <c r="T966" s="5" t="inlineStr">
        <is>
          <t>1 cotización de proveedores</t>
        </is>
      </c>
    </row>
    <row r="967">
      <c r="A967" s="7" t="inlineStr">
        <is>
          <t>MAT-25-047</t>
        </is>
      </c>
      <c r="B967" s="7" t="inlineStr">
        <is>
          <t>Materiales</t>
        </is>
      </c>
      <c r="C967" s="7" t="inlineStr">
        <is>
          <t>Lavamanos y pedestales</t>
        </is>
      </c>
      <c r="D967" s="5" t="inlineStr">
        <is>
          <t>Lavamanos Tuy 60 Ceramico</t>
        </is>
      </c>
      <c r="E967" s="5" t="inlineStr">
        <is>
          <t>marca AML · referencia 2011000000741</t>
        </is>
      </c>
      <c r="F967" s="5" t="inlineStr">
        <is>
          <t>Material retirado en almacén</t>
        </is>
      </c>
      <c r="G967" s="5" t="inlineStr">
        <is>
          <t>lavamanos, lavabo, lavatorio</t>
        </is>
      </c>
      <c r="H967" s="7" t="inlineStr">
        <is>
          <t>unidad</t>
        </is>
      </c>
      <c r="I967" s="7" t="inlineStr">
        <is>
          <t>Instalaciones</t>
        </is>
      </c>
      <c r="J967" s="7" t="inlineStr">
        <is>
          <t>estandar</t>
        </is>
      </c>
      <c r="K967" s="7" t="inlineStr">
        <is>
          <t>importado</t>
        </is>
      </c>
      <c r="L967" s="7" t="inlineStr">
        <is>
          <t>Verificado</t>
        </is>
      </c>
      <c r="M967" s="8" t="n">
        <v>1</v>
      </c>
      <c r="N967" s="9" t="n">
        <v>5627.72</v>
      </c>
      <c r="O967" s="9" t="n">
        <v>5627.72</v>
      </c>
      <c r="P967" s="9" t="n">
        <v>5627.72</v>
      </c>
      <c r="Q967" s="7" t="inlineStr">
        <is>
          <t>Sí</t>
        </is>
      </c>
      <c r="R967" s="9">
        <f>IF(N967="","",IF(Q967="Sí",ROUND(N967/1.18,2),N967))</f>
        <v/>
      </c>
      <c r="S967" s="7" t="inlineStr">
        <is>
          <t>2026-09-09</t>
        </is>
      </c>
      <c r="T967" s="5" t="inlineStr">
        <is>
          <t>1 cotización de proveedores</t>
        </is>
      </c>
    </row>
    <row r="968">
      <c r="A968" s="7" t="inlineStr">
        <is>
          <t>MAT-25-048</t>
        </is>
      </c>
      <c r="B968" s="7" t="inlineStr">
        <is>
          <t>Materiales</t>
        </is>
      </c>
      <c r="C968" s="7" t="inlineStr">
        <is>
          <t>Lavamanos y pedestales</t>
        </is>
      </c>
      <c r="D968" s="5" t="inlineStr">
        <is>
          <t>Lavamanos Roubd Mini, blanco</t>
        </is>
      </c>
      <c r="E968" s="5" t="inlineStr">
        <is>
          <t>marca INNOBATH · color blanco · referencia BLANCO</t>
        </is>
      </c>
      <c r="F968" s="5" t="inlineStr">
        <is>
          <t>Material retirado en almacén</t>
        </is>
      </c>
      <c r="G968" s="5" t="inlineStr">
        <is>
          <t>lavamanos, lavabo, lavatorio</t>
        </is>
      </c>
      <c r="H968" s="7" t="inlineStr">
        <is>
          <t>unidad</t>
        </is>
      </c>
      <c r="I968" s="7" t="inlineStr">
        <is>
          <t>Instalaciones</t>
        </is>
      </c>
      <c r="J968" s="7" t="inlineStr">
        <is>
          <t>estandar</t>
        </is>
      </c>
      <c r="K968" s="7" t="inlineStr">
        <is>
          <t>importado</t>
        </is>
      </c>
      <c r="L968" s="7" t="inlineStr">
        <is>
          <t>Verificado</t>
        </is>
      </c>
      <c r="M968" s="8" t="n">
        <v>1</v>
      </c>
      <c r="N968" s="9" t="n">
        <v>5761</v>
      </c>
      <c r="O968" s="9" t="n">
        <v>5761</v>
      </c>
      <c r="P968" s="9" t="n">
        <v>5761</v>
      </c>
      <c r="Q968" s="7" t="inlineStr">
        <is>
          <t>Sí</t>
        </is>
      </c>
      <c r="R968" s="9">
        <f>IF(N968="","",IF(Q968="Sí",ROUND(N968/1.18,2),N968))</f>
        <v/>
      </c>
      <c r="S968" s="7" t="inlineStr">
        <is>
          <t>2026-09-09</t>
        </is>
      </c>
      <c r="T968" s="5" t="inlineStr">
        <is>
          <t>1 cotización de proveedores</t>
        </is>
      </c>
    </row>
    <row r="969">
      <c r="A969" s="7" t="inlineStr">
        <is>
          <t>MAT-25-049</t>
        </is>
      </c>
      <c r="B969" s="7" t="inlineStr">
        <is>
          <t>Materiales</t>
        </is>
      </c>
      <c r="C969" s="7" t="inlineStr">
        <is>
          <t>Lavamanos y pedestales</t>
        </is>
      </c>
      <c r="D969" s="5" t="inlineStr">
        <is>
          <t>Lavamanos Sobreponer 1P Moreab, blanco</t>
        </is>
      </c>
      <c r="E969" s="5" t="inlineStr">
        <is>
          <t>marca HELVEX · color blanco · referencia BLANCOLVMOREA1B</t>
        </is>
      </c>
      <c r="F969" s="5" t="inlineStr">
        <is>
          <t>Material retirado en almacén</t>
        </is>
      </c>
      <c r="G969" s="5" t="inlineStr">
        <is>
          <t>lavamanos, lavabo, lavatorio</t>
        </is>
      </c>
      <c r="H969" s="7" t="inlineStr">
        <is>
          <t>unidad</t>
        </is>
      </c>
      <c r="I969" s="7" t="inlineStr">
        <is>
          <t>Instalaciones</t>
        </is>
      </c>
      <c r="J969" s="7" t="inlineStr">
        <is>
          <t>estandar</t>
        </is>
      </c>
      <c r="K969" s="7" t="inlineStr">
        <is>
          <t>importado</t>
        </is>
      </c>
      <c r="L969" s="7" t="inlineStr">
        <is>
          <t>Verificado</t>
        </is>
      </c>
      <c r="M969" s="8" t="n">
        <v>1</v>
      </c>
      <c r="N969" s="9" t="n">
        <v>5971.47</v>
      </c>
      <c r="O969" s="9" t="n">
        <v>5971.47</v>
      </c>
      <c r="P969" s="9" t="n">
        <v>5971.47</v>
      </c>
      <c r="Q969" s="7" t="inlineStr">
        <is>
          <t>Sí</t>
        </is>
      </c>
      <c r="R969" s="9">
        <f>IF(N969="","",IF(Q969="Sí",ROUND(N969/1.18,2),N969))</f>
        <v/>
      </c>
      <c r="S969" s="7" t="inlineStr">
        <is>
          <t>2026-09-09</t>
        </is>
      </c>
      <c r="T969" s="5" t="inlineStr">
        <is>
          <t>1 cotización de proveedores</t>
        </is>
      </c>
    </row>
    <row r="970">
      <c r="A970" s="7" t="inlineStr">
        <is>
          <t>MAT-25-050</t>
        </is>
      </c>
      <c r="B970" s="7" t="inlineStr">
        <is>
          <t>Materiales</t>
        </is>
      </c>
      <c r="C970" s="7" t="inlineStr">
        <is>
          <t>Lavamanos y pedestales</t>
        </is>
      </c>
      <c r="D970" s="5" t="inlineStr">
        <is>
          <t>Lavamanos Atenea, blanco</t>
        </is>
      </c>
      <c r="E970" s="5" t="inlineStr">
        <is>
          <t>marca ULTRA · color blanco · referencia C005BLANCO/PLATA</t>
        </is>
      </c>
      <c r="F970" s="5" t="inlineStr">
        <is>
          <t>Material retirado en almacén</t>
        </is>
      </c>
      <c r="G970" s="5" t="inlineStr">
        <is>
          <t>lavamanos, lavabo, lavatorio</t>
        </is>
      </c>
      <c r="H970" s="7" t="inlineStr">
        <is>
          <t>unidad</t>
        </is>
      </c>
      <c r="I970" s="7" t="inlineStr">
        <is>
          <t>Instalaciones</t>
        </is>
      </c>
      <c r="J970" s="7" t="inlineStr">
        <is>
          <t>estandar</t>
        </is>
      </c>
      <c r="K970" s="7" t="inlineStr">
        <is>
          <t>importado</t>
        </is>
      </c>
      <c r="L970" s="7" t="inlineStr">
        <is>
          <t>Verificado</t>
        </is>
      </c>
      <c r="M970" s="8" t="n">
        <v>1</v>
      </c>
      <c r="N970" s="9" t="n">
        <v>6135.36</v>
      </c>
      <c r="O970" s="9" t="n">
        <v>6135.36</v>
      </c>
      <c r="P970" s="9" t="n">
        <v>6135.36</v>
      </c>
      <c r="Q970" s="7" t="inlineStr">
        <is>
          <t>Sí</t>
        </is>
      </c>
      <c r="R970" s="9">
        <f>IF(N970="","",IF(Q970="Sí",ROUND(N970/1.18,2),N970))</f>
        <v/>
      </c>
      <c r="S970" s="7" t="inlineStr">
        <is>
          <t>2026-09-09</t>
        </is>
      </c>
      <c r="T970" s="5" t="inlineStr">
        <is>
          <t>1 cotización de proveedores</t>
        </is>
      </c>
    </row>
    <row r="971">
      <c r="A971" s="7" t="inlineStr">
        <is>
          <t>MAT-25-051</t>
        </is>
      </c>
      <c r="B971" s="7" t="inlineStr">
        <is>
          <t>Materiales</t>
        </is>
      </c>
      <c r="C971" s="7" t="inlineStr">
        <is>
          <t>Lavamanos y pedestales</t>
        </is>
      </c>
      <c r="D971" s="5" t="inlineStr">
        <is>
          <t>Lavamanos Sobrecu Elipsis, blanco</t>
        </is>
      </c>
      <c r="E971" s="5" t="inlineStr">
        <is>
          <t>marca HELVEX · color blanco · referencia BLANCO</t>
        </is>
      </c>
      <c r="F971" s="5" t="inlineStr">
        <is>
          <t>Material retirado en almacén</t>
        </is>
      </c>
      <c r="G971" s="5" t="inlineStr">
        <is>
          <t>lavamanos, lavabo, lavatorio</t>
        </is>
      </c>
      <c r="H971" s="7" t="inlineStr">
        <is>
          <t>unidad</t>
        </is>
      </c>
      <c r="I971" s="7" t="inlineStr">
        <is>
          <t>Instalaciones</t>
        </is>
      </c>
      <c r="J971" s="7" t="inlineStr">
        <is>
          <t>estandar</t>
        </is>
      </c>
      <c r="K971" s="7" t="inlineStr">
        <is>
          <t>importado</t>
        </is>
      </c>
      <c r="L971" s="7" t="inlineStr">
        <is>
          <t>Verificado</t>
        </is>
      </c>
      <c r="M971" s="8" t="n">
        <v>1</v>
      </c>
      <c r="N971" s="9" t="n">
        <v>6202.55</v>
      </c>
      <c r="O971" s="9" t="n">
        <v>6202.55</v>
      </c>
      <c r="P971" s="9" t="n">
        <v>6202.55</v>
      </c>
      <c r="Q971" s="7" t="inlineStr">
        <is>
          <t>Sí</t>
        </is>
      </c>
      <c r="R971" s="9">
        <f>IF(N971="","",IF(Q971="Sí",ROUND(N971/1.18,2),N971))</f>
        <v/>
      </c>
      <c r="S971" s="7" t="inlineStr">
        <is>
          <t>2026-09-09</t>
        </is>
      </c>
      <c r="T971" s="5" t="inlineStr">
        <is>
          <t>1 cotización de proveedores</t>
        </is>
      </c>
    </row>
    <row r="972">
      <c r="A972" s="7" t="inlineStr">
        <is>
          <t>MAT-25-052</t>
        </is>
      </c>
      <c r="B972" s="7" t="inlineStr">
        <is>
          <t>Materiales</t>
        </is>
      </c>
      <c r="C972" s="7" t="inlineStr">
        <is>
          <t>Lavamanos y pedestales</t>
        </is>
      </c>
      <c r="D972" s="5" t="inlineStr">
        <is>
          <t>Lavamanos Cloe, negro</t>
        </is>
      </c>
      <c r="E972" s="5" t="inlineStr">
        <is>
          <t>marca ULTRA · color negro · referencia C020NEGRO</t>
        </is>
      </c>
      <c r="F972" s="5" t="inlineStr">
        <is>
          <t>Material retirado en almacén</t>
        </is>
      </c>
      <c r="G972" s="5" t="inlineStr">
        <is>
          <t>lavamanos, lavabo, lavatorio</t>
        </is>
      </c>
      <c r="H972" s="7" t="inlineStr">
        <is>
          <t>unidad</t>
        </is>
      </c>
      <c r="I972" s="7" t="inlineStr">
        <is>
          <t>Instalaciones</t>
        </is>
      </c>
      <c r="J972" s="7" t="inlineStr">
        <is>
          <t>estandar</t>
        </is>
      </c>
      <c r="K972" s="7" t="inlineStr">
        <is>
          <t>importado</t>
        </is>
      </c>
      <c r="L972" s="7" t="inlineStr">
        <is>
          <t>Verificado</t>
        </is>
      </c>
      <c r="M972" s="8" t="n">
        <v>1</v>
      </c>
      <c r="N972" s="9" t="n">
        <v>6280.34</v>
      </c>
      <c r="O972" s="9" t="n">
        <v>6280.34</v>
      </c>
      <c r="P972" s="9" t="n">
        <v>6280.34</v>
      </c>
      <c r="Q972" s="7" t="inlineStr">
        <is>
          <t>Sí</t>
        </is>
      </c>
      <c r="R972" s="9">
        <f>IF(N972="","",IF(Q972="Sí",ROUND(N972/1.18,2),N972))</f>
        <v/>
      </c>
      <c r="S972" s="7" t="inlineStr">
        <is>
          <t>2026-09-09</t>
        </is>
      </c>
      <c r="T972" s="5" t="inlineStr">
        <is>
          <t>1 cotización de proveedores</t>
        </is>
      </c>
    </row>
    <row r="973">
      <c r="A973" s="7" t="inlineStr">
        <is>
          <t>MAT-25-053</t>
        </is>
      </c>
      <c r="B973" s="7" t="inlineStr">
        <is>
          <t>Materiales</t>
        </is>
      </c>
      <c r="C973" s="7" t="inlineStr">
        <is>
          <t>Lavamanos y pedestales</t>
        </is>
      </c>
      <c r="D973" s="5" t="inlineStr">
        <is>
          <t>Lavamanos Aure, blanco</t>
        </is>
      </c>
      <c r="E973" s="5" t="inlineStr">
        <is>
          <t>marca INNOBATH · color blanco · referencia BLANCO</t>
        </is>
      </c>
      <c r="F973" s="5" t="inlineStr">
        <is>
          <t>Material retirado en almacén</t>
        </is>
      </c>
      <c r="G973" s="5" t="inlineStr">
        <is>
          <t>lavamanos, lavabo, lavatorio</t>
        </is>
      </c>
      <c r="H973" s="7" t="inlineStr">
        <is>
          <t>unidad</t>
        </is>
      </c>
      <c r="I973" s="7" t="inlineStr">
        <is>
          <t>Instalaciones</t>
        </is>
      </c>
      <c r="J973" s="7" t="inlineStr">
        <is>
          <t>estandar</t>
        </is>
      </c>
      <c r="K973" s="7" t="inlineStr">
        <is>
          <t>importado</t>
        </is>
      </c>
      <c r="L973" s="7" t="inlineStr">
        <is>
          <t>Verificado</t>
        </is>
      </c>
      <c r="M973" s="8" t="n">
        <v>1</v>
      </c>
      <c r="N973" s="9" t="n">
        <v>6285.52</v>
      </c>
      <c r="O973" s="9" t="n">
        <v>6285.52</v>
      </c>
      <c r="P973" s="9" t="n">
        <v>6285.52</v>
      </c>
      <c r="Q973" s="7" t="inlineStr">
        <is>
          <t>Sí</t>
        </is>
      </c>
      <c r="R973" s="9">
        <f>IF(N973="","",IF(Q973="Sí",ROUND(N973/1.18,2),N973))</f>
        <v/>
      </c>
      <c r="S973" s="7" t="inlineStr">
        <is>
          <t>2026-09-09</t>
        </is>
      </c>
      <c r="T973" s="5" t="inlineStr">
        <is>
          <t>1 cotización de proveedores</t>
        </is>
      </c>
    </row>
    <row r="974">
      <c r="A974" s="7" t="inlineStr">
        <is>
          <t>MAT-25-054</t>
        </is>
      </c>
      <c r="B974" s="7" t="inlineStr">
        <is>
          <t>Materiales</t>
        </is>
      </c>
      <c r="C974" s="7" t="inlineStr">
        <is>
          <t>Lavamanos y pedestales</t>
        </is>
      </c>
      <c r="D974" s="5" t="inlineStr">
        <is>
          <t>Lavamanos Grande Bajo Cub con rebosadero, blanco</t>
        </is>
      </c>
      <c r="E974" s="5" t="inlineStr">
        <is>
          <t>marca HELVEX · color blanco · referencia LV-LUGANOBLANCO</t>
        </is>
      </c>
      <c r="F974" s="5" t="inlineStr">
        <is>
          <t>Material retirado en almacén</t>
        </is>
      </c>
      <c r="G974" s="5" t="inlineStr">
        <is>
          <t>lavamanos, lavabo, lavatorio</t>
        </is>
      </c>
      <c r="H974" s="7" t="inlineStr">
        <is>
          <t>unidad</t>
        </is>
      </c>
      <c r="I974" s="7" t="inlineStr">
        <is>
          <t>Instalaciones</t>
        </is>
      </c>
      <c r="J974" s="7" t="inlineStr">
        <is>
          <t>estandar</t>
        </is>
      </c>
      <c r="K974" s="7" t="inlineStr">
        <is>
          <t>importado</t>
        </is>
      </c>
      <c r="L974" s="7" t="inlineStr">
        <is>
          <t>Verificado</t>
        </is>
      </c>
      <c r="M974" s="8" t="n">
        <v>1</v>
      </c>
      <c r="N974" s="9" t="n">
        <v>6325.24</v>
      </c>
      <c r="O974" s="9" t="n">
        <v>6325.24</v>
      </c>
      <c r="P974" s="9" t="n">
        <v>6325.24</v>
      </c>
      <c r="Q974" s="7" t="inlineStr">
        <is>
          <t>Sí</t>
        </is>
      </c>
      <c r="R974" s="9">
        <f>IF(N974="","",IF(Q974="Sí",ROUND(N974/1.18,2),N974))</f>
        <v/>
      </c>
      <c r="S974" s="7" t="inlineStr">
        <is>
          <t>2026-09-09</t>
        </is>
      </c>
      <c r="T974" s="5" t="inlineStr">
        <is>
          <t>1 cotización de proveedores</t>
        </is>
      </c>
    </row>
    <row r="975">
      <c r="A975" s="7" t="inlineStr">
        <is>
          <t>MAT-25-055</t>
        </is>
      </c>
      <c r="B975" s="7" t="inlineStr">
        <is>
          <t>Materiales</t>
        </is>
      </c>
      <c r="C975" s="7" t="inlineStr">
        <is>
          <t>Lavamanos y pedestales</t>
        </is>
      </c>
      <c r="D975" s="5" t="inlineStr">
        <is>
          <t>Lavamanos Tuy 80 Ceramico</t>
        </is>
      </c>
      <c r="E975" s="5" t="inlineStr">
        <is>
          <t>marca AML · referencia 2011000000380</t>
        </is>
      </c>
      <c r="F975" s="5" t="inlineStr">
        <is>
          <t>Material retirado en almacén</t>
        </is>
      </c>
      <c r="G975" s="5" t="inlineStr">
        <is>
          <t>lavamanos, lavabo, lavatorio</t>
        </is>
      </c>
      <c r="H975" s="7" t="inlineStr">
        <is>
          <t>unidad</t>
        </is>
      </c>
      <c r="I975" s="7" t="inlineStr">
        <is>
          <t>Instalaciones</t>
        </is>
      </c>
      <c r="J975" s="7" t="inlineStr">
        <is>
          <t>estandar</t>
        </is>
      </c>
      <c r="K975" s="7" t="inlineStr">
        <is>
          <t>importado</t>
        </is>
      </c>
      <c r="L975" s="7" t="inlineStr">
        <is>
          <t>Verificado</t>
        </is>
      </c>
      <c r="M975" s="8" t="n">
        <v>1</v>
      </c>
      <c r="N975" s="9" t="n">
        <v>7188.43</v>
      </c>
      <c r="O975" s="9" t="n">
        <v>7188.43</v>
      </c>
      <c r="P975" s="9" t="n">
        <v>7188.43</v>
      </c>
      <c r="Q975" s="7" t="inlineStr">
        <is>
          <t>Sí</t>
        </is>
      </c>
      <c r="R975" s="9">
        <f>IF(N975="","",IF(Q975="Sí",ROUND(N975/1.18,2),N975))</f>
        <v/>
      </c>
      <c r="S975" s="7" t="inlineStr">
        <is>
          <t>2026-09-09</t>
        </is>
      </c>
      <c r="T975" s="5" t="inlineStr">
        <is>
          <t>1 cotización de proveedores</t>
        </is>
      </c>
    </row>
    <row r="976">
      <c r="A976" s="7" t="inlineStr">
        <is>
          <t>MAT-25-056</t>
        </is>
      </c>
      <c r="B976" s="7" t="inlineStr">
        <is>
          <t>Materiales</t>
        </is>
      </c>
      <c r="C976" s="7" t="inlineStr">
        <is>
          <t>Lavamanos y pedestales</t>
        </is>
      </c>
      <c r="D976" s="5" t="inlineStr">
        <is>
          <t>Lavamanos Clio, negro</t>
        </is>
      </c>
      <c r="E976" s="5" t="inlineStr">
        <is>
          <t>marca ULTRA · color negro · referencia C019NEGRO/PLATA</t>
        </is>
      </c>
      <c r="F976" s="5" t="inlineStr">
        <is>
          <t>Material retirado en almacén</t>
        </is>
      </c>
      <c r="G976" s="5" t="inlineStr">
        <is>
          <t>lavamanos, lavabo, lavatorio</t>
        </is>
      </c>
      <c r="H976" s="7" t="inlineStr">
        <is>
          <t>unidad</t>
        </is>
      </c>
      <c r="I976" s="7" t="inlineStr">
        <is>
          <t>Instalaciones</t>
        </is>
      </c>
      <c r="J976" s="7" t="inlineStr">
        <is>
          <t>estandar</t>
        </is>
      </c>
      <c r="K976" s="7" t="inlineStr">
        <is>
          <t>importado</t>
        </is>
      </c>
      <c r="L976" s="7" t="inlineStr">
        <is>
          <t>Verificado</t>
        </is>
      </c>
      <c r="M976" s="8" t="n">
        <v>1</v>
      </c>
      <c r="N976" s="9" t="n">
        <v>7649.83</v>
      </c>
      <c r="O976" s="9" t="n">
        <v>7649.83</v>
      </c>
      <c r="P976" s="9" t="n">
        <v>7649.83</v>
      </c>
      <c r="Q976" s="7" t="inlineStr">
        <is>
          <t>Sí</t>
        </is>
      </c>
      <c r="R976" s="9">
        <f>IF(N976="","",IF(Q976="Sí",ROUND(N976/1.18,2),N976))</f>
        <v/>
      </c>
      <c r="S976" s="7" t="inlineStr">
        <is>
          <t>2026-09-09</t>
        </is>
      </c>
      <c r="T976" s="5" t="inlineStr">
        <is>
          <t>1 cotización de proveedores</t>
        </is>
      </c>
    </row>
    <row r="977">
      <c r="A977" s="7" t="inlineStr">
        <is>
          <t>MAT-25-057</t>
        </is>
      </c>
      <c r="B977" s="7" t="inlineStr">
        <is>
          <t>Materiales</t>
        </is>
      </c>
      <c r="C977" s="7" t="inlineStr">
        <is>
          <t>Lavamanos y pedestales</t>
        </is>
      </c>
      <c r="D977" s="5" t="inlineStr">
        <is>
          <t>Lavamanos Cibeles</t>
        </is>
      </c>
      <c r="E977" s="5" t="inlineStr">
        <is>
          <t>marca ULTRA · referencia 7023BLANCCALACATTA</t>
        </is>
      </c>
      <c r="F977" s="5" t="inlineStr">
        <is>
          <t>Material retirado en almacén</t>
        </is>
      </c>
      <c r="G977" s="5" t="inlineStr">
        <is>
          <t>lavamanos, lavabo, lavatorio</t>
        </is>
      </c>
      <c r="H977" s="7" t="inlineStr">
        <is>
          <t>unidad</t>
        </is>
      </c>
      <c r="I977" s="7" t="inlineStr">
        <is>
          <t>Instalaciones</t>
        </is>
      </c>
      <c r="J977" s="7" t="inlineStr">
        <is>
          <t>estandar</t>
        </is>
      </c>
      <c r="K977" s="7" t="inlineStr">
        <is>
          <t>importado</t>
        </is>
      </c>
      <c r="L977" s="7" t="inlineStr">
        <is>
          <t>Verificado</t>
        </is>
      </c>
      <c r="M977" s="8" t="n">
        <v>1</v>
      </c>
      <c r="N977" s="9" t="n">
        <v>7782.01</v>
      </c>
      <c r="O977" s="9" t="n">
        <v>7782.01</v>
      </c>
      <c r="P977" s="9" t="n">
        <v>7782.01</v>
      </c>
      <c r="Q977" s="7" t="inlineStr">
        <is>
          <t>Sí</t>
        </is>
      </c>
      <c r="R977" s="9">
        <f>IF(N977="","",IF(Q977="Sí",ROUND(N977/1.18,2),N977))</f>
        <v/>
      </c>
      <c r="S977" s="7" t="inlineStr">
        <is>
          <t>2026-09-09</t>
        </is>
      </c>
      <c r="T977" s="5" t="inlineStr">
        <is>
          <t>1 cotización de proveedores</t>
        </is>
      </c>
    </row>
    <row r="978">
      <c r="A978" s="7" t="inlineStr">
        <is>
          <t>MAT-25-058</t>
        </is>
      </c>
      <c r="B978" s="7" t="inlineStr">
        <is>
          <t>Materiales</t>
        </is>
      </c>
      <c r="C978" s="7" t="inlineStr">
        <is>
          <t>Lavamanos y pedestales</t>
        </is>
      </c>
      <c r="D978" s="5" t="inlineStr">
        <is>
          <t>Lavamanos Marte 85 Ceramico</t>
        </is>
      </c>
      <c r="E978" s="5" t="inlineStr">
        <is>
          <t>marca AML · referencia 1821500147143</t>
        </is>
      </c>
      <c r="F978" s="5" t="inlineStr">
        <is>
          <t>Material retirado en almacén</t>
        </is>
      </c>
      <c r="G978" s="5" t="inlineStr">
        <is>
          <t>lavamanos, lavabo, lavatorio</t>
        </is>
      </c>
      <c r="H978" s="7" t="inlineStr">
        <is>
          <t>unidad</t>
        </is>
      </c>
      <c r="I978" s="7" t="inlineStr">
        <is>
          <t>Instalaciones</t>
        </is>
      </c>
      <c r="J978" s="7" t="inlineStr">
        <is>
          <t>estandar</t>
        </is>
      </c>
      <c r="K978" s="7" t="inlineStr">
        <is>
          <t>importado</t>
        </is>
      </c>
      <c r="L978" s="7" t="inlineStr">
        <is>
          <t>Verificado</t>
        </is>
      </c>
      <c r="M978" s="8" t="n">
        <v>1</v>
      </c>
      <c r="N978" s="9" t="n">
        <v>8191.83</v>
      </c>
      <c r="O978" s="9" t="n">
        <v>8191.83</v>
      </c>
      <c r="P978" s="9" t="n">
        <v>8191.83</v>
      </c>
      <c r="Q978" s="7" t="inlineStr">
        <is>
          <t>Sí</t>
        </is>
      </c>
      <c r="R978" s="9">
        <f>IF(N978="","",IF(Q978="Sí",ROUND(N978/1.18,2),N978))</f>
        <v/>
      </c>
      <c r="S978" s="7" t="inlineStr">
        <is>
          <t>2026-09-09</t>
        </is>
      </c>
      <c r="T978" s="5" t="inlineStr">
        <is>
          <t>1 cotización de proveedores</t>
        </is>
      </c>
    </row>
    <row r="979">
      <c r="A979" s="7" t="inlineStr">
        <is>
          <t>MAT-25-059</t>
        </is>
      </c>
      <c r="B979" s="7" t="inlineStr">
        <is>
          <t>Materiales</t>
        </is>
      </c>
      <c r="C979" s="7" t="inlineStr">
        <is>
          <t>Lavamanos y pedestales</t>
        </is>
      </c>
      <c r="D979" s="5" t="inlineStr">
        <is>
          <t>Lavamanos Fly 45 Cm</t>
        </is>
      </c>
      <c r="E979" s="5" t="inlineStr">
        <is>
          <t>marca AML · referencia 2011000000670</t>
        </is>
      </c>
      <c r="F979" s="5" t="inlineStr">
        <is>
          <t>Material retirado en almacén</t>
        </is>
      </c>
      <c r="G979" s="5" t="inlineStr">
        <is>
          <t>lavamanos, lavabo, lavatorio</t>
        </is>
      </c>
      <c r="H979" s="7" t="inlineStr">
        <is>
          <t>unidad</t>
        </is>
      </c>
      <c r="I979" s="7" t="inlineStr">
        <is>
          <t>Instalaciones</t>
        </is>
      </c>
      <c r="J979" s="7" t="inlineStr">
        <is>
          <t>estandar</t>
        </is>
      </c>
      <c r="K979" s="7" t="inlineStr">
        <is>
          <t>importado</t>
        </is>
      </c>
      <c r="L979" s="7" t="inlineStr">
        <is>
          <t>Verificado</t>
        </is>
      </c>
      <c r="M979" s="8" t="n">
        <v>1</v>
      </c>
      <c r="N979" s="9" t="n">
        <v>8612.950000000001</v>
      </c>
      <c r="O979" s="9" t="n">
        <v>8612.950000000001</v>
      </c>
      <c r="P979" s="9" t="n">
        <v>8612.950000000001</v>
      </c>
      <c r="Q979" s="7" t="inlineStr">
        <is>
          <t>Sí</t>
        </is>
      </c>
      <c r="R979" s="9">
        <f>IF(N979="","",IF(Q979="Sí",ROUND(N979/1.18,2),N979))</f>
        <v/>
      </c>
      <c r="S979" s="7" t="inlineStr">
        <is>
          <t>2026-09-09</t>
        </is>
      </c>
      <c r="T979" s="5" t="inlineStr">
        <is>
          <t>1 cotización de proveedores</t>
        </is>
      </c>
    </row>
    <row r="980">
      <c r="A980" s="7" t="inlineStr">
        <is>
          <t>MAT-25-060</t>
        </is>
      </c>
      <c r="B980" s="7" t="inlineStr">
        <is>
          <t>Materiales</t>
        </is>
      </c>
      <c r="C980" s="7" t="inlineStr">
        <is>
          <t>Lavamanos y pedestales</t>
        </is>
      </c>
      <c r="D980" s="5" t="inlineStr">
        <is>
          <t>Lavamanos Sobrecubierta Marcus, blanco</t>
        </is>
      </c>
      <c r="E980" s="5" t="inlineStr">
        <is>
          <t>marca HELVEX · color blanco · referencia LV-3BLANCO</t>
        </is>
      </c>
      <c r="F980" s="5" t="inlineStr">
        <is>
          <t>Material retirado en almacén</t>
        </is>
      </c>
      <c r="G980" s="5" t="inlineStr">
        <is>
          <t>lavamanos, lavabo, lavatorio</t>
        </is>
      </c>
      <c r="H980" s="7" t="inlineStr">
        <is>
          <t>unidad</t>
        </is>
      </c>
      <c r="I980" s="7" t="inlineStr">
        <is>
          <t>Instalaciones</t>
        </is>
      </c>
      <c r="J980" s="7" t="inlineStr">
        <is>
          <t>estandar</t>
        </is>
      </c>
      <c r="K980" s="7" t="inlineStr">
        <is>
          <t>importado</t>
        </is>
      </c>
      <c r="L980" s="7" t="inlineStr">
        <is>
          <t>Verificado</t>
        </is>
      </c>
      <c r="M980" s="8" t="n">
        <v>1</v>
      </c>
      <c r="N980" s="9" t="n">
        <v>8893.91</v>
      </c>
      <c r="O980" s="9" t="n">
        <v>8893.91</v>
      </c>
      <c r="P980" s="9" t="n">
        <v>8893.91</v>
      </c>
      <c r="Q980" s="7" t="inlineStr">
        <is>
          <t>Sí</t>
        </is>
      </c>
      <c r="R980" s="9">
        <f>IF(N980="","",IF(Q980="Sí",ROUND(N980/1.18,2),N980))</f>
        <v/>
      </c>
      <c r="S980" s="7" t="inlineStr">
        <is>
          <t>2026-09-09</t>
        </is>
      </c>
      <c r="T980" s="5" t="inlineStr">
        <is>
          <t>1 cotización de proveedores</t>
        </is>
      </c>
    </row>
    <row r="981">
      <c r="A981" s="7" t="inlineStr">
        <is>
          <t>MAT-25-061</t>
        </is>
      </c>
      <c r="B981" s="7" t="inlineStr">
        <is>
          <t>Materiales</t>
        </is>
      </c>
      <c r="C981" s="7" t="inlineStr">
        <is>
          <t>Lavamanos y pedestales</t>
        </is>
      </c>
      <c r="D981" s="5" t="inlineStr">
        <is>
          <t>Lavamanos Clap Sobreponer, blanco</t>
        </is>
      </c>
      <c r="E981" s="5" t="inlineStr">
        <is>
          <t>marca HELVEX · color blanco · referencia LV-CLAPBLANCO</t>
        </is>
      </c>
      <c r="F981" s="5" t="inlineStr">
        <is>
          <t>Material retirado en almacén</t>
        </is>
      </c>
      <c r="G981" s="5" t="inlineStr">
        <is>
          <t>lavamanos, lavabo, lavatorio</t>
        </is>
      </c>
      <c r="H981" s="7" t="inlineStr">
        <is>
          <t>unidad</t>
        </is>
      </c>
      <c r="I981" s="7" t="inlineStr">
        <is>
          <t>Instalaciones</t>
        </is>
      </c>
      <c r="J981" s="7" t="inlineStr">
        <is>
          <t>estandar</t>
        </is>
      </c>
      <c r="K981" s="7" t="inlineStr">
        <is>
          <t>importado</t>
        </is>
      </c>
      <c r="L981" s="7" t="inlineStr">
        <is>
          <t>Verificado</t>
        </is>
      </c>
      <c r="M981" s="8" t="n">
        <v>1</v>
      </c>
      <c r="N981" s="9" t="n">
        <v>8964.65</v>
      </c>
      <c r="O981" s="9" t="n">
        <v>8964.65</v>
      </c>
      <c r="P981" s="9" t="n">
        <v>8964.65</v>
      </c>
      <c r="Q981" s="7" t="inlineStr">
        <is>
          <t>Sí</t>
        </is>
      </c>
      <c r="R981" s="9">
        <f>IF(N981="","",IF(Q981="Sí",ROUND(N981/1.18,2),N981))</f>
        <v/>
      </c>
      <c r="S981" s="7" t="inlineStr">
        <is>
          <t>2026-09-09</t>
        </is>
      </c>
      <c r="T981" s="5" t="inlineStr">
        <is>
          <t>1 cotización de proveedores</t>
        </is>
      </c>
    </row>
    <row r="982">
      <c r="A982" s="7" t="inlineStr">
        <is>
          <t>MAT-25-062</t>
        </is>
      </c>
      <c r="B982" s="7" t="inlineStr">
        <is>
          <t>Materiales</t>
        </is>
      </c>
      <c r="C982" s="7" t="inlineStr">
        <is>
          <t>Lavamanos y pedestales</t>
        </is>
      </c>
      <c r="D982" s="5" t="inlineStr">
        <is>
          <t>Lavamanos De Sobreponer Lucerna con R 3P, blanco</t>
        </is>
      </c>
      <c r="E982" s="5" t="inlineStr">
        <is>
          <t>marca HELVEX · color blanco · referencia LV-2-3PBLANCO</t>
        </is>
      </c>
      <c r="F982" s="5" t="inlineStr">
        <is>
          <t>Material retirado en almacén</t>
        </is>
      </c>
      <c r="G982" s="5" t="inlineStr">
        <is>
          <t>lavamanos, lavabo, lavatorio</t>
        </is>
      </c>
      <c r="H982" s="7" t="inlineStr">
        <is>
          <t>unidad</t>
        </is>
      </c>
      <c r="I982" s="7" t="inlineStr">
        <is>
          <t>Instalaciones</t>
        </is>
      </c>
      <c r="J982" s="7" t="inlineStr">
        <is>
          <t>estandar</t>
        </is>
      </c>
      <c r="K982" s="7" t="inlineStr">
        <is>
          <t>importado</t>
        </is>
      </c>
      <c r="L982" s="7" t="inlineStr">
        <is>
          <t>Verificado</t>
        </is>
      </c>
      <c r="M982" s="8" t="n">
        <v>1</v>
      </c>
      <c r="N982" s="9" t="n">
        <v>9362.620000000001</v>
      </c>
      <c r="O982" s="9" t="n">
        <v>9362.620000000001</v>
      </c>
      <c r="P982" s="9" t="n">
        <v>9362.620000000001</v>
      </c>
      <c r="Q982" s="7" t="inlineStr">
        <is>
          <t>Sí</t>
        </is>
      </c>
      <c r="R982" s="9">
        <f>IF(N982="","",IF(Q982="Sí",ROUND(N982/1.18,2),N982))</f>
        <v/>
      </c>
      <c r="S982" s="7" t="inlineStr">
        <is>
          <t>2026-09-09</t>
        </is>
      </c>
      <c r="T982" s="5" t="inlineStr">
        <is>
          <t>1 cotización de proveedores</t>
        </is>
      </c>
    </row>
    <row r="983">
      <c r="A983" s="7" t="inlineStr">
        <is>
          <t>MAT-25-063</t>
        </is>
      </c>
      <c r="B983" s="7" t="inlineStr">
        <is>
          <t>Materiales</t>
        </is>
      </c>
      <c r="C983" s="7" t="inlineStr">
        <is>
          <t>Lavamanos y pedestales</t>
        </is>
      </c>
      <c r="D983" s="5" t="inlineStr">
        <is>
          <t>Lavamanos Trazzo Sobreponer, blanco</t>
        </is>
      </c>
      <c r="E983" s="5" t="inlineStr">
        <is>
          <t>marca HELVEX · color blanco · referencia LV-5BLANCO</t>
        </is>
      </c>
      <c r="F983" s="5" t="inlineStr">
        <is>
          <t>Material retirado en almacén</t>
        </is>
      </c>
      <c r="G983" s="5" t="inlineStr">
        <is>
          <t>lavamanos, lavabo, lavatorio</t>
        </is>
      </c>
      <c r="H983" s="7" t="inlineStr">
        <is>
          <t>unidad</t>
        </is>
      </c>
      <c r="I983" s="7" t="inlineStr">
        <is>
          <t>Instalaciones</t>
        </is>
      </c>
      <c r="J983" s="7" t="inlineStr">
        <is>
          <t>estandar</t>
        </is>
      </c>
      <c r="K983" s="7" t="inlineStr">
        <is>
          <t>importado</t>
        </is>
      </c>
      <c r="L983" s="7" t="inlineStr">
        <is>
          <t>Verificado</t>
        </is>
      </c>
      <c r="M983" s="8" t="n">
        <v>1</v>
      </c>
      <c r="N983" s="9" t="n">
        <v>10519.02</v>
      </c>
      <c r="O983" s="9" t="n">
        <v>10519.02</v>
      </c>
      <c r="P983" s="9" t="n">
        <v>10519.02</v>
      </c>
      <c r="Q983" s="7" t="inlineStr">
        <is>
          <t>Sí</t>
        </is>
      </c>
      <c r="R983" s="9">
        <f>IF(N983="","",IF(Q983="Sí",ROUND(N983/1.18,2),N983))</f>
        <v/>
      </c>
      <c r="S983" s="7" t="inlineStr">
        <is>
          <t>2026-09-09</t>
        </is>
      </c>
      <c r="T983" s="5" t="inlineStr">
        <is>
          <t>1 cotización de proveedores</t>
        </is>
      </c>
    </row>
    <row r="984">
      <c r="A984" s="7" t="inlineStr">
        <is>
          <t>MAT-25-064</t>
        </is>
      </c>
      <c r="B984" s="7" t="inlineStr">
        <is>
          <t>Materiales</t>
        </is>
      </c>
      <c r="C984" s="7" t="inlineStr">
        <is>
          <t>Lavamanos y pedestales</t>
        </is>
      </c>
      <c r="D984" s="5" t="inlineStr">
        <is>
          <t>Lavamanos Go 81 x 46 x 17 Negro Mate</t>
        </is>
      </c>
      <c r="E984" s="5" t="inlineStr">
        <is>
          <t>marca AML · referencia 20230658</t>
        </is>
      </c>
      <c r="F984" s="5" t="inlineStr">
        <is>
          <t>Material retirado en almacén</t>
        </is>
      </c>
      <c r="G984" s="5" t="inlineStr">
        <is>
          <t>lavamanos, lavabo, lavatorio</t>
        </is>
      </c>
      <c r="H984" s="7" t="inlineStr">
        <is>
          <t>unidad</t>
        </is>
      </c>
      <c r="I984" s="7" t="inlineStr">
        <is>
          <t>Instalaciones</t>
        </is>
      </c>
      <c r="J984" s="7" t="inlineStr">
        <is>
          <t>estandar</t>
        </is>
      </c>
      <c r="K984" s="7" t="inlineStr">
        <is>
          <t>importado</t>
        </is>
      </c>
      <c r="L984" s="7" t="inlineStr">
        <is>
          <t>Verificado</t>
        </is>
      </c>
      <c r="M984" s="8" t="n">
        <v>1</v>
      </c>
      <c r="N984" s="9" t="n">
        <v>10789.05</v>
      </c>
      <c r="O984" s="9" t="n">
        <v>10789.05</v>
      </c>
      <c r="P984" s="9" t="n">
        <v>10789.05</v>
      </c>
      <c r="Q984" s="7" t="inlineStr">
        <is>
          <t>Sí</t>
        </is>
      </c>
      <c r="R984" s="9">
        <f>IF(N984="","",IF(Q984="Sí",ROUND(N984/1.18,2),N984))</f>
        <v/>
      </c>
      <c r="S984" s="7" t="inlineStr">
        <is>
          <t>2026-09-09</t>
        </is>
      </c>
      <c r="T984" s="5" t="inlineStr">
        <is>
          <t>1 cotización de proveedores</t>
        </is>
      </c>
    </row>
    <row r="985">
      <c r="A985" s="7" t="inlineStr">
        <is>
          <t>MAT-25-065</t>
        </is>
      </c>
      <c r="B985" s="7" t="inlineStr">
        <is>
          <t>Materiales</t>
        </is>
      </c>
      <c r="C985" s="7" t="inlineStr">
        <is>
          <t>Lavamanos y pedestales</t>
        </is>
      </c>
      <c r="D985" s="5" t="inlineStr">
        <is>
          <t>Lavamanos Trazzo Sobreponer, marfil</t>
        </is>
      </c>
      <c r="E985" s="5" t="inlineStr">
        <is>
          <t>marca HELVEX · color marfil · referencia LV-5MMARFIL</t>
        </is>
      </c>
      <c r="F985" s="5" t="inlineStr">
        <is>
          <t>Material retirado en almacén</t>
        </is>
      </c>
      <c r="G985" s="5" t="inlineStr">
        <is>
          <t>lavamanos, lavabo, lavatorio</t>
        </is>
      </c>
      <c r="H985" s="7" t="inlineStr">
        <is>
          <t>unidad</t>
        </is>
      </c>
      <c r="I985" s="7" t="inlineStr">
        <is>
          <t>Instalaciones</t>
        </is>
      </c>
      <c r="J985" s="7" t="inlineStr">
        <is>
          <t>estandar</t>
        </is>
      </c>
      <c r="K985" s="7" t="inlineStr">
        <is>
          <t>importado</t>
        </is>
      </c>
      <c r="L985" s="7" t="inlineStr">
        <is>
          <t>Verificado</t>
        </is>
      </c>
      <c r="M985" s="8" t="n">
        <v>1</v>
      </c>
      <c r="N985" s="9" t="n">
        <v>10865.44</v>
      </c>
      <c r="O985" s="9" t="n">
        <v>10865.44</v>
      </c>
      <c r="P985" s="9" t="n">
        <v>10865.44</v>
      </c>
      <c r="Q985" s="7" t="inlineStr">
        <is>
          <t>Sí</t>
        </is>
      </c>
      <c r="R985" s="9">
        <f>IF(N985="","",IF(Q985="Sí",ROUND(N985/1.18,2),N985))</f>
        <v/>
      </c>
      <c r="S985" s="7" t="inlineStr">
        <is>
          <t>2026-09-09</t>
        </is>
      </c>
      <c r="T985" s="5" t="inlineStr">
        <is>
          <t>1 cotización de proveedores</t>
        </is>
      </c>
    </row>
    <row r="986">
      <c r="A986" s="7" t="inlineStr">
        <is>
          <t>MAT-25-066</t>
        </is>
      </c>
      <c r="B986" s="7" t="inlineStr">
        <is>
          <t>Materiales</t>
        </is>
      </c>
      <c r="C986" s="7" t="inlineStr">
        <is>
          <t>Lavamanos y pedestales</t>
        </is>
      </c>
      <c r="D986" s="5" t="inlineStr">
        <is>
          <t>Lavamanos Cassini Sobreponer, blanco</t>
        </is>
      </c>
      <c r="E986" s="5" t="inlineStr">
        <is>
          <t>marca HELVEX · color blanco · referencia LV-4BLANCO</t>
        </is>
      </c>
      <c r="F986" s="5" t="inlineStr">
        <is>
          <t>Material retirado en almacén</t>
        </is>
      </c>
      <c r="G986" s="5" t="inlineStr">
        <is>
          <t>lavamanos, lavabo, lavatorio</t>
        </is>
      </c>
      <c r="H986" s="7" t="inlineStr">
        <is>
          <t>unidad</t>
        </is>
      </c>
      <c r="I986" s="7" t="inlineStr">
        <is>
          <t>Instalaciones</t>
        </is>
      </c>
      <c r="J986" s="7" t="inlineStr">
        <is>
          <t>estandar</t>
        </is>
      </c>
      <c r="K986" s="7" t="inlineStr">
        <is>
          <t>importado</t>
        </is>
      </c>
      <c r="L986" s="7" t="inlineStr">
        <is>
          <t>Verificado</t>
        </is>
      </c>
      <c r="M986" s="8" t="n">
        <v>1</v>
      </c>
      <c r="N986" s="9" t="n">
        <v>11061.07</v>
      </c>
      <c r="O986" s="9" t="n">
        <v>11061.07</v>
      </c>
      <c r="P986" s="9" t="n">
        <v>11061.07</v>
      </c>
      <c r="Q986" s="7" t="inlineStr">
        <is>
          <t>Sí</t>
        </is>
      </c>
      <c r="R986" s="9">
        <f>IF(N986="","",IF(Q986="Sí",ROUND(N986/1.18,2),N986))</f>
        <v/>
      </c>
      <c r="S986" s="7" t="inlineStr">
        <is>
          <t>2026-09-09</t>
        </is>
      </c>
      <c r="T986" s="5" t="inlineStr">
        <is>
          <t>1 cotización de proveedores</t>
        </is>
      </c>
    </row>
    <row r="987">
      <c r="A987" s="7" t="inlineStr">
        <is>
          <t>MAT-25-067</t>
        </is>
      </c>
      <c r="B987" s="7" t="inlineStr">
        <is>
          <t>Materiales</t>
        </is>
      </c>
      <c r="C987" s="7" t="inlineStr">
        <is>
          <t>Lavamanos y pedestales</t>
        </is>
      </c>
      <c r="D987" s="5" t="inlineStr">
        <is>
          <t>Lavamanos Cassini Sobreponer, marfil</t>
        </is>
      </c>
      <c r="E987" s="5" t="inlineStr">
        <is>
          <t>marca HELVEX · color marfil · referencia LV-4MMARFIL</t>
        </is>
      </c>
      <c r="F987" s="5" t="inlineStr">
        <is>
          <t>Material retirado en almacén</t>
        </is>
      </c>
      <c r="G987" s="5" t="inlineStr">
        <is>
          <t>lavamanos, lavabo, lavatorio</t>
        </is>
      </c>
      <c r="H987" s="7" t="inlineStr">
        <is>
          <t>unidad</t>
        </is>
      </c>
      <c r="I987" s="7" t="inlineStr">
        <is>
          <t>Instalaciones</t>
        </is>
      </c>
      <c r="J987" s="7" t="inlineStr">
        <is>
          <t>estandar</t>
        </is>
      </c>
      <c r="K987" s="7" t="inlineStr">
        <is>
          <t>importado</t>
        </is>
      </c>
      <c r="L987" s="7" t="inlineStr">
        <is>
          <t>Verificado</t>
        </is>
      </c>
      <c r="M987" s="8" t="n">
        <v>1</v>
      </c>
      <c r="N987" s="9" t="n">
        <v>11790.9</v>
      </c>
      <c r="O987" s="9" t="n">
        <v>11790.9</v>
      </c>
      <c r="P987" s="9" t="n">
        <v>11790.9</v>
      </c>
      <c r="Q987" s="7" t="inlineStr">
        <is>
          <t>Sí</t>
        </is>
      </c>
      <c r="R987" s="9">
        <f>IF(N987="","",IF(Q987="Sí",ROUND(N987/1.18,2),N987))</f>
        <v/>
      </c>
      <c r="S987" s="7" t="inlineStr">
        <is>
          <t>2026-09-09</t>
        </is>
      </c>
      <c r="T987" s="5" t="inlineStr">
        <is>
          <t>1 cotización de proveedores</t>
        </is>
      </c>
    </row>
    <row r="988">
      <c r="A988" s="7" t="inlineStr">
        <is>
          <t>MAT-25-068</t>
        </is>
      </c>
      <c r="B988" s="7" t="inlineStr">
        <is>
          <t>Materiales</t>
        </is>
      </c>
      <c r="C988" s="7" t="inlineStr">
        <is>
          <t>Lavamanos y pedestales</t>
        </is>
      </c>
      <c r="D988" s="5" t="inlineStr">
        <is>
          <t>Lavamanos Slim 60 Ceramico</t>
        </is>
      </c>
      <c r="E988" s="5" t="inlineStr">
        <is>
          <t>marca AML · referencia 2018000000111</t>
        </is>
      </c>
      <c r="F988" s="5" t="inlineStr">
        <is>
          <t>Material retirado en almacén</t>
        </is>
      </c>
      <c r="G988" s="5" t="inlineStr">
        <is>
          <t>lavamanos, lavabo, lavatorio</t>
        </is>
      </c>
      <c r="H988" s="7" t="inlineStr">
        <is>
          <t>unidad</t>
        </is>
      </c>
      <c r="I988" s="7" t="inlineStr">
        <is>
          <t>Instalaciones</t>
        </is>
      </c>
      <c r="J988" s="7" t="inlineStr">
        <is>
          <t>estandar</t>
        </is>
      </c>
      <c r="K988" s="7" t="inlineStr">
        <is>
          <t>importado</t>
        </is>
      </c>
      <c r="L988" s="7" t="inlineStr">
        <is>
          <t>Verificado</t>
        </is>
      </c>
      <c r="M988" s="8" t="n">
        <v>1</v>
      </c>
      <c r="N988" s="9" t="n">
        <v>12253.31</v>
      </c>
      <c r="O988" s="9" t="n">
        <v>12253.31</v>
      </c>
      <c r="P988" s="9" t="n">
        <v>12253.31</v>
      </c>
      <c r="Q988" s="7" t="inlineStr">
        <is>
          <t>Sí</t>
        </is>
      </c>
      <c r="R988" s="9">
        <f>IF(N988="","",IF(Q988="Sí",ROUND(N988/1.18,2),N988))</f>
        <v/>
      </c>
      <c r="S988" s="7" t="inlineStr">
        <is>
          <t>2026-09-09</t>
        </is>
      </c>
      <c r="T988" s="5" t="inlineStr">
        <is>
          <t>1 cotización de proveedores</t>
        </is>
      </c>
    </row>
    <row r="989">
      <c r="A989" s="7" t="inlineStr">
        <is>
          <t>MAT-25-069</t>
        </is>
      </c>
      <c r="B989" s="7" t="inlineStr">
        <is>
          <t>Materiales</t>
        </is>
      </c>
      <c r="C989" s="7" t="inlineStr">
        <is>
          <t>Lavamanos y pedestales</t>
        </is>
      </c>
      <c r="D989" s="5" t="inlineStr">
        <is>
          <t>Lavamanos Sobreponer 1P con rebosadero Futura M</t>
        </is>
      </c>
      <c r="E989" s="5" t="inlineStr">
        <is>
          <t>marca HELVEX · referencia LV-FUTURA1M</t>
        </is>
      </c>
      <c r="F989" s="5" t="inlineStr">
        <is>
          <t>Material retirado en almacén</t>
        </is>
      </c>
      <c r="G989" s="5" t="inlineStr">
        <is>
          <t>lavamanos, lavabo, lavatorio</t>
        </is>
      </c>
      <c r="H989" s="7" t="inlineStr">
        <is>
          <t>unidad</t>
        </is>
      </c>
      <c r="I989" s="7" t="inlineStr">
        <is>
          <t>Instalaciones</t>
        </is>
      </c>
      <c r="J989" s="7" t="inlineStr">
        <is>
          <t>estandar</t>
        </is>
      </c>
      <c r="K989" s="7" t="inlineStr">
        <is>
          <t>importado</t>
        </is>
      </c>
      <c r="L989" s="7" t="inlineStr">
        <is>
          <t>Verificado</t>
        </is>
      </c>
      <c r="M989" s="8" t="n">
        <v>1</v>
      </c>
      <c r="N989" s="9" t="n">
        <v>12545.35</v>
      </c>
      <c r="O989" s="9" t="n">
        <v>12545.35</v>
      </c>
      <c r="P989" s="9" t="n">
        <v>12545.35</v>
      </c>
      <c r="Q989" s="7" t="inlineStr">
        <is>
          <t>Sí</t>
        </is>
      </c>
      <c r="R989" s="9">
        <f>IF(N989="","",IF(Q989="Sí",ROUND(N989/1.18,2),N989))</f>
        <v/>
      </c>
      <c r="S989" s="7" t="inlineStr">
        <is>
          <t>2026-09-09</t>
        </is>
      </c>
      <c r="T989" s="5" t="inlineStr">
        <is>
          <t>1 cotización de proveedores</t>
        </is>
      </c>
    </row>
    <row r="990">
      <c r="A990" s="7" t="inlineStr">
        <is>
          <t>MAT-25-070</t>
        </is>
      </c>
      <c r="B990" s="7" t="inlineStr">
        <is>
          <t>Materiales</t>
        </is>
      </c>
      <c r="C990" s="7" t="inlineStr">
        <is>
          <t>Lavamanos y pedestales</t>
        </is>
      </c>
      <c r="D990" s="5" t="inlineStr">
        <is>
          <t>Lavamanos De Sobreponer Lucerna 1P</t>
        </is>
      </c>
      <c r="E990" s="5" t="inlineStr">
        <is>
          <t>marca HELVEX · referencia LV-2-1P</t>
        </is>
      </c>
      <c r="F990" s="5" t="inlineStr">
        <is>
          <t>Material retirado en almacén</t>
        </is>
      </c>
      <c r="G990" s="5" t="inlineStr">
        <is>
          <t>lavamanos, lavabo, lavatorio</t>
        </is>
      </c>
      <c r="H990" s="7" t="inlineStr">
        <is>
          <t>unidad</t>
        </is>
      </c>
      <c r="I990" s="7" t="inlineStr">
        <is>
          <t>Instalaciones</t>
        </is>
      </c>
      <c r="J990" s="7" t="inlineStr">
        <is>
          <t>estandar</t>
        </is>
      </c>
      <c r="K990" s="7" t="inlineStr">
        <is>
          <t>importado</t>
        </is>
      </c>
      <c r="L990" s="7" t="inlineStr">
        <is>
          <t>Verificado</t>
        </is>
      </c>
      <c r="M990" s="8" t="n">
        <v>1</v>
      </c>
      <c r="N990" s="9" t="n">
        <v>13554.16</v>
      </c>
      <c r="O990" s="9" t="n">
        <v>13554.16</v>
      </c>
      <c r="P990" s="9" t="n">
        <v>13554.16</v>
      </c>
      <c r="Q990" s="7" t="inlineStr">
        <is>
          <t>Sí</t>
        </is>
      </c>
      <c r="R990" s="9">
        <f>IF(N990="","",IF(Q990="Sí",ROUND(N990/1.18,2),N990))</f>
        <v/>
      </c>
      <c r="S990" s="7" t="inlineStr">
        <is>
          <t>2026-09-09</t>
        </is>
      </c>
      <c r="T990" s="5" t="inlineStr">
        <is>
          <t>1 cotización de proveedores</t>
        </is>
      </c>
    </row>
    <row r="991">
      <c r="A991" s="7" t="inlineStr">
        <is>
          <t>MAT-25-071</t>
        </is>
      </c>
      <c r="B991" s="7" t="inlineStr">
        <is>
          <t>Materiales</t>
        </is>
      </c>
      <c r="C991" s="7" t="inlineStr">
        <is>
          <t>Lavamanos y pedestales</t>
        </is>
      </c>
      <c r="D991" s="5" t="inlineStr">
        <is>
          <t>Lavamanos Helmi, blanco</t>
        </is>
      </c>
      <c r="E991" s="5" t="inlineStr">
        <is>
          <t>marca ULTRA · color blanco · referencia 8003BLANCO</t>
        </is>
      </c>
      <c r="F991" s="5" t="inlineStr">
        <is>
          <t>Material retirado en almacén</t>
        </is>
      </c>
      <c r="G991" s="5" t="inlineStr">
        <is>
          <t>lavamanos, lavabo, lavatorio</t>
        </is>
      </c>
      <c r="H991" s="7" t="inlineStr">
        <is>
          <t>unidad</t>
        </is>
      </c>
      <c r="I991" s="7" t="inlineStr">
        <is>
          <t>Instalaciones</t>
        </is>
      </c>
      <c r="J991" s="7" t="inlineStr">
        <is>
          <t>estandar</t>
        </is>
      </c>
      <c r="K991" s="7" t="inlineStr">
        <is>
          <t>importado</t>
        </is>
      </c>
      <c r="L991" s="7" t="inlineStr">
        <is>
          <t>Verificado</t>
        </is>
      </c>
      <c r="M991" s="8" t="n">
        <v>1</v>
      </c>
      <c r="N991" s="9" t="n">
        <v>15293.22</v>
      </c>
      <c r="O991" s="9" t="n">
        <v>15293.22</v>
      </c>
      <c r="P991" s="9" t="n">
        <v>15293.22</v>
      </c>
      <c r="Q991" s="7" t="inlineStr">
        <is>
          <t>Sí</t>
        </is>
      </c>
      <c r="R991" s="9">
        <f>IF(N991="","",IF(Q991="Sí",ROUND(N991/1.18,2),N991))</f>
        <v/>
      </c>
      <c r="S991" s="7" t="inlineStr">
        <is>
          <t>2026-09-09</t>
        </is>
      </c>
      <c r="T991" s="5" t="inlineStr">
        <is>
          <t>1 cotización de proveedores</t>
        </is>
      </c>
    </row>
    <row r="992">
      <c r="A992" s="7" t="inlineStr">
        <is>
          <t>MAT-25-072</t>
        </is>
      </c>
      <c r="B992" s="7" t="inlineStr">
        <is>
          <t>Materiales</t>
        </is>
      </c>
      <c r="C992" s="7" t="inlineStr">
        <is>
          <t>Lavamanos y pedestales</t>
        </is>
      </c>
      <c r="D992" s="5" t="inlineStr">
        <is>
          <t>Lavamanos Tuy Doble 120 Cm</t>
        </is>
      </c>
      <c r="E992" s="5" t="inlineStr">
        <is>
          <t>marca AML · referencia 2011000000640</t>
        </is>
      </c>
      <c r="F992" s="5" t="inlineStr">
        <is>
          <t>Material retirado en almacén</t>
        </is>
      </c>
      <c r="G992" s="5" t="inlineStr">
        <is>
          <t>lavamanos, lavabo, lavatorio</t>
        </is>
      </c>
      <c r="H992" s="7" t="inlineStr">
        <is>
          <t>unidad</t>
        </is>
      </c>
      <c r="I992" s="7" t="inlineStr">
        <is>
          <t>Instalaciones</t>
        </is>
      </c>
      <c r="J992" s="7" t="inlineStr">
        <is>
          <t>estandar</t>
        </is>
      </c>
      <c r="K992" s="7" t="inlineStr">
        <is>
          <t>importado</t>
        </is>
      </c>
      <c r="L992" s="7" t="inlineStr">
        <is>
          <t>Verificado</t>
        </is>
      </c>
      <c r="M992" s="8" t="n">
        <v>1</v>
      </c>
      <c r="N992" s="9" t="n">
        <v>17608.28</v>
      </c>
      <c r="O992" s="9" t="n">
        <v>17608.28</v>
      </c>
      <c r="P992" s="9" t="n">
        <v>17608.28</v>
      </c>
      <c r="Q992" s="7" t="inlineStr">
        <is>
          <t>Sí</t>
        </is>
      </c>
      <c r="R992" s="9">
        <f>IF(N992="","",IF(Q992="Sí",ROUND(N992/1.18,2),N992))</f>
        <v/>
      </c>
      <c r="S992" s="7" t="inlineStr">
        <is>
          <t>2026-09-09</t>
        </is>
      </c>
      <c r="T992" s="5" t="inlineStr">
        <is>
          <t>1 cotización de proveedores</t>
        </is>
      </c>
    </row>
    <row r="993">
      <c r="A993" s="7" t="inlineStr">
        <is>
          <t>MAT-25-073</t>
        </is>
      </c>
      <c r="B993" s="7" t="inlineStr">
        <is>
          <t>Materiales</t>
        </is>
      </c>
      <c r="C993" s="7" t="inlineStr">
        <is>
          <t>Lavamanos y pedestales</t>
        </is>
      </c>
      <c r="D993" s="5" t="inlineStr">
        <is>
          <t>Lavamanos Surt, blanco</t>
        </is>
      </c>
      <c r="E993" s="5" t="inlineStr">
        <is>
          <t>marca ULTRA · color blanco · referencia 8009BLANCO</t>
        </is>
      </c>
      <c r="F993" s="5" t="inlineStr">
        <is>
          <t>Material retirado en almacén</t>
        </is>
      </c>
      <c r="G993" s="5" t="inlineStr">
        <is>
          <t>lavamanos, lavabo, lavatorio</t>
        </is>
      </c>
      <c r="H993" s="7" t="inlineStr">
        <is>
          <t>unidad</t>
        </is>
      </c>
      <c r="I993" s="7" t="inlineStr">
        <is>
          <t>Instalaciones</t>
        </is>
      </c>
      <c r="J993" s="7" t="inlineStr">
        <is>
          <t>estandar</t>
        </is>
      </c>
      <c r="K993" s="7" t="inlineStr">
        <is>
          <t>importado</t>
        </is>
      </c>
      <c r="L993" s="7" t="inlineStr">
        <is>
          <t>Verificado</t>
        </is>
      </c>
      <c r="M993" s="8" t="n">
        <v>1</v>
      </c>
      <c r="N993" s="9" t="n">
        <v>17783.95</v>
      </c>
      <c r="O993" s="9" t="n">
        <v>17783.95</v>
      </c>
      <c r="P993" s="9" t="n">
        <v>17783.95</v>
      </c>
      <c r="Q993" s="7" t="inlineStr">
        <is>
          <t>Sí</t>
        </is>
      </c>
      <c r="R993" s="9">
        <f>IF(N993="","",IF(Q993="Sí",ROUND(N993/1.18,2),N993))</f>
        <v/>
      </c>
      <c r="S993" s="7" t="inlineStr">
        <is>
          <t>2026-09-09</t>
        </is>
      </c>
      <c r="T993" s="5" t="inlineStr">
        <is>
          <t>1 cotización de proveedores</t>
        </is>
      </c>
    </row>
    <row r="994">
      <c r="A994" s="7" t="inlineStr">
        <is>
          <t>MAT-25-074</t>
        </is>
      </c>
      <c r="B994" s="7" t="inlineStr">
        <is>
          <t>Materiales</t>
        </is>
      </c>
      <c r="C994" s="7" t="inlineStr">
        <is>
          <t>Lavamanos y pedestales</t>
        </is>
      </c>
      <c r="D994" s="5" t="inlineStr">
        <is>
          <t>Pedestal Magna, blanco</t>
        </is>
      </c>
      <c r="E994" s="5" t="inlineStr">
        <is>
          <t>marca ULTRA · color blanco · referencia 3209FBLANCO</t>
        </is>
      </c>
      <c r="F994" s="5" t="inlineStr">
        <is>
          <t>Material retirado en almacén</t>
        </is>
      </c>
      <c r="G994" s="5" t="inlineStr">
        <is>
          <t>pedestal, pie de lavamanos</t>
        </is>
      </c>
      <c r="H994" s="7" t="inlineStr">
        <is>
          <t>unidad</t>
        </is>
      </c>
      <c r="I994" s="7" t="inlineStr">
        <is>
          <t>Instalaciones</t>
        </is>
      </c>
      <c r="J994" s="7" t="inlineStr">
        <is>
          <t>estandar</t>
        </is>
      </c>
      <c r="K994" s="7" t="inlineStr">
        <is>
          <t>importado</t>
        </is>
      </c>
      <c r="L994" s="7" t="inlineStr">
        <is>
          <t>Verificado</t>
        </is>
      </c>
      <c r="M994" s="8" t="n">
        <v>1</v>
      </c>
      <c r="N994" s="9" t="n">
        <v>891.27</v>
      </c>
      <c r="O994" s="9" t="n">
        <v>891.27</v>
      </c>
      <c r="P994" s="9" t="n">
        <v>891.27</v>
      </c>
      <c r="Q994" s="7" t="inlineStr">
        <is>
          <t>Sí</t>
        </is>
      </c>
      <c r="R994" s="9">
        <f>IF(N994="","",IF(Q994="Sí",ROUND(N994/1.18,2),N994))</f>
        <v/>
      </c>
      <c r="S994" s="7" t="inlineStr">
        <is>
          <t>2026-09-09</t>
        </is>
      </c>
      <c r="T994" s="5" t="inlineStr">
        <is>
          <t>1 cotización de proveedores</t>
        </is>
      </c>
    </row>
    <row r="995">
      <c r="A995" s="7" t="inlineStr">
        <is>
          <t>MAT-25-075</t>
        </is>
      </c>
      <c r="B995" s="7" t="inlineStr">
        <is>
          <t>Materiales</t>
        </is>
      </c>
      <c r="C995" s="7" t="inlineStr">
        <is>
          <t>Lavamanos y pedestales</t>
        </is>
      </c>
      <c r="D995" s="5" t="inlineStr">
        <is>
          <t>Pedestal Vallarta, blanco</t>
        </is>
      </c>
      <c r="E995" s="5" t="inlineStr">
        <is>
          <t>marca ITALGRIF · color blanco · referencia BLANCO</t>
        </is>
      </c>
      <c r="F995" s="5" t="inlineStr">
        <is>
          <t>Material retirado en almacén</t>
        </is>
      </c>
      <c r="G995" s="5" t="inlineStr">
        <is>
          <t>pedestal, pie de lavamanos</t>
        </is>
      </c>
      <c r="H995" s="7" t="inlineStr">
        <is>
          <t>unidad</t>
        </is>
      </c>
      <c r="I995" s="7" t="inlineStr">
        <is>
          <t>Instalaciones</t>
        </is>
      </c>
      <c r="J995" s="7" t="inlineStr">
        <is>
          <t>estandar</t>
        </is>
      </c>
      <c r="K995" s="7" t="inlineStr">
        <is>
          <t>importado</t>
        </is>
      </c>
      <c r="L995" s="7" t="inlineStr">
        <is>
          <t>Verificado</t>
        </is>
      </c>
      <c r="M995" s="8" t="n">
        <v>1</v>
      </c>
      <c r="N995" s="9" t="n">
        <v>979.72</v>
      </c>
      <c r="O995" s="9" t="n">
        <v>979.72</v>
      </c>
      <c r="P995" s="9" t="n">
        <v>979.72</v>
      </c>
      <c r="Q995" s="7" t="inlineStr">
        <is>
          <t>Sí</t>
        </is>
      </c>
      <c r="R995" s="9">
        <f>IF(N995="","",IF(Q995="Sí",ROUND(N995/1.18,2),N995))</f>
        <v/>
      </c>
      <c r="S995" s="7" t="inlineStr">
        <is>
          <t>2026-09-09</t>
        </is>
      </c>
      <c r="T995" s="5" t="inlineStr">
        <is>
          <t>1 cotización de proveedores</t>
        </is>
      </c>
    </row>
    <row r="996">
      <c r="A996" s="7" t="inlineStr">
        <is>
          <t>MAT-25-076</t>
        </is>
      </c>
      <c r="B996" s="7" t="inlineStr">
        <is>
          <t>Materiales</t>
        </is>
      </c>
      <c r="C996" s="7" t="inlineStr">
        <is>
          <t>Lavamanos y pedestales</t>
        </is>
      </c>
      <c r="D996" s="5" t="inlineStr">
        <is>
          <t>Pedestal Erie, blanco</t>
        </is>
      </c>
      <c r="E996" s="5" t="inlineStr">
        <is>
          <t>marca ULTRA · color blanco · referencia BLANCO</t>
        </is>
      </c>
      <c r="F996" s="5" t="inlineStr">
        <is>
          <t>Material retirado en almacén</t>
        </is>
      </c>
      <c r="G996" s="5" t="inlineStr">
        <is>
          <t>pedestal, pie de lavamanos</t>
        </is>
      </c>
      <c r="H996" s="7" t="inlineStr">
        <is>
          <t>unidad</t>
        </is>
      </c>
      <c r="I996" s="7" t="inlineStr">
        <is>
          <t>Instalaciones</t>
        </is>
      </c>
      <c r="J996" s="7" t="inlineStr">
        <is>
          <t>estandar</t>
        </is>
      </c>
      <c r="K996" s="7" t="inlineStr">
        <is>
          <t>importado</t>
        </is>
      </c>
      <c r="L996" s="7" t="inlineStr">
        <is>
          <t>Verificado</t>
        </is>
      </c>
      <c r="M996" s="8" t="n">
        <v>1</v>
      </c>
      <c r="N996" s="9" t="n">
        <v>1093</v>
      </c>
      <c r="O996" s="9" t="n">
        <v>1093</v>
      </c>
      <c r="P996" s="9" t="n">
        <v>1093</v>
      </c>
      <c r="Q996" s="7" t="inlineStr">
        <is>
          <t>Sí</t>
        </is>
      </c>
      <c r="R996" s="9">
        <f>IF(N996="","",IF(Q996="Sí",ROUND(N996/1.18,2),N996))</f>
        <v/>
      </c>
      <c r="S996" s="7" t="inlineStr">
        <is>
          <t>2026-09-09</t>
        </is>
      </c>
      <c r="T996" s="5" t="inlineStr">
        <is>
          <t>1 cotización de proveedores</t>
        </is>
      </c>
    </row>
    <row r="997">
      <c r="A997" s="7" t="inlineStr">
        <is>
          <t>MAT-25-077</t>
        </is>
      </c>
      <c r="B997" s="7" t="inlineStr">
        <is>
          <t>Materiales</t>
        </is>
      </c>
      <c r="C997" s="7" t="inlineStr">
        <is>
          <t>Lavamanos y pedestales</t>
        </is>
      </c>
      <c r="D997" s="5" t="inlineStr">
        <is>
          <t>Pedestal Universal, blanco</t>
        </is>
      </c>
      <c r="E997" s="5" t="inlineStr">
        <is>
          <t>marca TREBOL · color blanco · referencia BLANCO</t>
        </is>
      </c>
      <c r="F997" s="5" t="inlineStr">
        <is>
          <t>Material retirado en almacén</t>
        </is>
      </c>
      <c r="G997" s="5" t="inlineStr">
        <is>
          <t>pedestal, pie de lavamanos</t>
        </is>
      </c>
      <c r="H997" s="7" t="inlineStr">
        <is>
          <t>unidad</t>
        </is>
      </c>
      <c r="I997" s="7" t="inlineStr">
        <is>
          <t>Instalaciones</t>
        </is>
      </c>
      <c r="J997" s="7" t="inlineStr">
        <is>
          <t>estandar</t>
        </is>
      </c>
      <c r="K997" s="7" t="inlineStr">
        <is>
          <t>importado</t>
        </is>
      </c>
      <c r="L997" s="7" t="inlineStr">
        <is>
          <t>Verificado</t>
        </is>
      </c>
      <c r="M997" s="8" t="n">
        <v>1</v>
      </c>
      <c r="N997" s="9" t="n">
        <v>1102.1</v>
      </c>
      <c r="O997" s="9" t="n">
        <v>1102.1</v>
      </c>
      <c r="P997" s="9" t="n">
        <v>1102.1</v>
      </c>
      <c r="Q997" s="7" t="inlineStr">
        <is>
          <t>Sí</t>
        </is>
      </c>
      <c r="R997" s="9">
        <f>IF(N997="","",IF(Q997="Sí",ROUND(N997/1.18,2),N997))</f>
        <v/>
      </c>
      <c r="S997" s="7" t="inlineStr">
        <is>
          <t>2026-09-09</t>
        </is>
      </c>
      <c r="T997" s="5" t="inlineStr">
        <is>
          <t>1 cotización de proveedores</t>
        </is>
      </c>
    </row>
    <row r="998">
      <c r="A998" s="7" t="inlineStr">
        <is>
          <t>MAT-25-078</t>
        </is>
      </c>
      <c r="B998" s="7" t="inlineStr">
        <is>
          <t>Materiales</t>
        </is>
      </c>
      <c r="C998" s="7" t="inlineStr">
        <is>
          <t>Lavamanos y pedestales</t>
        </is>
      </c>
      <c r="D998" s="5" t="inlineStr">
        <is>
          <t>Pedestal Caprio, blanco</t>
        </is>
      </c>
      <c r="E998" s="5" t="inlineStr">
        <is>
          <t>marca ULTRA · color blanco · referencia BLANCO</t>
        </is>
      </c>
      <c r="F998" s="5" t="inlineStr">
        <is>
          <t>Material retirado en almacén</t>
        </is>
      </c>
      <c r="G998" s="5" t="inlineStr">
        <is>
          <t>pedestal, pie de lavamanos</t>
        </is>
      </c>
      <c r="H998" s="7" t="inlineStr">
        <is>
          <t>unidad</t>
        </is>
      </c>
      <c r="I998" s="7" t="inlineStr">
        <is>
          <t>Instalaciones</t>
        </is>
      </c>
      <c r="J998" s="7" t="inlineStr">
        <is>
          <t>estandar</t>
        </is>
      </c>
      <c r="K998" s="7" t="inlineStr">
        <is>
          <t>importado</t>
        </is>
      </c>
      <c r="L998" s="7" t="inlineStr">
        <is>
          <t>Verificado</t>
        </is>
      </c>
      <c r="M998" s="8" t="n">
        <v>1</v>
      </c>
      <c r="N998" s="9" t="n">
        <v>1327.39</v>
      </c>
      <c r="O998" s="9" t="n">
        <v>1327.39</v>
      </c>
      <c r="P998" s="9" t="n">
        <v>1327.39</v>
      </c>
      <c r="Q998" s="7" t="inlineStr">
        <is>
          <t>Sí</t>
        </is>
      </c>
      <c r="R998" s="9">
        <f>IF(N998="","",IF(Q998="Sí",ROUND(N998/1.18,2),N998))</f>
        <v/>
      </c>
      <c r="S998" s="7" t="inlineStr">
        <is>
          <t>2026-09-09</t>
        </is>
      </c>
      <c r="T998" s="5" t="inlineStr">
        <is>
          <t>1 cotización de proveedores</t>
        </is>
      </c>
    </row>
    <row r="999">
      <c r="A999" s="7" t="inlineStr">
        <is>
          <t>MAT-25-079</t>
        </is>
      </c>
      <c r="B999" s="7" t="inlineStr">
        <is>
          <t>Materiales</t>
        </is>
      </c>
      <c r="C999" s="7" t="inlineStr">
        <is>
          <t>Lavamanos y pedestales</t>
        </is>
      </c>
      <c r="D999" s="5" t="inlineStr">
        <is>
          <t>Pedestal Lucas, negro</t>
        </is>
      </c>
      <c r="E999" s="5" t="inlineStr">
        <is>
          <t>marca CATO · color negro · referencia NEGRO</t>
        </is>
      </c>
      <c r="F999" s="5" t="inlineStr">
        <is>
          <t>Material retirado en almacén</t>
        </is>
      </c>
      <c r="G999" s="5" t="inlineStr">
        <is>
          <t>pedestal, pie de lavamanos</t>
        </is>
      </c>
      <c r="H999" s="7" t="inlineStr">
        <is>
          <t>unidad</t>
        </is>
      </c>
      <c r="I999" s="7" t="inlineStr">
        <is>
          <t>Instalaciones</t>
        </is>
      </c>
      <c r="J999" s="7" t="inlineStr">
        <is>
          <t>estandar</t>
        </is>
      </c>
      <c r="K999" s="7" t="inlineStr">
        <is>
          <t>importado</t>
        </is>
      </c>
      <c r="L999" s="7" t="inlineStr">
        <is>
          <t>Verificado</t>
        </is>
      </c>
      <c r="M999" s="8" t="n">
        <v>1</v>
      </c>
      <c r="N999" s="9" t="n">
        <v>1618.35</v>
      </c>
      <c r="O999" s="9" t="n">
        <v>1618.35</v>
      </c>
      <c r="P999" s="9" t="n">
        <v>1618.35</v>
      </c>
      <c r="Q999" s="7" t="inlineStr">
        <is>
          <t>Sí</t>
        </is>
      </c>
      <c r="R999" s="9">
        <f>IF(N999="","",IF(Q999="Sí",ROUND(N999/1.18,2),N999))</f>
        <v/>
      </c>
      <c r="S999" s="7" t="inlineStr">
        <is>
          <t>2026-09-09</t>
        </is>
      </c>
      <c r="T999" s="5" t="inlineStr">
        <is>
          <t>1 cotización de proveedores</t>
        </is>
      </c>
    </row>
    <row r="1000">
      <c r="A1000" s="7" t="inlineStr">
        <is>
          <t>MAT-25-080</t>
        </is>
      </c>
      <c r="B1000" s="7" t="inlineStr">
        <is>
          <t>Materiales</t>
        </is>
      </c>
      <c r="C1000" s="7" t="inlineStr">
        <is>
          <t>Lavamanos y pedestales</t>
        </is>
      </c>
      <c r="D1000" s="5" t="inlineStr">
        <is>
          <t>Pedestal Para Lavamanos Goya, blanco</t>
        </is>
      </c>
      <c r="E1000" s="5" t="inlineStr">
        <is>
          <t>marca CATO · color blanco · referencia BLANCO</t>
        </is>
      </c>
      <c r="F1000" s="5" t="inlineStr">
        <is>
          <t>Material retirado en almacén</t>
        </is>
      </c>
      <c r="G1000" s="5" t="inlineStr">
        <is>
          <t>pedestal, pie de lavamanos</t>
        </is>
      </c>
      <c r="H1000" s="7" t="inlineStr">
        <is>
          <t>unidad</t>
        </is>
      </c>
      <c r="I1000" s="7" t="inlineStr">
        <is>
          <t>Instalaciones</t>
        </is>
      </c>
      <c r="J1000" s="7" t="inlineStr">
        <is>
          <t>estandar</t>
        </is>
      </c>
      <c r="K1000" s="7" t="inlineStr">
        <is>
          <t>importado</t>
        </is>
      </c>
      <c r="L1000" s="7" t="inlineStr">
        <is>
          <t>Verificado</t>
        </is>
      </c>
      <c r="M1000" s="8" t="n">
        <v>1</v>
      </c>
      <c r="N1000" s="9" t="n">
        <v>1778.99</v>
      </c>
      <c r="O1000" s="9" t="n">
        <v>1778.99</v>
      </c>
      <c r="P1000" s="9" t="n">
        <v>1778.99</v>
      </c>
      <c r="Q1000" s="7" t="inlineStr">
        <is>
          <t>Sí</t>
        </is>
      </c>
      <c r="R1000" s="9">
        <f>IF(N1000="","",IF(Q1000="Sí",ROUND(N1000/1.18,2),N1000))</f>
        <v/>
      </c>
      <c r="S1000" s="7" t="inlineStr">
        <is>
          <t>2026-09-09</t>
        </is>
      </c>
      <c r="T1000" s="5" t="inlineStr">
        <is>
          <t>1 cotización de proveedores</t>
        </is>
      </c>
    </row>
    <row r="1001">
      <c r="A1001" s="7" t="inlineStr">
        <is>
          <t>MAT-25-081</t>
        </is>
      </c>
      <c r="B1001" s="7" t="inlineStr">
        <is>
          <t>Materiales</t>
        </is>
      </c>
      <c r="C1001" s="7" t="inlineStr">
        <is>
          <t>Lavamanos y pedestales</t>
        </is>
      </c>
      <c r="D1001" s="5" t="inlineStr">
        <is>
          <t>Pedestal Para Lavamanos Jazmin, blanco</t>
        </is>
      </c>
      <c r="E1001" s="5" t="inlineStr">
        <is>
          <t>marca CATO · color blanco · referencia BLANCO</t>
        </is>
      </c>
      <c r="F1001" s="5" t="inlineStr">
        <is>
          <t>Material retirado en almacén</t>
        </is>
      </c>
      <c r="G1001" s="5" t="inlineStr">
        <is>
          <t>pedestal, pie de lavamanos</t>
        </is>
      </c>
      <c r="H1001" s="7" t="inlineStr">
        <is>
          <t>unidad</t>
        </is>
      </c>
      <c r="I1001" s="7" t="inlineStr">
        <is>
          <t>Instalaciones</t>
        </is>
      </c>
      <c r="J1001" s="7" t="inlineStr">
        <is>
          <t>estandar</t>
        </is>
      </c>
      <c r="K1001" s="7" t="inlineStr">
        <is>
          <t>importado</t>
        </is>
      </c>
      <c r="L1001" s="7" t="inlineStr">
        <is>
          <t>Verificado</t>
        </is>
      </c>
      <c r="M1001" s="8" t="n">
        <v>1</v>
      </c>
      <c r="N1001" s="9" t="n">
        <v>1986.77</v>
      </c>
      <c r="O1001" s="9" t="n">
        <v>1986.77</v>
      </c>
      <c r="P1001" s="9" t="n">
        <v>1986.77</v>
      </c>
      <c r="Q1001" s="7" t="inlineStr">
        <is>
          <t>Sí</t>
        </is>
      </c>
      <c r="R1001" s="9">
        <f>IF(N1001="","",IF(Q1001="Sí",ROUND(N1001/1.18,2),N1001))</f>
        <v/>
      </c>
      <c r="S1001" s="7" t="inlineStr">
        <is>
          <t>2026-09-09</t>
        </is>
      </c>
      <c r="T1001" s="5" t="inlineStr">
        <is>
          <t>1 cotización de proveedores</t>
        </is>
      </c>
    </row>
    <row r="1002">
      <c r="A1002" s="7" t="inlineStr">
        <is>
          <t>MAT-25-082</t>
        </is>
      </c>
      <c r="B1002" s="7" t="inlineStr">
        <is>
          <t>Materiales</t>
        </is>
      </c>
      <c r="C1002" s="7" t="inlineStr">
        <is>
          <t>Lavamanos y pedestales</t>
        </is>
      </c>
      <c r="D1002" s="5" t="inlineStr">
        <is>
          <t>Pedestal Para Lavamanos Terra, blanco</t>
        </is>
      </c>
      <c r="E1002" s="5" t="inlineStr">
        <is>
          <t>marca CATO · color blanco · referencia BLANCO</t>
        </is>
      </c>
      <c r="F1002" s="5" t="inlineStr">
        <is>
          <t>Material retirado en almacén</t>
        </is>
      </c>
      <c r="G1002" s="5" t="inlineStr">
        <is>
          <t>pedestal, pie de lavamanos</t>
        </is>
      </c>
      <c r="H1002" s="7" t="inlineStr">
        <is>
          <t>unidad</t>
        </is>
      </c>
      <c r="I1002" s="7" t="inlineStr">
        <is>
          <t>Instalaciones</t>
        </is>
      </c>
      <c r="J1002" s="7" t="inlineStr">
        <is>
          <t>estandar</t>
        </is>
      </c>
      <c r="K1002" s="7" t="inlineStr">
        <is>
          <t>importado</t>
        </is>
      </c>
      <c r="L1002" s="7" t="inlineStr">
        <is>
          <t>Verificado</t>
        </is>
      </c>
      <c r="M1002" s="8" t="n">
        <v>1</v>
      </c>
      <c r="N1002" s="9" t="n">
        <v>2014.01</v>
      </c>
      <c r="O1002" s="9" t="n">
        <v>2014.01</v>
      </c>
      <c r="P1002" s="9" t="n">
        <v>2014.01</v>
      </c>
      <c r="Q1002" s="7" t="inlineStr">
        <is>
          <t>Sí</t>
        </is>
      </c>
      <c r="R1002" s="9">
        <f>IF(N1002="","",IF(Q1002="Sí",ROUND(N1002/1.18,2),N1002))</f>
        <v/>
      </c>
      <c r="S1002" s="7" t="inlineStr">
        <is>
          <t>2026-09-09</t>
        </is>
      </c>
      <c r="T1002" s="5" t="inlineStr">
        <is>
          <t>1 cotización de proveedores</t>
        </is>
      </c>
    </row>
    <row r="1003">
      <c r="A1003" s="7" t="inlineStr">
        <is>
          <t>MAT-25-083</t>
        </is>
      </c>
      <c r="B1003" s="7" t="inlineStr">
        <is>
          <t>Materiales</t>
        </is>
      </c>
      <c r="C1003" s="7" t="inlineStr">
        <is>
          <t>Lavamanos y pedestales</t>
        </is>
      </c>
      <c r="D1003" s="5" t="inlineStr">
        <is>
          <t>Pedestal Zurich, blanco</t>
        </is>
      </c>
      <c r="E1003" s="5" t="inlineStr">
        <is>
          <t>marca CATO · color blanco · referencia BLANCO</t>
        </is>
      </c>
      <c r="F1003" s="5" t="inlineStr">
        <is>
          <t>Material retirado en almacén</t>
        </is>
      </c>
      <c r="G1003" s="5" t="inlineStr">
        <is>
          <t>pedestal, pie de lavamanos</t>
        </is>
      </c>
      <c r="H1003" s="7" t="inlineStr">
        <is>
          <t>unidad</t>
        </is>
      </c>
      <c r="I1003" s="7" t="inlineStr">
        <is>
          <t>Instalaciones</t>
        </is>
      </c>
      <c r="J1003" s="7" t="inlineStr">
        <is>
          <t>estandar</t>
        </is>
      </c>
      <c r="K1003" s="7" t="inlineStr">
        <is>
          <t>importado</t>
        </is>
      </c>
      <c r="L1003" s="7" t="inlineStr">
        <is>
          <t>Verificado</t>
        </is>
      </c>
      <c r="M1003" s="8" t="n">
        <v>1</v>
      </c>
      <c r="N1003" s="9" t="n">
        <v>2014.28</v>
      </c>
      <c r="O1003" s="9" t="n">
        <v>2014.28</v>
      </c>
      <c r="P1003" s="9" t="n">
        <v>2014.28</v>
      </c>
      <c r="Q1003" s="7" t="inlineStr">
        <is>
          <t>Sí</t>
        </is>
      </c>
      <c r="R1003" s="9">
        <f>IF(N1003="","",IF(Q1003="Sí",ROUND(N1003/1.18,2),N1003))</f>
        <v/>
      </c>
      <c r="S1003" s="7" t="inlineStr">
        <is>
          <t>2026-09-09</t>
        </is>
      </c>
      <c r="T1003" s="5" t="inlineStr">
        <is>
          <t>1 cotización de proveedores</t>
        </is>
      </c>
    </row>
    <row r="1004">
      <c r="A1004" s="7" t="inlineStr">
        <is>
          <t>MAT-25-084</t>
        </is>
      </c>
      <c r="B1004" s="7" t="inlineStr">
        <is>
          <t>Materiales</t>
        </is>
      </c>
      <c r="C1004" s="7" t="inlineStr">
        <is>
          <t>Lavamanos y pedestales</t>
        </is>
      </c>
      <c r="D1004" s="5" t="inlineStr">
        <is>
          <t>Pedestal Lavamanos Milenio, blanco</t>
        </is>
      </c>
      <c r="E1004" s="5" t="inlineStr">
        <is>
          <t>marca CATO · color blanco · referencia BLANCO</t>
        </is>
      </c>
      <c r="F1004" s="5" t="inlineStr">
        <is>
          <t>Material retirado en almacén</t>
        </is>
      </c>
      <c r="G1004" s="5" t="inlineStr">
        <is>
          <t>pedestal, pie de lavamanos</t>
        </is>
      </c>
      <c r="H1004" s="7" t="inlineStr">
        <is>
          <t>unidad</t>
        </is>
      </c>
      <c r="I1004" s="7" t="inlineStr">
        <is>
          <t>Instalaciones</t>
        </is>
      </c>
      <c r="J1004" s="7" t="inlineStr">
        <is>
          <t>estandar</t>
        </is>
      </c>
      <c r="K1004" s="7" t="inlineStr">
        <is>
          <t>importado</t>
        </is>
      </c>
      <c r="L1004" s="7" t="inlineStr">
        <is>
          <t>Verificado</t>
        </is>
      </c>
      <c r="M1004" s="8" t="n">
        <v>1</v>
      </c>
      <c r="N1004" s="9" t="n">
        <v>2016.67</v>
      </c>
      <c r="O1004" s="9" t="n">
        <v>2016.67</v>
      </c>
      <c r="P1004" s="9" t="n">
        <v>2016.67</v>
      </c>
      <c r="Q1004" s="7" t="inlineStr">
        <is>
          <t>Sí</t>
        </is>
      </c>
      <c r="R1004" s="9">
        <f>IF(N1004="","",IF(Q1004="Sí",ROUND(N1004/1.18,2),N1004))</f>
        <v/>
      </c>
      <c r="S1004" s="7" t="inlineStr">
        <is>
          <t>2026-09-09</t>
        </is>
      </c>
      <c r="T1004" s="5" t="inlineStr">
        <is>
          <t>1 cotización de proveedores</t>
        </is>
      </c>
    </row>
    <row r="1005">
      <c r="A1005" s="7" t="inlineStr">
        <is>
          <t>MAT-25-085</t>
        </is>
      </c>
      <c r="B1005" s="7" t="inlineStr">
        <is>
          <t>Materiales</t>
        </is>
      </c>
      <c r="C1005" s="7" t="inlineStr">
        <is>
          <t>Lavamanos y pedestales</t>
        </is>
      </c>
      <c r="D1005" s="5" t="inlineStr">
        <is>
          <t>Pedestal Para Lavamanos Goya, marfil</t>
        </is>
      </c>
      <c r="E1005" s="5" t="inlineStr">
        <is>
          <t>marca CATO · color marfil · referencia MARFIL</t>
        </is>
      </c>
      <c r="F1005" s="5" t="inlineStr">
        <is>
          <t>Material retirado en almacén</t>
        </is>
      </c>
      <c r="G1005" s="5" t="inlineStr">
        <is>
          <t>pedestal, pie de lavamanos</t>
        </is>
      </c>
      <c r="H1005" s="7" t="inlineStr">
        <is>
          <t>unidad</t>
        </is>
      </c>
      <c r="I1005" s="7" t="inlineStr">
        <is>
          <t>Instalaciones</t>
        </is>
      </c>
      <c r="J1005" s="7" t="inlineStr">
        <is>
          <t>estandar</t>
        </is>
      </c>
      <c r="K1005" s="7" t="inlineStr">
        <is>
          <t>importado</t>
        </is>
      </c>
      <c r="L1005" s="7" t="inlineStr">
        <is>
          <t>Verificado</t>
        </is>
      </c>
      <c r="M1005" s="8" t="n">
        <v>1</v>
      </c>
      <c r="N1005" s="9" t="n">
        <v>2276.8</v>
      </c>
      <c r="O1005" s="9" t="n">
        <v>2276.8</v>
      </c>
      <c r="P1005" s="9" t="n">
        <v>2276.8</v>
      </c>
      <c r="Q1005" s="7" t="inlineStr">
        <is>
          <t>Sí</t>
        </is>
      </c>
      <c r="R1005" s="9">
        <f>IF(N1005="","",IF(Q1005="Sí",ROUND(N1005/1.18,2),N1005))</f>
        <v/>
      </c>
      <c r="S1005" s="7" t="inlineStr">
        <is>
          <t>2026-09-09</t>
        </is>
      </c>
      <c r="T1005" s="5" t="inlineStr">
        <is>
          <t>1 cotización de proveedores</t>
        </is>
      </c>
    </row>
    <row r="1006">
      <c r="A1006" s="7" t="inlineStr">
        <is>
          <t>MAT-25-086</t>
        </is>
      </c>
      <c r="B1006" s="7" t="inlineStr">
        <is>
          <t>Materiales</t>
        </is>
      </c>
      <c r="C1006" s="7" t="inlineStr">
        <is>
          <t>Lavamanos y pedestales</t>
        </is>
      </c>
      <c r="D1006" s="5" t="inlineStr">
        <is>
          <t>Pedestal Para Lavamanos, marfil</t>
        </is>
      </c>
      <c r="E1006" s="5" t="inlineStr">
        <is>
          <t>marca CATO · color marfil · referencia MARFIL</t>
        </is>
      </c>
      <c r="F1006" s="5" t="inlineStr">
        <is>
          <t>Material retirado en almacén</t>
        </is>
      </c>
      <c r="G1006" s="5" t="inlineStr">
        <is>
          <t>pedestal, pie de lavamanos</t>
        </is>
      </c>
      <c r="H1006" s="7" t="inlineStr">
        <is>
          <t>unidad</t>
        </is>
      </c>
      <c r="I1006" s="7" t="inlineStr">
        <is>
          <t>Instalaciones</t>
        </is>
      </c>
      <c r="J1006" s="7" t="inlineStr">
        <is>
          <t>estandar</t>
        </is>
      </c>
      <c r="K1006" s="7" t="inlineStr">
        <is>
          <t>importado</t>
        </is>
      </c>
      <c r="L1006" s="7" t="inlineStr">
        <is>
          <t>Verificado</t>
        </is>
      </c>
      <c r="M1006" s="8" t="n">
        <v>1</v>
      </c>
      <c r="N1006" s="9" t="n">
        <v>2331.49</v>
      </c>
      <c r="O1006" s="9" t="n">
        <v>2305.73</v>
      </c>
      <c r="P1006" s="9" t="n">
        <v>2357.25</v>
      </c>
      <c r="Q1006" s="7" t="inlineStr">
        <is>
          <t>Sí</t>
        </is>
      </c>
      <c r="R1006" s="9">
        <f>IF(N1006="","",IF(Q1006="Sí",ROUND(N1006/1.18,2),N1006))</f>
        <v/>
      </c>
      <c r="S1006" s="7" t="inlineStr">
        <is>
          <t>2026-09-09</t>
        </is>
      </c>
      <c r="T1006" s="5" t="inlineStr">
        <is>
          <t>2 cotizaciones de proveedores</t>
        </is>
      </c>
    </row>
    <row r="1007">
      <c r="A1007" s="7" t="inlineStr">
        <is>
          <t>MAT-25-087</t>
        </is>
      </c>
      <c r="B1007" s="7" t="inlineStr">
        <is>
          <t>Materiales</t>
        </is>
      </c>
      <c r="C1007" s="7" t="inlineStr">
        <is>
          <t>Lavamanos y pedestales</t>
        </is>
      </c>
      <c r="D1007" s="5" t="inlineStr">
        <is>
          <t>Pedestal Para Lavamanos Zurich, marfil</t>
        </is>
      </c>
      <c r="E1007" s="5" t="inlineStr">
        <is>
          <t>marca CATO · color marfil · referencia MARFIL</t>
        </is>
      </c>
      <c r="F1007" s="5" t="inlineStr">
        <is>
          <t>Material retirado en almacén</t>
        </is>
      </c>
      <c r="G1007" s="5" t="inlineStr">
        <is>
          <t>pedestal, pie de lavamanos</t>
        </is>
      </c>
      <c r="H1007" s="7" t="inlineStr">
        <is>
          <t>unidad</t>
        </is>
      </c>
      <c r="I1007" s="7" t="inlineStr">
        <is>
          <t>Instalaciones</t>
        </is>
      </c>
      <c r="J1007" s="7" t="inlineStr">
        <is>
          <t>estandar</t>
        </is>
      </c>
      <c r="K1007" s="7" t="inlineStr">
        <is>
          <t>importado</t>
        </is>
      </c>
      <c r="L1007" s="7" t="inlineStr">
        <is>
          <t>Verificado</t>
        </is>
      </c>
      <c r="M1007" s="8" t="n">
        <v>1</v>
      </c>
      <c r="N1007" s="9" t="n">
        <v>2376.73</v>
      </c>
      <c r="O1007" s="9" t="n">
        <v>2376.73</v>
      </c>
      <c r="P1007" s="9" t="n">
        <v>2376.73</v>
      </c>
      <c r="Q1007" s="7" t="inlineStr">
        <is>
          <t>Sí</t>
        </is>
      </c>
      <c r="R1007" s="9">
        <f>IF(N1007="","",IF(Q1007="Sí",ROUND(N1007/1.18,2),N1007))</f>
        <v/>
      </c>
      <c r="S1007" s="7" t="inlineStr">
        <is>
          <t>2026-09-09</t>
        </is>
      </c>
      <c r="T1007" s="5" t="inlineStr">
        <is>
          <t>1 cotización de proveedores</t>
        </is>
      </c>
    </row>
    <row r="1008">
      <c r="A1008" s="7" t="inlineStr">
        <is>
          <t>MAT-25-088</t>
        </is>
      </c>
      <c r="B1008" s="7" t="inlineStr">
        <is>
          <t>Materiales</t>
        </is>
      </c>
      <c r="C1008" s="7" t="inlineStr">
        <is>
          <t>Lavamanos y pedestales</t>
        </is>
      </c>
      <c r="D1008" s="5" t="inlineStr">
        <is>
          <t>Pedestal Milenio, marfil</t>
        </is>
      </c>
      <c r="E1008" s="5" t="inlineStr">
        <is>
          <t>marca CATO · color marfil · referencia MARFIL</t>
        </is>
      </c>
      <c r="F1008" s="5" t="inlineStr">
        <is>
          <t>Material retirado en almacén</t>
        </is>
      </c>
      <c r="G1008" s="5" t="inlineStr">
        <is>
          <t>pedestal, pie de lavamanos</t>
        </is>
      </c>
      <c r="H1008" s="7" t="inlineStr">
        <is>
          <t>unidad</t>
        </is>
      </c>
      <c r="I1008" s="7" t="inlineStr">
        <is>
          <t>Instalaciones</t>
        </is>
      </c>
      <c r="J1008" s="7" t="inlineStr">
        <is>
          <t>estandar</t>
        </is>
      </c>
      <c r="K1008" s="7" t="inlineStr">
        <is>
          <t>importado</t>
        </is>
      </c>
      <c r="L1008" s="7" t="inlineStr">
        <is>
          <t>Verificado</t>
        </is>
      </c>
      <c r="M1008" s="8" t="n">
        <v>1</v>
      </c>
      <c r="N1008" s="9" t="n">
        <v>2382.44</v>
      </c>
      <c r="O1008" s="9" t="n">
        <v>2382.44</v>
      </c>
      <c r="P1008" s="9" t="n">
        <v>2382.44</v>
      </c>
      <c r="Q1008" s="7" t="inlineStr">
        <is>
          <t>Sí</t>
        </is>
      </c>
      <c r="R1008" s="9">
        <f>IF(N1008="","",IF(Q1008="Sí",ROUND(N1008/1.18,2),N1008))</f>
        <v/>
      </c>
      <c r="S1008" s="7" t="inlineStr">
        <is>
          <t>2026-09-09</t>
        </is>
      </c>
      <c r="T1008" s="5" t="inlineStr">
        <is>
          <t>1 cotización de proveedores</t>
        </is>
      </c>
    </row>
    <row r="1009">
      <c r="A1009" s="7" t="inlineStr">
        <is>
          <t>MAT-25-089</t>
        </is>
      </c>
      <c r="B1009" s="7" t="inlineStr">
        <is>
          <t>Materiales</t>
        </is>
      </c>
      <c r="C1009" s="7" t="inlineStr">
        <is>
          <t>Lavamanos y pedestales</t>
        </is>
      </c>
      <c r="D1009" s="5" t="inlineStr">
        <is>
          <t>Pata Volga 30 (Kit 2 Uds. 2.5 x 2.5 Negro)</t>
        </is>
      </c>
      <c r="E1009" s="5" t="inlineStr">
        <is>
          <t>marca AML · referencia 20230435</t>
        </is>
      </c>
      <c r="F1009" s="5" t="inlineStr">
        <is>
          <t>Material retirado en almacén</t>
        </is>
      </c>
      <c r="G1009" s="5" t="inlineStr">
        <is>
          <t>pedestal, pie de lavamanos</t>
        </is>
      </c>
      <c r="H1009" s="7" t="inlineStr">
        <is>
          <t>unidad</t>
        </is>
      </c>
      <c r="I1009" s="7" t="inlineStr">
        <is>
          <t>Instalaciones</t>
        </is>
      </c>
      <c r="J1009" s="7" t="inlineStr">
        <is>
          <t>estandar</t>
        </is>
      </c>
      <c r="K1009" s="7" t="inlineStr">
        <is>
          <t>importado</t>
        </is>
      </c>
      <c r="L1009" s="7" t="inlineStr">
        <is>
          <t>Verificado</t>
        </is>
      </c>
      <c r="M1009" s="8" t="n">
        <v>1</v>
      </c>
      <c r="N1009" s="9" t="n">
        <v>3334.17</v>
      </c>
      <c r="O1009" s="9" t="n">
        <v>3334.17</v>
      </c>
      <c r="P1009" s="9" t="n">
        <v>3334.17</v>
      </c>
      <c r="Q1009" s="7" t="inlineStr">
        <is>
          <t>Sí</t>
        </is>
      </c>
      <c r="R1009" s="9">
        <f>IF(N1009="","",IF(Q1009="Sí",ROUND(N1009/1.18,2),N1009))</f>
        <v/>
      </c>
      <c r="S1009" s="7" t="inlineStr">
        <is>
          <t>2026-09-09</t>
        </is>
      </c>
      <c r="T1009" s="5" t="inlineStr">
        <is>
          <t>1 cotización de proveedores</t>
        </is>
      </c>
    </row>
    <row r="1010">
      <c r="A1010" s="7" t="inlineStr">
        <is>
          <t>MAT-25-090</t>
        </is>
      </c>
      <c r="B1010" s="7" t="inlineStr">
        <is>
          <t>Materiales</t>
        </is>
      </c>
      <c r="C1010" s="7" t="inlineStr">
        <is>
          <t>Lavamanos y pedestales</t>
        </is>
      </c>
      <c r="D1010" s="5" t="inlineStr">
        <is>
          <t>Palometa para Lavamanos sencillo</t>
        </is>
      </c>
      <c r="E1010" s="5" t="inlineStr">
        <is>
          <t>marca P.CIBAO · referencia PAR</t>
        </is>
      </c>
      <c r="F1010" s="5" t="inlineStr">
        <is>
          <t>Material retirado en almacén</t>
        </is>
      </c>
      <c r="G1010" s="5" t="inlineStr">
        <is>
          <t>palometa, soporte de lavamanos</t>
        </is>
      </c>
      <c r="H1010" s="7" t="inlineStr">
        <is>
          <t>unidad</t>
        </is>
      </c>
      <c r="I1010" s="7" t="inlineStr">
        <is>
          <t>Instalaciones</t>
        </is>
      </c>
      <c r="J1010" s="7" t="inlineStr">
        <is>
          <t>estandar</t>
        </is>
      </c>
      <c r="K1010" s="7" t="inlineStr">
        <is>
          <t>importado</t>
        </is>
      </c>
      <c r="L1010" s="7" t="inlineStr">
        <is>
          <t>Verificado</t>
        </is>
      </c>
      <c r="M1010" s="8" t="n">
        <v>1</v>
      </c>
      <c r="N1010" s="9" t="n">
        <v>57.88</v>
      </c>
      <c r="O1010" s="9" t="n">
        <v>57.88</v>
      </c>
      <c r="P1010" s="9" t="n">
        <v>57.88</v>
      </c>
      <c r="Q1010" s="7" t="inlineStr">
        <is>
          <t>Sí</t>
        </is>
      </c>
      <c r="R1010" s="9">
        <f>IF(N1010="","",IF(Q1010="Sí",ROUND(N1010/1.18,2),N1010))</f>
        <v/>
      </c>
      <c r="S1010" s="7" t="inlineStr">
        <is>
          <t>2026-09-09</t>
        </is>
      </c>
      <c r="T1010" s="5" t="inlineStr">
        <is>
          <t>1 cotización de proveedores</t>
        </is>
      </c>
    </row>
    <row r="1011">
      <c r="A1011" s="7" t="inlineStr">
        <is>
          <t>MAT-25-091</t>
        </is>
      </c>
      <c r="B1011" s="7" t="inlineStr">
        <is>
          <t>Materiales</t>
        </is>
      </c>
      <c r="C1011" s="7" t="inlineStr">
        <is>
          <t>Lavamanos y pedestales</t>
        </is>
      </c>
      <c r="D1011" s="5" t="inlineStr">
        <is>
          <t>Palometa Para Lavamanos Doble</t>
        </is>
      </c>
      <c r="E1011" s="5" t="inlineStr">
        <is>
          <t>marca PROMEDOCA · referencia HG1A017</t>
        </is>
      </c>
      <c r="F1011" s="5" t="inlineStr">
        <is>
          <t>Material retirado en almacén</t>
        </is>
      </c>
      <c r="G1011" s="5" t="inlineStr">
        <is>
          <t>palometa, soporte de lavamanos</t>
        </is>
      </c>
      <c r="H1011" s="7" t="inlineStr">
        <is>
          <t>unidad</t>
        </is>
      </c>
      <c r="I1011" s="7" t="inlineStr">
        <is>
          <t>Instalaciones</t>
        </is>
      </c>
      <c r="J1011" s="7" t="inlineStr">
        <is>
          <t>estandar</t>
        </is>
      </c>
      <c r="K1011" s="7" t="inlineStr">
        <is>
          <t>importado</t>
        </is>
      </c>
      <c r="L1011" s="7" t="inlineStr">
        <is>
          <t>Verificado</t>
        </is>
      </c>
      <c r="M1011" s="8" t="n">
        <v>1</v>
      </c>
      <c r="N1011" s="9" t="n">
        <v>70.02</v>
      </c>
      <c r="O1011" s="9" t="n">
        <v>69.48999999999999</v>
      </c>
      <c r="P1011" s="9" t="n">
        <v>70.55</v>
      </c>
      <c r="Q1011" s="7" t="inlineStr">
        <is>
          <t>Sí</t>
        </is>
      </c>
      <c r="R1011" s="9">
        <f>IF(N1011="","",IF(Q1011="Sí",ROUND(N1011/1.18,2),N1011))</f>
        <v/>
      </c>
      <c r="S1011" s="7" t="inlineStr">
        <is>
          <t>2026-09-09</t>
        </is>
      </c>
      <c r="T1011" s="5" t="inlineStr">
        <is>
          <t>2 cotizaciones de proveedores</t>
        </is>
      </c>
    </row>
    <row r="1012">
      <c r="A1012" s="7" t="inlineStr">
        <is>
          <t>MAT-25-092</t>
        </is>
      </c>
      <c r="B1012" s="7" t="inlineStr">
        <is>
          <t>Materiales</t>
        </is>
      </c>
      <c r="C1012" s="7" t="inlineStr">
        <is>
          <t>Lavamanos y pedestales</t>
        </is>
      </c>
      <c r="D1012" s="5" t="inlineStr">
        <is>
          <t>Palometa Sencilla para Lav de Metal</t>
        </is>
      </c>
      <c r="E1012" s="5" t="inlineStr">
        <is>
          <t>marca FLEXIMATIC · referencia 2494</t>
        </is>
      </c>
      <c r="F1012" s="5" t="inlineStr">
        <is>
          <t>Material retirado en almacén</t>
        </is>
      </c>
      <c r="G1012" s="5" t="inlineStr">
        <is>
          <t>palometa, soporte de lavamanos</t>
        </is>
      </c>
      <c r="H1012" s="7" t="inlineStr">
        <is>
          <t>unidad</t>
        </is>
      </c>
      <c r="I1012" s="7" t="inlineStr">
        <is>
          <t>Instalaciones</t>
        </is>
      </c>
      <c r="J1012" s="7" t="inlineStr">
        <is>
          <t>estandar</t>
        </is>
      </c>
      <c r="K1012" s="7" t="inlineStr">
        <is>
          <t>importado</t>
        </is>
      </c>
      <c r="L1012" s="7" t="inlineStr">
        <is>
          <t>Verificado</t>
        </is>
      </c>
      <c r="M1012" s="8" t="n">
        <v>1</v>
      </c>
      <c r="N1012" s="9" t="n">
        <v>80.59</v>
      </c>
      <c r="O1012" s="9" t="n">
        <v>80.59</v>
      </c>
      <c r="P1012" s="9" t="n">
        <v>80.59</v>
      </c>
      <c r="Q1012" s="7" t="inlineStr">
        <is>
          <t>Sí</t>
        </is>
      </c>
      <c r="R1012" s="9">
        <f>IF(N1012="","",IF(Q1012="Sí",ROUND(N1012/1.18,2),N1012))</f>
        <v/>
      </c>
      <c r="S1012" s="7" t="inlineStr">
        <is>
          <t>2026-09-09</t>
        </is>
      </c>
      <c r="T1012" s="5" t="inlineStr">
        <is>
          <t>1 cotización de proveedores</t>
        </is>
      </c>
    </row>
    <row r="1013">
      <c r="A1013" s="7" t="inlineStr">
        <is>
          <t>MAT-25-093</t>
        </is>
      </c>
      <c r="B1013" s="7" t="inlineStr">
        <is>
          <t>Materiales</t>
        </is>
      </c>
      <c r="C1013" s="7" t="inlineStr">
        <is>
          <t>Lavamanos y pedestales</t>
        </is>
      </c>
      <c r="D1013" s="5" t="inlineStr">
        <is>
          <t>Conector Yee 1"</t>
        </is>
      </c>
      <c r="E1013" s="5" t="inlineStr">
        <is>
          <t>marca FLEXIMATIC · referencia 25861"</t>
        </is>
      </c>
      <c r="F1013" s="5" t="inlineStr">
        <is>
          <t>Material retirado en almacén</t>
        </is>
      </c>
      <c r="G1013" s="5" t="inlineStr">
        <is>
          <t>conector, yee de desagüe</t>
        </is>
      </c>
      <c r="H1013" s="7" t="inlineStr">
        <is>
          <t>unidad</t>
        </is>
      </c>
      <c r="I1013" s="7" t="inlineStr">
        <is>
          <t>Instalaciones</t>
        </is>
      </c>
      <c r="J1013" s="7" t="inlineStr">
        <is>
          <t>estandar</t>
        </is>
      </c>
      <c r="K1013" s="7" t="inlineStr">
        <is>
          <t>importado</t>
        </is>
      </c>
      <c r="L1013" s="7" t="inlineStr">
        <is>
          <t>Verificado</t>
        </is>
      </c>
      <c r="M1013" s="8" t="n">
        <v>1</v>
      </c>
      <c r="N1013" s="9" t="n">
        <v>255.94</v>
      </c>
      <c r="O1013" s="9" t="n">
        <v>255.94</v>
      </c>
      <c r="P1013" s="9" t="n">
        <v>255.94</v>
      </c>
      <c r="Q1013" s="7" t="inlineStr">
        <is>
          <t>Sí</t>
        </is>
      </c>
      <c r="R1013" s="9">
        <f>IF(N1013="","",IF(Q1013="Sí",ROUND(N1013/1.18,2),N1013))</f>
        <v/>
      </c>
      <c r="S1013" s="7" t="inlineStr">
        <is>
          <t>2026-09-09</t>
        </is>
      </c>
      <c r="T1013" s="5" t="inlineStr">
        <is>
          <t>1 cotización de proveedores</t>
        </is>
      </c>
    </row>
    <row r="1014">
      <c r="A1014" s="7" t="inlineStr">
        <is>
          <t>MAT-26-001</t>
        </is>
      </c>
      <c r="B1014" s="7" t="inlineStr">
        <is>
          <t>Materiales</t>
        </is>
      </c>
      <c r="C1014" s="7" t="inlineStr">
        <is>
          <t>Muebles y espejos de baño</t>
        </is>
      </c>
      <c r="D1014" s="5" t="inlineStr">
        <is>
          <t>Mueble De B. para Colgar Meridian Othelo</t>
        </is>
      </c>
      <c r="E1014" s="5" t="inlineStr">
        <is>
          <t>marca ALCER · referencia 30X30X20</t>
        </is>
      </c>
      <c r="F1014" s="5" t="inlineStr">
        <is>
          <t>Material retirado en almacén</t>
        </is>
      </c>
      <c r="G1014" s="5" t="inlineStr">
        <is>
          <t>mueble de baño, vanity, gabinete</t>
        </is>
      </c>
      <c r="H1014" s="7" t="inlineStr">
        <is>
          <t>unidad</t>
        </is>
      </c>
      <c r="I1014" s="7" t="inlineStr">
        <is>
          <t>Terminación de superficies</t>
        </is>
      </c>
      <c r="J1014" s="7" t="inlineStr">
        <is>
          <t>estandar</t>
        </is>
      </c>
      <c r="K1014" s="7" t="inlineStr">
        <is>
          <t>importado</t>
        </is>
      </c>
      <c r="L1014" s="7" t="inlineStr">
        <is>
          <t>Verificado</t>
        </is>
      </c>
      <c r="M1014" s="8" t="n">
        <v>1</v>
      </c>
      <c r="N1014" s="9" t="n">
        <v>5433.44</v>
      </c>
      <c r="O1014" s="9" t="n">
        <v>5433.44</v>
      </c>
      <c r="P1014" s="9" t="n">
        <v>5433.44</v>
      </c>
      <c r="Q1014" s="7" t="inlineStr">
        <is>
          <t>Sí</t>
        </is>
      </c>
      <c r="R1014" s="9">
        <f>IF(N1014="","",IF(Q1014="Sí",ROUND(N1014/1.18,2),N1014))</f>
        <v/>
      </c>
      <c r="S1014" s="7" t="inlineStr">
        <is>
          <t>2026-09-09</t>
        </is>
      </c>
      <c r="T1014" s="5" t="inlineStr">
        <is>
          <t>1 cotización de proveedores</t>
        </is>
      </c>
    </row>
    <row r="1015">
      <c r="A1015" s="7" t="inlineStr">
        <is>
          <t>MAT-26-002</t>
        </is>
      </c>
      <c r="B1015" s="7" t="inlineStr">
        <is>
          <t>Materiales</t>
        </is>
      </c>
      <c r="C1015" s="7" t="inlineStr">
        <is>
          <t>Muebles y espejos de baño</t>
        </is>
      </c>
      <c r="D1015" s="5" t="inlineStr">
        <is>
          <t>Mueble Mini 40 Blanco</t>
        </is>
      </c>
      <c r="E1015" s="5" t="inlineStr">
        <is>
          <t>marca AML · referencia 2015000000387</t>
        </is>
      </c>
      <c r="F1015" s="5" t="inlineStr">
        <is>
          <t>Material retirado en almacén</t>
        </is>
      </c>
      <c r="G1015" s="5" t="inlineStr">
        <is>
          <t>mueble de baño, vanity, gabinete</t>
        </is>
      </c>
      <c r="H1015" s="7" t="inlineStr">
        <is>
          <t>unidad</t>
        </is>
      </c>
      <c r="I1015" s="7" t="inlineStr">
        <is>
          <t>Terminación de superficies</t>
        </is>
      </c>
      <c r="J1015" s="7" t="inlineStr">
        <is>
          <t>estandar</t>
        </is>
      </c>
      <c r="K1015" s="7" t="inlineStr">
        <is>
          <t>importado</t>
        </is>
      </c>
      <c r="L1015" s="7" t="inlineStr">
        <is>
          <t>Verificado</t>
        </is>
      </c>
      <c r="M1015" s="8" t="n">
        <v>1</v>
      </c>
      <c r="N1015" s="9" t="n">
        <v>8614.57</v>
      </c>
      <c r="O1015" s="9" t="n">
        <v>8614.57</v>
      </c>
      <c r="P1015" s="9" t="n">
        <v>8614.57</v>
      </c>
      <c r="Q1015" s="7" t="inlineStr">
        <is>
          <t>Sí</t>
        </is>
      </c>
      <c r="R1015" s="9">
        <f>IF(N1015="","",IF(Q1015="Sí",ROUND(N1015/1.18,2),N1015))</f>
        <v/>
      </c>
      <c r="S1015" s="7" t="inlineStr">
        <is>
          <t>2026-09-09</t>
        </is>
      </c>
      <c r="T1015" s="5" t="inlineStr">
        <is>
          <t>1 cotización de proveedores</t>
        </is>
      </c>
    </row>
    <row r="1016">
      <c r="A1016" s="7" t="inlineStr">
        <is>
          <t>MAT-26-003</t>
        </is>
      </c>
      <c r="B1016" s="7" t="inlineStr">
        <is>
          <t>Materiales</t>
        </is>
      </c>
      <c r="C1016" s="7" t="inlineStr">
        <is>
          <t>Muebles y espejos de baño</t>
        </is>
      </c>
      <c r="D1016" s="5" t="inlineStr">
        <is>
          <t>Mueble Mini Movel 40 x 21 x 50 P1+Lav Car</t>
        </is>
      </c>
      <c r="E1016" s="5" t="inlineStr">
        <is>
          <t>marca AML · referencia 20230638</t>
        </is>
      </c>
      <c r="F1016" s="5" t="inlineStr">
        <is>
          <t>Material retirado en almacén</t>
        </is>
      </c>
      <c r="G1016" s="5" t="inlineStr">
        <is>
          <t>mueble de baño, vanity, gabinete</t>
        </is>
      </c>
      <c r="H1016" s="7" t="inlineStr">
        <is>
          <t>unidad</t>
        </is>
      </c>
      <c r="I1016" s="7" t="inlineStr">
        <is>
          <t>Terminación de superficies</t>
        </is>
      </c>
      <c r="J1016" s="7" t="inlineStr">
        <is>
          <t>estandar</t>
        </is>
      </c>
      <c r="K1016" s="7" t="inlineStr">
        <is>
          <t>importado</t>
        </is>
      </c>
      <c r="L1016" s="7" t="inlineStr">
        <is>
          <t>Verificado</t>
        </is>
      </c>
      <c r="M1016" s="8" t="n">
        <v>1</v>
      </c>
      <c r="N1016" s="9" t="n">
        <v>9059.870000000001</v>
      </c>
      <c r="O1016" s="9" t="n">
        <v>9059.870000000001</v>
      </c>
      <c r="P1016" s="9" t="n">
        <v>9059.870000000001</v>
      </c>
      <c r="Q1016" s="7" t="inlineStr">
        <is>
          <t>Sí</t>
        </is>
      </c>
      <c r="R1016" s="9">
        <f>IF(N1016="","",IF(Q1016="Sí",ROUND(N1016/1.18,2),N1016))</f>
        <v/>
      </c>
      <c r="S1016" s="7" t="inlineStr">
        <is>
          <t>2026-09-09</t>
        </is>
      </c>
      <c r="T1016" s="5" t="inlineStr">
        <is>
          <t>1 cotización de proveedores</t>
        </is>
      </c>
    </row>
    <row r="1017">
      <c r="A1017" s="7" t="inlineStr">
        <is>
          <t>MAT-26-004</t>
        </is>
      </c>
      <c r="B1017" s="7" t="inlineStr">
        <is>
          <t>Materiales</t>
        </is>
      </c>
      <c r="C1017" s="7" t="inlineStr">
        <is>
          <t>Muebles y espejos de baño</t>
        </is>
      </c>
      <c r="D1017" s="5" t="inlineStr">
        <is>
          <t>Mueble Anidis suspendido 60 x 45 x 44 Carvalho</t>
        </is>
      </c>
      <c r="E1017" s="5" t="inlineStr">
        <is>
          <t>marca AML · referencia 20230641</t>
        </is>
      </c>
      <c r="F1017" s="5" t="inlineStr">
        <is>
          <t>Material retirado en almacén</t>
        </is>
      </c>
      <c r="G1017" s="5" t="inlineStr">
        <is>
          <t>mueble de baño, vanity, gabinete</t>
        </is>
      </c>
      <c r="H1017" s="7" t="inlineStr">
        <is>
          <t>unidad</t>
        </is>
      </c>
      <c r="I1017" s="7" t="inlineStr">
        <is>
          <t>Terminación de superficies</t>
        </is>
      </c>
      <c r="J1017" s="7" t="inlineStr">
        <is>
          <t>estandar</t>
        </is>
      </c>
      <c r="K1017" s="7" t="inlineStr">
        <is>
          <t>importado</t>
        </is>
      </c>
      <c r="L1017" s="7" t="inlineStr">
        <is>
          <t>Verificado</t>
        </is>
      </c>
      <c r="M1017" s="8" t="n">
        <v>1</v>
      </c>
      <c r="N1017" s="9" t="n">
        <v>14417.02</v>
      </c>
      <c r="O1017" s="9" t="n">
        <v>14417.02</v>
      </c>
      <c r="P1017" s="9" t="n">
        <v>14417.02</v>
      </c>
      <c r="Q1017" s="7" t="inlineStr">
        <is>
          <t>Sí</t>
        </is>
      </c>
      <c r="R1017" s="9">
        <f>IF(N1017="","",IF(Q1017="Sí",ROUND(N1017/1.18,2),N1017))</f>
        <v/>
      </c>
      <c r="S1017" s="7" t="inlineStr">
        <is>
          <t>2026-09-09</t>
        </is>
      </c>
      <c r="T1017" s="5" t="inlineStr">
        <is>
          <t>1 cotización de proveedores</t>
        </is>
      </c>
    </row>
    <row r="1018">
      <c r="A1018" s="7" t="inlineStr">
        <is>
          <t>MAT-26-005</t>
        </is>
      </c>
      <c r="B1018" s="7" t="inlineStr">
        <is>
          <t>Materiales</t>
        </is>
      </c>
      <c r="C1018" s="7" t="inlineStr">
        <is>
          <t>Muebles y espejos de baño</t>
        </is>
      </c>
      <c r="D1018" s="5" t="inlineStr">
        <is>
          <t>Mueble Eco Reno / Iris Blanco 50</t>
        </is>
      </c>
      <c r="E1018" s="5" t="inlineStr">
        <is>
          <t>marca AML · referencia 2018000000630</t>
        </is>
      </c>
      <c r="F1018" s="5" t="inlineStr">
        <is>
          <t>Material retirado en almacén</t>
        </is>
      </c>
      <c r="G1018" s="5" t="inlineStr">
        <is>
          <t>mueble de baño, vanity, gabinete</t>
        </is>
      </c>
      <c r="H1018" s="7" t="inlineStr">
        <is>
          <t>unidad</t>
        </is>
      </c>
      <c r="I1018" s="7" t="inlineStr">
        <is>
          <t>Terminación de superficies</t>
        </is>
      </c>
      <c r="J1018" s="7" t="inlineStr">
        <is>
          <t>estandar</t>
        </is>
      </c>
      <c r="K1018" s="7" t="inlineStr">
        <is>
          <t>importado</t>
        </is>
      </c>
      <c r="L1018" s="7" t="inlineStr">
        <is>
          <t>Verificado</t>
        </is>
      </c>
      <c r="M1018" s="8" t="n">
        <v>1</v>
      </c>
      <c r="N1018" s="9" t="n">
        <v>14452.95</v>
      </c>
      <c r="O1018" s="9" t="n">
        <v>14452.95</v>
      </c>
      <c r="P1018" s="9" t="n">
        <v>14452.95</v>
      </c>
      <c r="Q1018" s="7" t="inlineStr">
        <is>
          <t>Sí</t>
        </is>
      </c>
      <c r="R1018" s="9">
        <f>IF(N1018="","",IF(Q1018="Sí",ROUND(N1018/1.18,2),N1018))</f>
        <v/>
      </c>
      <c r="S1018" s="7" t="inlineStr">
        <is>
          <t>2026-09-09</t>
        </is>
      </c>
      <c r="T1018" s="5" t="inlineStr">
        <is>
          <t>1 cotización de proveedores</t>
        </is>
      </c>
    </row>
    <row r="1019">
      <c r="A1019" s="7" t="inlineStr">
        <is>
          <t>MAT-26-006</t>
        </is>
      </c>
      <c r="B1019" s="7" t="inlineStr">
        <is>
          <t>Materiales</t>
        </is>
      </c>
      <c r="C1019" s="7" t="inlineStr">
        <is>
          <t>Muebles y espejos de baño</t>
        </is>
      </c>
      <c r="D1019" s="5" t="inlineStr">
        <is>
          <t>Mueble Anidis 60 Estepa</t>
        </is>
      </c>
      <c r="E1019" s="5" t="inlineStr">
        <is>
          <t>marca AML · referencia 2016000000457</t>
        </is>
      </c>
      <c r="F1019" s="5" t="inlineStr">
        <is>
          <t>Material retirado en almacén</t>
        </is>
      </c>
      <c r="G1019" s="5" t="inlineStr">
        <is>
          <t>mueble de baño, vanity, gabinete</t>
        </is>
      </c>
      <c r="H1019" s="7" t="inlineStr">
        <is>
          <t>unidad</t>
        </is>
      </c>
      <c r="I1019" s="7" t="inlineStr">
        <is>
          <t>Terminación de superficies</t>
        </is>
      </c>
      <c r="J1019" s="7" t="inlineStr">
        <is>
          <t>estandar</t>
        </is>
      </c>
      <c r="K1019" s="7" t="inlineStr">
        <is>
          <t>importado</t>
        </is>
      </c>
      <c r="L1019" s="7" t="inlineStr">
        <is>
          <t>Verificado</t>
        </is>
      </c>
      <c r="M1019" s="8" t="n">
        <v>1</v>
      </c>
      <c r="N1019" s="9" t="n">
        <v>14618.32</v>
      </c>
      <c r="O1019" s="9" t="n">
        <v>14618.32</v>
      </c>
      <c r="P1019" s="9" t="n">
        <v>14618.32</v>
      </c>
      <c r="Q1019" s="7" t="inlineStr">
        <is>
          <t>Sí</t>
        </is>
      </c>
      <c r="R1019" s="9">
        <f>IF(N1019="","",IF(Q1019="Sí",ROUND(N1019/1.18,2),N1019))</f>
        <v/>
      </c>
      <c r="S1019" s="7" t="inlineStr">
        <is>
          <t>2026-09-09</t>
        </is>
      </c>
      <c r="T1019" s="5" t="inlineStr">
        <is>
          <t>1 cotización de proveedores</t>
        </is>
      </c>
    </row>
    <row r="1020">
      <c r="A1020" s="7" t="inlineStr">
        <is>
          <t>MAT-26-007</t>
        </is>
      </c>
      <c r="B1020" s="7" t="inlineStr">
        <is>
          <t>Materiales</t>
        </is>
      </c>
      <c r="C1020" s="7" t="inlineStr">
        <is>
          <t>Muebles y espejos de baño</t>
        </is>
      </c>
      <c r="D1020" s="5" t="inlineStr">
        <is>
          <t>Mueble Anidis 60 Blanco</t>
        </is>
      </c>
      <c r="E1020" s="5" t="inlineStr">
        <is>
          <t>marca AML · referencia 2016000000456</t>
        </is>
      </c>
      <c r="F1020" s="5" t="inlineStr">
        <is>
          <t>Material retirado en almacén</t>
        </is>
      </c>
      <c r="G1020" s="5" t="inlineStr">
        <is>
          <t>mueble de baño, vanity, gabinete</t>
        </is>
      </c>
      <c r="H1020" s="7" t="inlineStr">
        <is>
          <t>unidad</t>
        </is>
      </c>
      <c r="I1020" s="7" t="inlineStr">
        <is>
          <t>Terminación de superficies</t>
        </is>
      </c>
      <c r="J1020" s="7" t="inlineStr">
        <is>
          <t>estandar</t>
        </is>
      </c>
      <c r="K1020" s="7" t="inlineStr">
        <is>
          <t>importado</t>
        </is>
      </c>
      <c r="L1020" s="7" t="inlineStr">
        <is>
          <t>Verificado</t>
        </is>
      </c>
      <c r="M1020" s="8" t="n">
        <v>1</v>
      </c>
      <c r="N1020" s="9" t="n">
        <v>14719.17</v>
      </c>
      <c r="O1020" s="9" t="n">
        <v>14719.17</v>
      </c>
      <c r="P1020" s="9" t="n">
        <v>14719.17</v>
      </c>
      <c r="Q1020" s="7" t="inlineStr">
        <is>
          <t>Sí</t>
        </is>
      </c>
      <c r="R1020" s="9">
        <f>IF(N1020="","",IF(Q1020="Sí",ROUND(N1020/1.18,2),N1020))</f>
        <v/>
      </c>
      <c r="S1020" s="7" t="inlineStr">
        <is>
          <t>2026-09-09</t>
        </is>
      </c>
      <c r="T1020" s="5" t="inlineStr">
        <is>
          <t>1 cotización de proveedores</t>
        </is>
      </c>
    </row>
    <row r="1021">
      <c r="A1021" s="7" t="inlineStr">
        <is>
          <t>MAT-26-008</t>
        </is>
      </c>
      <c r="B1021" s="7" t="inlineStr">
        <is>
          <t>Materiales</t>
        </is>
      </c>
      <c r="C1021" s="7" t="inlineStr">
        <is>
          <t>Muebles y espejos de baño</t>
        </is>
      </c>
      <c r="D1021" s="5" t="inlineStr">
        <is>
          <t>Mueble Eco Movel 60 Blanco Brillo</t>
        </is>
      </c>
      <c r="E1021" s="5" t="inlineStr">
        <is>
          <t>marca AML · referencia 2012000000251</t>
        </is>
      </c>
      <c r="F1021" s="5" t="inlineStr">
        <is>
          <t>Material retirado en almacén</t>
        </is>
      </c>
      <c r="G1021" s="5" t="inlineStr">
        <is>
          <t>mueble de baño, vanity, gabinete</t>
        </is>
      </c>
      <c r="H1021" s="7" t="inlineStr">
        <is>
          <t>unidad</t>
        </is>
      </c>
      <c r="I1021" s="7" t="inlineStr">
        <is>
          <t>Terminación de superficies</t>
        </is>
      </c>
      <c r="J1021" s="7" t="inlineStr">
        <is>
          <t>estandar</t>
        </is>
      </c>
      <c r="K1021" s="7" t="inlineStr">
        <is>
          <t>importado</t>
        </is>
      </c>
      <c r="L1021" s="7" t="inlineStr">
        <is>
          <t>Verificado</t>
        </is>
      </c>
      <c r="M1021" s="8" t="n">
        <v>1</v>
      </c>
      <c r="N1021" s="9" t="n">
        <v>16099.41</v>
      </c>
      <c r="O1021" s="9" t="n">
        <v>16099.41</v>
      </c>
      <c r="P1021" s="9" t="n">
        <v>16099.41</v>
      </c>
      <c r="Q1021" s="7" t="inlineStr">
        <is>
          <t>Sí</t>
        </is>
      </c>
      <c r="R1021" s="9">
        <f>IF(N1021="","",IF(Q1021="Sí",ROUND(N1021/1.18,2),N1021))</f>
        <v/>
      </c>
      <c r="S1021" s="7" t="inlineStr">
        <is>
          <t>2026-09-09</t>
        </is>
      </c>
      <c r="T1021" s="5" t="inlineStr">
        <is>
          <t>1 cotización de proveedores</t>
        </is>
      </c>
    </row>
    <row r="1022">
      <c r="A1022" s="7" t="inlineStr">
        <is>
          <t>MAT-26-009</t>
        </is>
      </c>
      <c r="B1022" s="7" t="inlineStr">
        <is>
          <t>Materiales</t>
        </is>
      </c>
      <c r="C1022" s="7" t="inlineStr">
        <is>
          <t>Muebles y espejos de baño</t>
        </is>
      </c>
      <c r="D1022" s="5" t="inlineStr">
        <is>
          <t>Mueble Fit G2 50 Suspend. Branco</t>
        </is>
      </c>
      <c r="E1022" s="5" t="inlineStr">
        <is>
          <t>marca AML · referencia 20200272</t>
        </is>
      </c>
      <c r="F1022" s="5" t="inlineStr">
        <is>
          <t>Material retirado en almacén</t>
        </is>
      </c>
      <c r="G1022" s="5" t="inlineStr">
        <is>
          <t>mueble de baño, vanity, gabinete</t>
        </is>
      </c>
      <c r="H1022" s="7" t="inlineStr">
        <is>
          <t>unidad</t>
        </is>
      </c>
      <c r="I1022" s="7" t="inlineStr">
        <is>
          <t>Terminación de superficies</t>
        </is>
      </c>
      <c r="J1022" s="7" t="inlineStr">
        <is>
          <t>estandar</t>
        </is>
      </c>
      <c r="K1022" s="7" t="inlineStr">
        <is>
          <t>importado</t>
        </is>
      </c>
      <c r="L1022" s="7" t="inlineStr">
        <is>
          <t>Verificado</t>
        </is>
      </c>
      <c r="M1022" s="8" t="n">
        <v>1</v>
      </c>
      <c r="N1022" s="9" t="n">
        <v>17006.6</v>
      </c>
      <c r="O1022" s="9" t="n">
        <v>17006.6</v>
      </c>
      <c r="P1022" s="9" t="n">
        <v>17006.6</v>
      </c>
      <c r="Q1022" s="7" t="inlineStr">
        <is>
          <t>Sí</t>
        </is>
      </c>
      <c r="R1022" s="9">
        <f>IF(N1022="","",IF(Q1022="Sí",ROUND(N1022/1.18,2),N1022))</f>
        <v/>
      </c>
      <c r="S1022" s="7" t="inlineStr">
        <is>
          <t>2026-09-09</t>
        </is>
      </c>
      <c r="T1022" s="5" t="inlineStr">
        <is>
          <t>1 cotización de proveedores</t>
        </is>
      </c>
    </row>
    <row r="1023">
      <c r="A1023" s="7" t="inlineStr">
        <is>
          <t>MAT-26-010</t>
        </is>
      </c>
      <c r="B1023" s="7" t="inlineStr">
        <is>
          <t>Materiales</t>
        </is>
      </c>
      <c r="C1023" s="7" t="inlineStr">
        <is>
          <t>Muebles y espejos de baño</t>
        </is>
      </c>
      <c r="D1023" s="5" t="inlineStr">
        <is>
          <t>Mueble Fit G2 50 Suspend. Taiga</t>
        </is>
      </c>
      <c r="E1023" s="5" t="inlineStr">
        <is>
          <t>marca AML · referencia 20210382</t>
        </is>
      </c>
      <c r="F1023" s="5" t="inlineStr">
        <is>
          <t>Material retirado en almacén</t>
        </is>
      </c>
      <c r="G1023" s="5" t="inlineStr">
        <is>
          <t>mueble de baño, vanity, gabinete</t>
        </is>
      </c>
      <c r="H1023" s="7" t="inlineStr">
        <is>
          <t>unidad</t>
        </is>
      </c>
      <c r="I1023" s="7" t="inlineStr">
        <is>
          <t>Terminación de superficies</t>
        </is>
      </c>
      <c r="J1023" s="7" t="inlineStr">
        <is>
          <t>estandar</t>
        </is>
      </c>
      <c r="K1023" s="7" t="inlineStr">
        <is>
          <t>importado</t>
        </is>
      </c>
      <c r="L1023" s="7" t="inlineStr">
        <is>
          <t>Verificado</t>
        </is>
      </c>
      <c r="M1023" s="8" t="n">
        <v>1</v>
      </c>
      <c r="N1023" s="9" t="n">
        <v>17007.16</v>
      </c>
      <c r="O1023" s="9" t="n">
        <v>17007.16</v>
      </c>
      <c r="P1023" s="9" t="n">
        <v>17007.16</v>
      </c>
      <c r="Q1023" s="7" t="inlineStr">
        <is>
          <t>Sí</t>
        </is>
      </c>
      <c r="R1023" s="9">
        <f>IF(N1023="","",IF(Q1023="Sí",ROUND(N1023/1.18,2),N1023))</f>
        <v/>
      </c>
      <c r="S1023" s="7" t="inlineStr">
        <is>
          <t>2026-09-09</t>
        </is>
      </c>
      <c r="T1023" s="5" t="inlineStr">
        <is>
          <t>1 cotización de proveedores</t>
        </is>
      </c>
    </row>
    <row r="1024">
      <c r="A1024" s="7" t="inlineStr">
        <is>
          <t>MAT-26-011</t>
        </is>
      </c>
      <c r="B1024" s="7" t="inlineStr">
        <is>
          <t>Materiales</t>
        </is>
      </c>
      <c r="C1024" s="7" t="inlineStr">
        <is>
          <t>Muebles y espejos de baño</t>
        </is>
      </c>
      <c r="D1024" s="5" t="inlineStr">
        <is>
          <t>Mueble Fit 50 Susp Carvalho</t>
        </is>
      </c>
      <c r="E1024" s="5" t="inlineStr">
        <is>
          <t>marca AML · referencia 50X40X55</t>
        </is>
      </c>
      <c r="F1024" s="5" t="inlineStr">
        <is>
          <t>Material retirado en almacén</t>
        </is>
      </c>
      <c r="G1024" s="5" t="inlineStr">
        <is>
          <t>mueble de baño, vanity, gabinete</t>
        </is>
      </c>
      <c r="H1024" s="7" t="inlineStr">
        <is>
          <t>unidad</t>
        </is>
      </c>
      <c r="I1024" s="7" t="inlineStr">
        <is>
          <t>Terminación de superficies</t>
        </is>
      </c>
      <c r="J1024" s="7" t="inlineStr">
        <is>
          <t>estandar</t>
        </is>
      </c>
      <c r="K1024" s="7" t="inlineStr">
        <is>
          <t>importado</t>
        </is>
      </c>
      <c r="L1024" s="7" t="inlineStr">
        <is>
          <t>Verificado</t>
        </is>
      </c>
      <c r="M1024" s="8" t="n">
        <v>1</v>
      </c>
      <c r="N1024" s="9" t="n">
        <v>17013.63</v>
      </c>
      <c r="O1024" s="9" t="n">
        <v>17013.63</v>
      </c>
      <c r="P1024" s="9" t="n">
        <v>17013.63</v>
      </c>
      <c r="Q1024" s="7" t="inlineStr">
        <is>
          <t>Sí</t>
        </is>
      </c>
      <c r="R1024" s="9">
        <f>IF(N1024="","",IF(Q1024="Sí",ROUND(N1024/1.18,2),N1024))</f>
        <v/>
      </c>
      <c r="S1024" s="7" t="inlineStr">
        <is>
          <t>2026-09-09</t>
        </is>
      </c>
      <c r="T1024" s="5" t="inlineStr">
        <is>
          <t>1 cotización de proveedores</t>
        </is>
      </c>
    </row>
    <row r="1025">
      <c r="A1025" s="7" t="inlineStr">
        <is>
          <t>MAT-26-012</t>
        </is>
      </c>
      <c r="B1025" s="7" t="inlineStr">
        <is>
          <t>Materiales</t>
        </is>
      </c>
      <c r="C1025" s="7" t="inlineStr">
        <is>
          <t>Muebles y espejos de baño</t>
        </is>
      </c>
      <c r="D1025" s="5" t="inlineStr">
        <is>
          <t>Mueble Volga 60 P2 suspendido Roble Hera</t>
        </is>
      </c>
      <c r="E1025" s="5" t="inlineStr">
        <is>
          <t>marca AML · referencia 20240201</t>
        </is>
      </c>
      <c r="F1025" s="5" t="inlineStr">
        <is>
          <t>Material retirado en almacén</t>
        </is>
      </c>
      <c r="G1025" s="5" t="inlineStr">
        <is>
          <t>mueble de baño, vanity, gabinete</t>
        </is>
      </c>
      <c r="H1025" s="7" t="inlineStr">
        <is>
          <t>unidad</t>
        </is>
      </c>
      <c r="I1025" s="7" t="inlineStr">
        <is>
          <t>Terminación de superficies</t>
        </is>
      </c>
      <c r="J1025" s="7" t="inlineStr">
        <is>
          <t>estandar</t>
        </is>
      </c>
      <c r="K1025" s="7" t="inlineStr">
        <is>
          <t>importado</t>
        </is>
      </c>
      <c r="L1025" s="7" t="inlineStr">
        <is>
          <t>Verificado</t>
        </is>
      </c>
      <c r="M1025" s="8" t="n">
        <v>1</v>
      </c>
      <c r="N1025" s="9" t="n">
        <v>17144.98</v>
      </c>
      <c r="O1025" s="9" t="n">
        <v>17144.98</v>
      </c>
      <c r="P1025" s="9" t="n">
        <v>17144.98</v>
      </c>
      <c r="Q1025" s="7" t="inlineStr">
        <is>
          <t>Sí</t>
        </is>
      </c>
      <c r="R1025" s="9">
        <f>IF(N1025="","",IF(Q1025="Sí",ROUND(N1025/1.18,2),N1025))</f>
        <v/>
      </c>
      <c r="S1025" s="7" t="inlineStr">
        <is>
          <t>2026-09-09</t>
        </is>
      </c>
      <c r="T1025" s="5" t="inlineStr">
        <is>
          <t>1 cotización de proveedores</t>
        </is>
      </c>
    </row>
    <row r="1026">
      <c r="A1026" s="7" t="inlineStr">
        <is>
          <t>MAT-26-013</t>
        </is>
      </c>
      <c r="B1026" s="7" t="inlineStr">
        <is>
          <t>Materiales</t>
        </is>
      </c>
      <c r="C1026" s="7" t="inlineStr">
        <is>
          <t>Muebles y espejos de baño</t>
        </is>
      </c>
      <c r="D1026" s="5" t="inlineStr">
        <is>
          <t>Mueble Fit G2 50 Suspend. Hercules</t>
        </is>
      </c>
      <c r="E1026" s="5" t="inlineStr">
        <is>
          <t>marca AML · referencia 20200273</t>
        </is>
      </c>
      <c r="F1026" s="5" t="inlineStr">
        <is>
          <t>Material retirado en almacén</t>
        </is>
      </c>
      <c r="G1026" s="5" t="inlineStr">
        <is>
          <t>mueble de baño, vanity, gabinete</t>
        </is>
      </c>
      <c r="H1026" s="7" t="inlineStr">
        <is>
          <t>unidad</t>
        </is>
      </c>
      <c r="I1026" s="7" t="inlineStr">
        <is>
          <t>Terminación de superficies</t>
        </is>
      </c>
      <c r="J1026" s="7" t="inlineStr">
        <is>
          <t>estandar</t>
        </is>
      </c>
      <c r="K1026" s="7" t="inlineStr">
        <is>
          <t>importado</t>
        </is>
      </c>
      <c r="L1026" s="7" t="inlineStr">
        <is>
          <t>Verificado</t>
        </is>
      </c>
      <c r="M1026" s="8" t="n">
        <v>1</v>
      </c>
      <c r="N1026" s="9" t="n">
        <v>17169.24</v>
      </c>
      <c r="O1026" s="9" t="n">
        <v>17169.24</v>
      </c>
      <c r="P1026" s="9" t="n">
        <v>17169.24</v>
      </c>
      <c r="Q1026" s="7" t="inlineStr">
        <is>
          <t>Sí</t>
        </is>
      </c>
      <c r="R1026" s="9">
        <f>IF(N1026="","",IF(Q1026="Sí",ROUND(N1026/1.18,2),N1026))</f>
        <v/>
      </c>
      <c r="S1026" s="7" t="inlineStr">
        <is>
          <t>2026-09-09</t>
        </is>
      </c>
      <c r="T1026" s="5" t="inlineStr">
        <is>
          <t>1 cotización de proveedores</t>
        </is>
      </c>
    </row>
    <row r="1027">
      <c r="A1027" s="7" t="inlineStr">
        <is>
          <t>MAT-26-014</t>
        </is>
      </c>
      <c r="B1027" s="7" t="inlineStr">
        <is>
          <t>Materiales</t>
        </is>
      </c>
      <c r="C1027" s="7" t="inlineStr">
        <is>
          <t>Muebles y espejos de baño</t>
        </is>
      </c>
      <c r="D1027" s="5" t="inlineStr">
        <is>
          <t>Mueble Anidis 80 Blanco</t>
        </is>
      </c>
      <c r="E1027" s="5" t="inlineStr">
        <is>
          <t>marca AML · referencia 2011000000764/16-458</t>
        </is>
      </c>
      <c r="F1027" s="5" t="inlineStr">
        <is>
          <t>Material retirado en almacén</t>
        </is>
      </c>
      <c r="G1027" s="5" t="inlineStr">
        <is>
          <t>mueble de baño, vanity, gabinete</t>
        </is>
      </c>
      <c r="H1027" s="7" t="inlineStr">
        <is>
          <t>unidad</t>
        </is>
      </c>
      <c r="I1027" s="7" t="inlineStr">
        <is>
          <t>Terminación de superficies</t>
        </is>
      </c>
      <c r="J1027" s="7" t="inlineStr">
        <is>
          <t>estandar</t>
        </is>
      </c>
      <c r="K1027" s="7" t="inlineStr">
        <is>
          <t>importado</t>
        </is>
      </c>
      <c r="L1027" s="7" t="inlineStr">
        <is>
          <t>Verificado</t>
        </is>
      </c>
      <c r="M1027" s="8" t="n">
        <v>1</v>
      </c>
      <c r="N1027" s="9" t="n">
        <v>17330.65</v>
      </c>
      <c r="O1027" s="9" t="n">
        <v>17330.65</v>
      </c>
      <c r="P1027" s="9" t="n">
        <v>17330.65</v>
      </c>
      <c r="Q1027" s="7" t="inlineStr">
        <is>
          <t>Sí</t>
        </is>
      </c>
      <c r="R1027" s="9">
        <f>IF(N1027="","",IF(Q1027="Sí",ROUND(N1027/1.18,2),N1027))</f>
        <v/>
      </c>
      <c r="S1027" s="7" t="inlineStr">
        <is>
          <t>2026-09-09</t>
        </is>
      </c>
      <c r="T1027" s="5" t="inlineStr">
        <is>
          <t>1 cotización de proveedores</t>
        </is>
      </c>
    </row>
    <row r="1028">
      <c r="A1028" s="7" t="inlineStr">
        <is>
          <t>MAT-26-015</t>
        </is>
      </c>
      <c r="B1028" s="7" t="inlineStr">
        <is>
          <t>Materiales</t>
        </is>
      </c>
      <c r="C1028" s="7" t="inlineStr">
        <is>
          <t>Muebles y espejos de baño</t>
        </is>
      </c>
      <c r="D1028" s="5" t="inlineStr">
        <is>
          <t>Mueble Zeus 60 Blanco</t>
        </is>
      </c>
      <c r="E1028" s="5" t="inlineStr">
        <is>
          <t>marca AML · referencia 2015000000345</t>
        </is>
      </c>
      <c r="F1028" s="5" t="inlineStr">
        <is>
          <t>Material retirado en almacén</t>
        </is>
      </c>
      <c r="G1028" s="5" t="inlineStr">
        <is>
          <t>mueble de baño, vanity, gabinete</t>
        </is>
      </c>
      <c r="H1028" s="7" t="inlineStr">
        <is>
          <t>unidad</t>
        </is>
      </c>
      <c r="I1028" s="7" t="inlineStr">
        <is>
          <t>Terminación de superficies</t>
        </is>
      </c>
      <c r="J1028" s="7" t="inlineStr">
        <is>
          <t>estandar</t>
        </is>
      </c>
      <c r="K1028" s="7" t="inlineStr">
        <is>
          <t>importado</t>
        </is>
      </c>
      <c r="L1028" s="7" t="inlineStr">
        <is>
          <t>Verificado</t>
        </is>
      </c>
      <c r="M1028" s="8" t="n">
        <v>1</v>
      </c>
      <c r="N1028" s="9" t="n">
        <v>18240.76</v>
      </c>
      <c r="O1028" s="9" t="n">
        <v>18240.76</v>
      </c>
      <c r="P1028" s="9" t="n">
        <v>18240.76</v>
      </c>
      <c r="Q1028" s="7" t="inlineStr">
        <is>
          <t>Sí</t>
        </is>
      </c>
      <c r="R1028" s="9">
        <f>IF(N1028="","",IF(Q1028="Sí",ROUND(N1028/1.18,2),N1028))</f>
        <v/>
      </c>
      <c r="S1028" s="7" t="inlineStr">
        <is>
          <t>2026-09-09</t>
        </is>
      </c>
      <c r="T1028" s="5" t="inlineStr">
        <is>
          <t>1 cotización de proveedores</t>
        </is>
      </c>
    </row>
    <row r="1029">
      <c r="A1029" s="7" t="inlineStr">
        <is>
          <t>MAT-26-016</t>
        </is>
      </c>
      <c r="B1029" s="7" t="inlineStr">
        <is>
          <t>Materiales</t>
        </is>
      </c>
      <c r="C1029" s="7" t="inlineStr">
        <is>
          <t>Muebles y espejos de baño</t>
        </is>
      </c>
      <c r="D1029" s="5" t="inlineStr">
        <is>
          <t>Mueble Eco 80 Blanco Brillo</t>
        </is>
      </c>
      <c r="E1029" s="5" t="inlineStr">
        <is>
          <t>marca AML · referencia 2015000000352/264</t>
        </is>
      </c>
      <c r="F1029" s="5" t="inlineStr">
        <is>
          <t>Material retirado en almacén</t>
        </is>
      </c>
      <c r="G1029" s="5" t="inlineStr">
        <is>
          <t>mueble de baño, vanity, gabinete</t>
        </is>
      </c>
      <c r="H1029" s="7" t="inlineStr">
        <is>
          <t>unidad</t>
        </is>
      </c>
      <c r="I1029" s="7" t="inlineStr">
        <is>
          <t>Terminación de superficies</t>
        </is>
      </c>
      <c r="J1029" s="7" t="inlineStr">
        <is>
          <t>estandar</t>
        </is>
      </c>
      <c r="K1029" s="7" t="inlineStr">
        <is>
          <t>importado</t>
        </is>
      </c>
      <c r="L1029" s="7" t="inlineStr">
        <is>
          <t>Verificado</t>
        </is>
      </c>
      <c r="M1029" s="8" t="n">
        <v>1</v>
      </c>
      <c r="N1029" s="9" t="n">
        <v>19035.68</v>
      </c>
      <c r="O1029" s="9" t="n">
        <v>19035.68</v>
      </c>
      <c r="P1029" s="9" t="n">
        <v>19035.68</v>
      </c>
      <c r="Q1029" s="7" t="inlineStr">
        <is>
          <t>Sí</t>
        </is>
      </c>
      <c r="R1029" s="9">
        <f>IF(N1029="","",IF(Q1029="Sí",ROUND(N1029/1.18,2),N1029))</f>
        <v/>
      </c>
      <c r="S1029" s="7" t="inlineStr">
        <is>
          <t>2026-09-09</t>
        </is>
      </c>
      <c r="T1029" s="5" t="inlineStr">
        <is>
          <t>1 cotización de proveedores</t>
        </is>
      </c>
    </row>
    <row r="1030">
      <c r="A1030" s="7" t="inlineStr">
        <is>
          <t>MAT-26-017</t>
        </is>
      </c>
      <c r="B1030" s="7" t="inlineStr">
        <is>
          <t>Materiales</t>
        </is>
      </c>
      <c r="C1030" s="7" t="inlineStr">
        <is>
          <t>Muebles y espejos de baño</t>
        </is>
      </c>
      <c r="D1030" s="5" t="inlineStr">
        <is>
          <t>Mueble Fit suspendido 50 x 40 x 55 Cinza Mate-Per</t>
        </is>
      </c>
      <c r="E1030" s="5" t="inlineStr">
        <is>
          <t>marca AML · referencia 20230632</t>
        </is>
      </c>
      <c r="F1030" s="5" t="inlineStr">
        <is>
          <t>Material retirado en almacén</t>
        </is>
      </c>
      <c r="G1030" s="5" t="inlineStr">
        <is>
          <t>mueble de baño, vanity, gabinete</t>
        </is>
      </c>
      <c r="H1030" s="7" t="inlineStr">
        <is>
          <t>unidad</t>
        </is>
      </c>
      <c r="I1030" s="7" t="inlineStr">
        <is>
          <t>Terminación de superficies</t>
        </is>
      </c>
      <c r="J1030" s="7" t="inlineStr">
        <is>
          <t>estandar</t>
        </is>
      </c>
      <c r="K1030" s="7" t="inlineStr">
        <is>
          <t>importado</t>
        </is>
      </c>
      <c r="L1030" s="7" t="inlineStr">
        <is>
          <t>Verificado</t>
        </is>
      </c>
      <c r="M1030" s="8" t="n">
        <v>1</v>
      </c>
      <c r="N1030" s="9" t="n">
        <v>19503.16</v>
      </c>
      <c r="O1030" s="9" t="n">
        <v>19503.16</v>
      </c>
      <c r="P1030" s="9" t="n">
        <v>19503.16</v>
      </c>
      <c r="Q1030" s="7" t="inlineStr">
        <is>
          <t>Sí</t>
        </is>
      </c>
      <c r="R1030" s="9">
        <f>IF(N1030="","",IF(Q1030="Sí",ROUND(N1030/1.18,2),N1030))</f>
        <v/>
      </c>
      <c r="S1030" s="7" t="inlineStr">
        <is>
          <t>2026-09-09</t>
        </is>
      </c>
      <c r="T1030" s="5" t="inlineStr">
        <is>
          <t>1 cotización de proveedores</t>
        </is>
      </c>
    </row>
    <row r="1031">
      <c r="A1031" s="7" t="inlineStr">
        <is>
          <t>MAT-26-018</t>
        </is>
      </c>
      <c r="B1031" s="7" t="inlineStr">
        <is>
          <t>Materiales</t>
        </is>
      </c>
      <c r="C1031" s="7" t="inlineStr">
        <is>
          <t>Muebles y espejos de baño</t>
        </is>
      </c>
      <c r="D1031" s="5" t="inlineStr">
        <is>
          <t>Mueble Fit suspendido 50 x 40 x 55 Negro Mate Pef</t>
        </is>
      </c>
      <c r="E1031" s="5" t="inlineStr">
        <is>
          <t>marca AML · referencia 20230633</t>
        </is>
      </c>
      <c r="F1031" s="5" t="inlineStr">
        <is>
          <t>Material retirado en almacén</t>
        </is>
      </c>
      <c r="G1031" s="5" t="inlineStr">
        <is>
          <t>mueble de baño, vanity, gabinete</t>
        </is>
      </c>
      <c r="H1031" s="7" t="inlineStr">
        <is>
          <t>unidad</t>
        </is>
      </c>
      <c r="I1031" s="7" t="inlineStr">
        <is>
          <t>Terminación de superficies</t>
        </is>
      </c>
      <c r="J1031" s="7" t="inlineStr">
        <is>
          <t>estandar</t>
        </is>
      </c>
      <c r="K1031" s="7" t="inlineStr">
        <is>
          <t>importado</t>
        </is>
      </c>
      <c r="L1031" s="7" t="inlineStr">
        <is>
          <t>Verificado</t>
        </is>
      </c>
      <c r="M1031" s="8" t="n">
        <v>1</v>
      </c>
      <c r="N1031" s="9" t="n">
        <v>19517.62</v>
      </c>
      <c r="O1031" s="9" t="n">
        <v>19517.62</v>
      </c>
      <c r="P1031" s="9" t="n">
        <v>19517.62</v>
      </c>
      <c r="Q1031" s="7" t="inlineStr">
        <is>
          <t>Sí</t>
        </is>
      </c>
      <c r="R1031" s="9">
        <f>IF(N1031="","",IF(Q1031="Sí",ROUND(N1031/1.18,2),N1031))</f>
        <v/>
      </c>
      <c r="S1031" s="7" t="inlineStr">
        <is>
          <t>2026-09-09</t>
        </is>
      </c>
      <c r="T1031" s="5" t="inlineStr">
        <is>
          <t>1 cotización de proveedores</t>
        </is>
      </c>
    </row>
    <row r="1032">
      <c r="A1032" s="7" t="inlineStr">
        <is>
          <t>MAT-26-019</t>
        </is>
      </c>
      <c r="B1032" s="7" t="inlineStr">
        <is>
          <t>Materiales</t>
        </is>
      </c>
      <c r="C1032" s="7" t="inlineStr">
        <is>
          <t>Muebles y espejos de baño</t>
        </is>
      </c>
      <c r="D1032" s="5" t="inlineStr">
        <is>
          <t>Mueble Surf 60 Lino</t>
        </is>
      </c>
      <c r="E1032" s="5" t="inlineStr">
        <is>
          <t>marca AML · referencia 2015000000101</t>
        </is>
      </c>
      <c r="F1032" s="5" t="inlineStr">
        <is>
          <t>Material retirado en almacén</t>
        </is>
      </c>
      <c r="G1032" s="5" t="inlineStr">
        <is>
          <t>mueble de baño, vanity, gabinete</t>
        </is>
      </c>
      <c r="H1032" s="7" t="inlineStr">
        <is>
          <t>unidad</t>
        </is>
      </c>
      <c r="I1032" s="7" t="inlineStr">
        <is>
          <t>Terminación de superficies</t>
        </is>
      </c>
      <c r="J1032" s="7" t="inlineStr">
        <is>
          <t>estandar</t>
        </is>
      </c>
      <c r="K1032" s="7" t="inlineStr">
        <is>
          <t>importado</t>
        </is>
      </c>
      <c r="L1032" s="7" t="inlineStr">
        <is>
          <t>Verificado</t>
        </is>
      </c>
      <c r="M1032" s="8" t="n">
        <v>1</v>
      </c>
      <c r="N1032" s="9" t="n">
        <v>19711.94</v>
      </c>
      <c r="O1032" s="9" t="n">
        <v>19711.94</v>
      </c>
      <c r="P1032" s="9" t="n">
        <v>19711.94</v>
      </c>
      <c r="Q1032" s="7" t="inlineStr">
        <is>
          <t>Sí</t>
        </is>
      </c>
      <c r="R1032" s="9">
        <f>IF(N1032="","",IF(Q1032="Sí",ROUND(N1032/1.18,2),N1032))</f>
        <v/>
      </c>
      <c r="S1032" s="7" t="inlineStr">
        <is>
          <t>2026-09-09</t>
        </is>
      </c>
      <c r="T1032" s="5" t="inlineStr">
        <is>
          <t>1 cotización de proveedores</t>
        </is>
      </c>
    </row>
    <row r="1033">
      <c r="A1033" s="7" t="inlineStr">
        <is>
          <t>MAT-26-020</t>
        </is>
      </c>
      <c r="B1033" s="7" t="inlineStr">
        <is>
          <t>Materiales</t>
        </is>
      </c>
      <c r="C1033" s="7" t="inlineStr">
        <is>
          <t>Muebles y espejos de baño</t>
        </is>
      </c>
      <c r="D1033" s="5" t="inlineStr">
        <is>
          <t>Mueble Volga 80 P2 suspendido Blanco</t>
        </is>
      </c>
      <c r="E1033" s="5" t="inlineStr">
        <is>
          <t>marca AML · referencia 20240202</t>
        </is>
      </c>
      <c r="F1033" s="5" t="inlineStr">
        <is>
          <t>Material retirado en almacén</t>
        </is>
      </c>
      <c r="G1033" s="5" t="inlineStr">
        <is>
          <t>mueble de baño, vanity, gabinete</t>
        </is>
      </c>
      <c r="H1033" s="7" t="inlineStr">
        <is>
          <t>unidad</t>
        </is>
      </c>
      <c r="I1033" s="7" t="inlineStr">
        <is>
          <t>Terminación de superficies</t>
        </is>
      </c>
      <c r="J1033" s="7" t="inlineStr">
        <is>
          <t>estandar</t>
        </is>
      </c>
      <c r="K1033" s="7" t="inlineStr">
        <is>
          <t>importado</t>
        </is>
      </c>
      <c r="L1033" s="7" t="inlineStr">
        <is>
          <t>Verificado</t>
        </is>
      </c>
      <c r="M1033" s="8" t="n">
        <v>1</v>
      </c>
      <c r="N1033" s="9" t="n">
        <v>19905.11</v>
      </c>
      <c r="O1033" s="9" t="n">
        <v>19905.11</v>
      </c>
      <c r="P1033" s="9" t="n">
        <v>19905.11</v>
      </c>
      <c r="Q1033" s="7" t="inlineStr">
        <is>
          <t>Sí</t>
        </is>
      </c>
      <c r="R1033" s="9">
        <f>IF(N1033="","",IF(Q1033="Sí",ROUND(N1033/1.18,2),N1033))</f>
        <v/>
      </c>
      <c r="S1033" s="7" t="inlineStr">
        <is>
          <t>2026-09-09</t>
        </is>
      </c>
      <c r="T1033" s="5" t="inlineStr">
        <is>
          <t>1 cotización de proveedores</t>
        </is>
      </c>
    </row>
    <row r="1034">
      <c r="A1034" s="7" t="inlineStr">
        <is>
          <t>MAT-26-021</t>
        </is>
      </c>
      <c r="B1034" s="7" t="inlineStr">
        <is>
          <t>Materiales</t>
        </is>
      </c>
      <c r="C1034" s="7" t="inlineStr">
        <is>
          <t>Muebles y espejos de baño</t>
        </is>
      </c>
      <c r="D1034" s="5" t="inlineStr">
        <is>
          <t>Mueble Volga 80 P2 suspendido Roble Hera</t>
        </is>
      </c>
      <c r="E1034" s="5" t="inlineStr">
        <is>
          <t>marca AML · referencia 20240203</t>
        </is>
      </c>
      <c r="F1034" s="5" t="inlineStr">
        <is>
          <t>Material retirado en almacén</t>
        </is>
      </c>
      <c r="G1034" s="5" t="inlineStr">
        <is>
          <t>mueble de baño, vanity, gabinete</t>
        </is>
      </c>
      <c r="H1034" s="7" t="inlineStr">
        <is>
          <t>unidad</t>
        </is>
      </c>
      <c r="I1034" s="7" t="inlineStr">
        <is>
          <t>Terminación de superficies</t>
        </is>
      </c>
      <c r="J1034" s="7" t="inlineStr">
        <is>
          <t>estandar</t>
        </is>
      </c>
      <c r="K1034" s="7" t="inlineStr">
        <is>
          <t>importado</t>
        </is>
      </c>
      <c r="L1034" s="7" t="inlineStr">
        <is>
          <t>Verificado</t>
        </is>
      </c>
      <c r="M1034" s="8" t="n">
        <v>1</v>
      </c>
      <c r="N1034" s="9" t="n">
        <v>19949.84</v>
      </c>
      <c r="O1034" s="9" t="n">
        <v>19949.84</v>
      </c>
      <c r="P1034" s="9" t="n">
        <v>19949.84</v>
      </c>
      <c r="Q1034" s="7" t="inlineStr">
        <is>
          <t>Sí</t>
        </is>
      </c>
      <c r="R1034" s="9">
        <f>IF(N1034="","",IF(Q1034="Sí",ROUND(N1034/1.18,2),N1034))</f>
        <v/>
      </c>
      <c r="S1034" s="7" t="inlineStr">
        <is>
          <t>2026-09-09</t>
        </is>
      </c>
      <c r="T1034" s="5" t="inlineStr">
        <is>
          <t>1 cotización de proveedores</t>
        </is>
      </c>
    </row>
    <row r="1035">
      <c r="A1035" s="7" t="inlineStr">
        <is>
          <t>MAT-26-022</t>
        </is>
      </c>
      <c r="B1035" s="7" t="inlineStr">
        <is>
          <t>Materiales</t>
        </is>
      </c>
      <c r="C1035" s="7" t="inlineStr">
        <is>
          <t>Muebles y espejos de baño</t>
        </is>
      </c>
      <c r="D1035" s="5" t="inlineStr">
        <is>
          <t>Mueble Volga 60 G2 suspendido Roble Hera</t>
        </is>
      </c>
      <c r="E1035" s="5" t="inlineStr">
        <is>
          <t>marca AML · referencia 20240205</t>
        </is>
      </c>
      <c r="F1035" s="5" t="inlineStr">
        <is>
          <t>Material retirado en almacén</t>
        </is>
      </c>
      <c r="G1035" s="5" t="inlineStr">
        <is>
          <t>mueble de baño, vanity, gabinete</t>
        </is>
      </c>
      <c r="H1035" s="7" t="inlineStr">
        <is>
          <t>unidad</t>
        </is>
      </c>
      <c r="I1035" s="7" t="inlineStr">
        <is>
          <t>Terminación de superficies</t>
        </is>
      </c>
      <c r="J1035" s="7" t="inlineStr">
        <is>
          <t>estandar</t>
        </is>
      </c>
      <c r="K1035" s="7" t="inlineStr">
        <is>
          <t>importado</t>
        </is>
      </c>
      <c r="L1035" s="7" t="inlineStr">
        <is>
          <t>Verificado</t>
        </is>
      </c>
      <c r="M1035" s="8" t="n">
        <v>1</v>
      </c>
      <c r="N1035" s="9" t="n">
        <v>20203.04</v>
      </c>
      <c r="O1035" s="9" t="n">
        <v>20203.04</v>
      </c>
      <c r="P1035" s="9" t="n">
        <v>20203.04</v>
      </c>
      <c r="Q1035" s="7" t="inlineStr">
        <is>
          <t>Sí</t>
        </is>
      </c>
      <c r="R1035" s="9">
        <f>IF(N1035="","",IF(Q1035="Sí",ROUND(N1035/1.18,2),N1035))</f>
        <v/>
      </c>
      <c r="S1035" s="7" t="inlineStr">
        <is>
          <t>2026-09-09</t>
        </is>
      </c>
      <c r="T1035" s="5" t="inlineStr">
        <is>
          <t>1 cotización de proveedores</t>
        </is>
      </c>
    </row>
    <row r="1036">
      <c r="A1036" s="7" t="inlineStr">
        <is>
          <t>MAT-26-023</t>
        </is>
      </c>
      <c r="B1036" s="7" t="inlineStr">
        <is>
          <t>Materiales</t>
        </is>
      </c>
      <c r="C1036" s="7" t="inlineStr">
        <is>
          <t>Muebles y espejos de baño</t>
        </is>
      </c>
      <c r="D1036" s="5" t="inlineStr">
        <is>
          <t>Mueble Arrabida 2 60 x 45 x 81 Carvalho Pefc</t>
        </is>
      </c>
      <c r="E1036" s="5" t="inlineStr">
        <is>
          <t>marca AML · referencia 20230648</t>
        </is>
      </c>
      <c r="F1036" s="5" t="inlineStr">
        <is>
          <t>Material retirado en almacén</t>
        </is>
      </c>
      <c r="G1036" s="5" t="inlineStr">
        <is>
          <t>mueble de baño, vanity, gabinete</t>
        </is>
      </c>
      <c r="H1036" s="7" t="inlineStr">
        <is>
          <t>unidad</t>
        </is>
      </c>
      <c r="I1036" s="7" t="inlineStr">
        <is>
          <t>Terminación de superficies</t>
        </is>
      </c>
      <c r="J1036" s="7" t="inlineStr">
        <is>
          <t>estandar</t>
        </is>
      </c>
      <c r="K1036" s="7" t="inlineStr">
        <is>
          <t>importado</t>
        </is>
      </c>
      <c r="L1036" s="7" t="inlineStr">
        <is>
          <t>Verificado</t>
        </is>
      </c>
      <c r="M1036" s="8" t="n">
        <v>1</v>
      </c>
      <c r="N1036" s="9" t="n">
        <v>20322.16</v>
      </c>
      <c r="O1036" s="9" t="n">
        <v>20322.16</v>
      </c>
      <c r="P1036" s="9" t="n">
        <v>20322.16</v>
      </c>
      <c r="Q1036" s="7" t="inlineStr">
        <is>
          <t>Sí</t>
        </is>
      </c>
      <c r="R1036" s="9">
        <f>IF(N1036="","",IF(Q1036="Sí",ROUND(N1036/1.18,2),N1036))</f>
        <v/>
      </c>
      <c r="S1036" s="7" t="inlineStr">
        <is>
          <t>2026-09-09</t>
        </is>
      </c>
      <c r="T1036" s="5" t="inlineStr">
        <is>
          <t>1 cotización de proveedores</t>
        </is>
      </c>
    </row>
    <row r="1037">
      <c r="A1037" s="7" t="inlineStr">
        <is>
          <t>MAT-26-024</t>
        </is>
      </c>
      <c r="B1037" s="7" t="inlineStr">
        <is>
          <t>Materiales</t>
        </is>
      </c>
      <c r="C1037" s="7" t="inlineStr">
        <is>
          <t>Muebles y espejos de baño</t>
        </is>
      </c>
      <c r="D1037" s="5" t="inlineStr">
        <is>
          <t>Mueble Volga 60 G2 suspendido Blanco</t>
        </is>
      </c>
      <c r="E1037" s="5" t="inlineStr">
        <is>
          <t>marca AML · referencia 20240204</t>
        </is>
      </c>
      <c r="F1037" s="5" t="inlineStr">
        <is>
          <t>Material retirado en almacén</t>
        </is>
      </c>
      <c r="G1037" s="5" t="inlineStr">
        <is>
          <t>mueble de baño, vanity, gabinete</t>
        </is>
      </c>
      <c r="H1037" s="7" t="inlineStr">
        <is>
          <t>unidad</t>
        </is>
      </c>
      <c r="I1037" s="7" t="inlineStr">
        <is>
          <t>Terminación de superficies</t>
        </is>
      </c>
      <c r="J1037" s="7" t="inlineStr">
        <is>
          <t>estandar</t>
        </is>
      </c>
      <c r="K1037" s="7" t="inlineStr">
        <is>
          <t>importado</t>
        </is>
      </c>
      <c r="L1037" s="7" t="inlineStr">
        <is>
          <t>Verificado</t>
        </is>
      </c>
      <c r="M1037" s="8" t="n">
        <v>1</v>
      </c>
      <c r="N1037" s="9" t="n">
        <v>20361.76</v>
      </c>
      <c r="O1037" s="9" t="n">
        <v>20361.76</v>
      </c>
      <c r="P1037" s="9" t="n">
        <v>20361.76</v>
      </c>
      <c r="Q1037" s="7" t="inlineStr">
        <is>
          <t>Sí</t>
        </is>
      </c>
      <c r="R1037" s="9">
        <f>IF(N1037="","",IF(Q1037="Sí",ROUND(N1037/1.18,2),N1037))</f>
        <v/>
      </c>
      <c r="S1037" s="7" t="inlineStr">
        <is>
          <t>2026-09-09</t>
        </is>
      </c>
      <c r="T1037" s="5" t="inlineStr">
        <is>
          <t>1 cotización de proveedores</t>
        </is>
      </c>
    </row>
    <row r="1038">
      <c r="A1038" s="7" t="inlineStr">
        <is>
          <t>MAT-26-025</t>
        </is>
      </c>
      <c r="B1038" s="7" t="inlineStr">
        <is>
          <t>Materiales</t>
        </is>
      </c>
      <c r="C1038" s="7" t="inlineStr">
        <is>
          <t>Muebles y espejos de baño</t>
        </is>
      </c>
      <c r="D1038" s="5" t="inlineStr">
        <is>
          <t>Mueble Roma Suspend. 80 Blanco / Taiga</t>
        </is>
      </c>
      <c r="E1038" s="5" t="inlineStr">
        <is>
          <t>marca AML · referencia 20210384</t>
        </is>
      </c>
      <c r="F1038" s="5" t="inlineStr">
        <is>
          <t>Material retirado en almacén</t>
        </is>
      </c>
      <c r="G1038" s="5" t="inlineStr">
        <is>
          <t>mueble de baño, vanity, gabinete</t>
        </is>
      </c>
      <c r="H1038" s="7" t="inlineStr">
        <is>
          <t>unidad</t>
        </is>
      </c>
      <c r="I1038" s="7" t="inlineStr">
        <is>
          <t>Terminación de superficies</t>
        </is>
      </c>
      <c r="J1038" s="7" t="inlineStr">
        <is>
          <t>estandar</t>
        </is>
      </c>
      <c r="K1038" s="7" t="inlineStr">
        <is>
          <t>importado</t>
        </is>
      </c>
      <c r="L1038" s="7" t="inlineStr">
        <is>
          <t>Verificado</t>
        </is>
      </c>
      <c r="M1038" s="8" t="n">
        <v>1</v>
      </c>
      <c r="N1038" s="9" t="n">
        <v>21156.93</v>
      </c>
      <c r="O1038" s="9" t="n">
        <v>21156.93</v>
      </c>
      <c r="P1038" s="9" t="n">
        <v>21156.93</v>
      </c>
      <c r="Q1038" s="7" t="inlineStr">
        <is>
          <t>Sí</t>
        </is>
      </c>
      <c r="R1038" s="9">
        <f>IF(N1038="","",IF(Q1038="Sí",ROUND(N1038/1.18,2),N1038))</f>
        <v/>
      </c>
      <c r="S1038" s="7" t="inlineStr">
        <is>
          <t>2026-09-09</t>
        </is>
      </c>
      <c r="T1038" s="5" t="inlineStr">
        <is>
          <t>1 cotización de proveedores</t>
        </is>
      </c>
    </row>
    <row r="1039">
      <c r="A1039" s="7" t="inlineStr">
        <is>
          <t>MAT-26-026</t>
        </is>
      </c>
      <c r="B1039" s="7" t="inlineStr">
        <is>
          <t>Materiales</t>
        </is>
      </c>
      <c r="C1039" s="7" t="inlineStr">
        <is>
          <t>Muebles y espejos de baño</t>
        </is>
      </c>
      <c r="D1039" s="5" t="inlineStr">
        <is>
          <t>Mueble Roma Suspend. 80 Blanco / Hercules</t>
        </is>
      </c>
      <c r="E1039" s="5" t="inlineStr">
        <is>
          <t>marca AML · referencia 20210383</t>
        </is>
      </c>
      <c r="F1039" s="5" t="inlineStr">
        <is>
          <t>Material retirado en almacén</t>
        </is>
      </c>
      <c r="G1039" s="5" t="inlineStr">
        <is>
          <t>mueble de baño, vanity, gabinete</t>
        </is>
      </c>
      <c r="H1039" s="7" t="inlineStr">
        <is>
          <t>unidad</t>
        </is>
      </c>
      <c r="I1039" s="7" t="inlineStr">
        <is>
          <t>Terminación de superficies</t>
        </is>
      </c>
      <c r="J1039" s="7" t="inlineStr">
        <is>
          <t>estandar</t>
        </is>
      </c>
      <c r="K1039" s="7" t="inlineStr">
        <is>
          <t>importado</t>
        </is>
      </c>
      <c r="L1039" s="7" t="inlineStr">
        <is>
          <t>Verificado</t>
        </is>
      </c>
      <c r="M1039" s="8" t="n">
        <v>1</v>
      </c>
      <c r="N1039" s="9" t="n">
        <v>21190.31</v>
      </c>
      <c r="O1039" s="9" t="n">
        <v>21190.31</v>
      </c>
      <c r="P1039" s="9" t="n">
        <v>21190.31</v>
      </c>
      <c r="Q1039" s="7" t="inlineStr">
        <is>
          <t>Sí</t>
        </is>
      </c>
      <c r="R1039" s="9">
        <f>IF(N1039="","",IF(Q1039="Sí",ROUND(N1039/1.18,2),N1039))</f>
        <v/>
      </c>
      <c r="S1039" s="7" t="inlineStr">
        <is>
          <t>2026-09-09</t>
        </is>
      </c>
      <c r="T1039" s="5" t="inlineStr">
        <is>
          <t>1 cotización de proveedores</t>
        </is>
      </c>
    </row>
    <row r="1040">
      <c r="A1040" s="7" t="inlineStr">
        <is>
          <t>MAT-26-027</t>
        </is>
      </c>
      <c r="B1040" s="7" t="inlineStr">
        <is>
          <t>Materiales</t>
        </is>
      </c>
      <c r="C1040" s="7" t="inlineStr">
        <is>
          <t>Muebles y espejos de baño</t>
        </is>
      </c>
      <c r="D1040" s="5" t="inlineStr">
        <is>
          <t>Mueble Strato 80 Wenge</t>
        </is>
      </c>
      <c r="E1040" s="5" t="inlineStr">
        <is>
          <t>marca AML · referencia 2011000000612</t>
        </is>
      </c>
      <c r="F1040" s="5" t="inlineStr">
        <is>
          <t>Material retirado en almacén</t>
        </is>
      </c>
      <c r="G1040" s="5" t="inlineStr">
        <is>
          <t>mueble de baño, vanity, gabinete</t>
        </is>
      </c>
      <c r="H1040" s="7" t="inlineStr">
        <is>
          <t>unidad</t>
        </is>
      </c>
      <c r="I1040" s="7" t="inlineStr">
        <is>
          <t>Terminación de superficies</t>
        </is>
      </c>
      <c r="J1040" s="7" t="inlineStr">
        <is>
          <t>estandar</t>
        </is>
      </c>
      <c r="K1040" s="7" t="inlineStr">
        <is>
          <t>importado</t>
        </is>
      </c>
      <c r="L1040" s="7" t="inlineStr">
        <is>
          <t>Verificado</t>
        </is>
      </c>
      <c r="M1040" s="8" t="n">
        <v>1</v>
      </c>
      <c r="N1040" s="9" t="n">
        <v>21711.03</v>
      </c>
      <c r="O1040" s="9" t="n">
        <v>21711.03</v>
      </c>
      <c r="P1040" s="9" t="n">
        <v>21711.03</v>
      </c>
      <c r="Q1040" s="7" t="inlineStr">
        <is>
          <t>Sí</t>
        </is>
      </c>
      <c r="R1040" s="9">
        <f>IF(N1040="","",IF(Q1040="Sí",ROUND(N1040/1.18,2),N1040))</f>
        <v/>
      </c>
      <c r="S1040" s="7" t="inlineStr">
        <is>
          <t>2026-09-09</t>
        </is>
      </c>
      <c r="T1040" s="5" t="inlineStr">
        <is>
          <t>1 cotización de proveedores</t>
        </is>
      </c>
    </row>
    <row r="1041">
      <c r="A1041" s="7" t="inlineStr">
        <is>
          <t>MAT-26-028</t>
        </is>
      </c>
      <c r="B1041" s="7" t="inlineStr">
        <is>
          <t>Materiales</t>
        </is>
      </c>
      <c r="C1041" s="7" t="inlineStr">
        <is>
          <t>Muebles y espejos de baño</t>
        </is>
      </c>
      <c r="D1041" s="5" t="inlineStr">
        <is>
          <t>Mueble Zeus 80 Wengue</t>
        </is>
      </c>
      <c r="E1041" s="5" t="inlineStr">
        <is>
          <t>marca AML · referencia 2011000000763</t>
        </is>
      </c>
      <c r="F1041" s="5" t="inlineStr">
        <is>
          <t>Material retirado en almacén</t>
        </is>
      </c>
      <c r="G1041" s="5" t="inlineStr">
        <is>
          <t>mueble de baño, vanity, gabinete</t>
        </is>
      </c>
      <c r="H1041" s="7" t="inlineStr">
        <is>
          <t>unidad</t>
        </is>
      </c>
      <c r="I1041" s="7" t="inlineStr">
        <is>
          <t>Terminación de superficies</t>
        </is>
      </c>
      <c r="J1041" s="7" t="inlineStr">
        <is>
          <t>estandar</t>
        </is>
      </c>
      <c r="K1041" s="7" t="inlineStr">
        <is>
          <t>importado</t>
        </is>
      </c>
      <c r="L1041" s="7" t="inlineStr">
        <is>
          <t>Verificado</t>
        </is>
      </c>
      <c r="M1041" s="8" t="n">
        <v>1</v>
      </c>
      <c r="N1041" s="9" t="n">
        <v>21795.98</v>
      </c>
      <c r="O1041" s="9" t="n">
        <v>21795.98</v>
      </c>
      <c r="P1041" s="9" t="n">
        <v>21795.98</v>
      </c>
      <c r="Q1041" s="7" t="inlineStr">
        <is>
          <t>Sí</t>
        </is>
      </c>
      <c r="R1041" s="9">
        <f>IF(N1041="","",IF(Q1041="Sí",ROUND(N1041/1.18,2),N1041))</f>
        <v/>
      </c>
      <c r="S1041" s="7" t="inlineStr">
        <is>
          <t>2026-09-09</t>
        </is>
      </c>
      <c r="T1041" s="5" t="inlineStr">
        <is>
          <t>1 cotización de proveedores</t>
        </is>
      </c>
    </row>
    <row r="1042">
      <c r="A1042" s="7" t="inlineStr">
        <is>
          <t>MAT-26-029</t>
        </is>
      </c>
      <c r="B1042" s="7" t="inlineStr">
        <is>
          <t>Materiales</t>
        </is>
      </c>
      <c r="C1042" s="7" t="inlineStr">
        <is>
          <t>Muebles y espejos de baño</t>
        </is>
      </c>
      <c r="D1042" s="5" t="inlineStr">
        <is>
          <t>Mueble Zeus 80 Blanco</t>
        </is>
      </c>
      <c r="E1042" s="5" t="inlineStr">
        <is>
          <t>marca AML · referencia 2011000000762</t>
        </is>
      </c>
      <c r="F1042" s="5" t="inlineStr">
        <is>
          <t>Material retirado en almacén</t>
        </is>
      </c>
      <c r="G1042" s="5" t="inlineStr">
        <is>
          <t>mueble de baño, vanity, gabinete</t>
        </is>
      </c>
      <c r="H1042" s="7" t="inlineStr">
        <is>
          <t>unidad</t>
        </is>
      </c>
      <c r="I1042" s="7" t="inlineStr">
        <is>
          <t>Terminación de superficies</t>
        </is>
      </c>
      <c r="J1042" s="7" t="inlineStr">
        <is>
          <t>estandar</t>
        </is>
      </c>
      <c r="K1042" s="7" t="inlineStr">
        <is>
          <t>importado</t>
        </is>
      </c>
      <c r="L1042" s="7" t="inlineStr">
        <is>
          <t>Verificado</t>
        </is>
      </c>
      <c r="M1042" s="8" t="n">
        <v>1</v>
      </c>
      <c r="N1042" s="9" t="n">
        <v>21882.03</v>
      </c>
      <c r="O1042" s="9" t="n">
        <v>21882.03</v>
      </c>
      <c r="P1042" s="9" t="n">
        <v>21882.03</v>
      </c>
      <c r="Q1042" s="7" t="inlineStr">
        <is>
          <t>Sí</t>
        </is>
      </c>
      <c r="R1042" s="9">
        <f>IF(N1042="","",IF(Q1042="Sí",ROUND(N1042/1.18,2),N1042))</f>
        <v/>
      </c>
      <c r="S1042" s="7" t="inlineStr">
        <is>
          <t>2026-09-09</t>
        </is>
      </c>
      <c r="T1042" s="5" t="inlineStr">
        <is>
          <t>1 cotización de proveedores</t>
        </is>
      </c>
    </row>
    <row r="1043">
      <c r="A1043" s="7" t="inlineStr">
        <is>
          <t>MAT-26-030</t>
        </is>
      </c>
      <c r="B1043" s="7" t="inlineStr">
        <is>
          <t>Materiales</t>
        </is>
      </c>
      <c r="C1043" s="7" t="inlineStr">
        <is>
          <t>Muebles y espejos de baño</t>
        </is>
      </c>
      <c r="D1043" s="5" t="inlineStr">
        <is>
          <t>Mueble Zen 60 G2 Hercules</t>
        </is>
      </c>
      <c r="E1043" s="5" t="inlineStr">
        <is>
          <t>marca AML · referencia 20210744</t>
        </is>
      </c>
      <c r="F1043" s="5" t="inlineStr">
        <is>
          <t>Material retirado en almacén</t>
        </is>
      </c>
      <c r="G1043" s="5" t="inlineStr">
        <is>
          <t>mueble de baño, vanity, gabinete</t>
        </is>
      </c>
      <c r="H1043" s="7" t="inlineStr">
        <is>
          <t>unidad</t>
        </is>
      </c>
      <c r="I1043" s="7" t="inlineStr">
        <is>
          <t>Terminación de superficies</t>
        </is>
      </c>
      <c r="J1043" s="7" t="inlineStr">
        <is>
          <t>estandar</t>
        </is>
      </c>
      <c r="K1043" s="7" t="inlineStr">
        <is>
          <t>importado</t>
        </is>
      </c>
      <c r="L1043" s="7" t="inlineStr">
        <is>
          <t>Verificado</t>
        </is>
      </c>
      <c r="M1043" s="8" t="n">
        <v>1</v>
      </c>
      <c r="N1043" s="9" t="n">
        <v>22110.04</v>
      </c>
      <c r="O1043" s="9" t="n">
        <v>22110.04</v>
      </c>
      <c r="P1043" s="9" t="n">
        <v>22110.04</v>
      </c>
      <c r="Q1043" s="7" t="inlineStr">
        <is>
          <t>Sí</t>
        </is>
      </c>
      <c r="R1043" s="9">
        <f>IF(N1043="","",IF(Q1043="Sí",ROUND(N1043/1.18,2),N1043))</f>
        <v/>
      </c>
      <c r="S1043" s="7" t="inlineStr">
        <is>
          <t>2026-09-09</t>
        </is>
      </c>
      <c r="T1043" s="5" t="inlineStr">
        <is>
          <t>1 cotización de proveedores</t>
        </is>
      </c>
    </row>
    <row r="1044">
      <c r="A1044" s="7" t="inlineStr">
        <is>
          <t>MAT-26-031</t>
        </is>
      </c>
      <c r="B1044" s="7" t="inlineStr">
        <is>
          <t>Materiales</t>
        </is>
      </c>
      <c r="C1044" s="7" t="inlineStr">
        <is>
          <t>Muebles y espejos de baño</t>
        </is>
      </c>
      <c r="D1044" s="5" t="inlineStr">
        <is>
          <t>Mueble Zen 60 G2 Blanco</t>
        </is>
      </c>
      <c r="E1044" s="5" t="inlineStr">
        <is>
          <t>marca AML · referencia 20210743</t>
        </is>
      </c>
      <c r="F1044" s="5" t="inlineStr">
        <is>
          <t>Material retirado en almacén</t>
        </is>
      </c>
      <c r="G1044" s="5" t="inlineStr">
        <is>
          <t>mueble de baño, vanity, gabinete</t>
        </is>
      </c>
      <c r="H1044" s="7" t="inlineStr">
        <is>
          <t>unidad</t>
        </is>
      </c>
      <c r="I1044" s="7" t="inlineStr">
        <is>
          <t>Terminación de superficies</t>
        </is>
      </c>
      <c r="J1044" s="7" t="inlineStr">
        <is>
          <t>estandar</t>
        </is>
      </c>
      <c r="K1044" s="7" t="inlineStr">
        <is>
          <t>importado</t>
        </is>
      </c>
      <c r="L1044" s="7" t="inlineStr">
        <is>
          <t>Verificado</t>
        </is>
      </c>
      <c r="M1044" s="8" t="n">
        <v>1</v>
      </c>
      <c r="N1044" s="9" t="n">
        <v>22157.17</v>
      </c>
      <c r="O1044" s="9" t="n">
        <v>22157.17</v>
      </c>
      <c r="P1044" s="9" t="n">
        <v>22157.17</v>
      </c>
      <c r="Q1044" s="7" t="inlineStr">
        <is>
          <t>Sí</t>
        </is>
      </c>
      <c r="R1044" s="9">
        <f>IF(N1044="","",IF(Q1044="Sí",ROUND(N1044/1.18,2),N1044))</f>
        <v/>
      </c>
      <c r="S1044" s="7" t="inlineStr">
        <is>
          <t>2026-09-09</t>
        </is>
      </c>
      <c r="T1044" s="5" t="inlineStr">
        <is>
          <t>1 cotización de proveedores</t>
        </is>
      </c>
    </row>
    <row r="1045">
      <c r="A1045" s="7" t="inlineStr">
        <is>
          <t>MAT-26-032</t>
        </is>
      </c>
      <c r="B1045" s="7" t="inlineStr">
        <is>
          <t>Materiales</t>
        </is>
      </c>
      <c r="C1045" s="7" t="inlineStr">
        <is>
          <t>Muebles y espejos de baño</t>
        </is>
      </c>
      <c r="D1045" s="5" t="inlineStr">
        <is>
          <t>Mueble Samba 60 Lino</t>
        </is>
      </c>
      <c r="E1045" s="5" t="inlineStr">
        <is>
          <t>marca AML · referencia 2015000000110</t>
        </is>
      </c>
      <c r="F1045" s="5" t="inlineStr">
        <is>
          <t>Material retirado en almacén</t>
        </is>
      </c>
      <c r="G1045" s="5" t="inlineStr">
        <is>
          <t>mueble de baño, vanity, gabinete</t>
        </is>
      </c>
      <c r="H1045" s="7" t="inlineStr">
        <is>
          <t>unidad</t>
        </is>
      </c>
      <c r="I1045" s="7" t="inlineStr">
        <is>
          <t>Terminación de superficies</t>
        </is>
      </c>
      <c r="J1045" s="7" t="inlineStr">
        <is>
          <t>estandar</t>
        </is>
      </c>
      <c r="K1045" s="7" t="inlineStr">
        <is>
          <t>importado</t>
        </is>
      </c>
      <c r="L1045" s="7" t="inlineStr">
        <is>
          <t>Verificado</t>
        </is>
      </c>
      <c r="M1045" s="8" t="n">
        <v>1</v>
      </c>
      <c r="N1045" s="9" t="n">
        <v>23215.59</v>
      </c>
      <c r="O1045" s="9" t="n">
        <v>23215.59</v>
      </c>
      <c r="P1045" s="9" t="n">
        <v>23215.59</v>
      </c>
      <c r="Q1045" s="7" t="inlineStr">
        <is>
          <t>Sí</t>
        </is>
      </c>
      <c r="R1045" s="9">
        <f>IF(N1045="","",IF(Q1045="Sí",ROUND(N1045/1.18,2),N1045))</f>
        <v/>
      </c>
      <c r="S1045" s="7" t="inlineStr">
        <is>
          <t>2026-09-09</t>
        </is>
      </c>
      <c r="T1045" s="5" t="inlineStr">
        <is>
          <t>1 cotización de proveedores</t>
        </is>
      </c>
    </row>
    <row r="1046">
      <c r="A1046" s="7" t="inlineStr">
        <is>
          <t>MAT-26-033</t>
        </is>
      </c>
      <c r="B1046" s="7" t="inlineStr">
        <is>
          <t>Materiales</t>
        </is>
      </c>
      <c r="C1046" s="7" t="inlineStr">
        <is>
          <t>Muebles y espejos de baño</t>
        </is>
      </c>
      <c r="D1046" s="5" t="inlineStr">
        <is>
          <t>Mueble Volga 80 G2 suspendido Roble Hera</t>
        </is>
      </c>
      <c r="E1046" s="5" t="inlineStr">
        <is>
          <t>marca AML · referencia 20240207</t>
        </is>
      </c>
      <c r="F1046" s="5" t="inlineStr">
        <is>
          <t>Material retirado en almacén</t>
        </is>
      </c>
      <c r="G1046" s="5" t="inlineStr">
        <is>
          <t>mueble de baño, vanity, gabinete</t>
        </is>
      </c>
      <c r="H1046" s="7" t="inlineStr">
        <is>
          <t>unidad</t>
        </is>
      </c>
      <c r="I1046" s="7" t="inlineStr">
        <is>
          <t>Terminación de superficies</t>
        </is>
      </c>
      <c r="J1046" s="7" t="inlineStr">
        <is>
          <t>estandar</t>
        </is>
      </c>
      <c r="K1046" s="7" t="inlineStr">
        <is>
          <t>importado</t>
        </is>
      </c>
      <c r="L1046" s="7" t="inlineStr">
        <is>
          <t>Verificado</t>
        </is>
      </c>
      <c r="M1046" s="8" t="n">
        <v>1</v>
      </c>
      <c r="N1046" s="9" t="n">
        <v>23218</v>
      </c>
      <c r="O1046" s="9" t="n">
        <v>23218</v>
      </c>
      <c r="P1046" s="9" t="n">
        <v>23218</v>
      </c>
      <c r="Q1046" s="7" t="inlineStr">
        <is>
          <t>Sí</t>
        </is>
      </c>
      <c r="R1046" s="9">
        <f>IF(N1046="","",IF(Q1046="Sí",ROUND(N1046/1.18,2),N1046))</f>
        <v/>
      </c>
      <c r="S1046" s="7" t="inlineStr">
        <is>
          <t>2026-09-09</t>
        </is>
      </c>
      <c r="T1046" s="5" t="inlineStr">
        <is>
          <t>1 cotización de proveedores</t>
        </is>
      </c>
    </row>
    <row r="1047">
      <c r="A1047" s="7" t="inlineStr">
        <is>
          <t>MAT-26-034</t>
        </is>
      </c>
      <c r="B1047" s="7" t="inlineStr">
        <is>
          <t>Materiales</t>
        </is>
      </c>
      <c r="C1047" s="7" t="inlineStr">
        <is>
          <t>Muebles y espejos de baño</t>
        </is>
      </c>
      <c r="D1047" s="5" t="inlineStr">
        <is>
          <t>Mueble Samba Play G3 60 Blanco</t>
        </is>
      </c>
      <c r="E1047" s="5" t="inlineStr">
        <is>
          <t>marca AML · referencia 2018000000568</t>
        </is>
      </c>
      <c r="F1047" s="5" t="inlineStr">
        <is>
          <t>Material retirado en almacén</t>
        </is>
      </c>
      <c r="G1047" s="5" t="inlineStr">
        <is>
          <t>mueble de baño, vanity, gabinete</t>
        </is>
      </c>
      <c r="H1047" s="7" t="inlineStr">
        <is>
          <t>unidad</t>
        </is>
      </c>
      <c r="I1047" s="7" t="inlineStr">
        <is>
          <t>Terminación de superficies</t>
        </is>
      </c>
      <c r="J1047" s="7" t="inlineStr">
        <is>
          <t>estandar</t>
        </is>
      </c>
      <c r="K1047" s="7" t="inlineStr">
        <is>
          <t>importado</t>
        </is>
      </c>
      <c r="L1047" s="7" t="inlineStr">
        <is>
          <t>Verificado</t>
        </is>
      </c>
      <c r="M1047" s="8" t="n">
        <v>1</v>
      </c>
      <c r="N1047" s="9" t="n">
        <v>23399.53</v>
      </c>
      <c r="O1047" s="9" t="n">
        <v>23399.53</v>
      </c>
      <c r="P1047" s="9" t="n">
        <v>23399.53</v>
      </c>
      <c r="Q1047" s="7" t="inlineStr">
        <is>
          <t>Sí</t>
        </is>
      </c>
      <c r="R1047" s="9">
        <f>IF(N1047="","",IF(Q1047="Sí",ROUND(N1047/1.18,2),N1047))</f>
        <v/>
      </c>
      <c r="S1047" s="7" t="inlineStr">
        <is>
          <t>2026-09-09</t>
        </is>
      </c>
      <c r="T1047" s="5" t="inlineStr">
        <is>
          <t>1 cotización de proveedores</t>
        </is>
      </c>
    </row>
    <row r="1048">
      <c r="A1048" s="7" t="inlineStr">
        <is>
          <t>MAT-26-035</t>
        </is>
      </c>
      <c r="B1048" s="7" t="inlineStr">
        <is>
          <t>Materiales</t>
        </is>
      </c>
      <c r="C1048" s="7" t="inlineStr">
        <is>
          <t>Muebles y espejos de baño</t>
        </is>
      </c>
      <c r="D1048" s="5" t="inlineStr">
        <is>
          <t>Mueble Arrabida 2 80 x 45 x 81 Carvalho Pefc</t>
        </is>
      </c>
      <c r="E1048" s="5" t="inlineStr">
        <is>
          <t>marca AML · referencia 20230652</t>
        </is>
      </c>
      <c r="F1048" s="5" t="inlineStr">
        <is>
          <t>Material retirado en almacén</t>
        </is>
      </c>
      <c r="G1048" s="5" t="inlineStr">
        <is>
          <t>mueble de baño, vanity, gabinete</t>
        </is>
      </c>
      <c r="H1048" s="7" t="inlineStr">
        <is>
          <t>unidad</t>
        </is>
      </c>
      <c r="I1048" s="7" t="inlineStr">
        <is>
          <t>Terminación de superficies</t>
        </is>
      </c>
      <c r="J1048" s="7" t="inlineStr">
        <is>
          <t>estandar</t>
        </is>
      </c>
      <c r="K1048" s="7" t="inlineStr">
        <is>
          <t>importado</t>
        </is>
      </c>
      <c r="L1048" s="7" t="inlineStr">
        <is>
          <t>Verificado</t>
        </is>
      </c>
      <c r="M1048" s="8" t="n">
        <v>1</v>
      </c>
      <c r="N1048" s="9" t="n">
        <v>23550.43</v>
      </c>
      <c r="O1048" s="9" t="n">
        <v>23550.43</v>
      </c>
      <c r="P1048" s="9" t="n">
        <v>23550.43</v>
      </c>
      <c r="Q1048" s="7" t="inlineStr">
        <is>
          <t>Sí</t>
        </is>
      </c>
      <c r="R1048" s="9">
        <f>IF(N1048="","",IF(Q1048="Sí",ROUND(N1048/1.18,2),N1048))</f>
        <v/>
      </c>
      <c r="S1048" s="7" t="inlineStr">
        <is>
          <t>2026-09-09</t>
        </is>
      </c>
      <c r="T1048" s="5" t="inlineStr">
        <is>
          <t>1 cotización de proveedores</t>
        </is>
      </c>
    </row>
    <row r="1049">
      <c r="A1049" s="7" t="inlineStr">
        <is>
          <t>MAT-26-036</t>
        </is>
      </c>
      <c r="B1049" s="7" t="inlineStr">
        <is>
          <t>Materiales</t>
        </is>
      </c>
      <c r="C1049" s="7" t="inlineStr">
        <is>
          <t>Muebles y espejos de baño</t>
        </is>
      </c>
      <c r="D1049" s="5" t="inlineStr">
        <is>
          <t>Mueble Versatil Movel 80 P2G3 Branco</t>
        </is>
      </c>
      <c r="E1049" s="5" t="inlineStr">
        <is>
          <t>marca AML · referencia 2012000000164</t>
        </is>
      </c>
      <c r="F1049" s="5" t="inlineStr">
        <is>
          <t>Material retirado en almacén</t>
        </is>
      </c>
      <c r="G1049" s="5" t="inlineStr">
        <is>
          <t>mueble de baño, vanity, gabinete</t>
        </is>
      </c>
      <c r="H1049" s="7" t="inlineStr">
        <is>
          <t>unidad</t>
        </is>
      </c>
      <c r="I1049" s="7" t="inlineStr">
        <is>
          <t>Terminación de superficies</t>
        </is>
      </c>
      <c r="J1049" s="7" t="inlineStr">
        <is>
          <t>estandar</t>
        </is>
      </c>
      <c r="K1049" s="7" t="inlineStr">
        <is>
          <t>importado</t>
        </is>
      </c>
      <c r="L1049" s="7" t="inlineStr">
        <is>
          <t>Verificado</t>
        </is>
      </c>
      <c r="M1049" s="8" t="n">
        <v>1</v>
      </c>
      <c r="N1049" s="9" t="n">
        <v>24460.36</v>
      </c>
      <c r="O1049" s="9" t="n">
        <v>24460.36</v>
      </c>
      <c r="P1049" s="9" t="n">
        <v>24460.36</v>
      </c>
      <c r="Q1049" s="7" t="inlineStr">
        <is>
          <t>Sí</t>
        </is>
      </c>
      <c r="R1049" s="9">
        <f>IF(N1049="","",IF(Q1049="Sí",ROUND(N1049/1.18,2),N1049))</f>
        <v/>
      </c>
      <c r="S1049" s="7" t="inlineStr">
        <is>
          <t>2026-09-09</t>
        </is>
      </c>
      <c r="T1049" s="5" t="inlineStr">
        <is>
          <t>1 cotización de proveedores</t>
        </is>
      </c>
    </row>
    <row r="1050">
      <c r="A1050" s="7" t="inlineStr">
        <is>
          <t>MAT-26-037</t>
        </is>
      </c>
      <c r="B1050" s="7" t="inlineStr">
        <is>
          <t>Materiales</t>
        </is>
      </c>
      <c r="C1050" s="7" t="inlineStr">
        <is>
          <t>Muebles y espejos de baño</t>
        </is>
      </c>
      <c r="D1050" s="5" t="inlineStr">
        <is>
          <t>Mueble Arrabida 2 60 x 45 x 81 Cinza Mate</t>
        </is>
      </c>
      <c r="E1050" s="5" t="inlineStr">
        <is>
          <t>marca AML · referencia 20230649</t>
        </is>
      </c>
      <c r="F1050" s="5" t="inlineStr">
        <is>
          <t>Material retirado en almacén</t>
        </is>
      </c>
      <c r="G1050" s="5" t="inlineStr">
        <is>
          <t>mueble de baño, vanity, gabinete</t>
        </is>
      </c>
      <c r="H1050" s="7" t="inlineStr">
        <is>
          <t>unidad</t>
        </is>
      </c>
      <c r="I1050" s="7" t="inlineStr">
        <is>
          <t>Terminación de superficies</t>
        </is>
      </c>
      <c r="J1050" s="7" t="inlineStr">
        <is>
          <t>estandar</t>
        </is>
      </c>
      <c r="K1050" s="7" t="inlineStr">
        <is>
          <t>importado</t>
        </is>
      </c>
      <c r="L1050" s="7" t="inlineStr">
        <is>
          <t>Verificado</t>
        </is>
      </c>
      <c r="M1050" s="8" t="n">
        <v>1</v>
      </c>
      <c r="N1050" s="9" t="n">
        <v>24472.13</v>
      </c>
      <c r="O1050" s="9" t="n">
        <v>24472.13</v>
      </c>
      <c r="P1050" s="9" t="n">
        <v>24472.13</v>
      </c>
      <c r="Q1050" s="7" t="inlineStr">
        <is>
          <t>Sí</t>
        </is>
      </c>
      <c r="R1050" s="9">
        <f>IF(N1050="","",IF(Q1050="Sí",ROUND(N1050/1.18,2),N1050))</f>
        <v/>
      </c>
      <c r="S1050" s="7" t="inlineStr">
        <is>
          <t>2026-09-09</t>
        </is>
      </c>
      <c r="T1050" s="5" t="inlineStr">
        <is>
          <t>1 cotización de proveedores</t>
        </is>
      </c>
    </row>
    <row r="1051">
      <c r="A1051" s="7" t="inlineStr">
        <is>
          <t>MAT-26-038</t>
        </is>
      </c>
      <c r="B1051" s="7" t="inlineStr">
        <is>
          <t>Materiales</t>
        </is>
      </c>
      <c r="C1051" s="7" t="inlineStr">
        <is>
          <t>Muebles y espejos de baño</t>
        </is>
      </c>
      <c r="D1051" s="5" t="inlineStr">
        <is>
          <t>Mueble Arrabida 2 60 x 45 x 81 Blanco Mate</t>
        </is>
      </c>
      <c r="E1051" s="5" t="inlineStr">
        <is>
          <t>marca AML · referencia 20230647</t>
        </is>
      </c>
      <c r="F1051" s="5" t="inlineStr">
        <is>
          <t>Material retirado en almacén</t>
        </is>
      </c>
      <c r="G1051" s="5" t="inlineStr">
        <is>
          <t>mueble de baño, vanity, gabinete</t>
        </is>
      </c>
      <c r="H1051" s="7" t="inlineStr">
        <is>
          <t>unidad</t>
        </is>
      </c>
      <c r="I1051" s="7" t="inlineStr">
        <is>
          <t>Terminación de superficies</t>
        </is>
      </c>
      <c r="J1051" s="7" t="inlineStr">
        <is>
          <t>estandar</t>
        </is>
      </c>
      <c r="K1051" s="7" t="inlineStr">
        <is>
          <t>importado</t>
        </is>
      </c>
      <c r="L1051" s="7" t="inlineStr">
        <is>
          <t>Verificado</t>
        </is>
      </c>
      <c r="M1051" s="8" t="n">
        <v>1</v>
      </c>
      <c r="N1051" s="9" t="n">
        <v>25043.35</v>
      </c>
      <c r="O1051" s="9" t="n">
        <v>25043.35</v>
      </c>
      <c r="P1051" s="9" t="n">
        <v>25043.35</v>
      </c>
      <c r="Q1051" s="7" t="inlineStr">
        <is>
          <t>Sí</t>
        </is>
      </c>
      <c r="R1051" s="9">
        <f>IF(N1051="","",IF(Q1051="Sí",ROUND(N1051/1.18,2),N1051))</f>
        <v/>
      </c>
      <c r="S1051" s="7" t="inlineStr">
        <is>
          <t>2026-09-09</t>
        </is>
      </c>
      <c r="T1051" s="5" t="inlineStr">
        <is>
          <t>1 cotización de proveedores</t>
        </is>
      </c>
    </row>
    <row r="1052">
      <c r="A1052" s="7" t="inlineStr">
        <is>
          <t>MAT-26-039</t>
        </is>
      </c>
      <c r="B1052" s="7" t="inlineStr">
        <is>
          <t>Materiales</t>
        </is>
      </c>
      <c r="C1052" s="7" t="inlineStr">
        <is>
          <t>Muebles y espejos de baño</t>
        </is>
      </c>
      <c r="D1052" s="5" t="inlineStr">
        <is>
          <t>Mueble Jazz 80 Blanco Lino</t>
        </is>
      </c>
      <c r="E1052" s="5" t="inlineStr">
        <is>
          <t>marca AML · referencia 2015000000118</t>
        </is>
      </c>
      <c r="F1052" s="5" t="inlineStr">
        <is>
          <t>Material retirado en almacén</t>
        </is>
      </c>
      <c r="G1052" s="5" t="inlineStr">
        <is>
          <t>mueble de baño, vanity, gabinete</t>
        </is>
      </c>
      <c r="H1052" s="7" t="inlineStr">
        <is>
          <t>unidad</t>
        </is>
      </c>
      <c r="I1052" s="7" t="inlineStr">
        <is>
          <t>Terminación de superficies</t>
        </is>
      </c>
      <c r="J1052" s="7" t="inlineStr">
        <is>
          <t>estandar</t>
        </is>
      </c>
      <c r="K1052" s="7" t="inlineStr">
        <is>
          <t>importado</t>
        </is>
      </c>
      <c r="L1052" s="7" t="inlineStr">
        <is>
          <t>Verificado</t>
        </is>
      </c>
      <c r="M1052" s="8" t="n">
        <v>1</v>
      </c>
      <c r="N1052" s="9" t="n">
        <v>26981.67</v>
      </c>
      <c r="O1052" s="9" t="n">
        <v>26981.67</v>
      </c>
      <c r="P1052" s="9" t="n">
        <v>26981.67</v>
      </c>
      <c r="Q1052" s="7" t="inlineStr">
        <is>
          <t>Sí</t>
        </is>
      </c>
      <c r="R1052" s="9">
        <f>IF(N1052="","",IF(Q1052="Sí",ROUND(N1052/1.18,2),N1052))</f>
        <v/>
      </c>
      <c r="S1052" s="7" t="inlineStr">
        <is>
          <t>2026-09-09</t>
        </is>
      </c>
      <c r="T1052" s="5" t="inlineStr">
        <is>
          <t>1 cotización de proveedores</t>
        </is>
      </c>
    </row>
    <row r="1053">
      <c r="A1053" s="7" t="inlineStr">
        <is>
          <t>MAT-26-040</t>
        </is>
      </c>
      <c r="B1053" s="7" t="inlineStr">
        <is>
          <t>Materiales</t>
        </is>
      </c>
      <c r="C1053" s="7" t="inlineStr">
        <is>
          <t>Muebles y espejos de baño</t>
        </is>
      </c>
      <c r="D1053" s="5" t="inlineStr">
        <is>
          <t>Mueble Mirage 60 Carvallo</t>
        </is>
      </c>
      <c r="E1053" s="5" t="inlineStr">
        <is>
          <t>marca AML · referencia 20230513</t>
        </is>
      </c>
      <c r="F1053" s="5" t="inlineStr">
        <is>
          <t>Material retirado en almacén</t>
        </is>
      </c>
      <c r="G1053" s="5" t="inlineStr">
        <is>
          <t>mueble de baño, vanity, gabinete</t>
        </is>
      </c>
      <c r="H1053" s="7" t="inlineStr">
        <is>
          <t>unidad</t>
        </is>
      </c>
      <c r="I1053" s="7" t="inlineStr">
        <is>
          <t>Terminación de superficies</t>
        </is>
      </c>
      <c r="J1053" s="7" t="inlineStr">
        <is>
          <t>estandar</t>
        </is>
      </c>
      <c r="K1053" s="7" t="inlineStr">
        <is>
          <t>importado</t>
        </is>
      </c>
      <c r="L1053" s="7" t="inlineStr">
        <is>
          <t>Verificado</t>
        </is>
      </c>
      <c r="M1053" s="8" t="n">
        <v>1</v>
      </c>
      <c r="N1053" s="9" t="n">
        <v>27541.57</v>
      </c>
      <c r="O1053" s="9" t="n">
        <v>27541.57</v>
      </c>
      <c r="P1053" s="9" t="n">
        <v>27541.57</v>
      </c>
      <c r="Q1053" s="7" t="inlineStr">
        <is>
          <t>Sí</t>
        </is>
      </c>
      <c r="R1053" s="9">
        <f>IF(N1053="","",IF(Q1053="Sí",ROUND(N1053/1.18,2),N1053))</f>
        <v/>
      </c>
      <c r="S1053" s="7" t="inlineStr">
        <is>
          <t>2026-09-09</t>
        </is>
      </c>
      <c r="T1053" s="5" t="inlineStr">
        <is>
          <t>1 cotización de proveedores</t>
        </is>
      </c>
    </row>
    <row r="1054">
      <c r="A1054" s="7" t="inlineStr">
        <is>
          <t>MAT-26-041</t>
        </is>
      </c>
      <c r="B1054" s="7" t="inlineStr">
        <is>
          <t>Materiales</t>
        </is>
      </c>
      <c r="C1054" s="7" t="inlineStr">
        <is>
          <t>Muebles y espejos de baño</t>
        </is>
      </c>
      <c r="D1054" s="5" t="inlineStr">
        <is>
          <t>Mueble Mirage Movel G2 60 Roble</t>
        </is>
      </c>
      <c r="E1054" s="5" t="inlineStr">
        <is>
          <t>marca AML · referencia 20200144</t>
        </is>
      </c>
      <c r="F1054" s="5" t="inlineStr">
        <is>
          <t>Material retirado en almacén</t>
        </is>
      </c>
      <c r="G1054" s="5" t="inlineStr">
        <is>
          <t>mueble de baño, vanity, gabinete</t>
        </is>
      </c>
      <c r="H1054" s="7" t="inlineStr">
        <is>
          <t>unidad</t>
        </is>
      </c>
      <c r="I1054" s="7" t="inlineStr">
        <is>
          <t>Terminación de superficies</t>
        </is>
      </c>
      <c r="J1054" s="7" t="inlineStr">
        <is>
          <t>estandar</t>
        </is>
      </c>
      <c r="K1054" s="7" t="inlineStr">
        <is>
          <t>importado</t>
        </is>
      </c>
      <c r="L1054" s="7" t="inlineStr">
        <is>
          <t>Verificado</t>
        </is>
      </c>
      <c r="M1054" s="8" t="n">
        <v>1</v>
      </c>
      <c r="N1054" s="9" t="n">
        <v>27754.59</v>
      </c>
      <c r="O1054" s="9" t="n">
        <v>27754.59</v>
      </c>
      <c r="P1054" s="9" t="n">
        <v>27754.59</v>
      </c>
      <c r="Q1054" s="7" t="inlineStr">
        <is>
          <t>Sí</t>
        </is>
      </c>
      <c r="R1054" s="9">
        <f>IF(N1054="","",IF(Q1054="Sí",ROUND(N1054/1.18,2),N1054))</f>
        <v/>
      </c>
      <c r="S1054" s="7" t="inlineStr">
        <is>
          <t>2026-09-09</t>
        </is>
      </c>
      <c r="T1054" s="5" t="inlineStr">
        <is>
          <t>1 cotización de proveedores</t>
        </is>
      </c>
    </row>
    <row r="1055">
      <c r="A1055" s="7" t="inlineStr">
        <is>
          <t>MAT-26-042</t>
        </is>
      </c>
      <c r="B1055" s="7" t="inlineStr">
        <is>
          <t>Materiales</t>
        </is>
      </c>
      <c r="C1055" s="7" t="inlineStr">
        <is>
          <t>Muebles y espejos de baño</t>
        </is>
      </c>
      <c r="D1055" s="5" t="inlineStr">
        <is>
          <t>Mueble Arrabida 2 80 x 45 x 81 Blanco Mate</t>
        </is>
      </c>
      <c r="E1055" s="5" t="inlineStr">
        <is>
          <t>marca AML · referencia 20230651</t>
        </is>
      </c>
      <c r="F1055" s="5" t="inlineStr">
        <is>
          <t>Material retirado en almacén</t>
        </is>
      </c>
      <c r="G1055" s="5" t="inlineStr">
        <is>
          <t>mueble de baño, vanity, gabinete</t>
        </is>
      </c>
      <c r="H1055" s="7" t="inlineStr">
        <is>
          <t>unidad</t>
        </is>
      </c>
      <c r="I1055" s="7" t="inlineStr">
        <is>
          <t>Terminación de superficies</t>
        </is>
      </c>
      <c r="J1055" s="7" t="inlineStr">
        <is>
          <t>estandar</t>
        </is>
      </c>
      <c r="K1055" s="7" t="inlineStr">
        <is>
          <t>importado</t>
        </is>
      </c>
      <c r="L1055" s="7" t="inlineStr">
        <is>
          <t>Verificado</t>
        </is>
      </c>
      <c r="M1055" s="8" t="n">
        <v>1</v>
      </c>
      <c r="N1055" s="9" t="n">
        <v>28527.23</v>
      </c>
      <c r="O1055" s="9" t="n">
        <v>28527.23</v>
      </c>
      <c r="P1055" s="9" t="n">
        <v>28527.23</v>
      </c>
      <c r="Q1055" s="7" t="inlineStr">
        <is>
          <t>Sí</t>
        </is>
      </c>
      <c r="R1055" s="9">
        <f>IF(N1055="","",IF(Q1055="Sí",ROUND(N1055/1.18,2),N1055))</f>
        <v/>
      </c>
      <c r="S1055" s="7" t="inlineStr">
        <is>
          <t>2026-09-09</t>
        </is>
      </c>
      <c r="T1055" s="5" t="inlineStr">
        <is>
          <t>1 cotización de proveedores</t>
        </is>
      </c>
    </row>
    <row r="1056">
      <c r="A1056" s="7" t="inlineStr">
        <is>
          <t>MAT-26-043</t>
        </is>
      </c>
      <c r="B1056" s="7" t="inlineStr">
        <is>
          <t>Materiales</t>
        </is>
      </c>
      <c r="C1056" s="7" t="inlineStr">
        <is>
          <t>Muebles y espejos de baño</t>
        </is>
      </c>
      <c r="D1056" s="5" t="inlineStr">
        <is>
          <t>Mueble One Movel G2 Suspend. 60 Taiga</t>
        </is>
      </c>
      <c r="E1056" s="5" t="inlineStr">
        <is>
          <t>marca AML · referencia 20210385</t>
        </is>
      </c>
      <c r="F1056" s="5" t="inlineStr">
        <is>
          <t>Material retirado en almacén</t>
        </is>
      </c>
      <c r="G1056" s="5" t="inlineStr">
        <is>
          <t>mueble de baño, vanity, gabinete</t>
        </is>
      </c>
      <c r="H1056" s="7" t="inlineStr">
        <is>
          <t>unidad</t>
        </is>
      </c>
      <c r="I1056" s="7" t="inlineStr">
        <is>
          <t>Terminación de superficies</t>
        </is>
      </c>
      <c r="J1056" s="7" t="inlineStr">
        <is>
          <t>estandar</t>
        </is>
      </c>
      <c r="K1056" s="7" t="inlineStr">
        <is>
          <t>importado</t>
        </is>
      </c>
      <c r="L1056" s="7" t="inlineStr">
        <is>
          <t>Verificado</t>
        </is>
      </c>
      <c r="M1056" s="8" t="n">
        <v>1</v>
      </c>
      <c r="N1056" s="9" t="n">
        <v>29740.05</v>
      </c>
      <c r="O1056" s="9" t="n">
        <v>29740.05</v>
      </c>
      <c r="P1056" s="9" t="n">
        <v>29740.05</v>
      </c>
      <c r="Q1056" s="7" t="inlineStr">
        <is>
          <t>Sí</t>
        </is>
      </c>
      <c r="R1056" s="9">
        <f>IF(N1056="","",IF(Q1056="Sí",ROUND(N1056/1.18,2),N1056))</f>
        <v/>
      </c>
      <c r="S1056" s="7" t="inlineStr">
        <is>
          <t>2026-09-09</t>
        </is>
      </c>
      <c r="T1056" s="5" t="inlineStr">
        <is>
          <t>1 cotización de proveedores</t>
        </is>
      </c>
    </row>
    <row r="1057">
      <c r="A1057" s="7" t="inlineStr">
        <is>
          <t>MAT-26-044</t>
        </is>
      </c>
      <c r="B1057" s="7" t="inlineStr">
        <is>
          <t>Materiales</t>
        </is>
      </c>
      <c r="C1057" s="7" t="inlineStr">
        <is>
          <t>Muebles y espejos de baño</t>
        </is>
      </c>
      <c r="D1057" s="5" t="inlineStr">
        <is>
          <t>Mueble One Movel G2 Suspend. 60 Hercules</t>
        </is>
      </c>
      <c r="E1057" s="5" t="inlineStr">
        <is>
          <t>marca AML · referencia 20200235</t>
        </is>
      </c>
      <c r="F1057" s="5" t="inlineStr">
        <is>
          <t>Material retirado en almacén</t>
        </is>
      </c>
      <c r="G1057" s="5" t="inlineStr">
        <is>
          <t>mueble de baño, vanity, gabinete</t>
        </is>
      </c>
      <c r="H1057" s="7" t="inlineStr">
        <is>
          <t>unidad</t>
        </is>
      </c>
      <c r="I1057" s="7" t="inlineStr">
        <is>
          <t>Terminación de superficies</t>
        </is>
      </c>
      <c r="J1057" s="7" t="inlineStr">
        <is>
          <t>estandar</t>
        </is>
      </c>
      <c r="K1057" s="7" t="inlineStr">
        <is>
          <t>importado</t>
        </is>
      </c>
      <c r="L1057" s="7" t="inlineStr">
        <is>
          <t>Verificado</t>
        </is>
      </c>
      <c r="M1057" s="8" t="n">
        <v>1</v>
      </c>
      <c r="N1057" s="9" t="n">
        <v>30823.94</v>
      </c>
      <c r="O1057" s="9" t="n">
        <v>30823.94</v>
      </c>
      <c r="P1057" s="9" t="n">
        <v>30823.94</v>
      </c>
      <c r="Q1057" s="7" t="inlineStr">
        <is>
          <t>Sí</t>
        </is>
      </c>
      <c r="R1057" s="9">
        <f>IF(N1057="","",IF(Q1057="Sí",ROUND(N1057/1.18,2),N1057))</f>
        <v/>
      </c>
      <c r="S1057" s="7" t="inlineStr">
        <is>
          <t>2026-09-09</t>
        </is>
      </c>
      <c r="T1057" s="5" t="inlineStr">
        <is>
          <t>1 cotización de proveedores</t>
        </is>
      </c>
    </row>
    <row r="1058">
      <c r="A1058" s="7" t="inlineStr">
        <is>
          <t>MAT-26-045</t>
        </is>
      </c>
      <c r="B1058" s="7" t="inlineStr">
        <is>
          <t>Materiales</t>
        </is>
      </c>
      <c r="C1058" s="7" t="inlineStr">
        <is>
          <t>Muebles y espejos de baño</t>
        </is>
      </c>
      <c r="D1058" s="5" t="inlineStr">
        <is>
          <t>Mueble One Movel G2 Suspend. 80 Taiga</t>
        </is>
      </c>
      <c r="E1058" s="5" t="inlineStr">
        <is>
          <t>marca AML · referencia 2021086</t>
        </is>
      </c>
      <c r="F1058" s="5" t="inlineStr">
        <is>
          <t>Material retirado en almacén</t>
        </is>
      </c>
      <c r="G1058" s="5" t="inlineStr">
        <is>
          <t>mueble de baño, vanity, gabinete</t>
        </is>
      </c>
      <c r="H1058" s="7" t="inlineStr">
        <is>
          <t>unidad</t>
        </is>
      </c>
      <c r="I1058" s="7" t="inlineStr">
        <is>
          <t>Terminación de superficies</t>
        </is>
      </c>
      <c r="J1058" s="7" t="inlineStr">
        <is>
          <t>estandar</t>
        </is>
      </c>
      <c r="K1058" s="7" t="inlineStr">
        <is>
          <t>importado</t>
        </is>
      </c>
      <c r="L1058" s="7" t="inlineStr">
        <is>
          <t>Verificado</t>
        </is>
      </c>
      <c r="M1058" s="8" t="n">
        <v>1</v>
      </c>
      <c r="N1058" s="9" t="n">
        <v>32918.33</v>
      </c>
      <c r="O1058" s="9" t="n">
        <v>32918.33</v>
      </c>
      <c r="P1058" s="9" t="n">
        <v>32918.33</v>
      </c>
      <c r="Q1058" s="7" t="inlineStr">
        <is>
          <t>Sí</t>
        </is>
      </c>
      <c r="R1058" s="9">
        <f>IF(N1058="","",IF(Q1058="Sí",ROUND(N1058/1.18,2),N1058))</f>
        <v/>
      </c>
      <c r="S1058" s="7" t="inlineStr">
        <is>
          <t>2026-09-09</t>
        </is>
      </c>
      <c r="T1058" s="5" t="inlineStr">
        <is>
          <t>1 cotización de proveedores</t>
        </is>
      </c>
    </row>
    <row r="1059">
      <c r="A1059" s="7" t="inlineStr">
        <is>
          <t>MAT-26-046</t>
        </is>
      </c>
      <c r="B1059" s="7" t="inlineStr">
        <is>
          <t>Materiales</t>
        </is>
      </c>
      <c r="C1059" s="7" t="inlineStr">
        <is>
          <t>Muebles y espejos de baño</t>
        </is>
      </c>
      <c r="D1059" s="5" t="inlineStr">
        <is>
          <t>Mueble Luxor Vegas 60 Estepa Fren Blanco</t>
        </is>
      </c>
      <c r="E1059" s="5" t="inlineStr">
        <is>
          <t>marca AML · referencia 20190266</t>
        </is>
      </c>
      <c r="F1059" s="5" t="inlineStr">
        <is>
          <t>Material retirado en almacén</t>
        </is>
      </c>
      <c r="G1059" s="5" t="inlineStr">
        <is>
          <t>mueble de baño, vanity, gabinete</t>
        </is>
      </c>
      <c r="H1059" s="7" t="inlineStr">
        <is>
          <t>unidad</t>
        </is>
      </c>
      <c r="I1059" s="7" t="inlineStr">
        <is>
          <t>Terminación de superficies</t>
        </is>
      </c>
      <c r="J1059" s="7" t="inlineStr">
        <is>
          <t>estandar</t>
        </is>
      </c>
      <c r="K1059" s="7" t="inlineStr">
        <is>
          <t>importado</t>
        </is>
      </c>
      <c r="L1059" s="7" t="inlineStr">
        <is>
          <t>Verificado</t>
        </is>
      </c>
      <c r="M1059" s="8" t="n">
        <v>1</v>
      </c>
      <c r="N1059" s="9" t="n">
        <v>33698.71</v>
      </c>
      <c r="O1059" s="9" t="n">
        <v>33698.71</v>
      </c>
      <c r="P1059" s="9" t="n">
        <v>33698.71</v>
      </c>
      <c r="Q1059" s="7" t="inlineStr">
        <is>
          <t>Sí</t>
        </is>
      </c>
      <c r="R1059" s="9">
        <f>IF(N1059="","",IF(Q1059="Sí",ROUND(N1059/1.18,2),N1059))</f>
        <v/>
      </c>
      <c r="S1059" s="7" t="inlineStr">
        <is>
          <t>2026-09-09</t>
        </is>
      </c>
      <c r="T1059" s="5" t="inlineStr">
        <is>
          <t>1 cotización de proveedores</t>
        </is>
      </c>
    </row>
    <row r="1060">
      <c r="A1060" s="7" t="inlineStr">
        <is>
          <t>MAT-26-047</t>
        </is>
      </c>
      <c r="B1060" s="7" t="inlineStr">
        <is>
          <t>Materiales</t>
        </is>
      </c>
      <c r="C1060" s="7" t="inlineStr">
        <is>
          <t>Muebles y espejos de baño</t>
        </is>
      </c>
      <c r="D1060" s="5" t="inlineStr">
        <is>
          <t>Mueble Jazz 120 Blanco Lino</t>
        </is>
      </c>
      <c r="E1060" s="5" t="inlineStr">
        <is>
          <t>marca AML · referencia 2015000000279</t>
        </is>
      </c>
      <c r="F1060" s="5" t="inlineStr">
        <is>
          <t>Material retirado en almacén</t>
        </is>
      </c>
      <c r="G1060" s="5" t="inlineStr">
        <is>
          <t>mueble de baño, vanity, gabinete</t>
        </is>
      </c>
      <c r="H1060" s="7" t="inlineStr">
        <is>
          <t>unidad</t>
        </is>
      </c>
      <c r="I1060" s="7" t="inlineStr">
        <is>
          <t>Terminación de superficies</t>
        </is>
      </c>
      <c r="J1060" s="7" t="inlineStr">
        <is>
          <t>estandar</t>
        </is>
      </c>
      <c r="K1060" s="7" t="inlineStr">
        <is>
          <t>importado</t>
        </is>
      </c>
      <c r="L1060" s="7" t="inlineStr">
        <is>
          <t>Verificado</t>
        </is>
      </c>
      <c r="M1060" s="8" t="n">
        <v>1</v>
      </c>
      <c r="N1060" s="9" t="n">
        <v>45479.87</v>
      </c>
      <c r="O1060" s="9" t="n">
        <v>45479.87</v>
      </c>
      <c r="P1060" s="9" t="n">
        <v>45479.87</v>
      </c>
      <c r="Q1060" s="7" t="inlineStr">
        <is>
          <t>Sí</t>
        </is>
      </c>
      <c r="R1060" s="9">
        <f>IF(N1060="","",IF(Q1060="Sí",ROUND(N1060/1.18,2),N1060))</f>
        <v/>
      </c>
      <c r="S1060" s="7" t="inlineStr">
        <is>
          <t>2026-09-09</t>
        </is>
      </c>
      <c r="T1060" s="5" t="inlineStr">
        <is>
          <t>1 cotización de proveedores</t>
        </is>
      </c>
    </row>
    <row r="1061">
      <c r="A1061" s="7" t="inlineStr">
        <is>
          <t>MAT-26-048</t>
        </is>
      </c>
      <c r="B1061" s="7" t="inlineStr">
        <is>
          <t>Materiales</t>
        </is>
      </c>
      <c r="C1061" s="7" t="inlineStr">
        <is>
          <t>Muebles y espejos de baño</t>
        </is>
      </c>
      <c r="D1061" s="5" t="inlineStr">
        <is>
          <t>Mueble Jota 80 Susp Blanco</t>
        </is>
      </c>
      <c r="E1061" s="5" t="inlineStr">
        <is>
          <t>marca AML · referencia 80X45X55</t>
        </is>
      </c>
      <c r="F1061" s="5" t="inlineStr">
        <is>
          <t>Material retirado en almacén</t>
        </is>
      </c>
      <c r="G1061" s="5" t="inlineStr">
        <is>
          <t>mueble de baño, vanity, gabinete</t>
        </is>
      </c>
      <c r="H1061" s="7" t="inlineStr">
        <is>
          <t>unidad</t>
        </is>
      </c>
      <c r="I1061" s="7" t="inlineStr">
        <is>
          <t>Terminación de superficies</t>
        </is>
      </c>
      <c r="J1061" s="7" t="inlineStr">
        <is>
          <t>estandar</t>
        </is>
      </c>
      <c r="K1061" s="7" t="inlineStr">
        <is>
          <t>importado</t>
        </is>
      </c>
      <c r="L1061" s="7" t="inlineStr">
        <is>
          <t>Verificado</t>
        </is>
      </c>
      <c r="M1061" s="8" t="n">
        <v>1</v>
      </c>
      <c r="N1061" s="9" t="n">
        <v>45823.49</v>
      </c>
      <c r="O1061" s="9" t="n">
        <v>45823.49</v>
      </c>
      <c r="P1061" s="9" t="n">
        <v>45823.49</v>
      </c>
      <c r="Q1061" s="7" t="inlineStr">
        <is>
          <t>Sí</t>
        </is>
      </c>
      <c r="R1061" s="9">
        <f>IF(N1061="","",IF(Q1061="Sí",ROUND(N1061/1.18,2),N1061))</f>
        <v/>
      </c>
      <c r="S1061" s="7" t="inlineStr">
        <is>
          <t>2026-09-09</t>
        </is>
      </c>
      <c r="T1061" s="5" t="inlineStr">
        <is>
          <t>1 cotización de proveedores</t>
        </is>
      </c>
    </row>
    <row r="1062">
      <c r="A1062" s="7" t="inlineStr">
        <is>
          <t>MAT-26-049</t>
        </is>
      </c>
      <c r="B1062" s="7" t="inlineStr">
        <is>
          <t>Materiales</t>
        </is>
      </c>
      <c r="C1062" s="7" t="inlineStr">
        <is>
          <t>Muebles y espejos de baño</t>
        </is>
      </c>
      <c r="D1062" s="5" t="inlineStr">
        <is>
          <t>Mueble Jota 80 Susp Carvalho</t>
        </is>
      </c>
      <c r="E1062" s="5" t="inlineStr">
        <is>
          <t>marca AML · referencia 80X45X55</t>
        </is>
      </c>
      <c r="F1062" s="5" t="inlineStr">
        <is>
          <t>Material retirado en almacén</t>
        </is>
      </c>
      <c r="G1062" s="5" t="inlineStr">
        <is>
          <t>mueble de baño, vanity, gabinete</t>
        </is>
      </c>
      <c r="H1062" s="7" t="inlineStr">
        <is>
          <t>unidad</t>
        </is>
      </c>
      <c r="I1062" s="7" t="inlineStr">
        <is>
          <t>Terminación de superficies</t>
        </is>
      </c>
      <c r="J1062" s="7" t="inlineStr">
        <is>
          <t>estandar</t>
        </is>
      </c>
      <c r="K1062" s="7" t="inlineStr">
        <is>
          <t>importado</t>
        </is>
      </c>
      <c r="L1062" s="7" t="inlineStr">
        <is>
          <t>Verificado</t>
        </is>
      </c>
      <c r="M1062" s="8" t="n">
        <v>1</v>
      </c>
      <c r="N1062" s="9" t="n">
        <v>48148.71</v>
      </c>
      <c r="O1062" s="9" t="n">
        <v>48148.71</v>
      </c>
      <c r="P1062" s="9" t="n">
        <v>48148.71</v>
      </c>
      <c r="Q1062" s="7" t="inlineStr">
        <is>
          <t>Sí</t>
        </is>
      </c>
      <c r="R1062" s="9">
        <f>IF(N1062="","",IF(Q1062="Sí",ROUND(N1062/1.18,2),N1062))</f>
        <v/>
      </c>
      <c r="S1062" s="7" t="inlineStr">
        <is>
          <t>2026-09-09</t>
        </is>
      </c>
      <c r="T1062" s="5" t="inlineStr">
        <is>
          <t>1 cotización de proveedores</t>
        </is>
      </c>
    </row>
    <row r="1063">
      <c r="A1063" s="7" t="inlineStr">
        <is>
          <t>MAT-26-050</t>
        </is>
      </c>
      <c r="B1063" s="7" t="inlineStr">
        <is>
          <t>Materiales</t>
        </is>
      </c>
      <c r="C1063" s="7" t="inlineStr">
        <is>
          <t>Muebles y espejos de baño</t>
        </is>
      </c>
      <c r="D1063" s="5" t="inlineStr">
        <is>
          <t>Botiquin Redondo Plastico, blanco</t>
        </is>
      </c>
      <c r="E1063" s="5" t="inlineStr">
        <is>
          <t>marca SPC · color blanco · referencia SPC-839-0WTBLANCO</t>
        </is>
      </c>
      <c r="F1063" s="5" t="inlineStr">
        <is>
          <t>Material retirado en almacén</t>
        </is>
      </c>
      <c r="G1063" s="5" t="inlineStr">
        <is>
          <t>botiquín, gabinete con espejo</t>
        </is>
      </c>
      <c r="H1063" s="7" t="inlineStr">
        <is>
          <t>unidad</t>
        </is>
      </c>
      <c r="I1063" s="7" t="inlineStr">
        <is>
          <t>Terminación de superficies</t>
        </is>
      </c>
      <c r="J1063" s="7" t="inlineStr">
        <is>
          <t>estandar</t>
        </is>
      </c>
      <c r="K1063" s="7" t="inlineStr">
        <is>
          <t>importado</t>
        </is>
      </c>
      <c r="L1063" s="7" t="inlineStr">
        <is>
          <t>Verificado</t>
        </is>
      </c>
      <c r="M1063" s="8" t="n">
        <v>1</v>
      </c>
      <c r="N1063" s="9" t="n">
        <v>725.87</v>
      </c>
      <c r="O1063" s="9" t="n">
        <v>725.87</v>
      </c>
      <c r="P1063" s="9" t="n">
        <v>725.87</v>
      </c>
      <c r="Q1063" s="7" t="inlineStr">
        <is>
          <t>Sí</t>
        </is>
      </c>
      <c r="R1063" s="9">
        <f>IF(N1063="","",IF(Q1063="Sí",ROUND(N1063/1.18,2),N1063))</f>
        <v/>
      </c>
      <c r="S1063" s="7" t="inlineStr">
        <is>
          <t>2026-09-09</t>
        </is>
      </c>
      <c r="T1063" s="5" t="inlineStr">
        <is>
          <t>1 cotización de proveedores</t>
        </is>
      </c>
    </row>
    <row r="1064">
      <c r="A1064" s="7" t="inlineStr">
        <is>
          <t>MAT-26-051</t>
        </is>
      </c>
      <c r="B1064" s="7" t="inlineStr">
        <is>
          <t>Materiales</t>
        </is>
      </c>
      <c r="C1064" s="7" t="inlineStr">
        <is>
          <t>Muebles y espejos de baño</t>
        </is>
      </c>
      <c r="D1064" s="5" t="inlineStr">
        <is>
          <t>Botiquin Redondo Plastico</t>
        </is>
      </c>
      <c r="E1064" s="5" t="inlineStr">
        <is>
          <t>marca SPC · referencia SPC-839CREMA</t>
        </is>
      </c>
      <c r="F1064" s="5" t="inlineStr">
        <is>
          <t>Material retirado en almacén</t>
        </is>
      </c>
      <c r="G1064" s="5" t="inlineStr">
        <is>
          <t>botiquín, gabinete con espejo</t>
        </is>
      </c>
      <c r="H1064" s="7" t="inlineStr">
        <is>
          <t>unidad</t>
        </is>
      </c>
      <c r="I1064" s="7" t="inlineStr">
        <is>
          <t>Terminación de superficies</t>
        </is>
      </c>
      <c r="J1064" s="7" t="inlineStr">
        <is>
          <t>estandar</t>
        </is>
      </c>
      <c r="K1064" s="7" t="inlineStr">
        <is>
          <t>importado</t>
        </is>
      </c>
      <c r="L1064" s="7" t="inlineStr">
        <is>
          <t>Verificado</t>
        </is>
      </c>
      <c r="M1064" s="8" t="n">
        <v>1</v>
      </c>
      <c r="N1064" s="9" t="n">
        <v>751.39</v>
      </c>
      <c r="O1064" s="9" t="n">
        <v>751.39</v>
      </c>
      <c r="P1064" s="9" t="n">
        <v>751.39</v>
      </c>
      <c r="Q1064" s="7" t="inlineStr">
        <is>
          <t>Sí</t>
        </is>
      </c>
      <c r="R1064" s="9">
        <f>IF(N1064="","",IF(Q1064="Sí",ROUND(N1064/1.18,2),N1064))</f>
        <v/>
      </c>
      <c r="S1064" s="7" t="inlineStr">
        <is>
          <t>2026-09-09</t>
        </is>
      </c>
      <c r="T1064" s="5" t="inlineStr">
        <is>
          <t>1 cotización de proveedores</t>
        </is>
      </c>
    </row>
    <row r="1065">
      <c r="A1065" s="7" t="inlineStr">
        <is>
          <t>MAT-26-052</t>
        </is>
      </c>
      <c r="B1065" s="7" t="inlineStr">
        <is>
          <t>Materiales</t>
        </is>
      </c>
      <c r="C1065" s="7" t="inlineStr">
        <is>
          <t>Muebles y espejos de baño</t>
        </is>
      </c>
      <c r="D1065" s="5" t="inlineStr">
        <is>
          <t>Botiquin Cuadrado Plastico</t>
        </is>
      </c>
      <c r="E1065" s="5" t="inlineStr">
        <is>
          <t>marca SPC · referencia SPC-486CREMA</t>
        </is>
      </c>
      <c r="F1065" s="5" t="inlineStr">
        <is>
          <t>Material retirado en almacén</t>
        </is>
      </c>
      <c r="G1065" s="5" t="inlineStr">
        <is>
          <t>botiquín, gabinete con espejo</t>
        </is>
      </c>
      <c r="H1065" s="7" t="inlineStr">
        <is>
          <t>unidad</t>
        </is>
      </c>
      <c r="I1065" s="7" t="inlineStr">
        <is>
          <t>Terminación de superficies</t>
        </is>
      </c>
      <c r="J1065" s="7" t="inlineStr">
        <is>
          <t>estandar</t>
        </is>
      </c>
      <c r="K1065" s="7" t="inlineStr">
        <is>
          <t>importado</t>
        </is>
      </c>
      <c r="L1065" s="7" t="inlineStr">
        <is>
          <t>Verificado</t>
        </is>
      </c>
      <c r="M1065" s="8" t="n">
        <v>1</v>
      </c>
      <c r="N1065" s="9" t="n">
        <v>835.97</v>
      </c>
      <c r="O1065" s="9" t="n">
        <v>831.24</v>
      </c>
      <c r="P1065" s="9" t="n">
        <v>840.6900000000001</v>
      </c>
      <c r="Q1065" s="7" t="inlineStr">
        <is>
          <t>Sí</t>
        </is>
      </c>
      <c r="R1065" s="9">
        <f>IF(N1065="","",IF(Q1065="Sí",ROUND(N1065/1.18,2),N1065))</f>
        <v/>
      </c>
      <c r="S1065" s="7" t="inlineStr">
        <is>
          <t>2026-09-09</t>
        </is>
      </c>
      <c r="T1065" s="5" t="inlineStr">
        <is>
          <t>2 cotizaciones de proveedores</t>
        </is>
      </c>
    </row>
    <row r="1066">
      <c r="A1066" s="7" t="inlineStr">
        <is>
          <t>MAT-26-053</t>
        </is>
      </c>
      <c r="B1066" s="7" t="inlineStr">
        <is>
          <t>Materiales</t>
        </is>
      </c>
      <c r="C1066" s="7" t="inlineStr">
        <is>
          <t>Muebles y espejos de baño</t>
        </is>
      </c>
      <c r="D1066" s="5" t="inlineStr">
        <is>
          <t>Botiquin Cuadrado Plastico, beige</t>
        </is>
      </c>
      <c r="E1066" s="5" t="inlineStr">
        <is>
          <t>marca SPC · color beige · referencia 486-OWTBEIGE</t>
        </is>
      </c>
      <c r="F1066" s="5" t="inlineStr">
        <is>
          <t>Material retirado en almacén</t>
        </is>
      </c>
      <c r="G1066" s="5" t="inlineStr">
        <is>
          <t>botiquín, gabinete con espejo</t>
        </is>
      </c>
      <c r="H1066" s="7" t="inlineStr">
        <is>
          <t>unidad</t>
        </is>
      </c>
      <c r="I1066" s="7" t="inlineStr">
        <is>
          <t>Terminación de superficies</t>
        </is>
      </c>
      <c r="J1066" s="7" t="inlineStr">
        <is>
          <t>estandar</t>
        </is>
      </c>
      <c r="K1066" s="7" t="inlineStr">
        <is>
          <t>importado</t>
        </is>
      </c>
      <c r="L1066" s="7" t="inlineStr">
        <is>
          <t>Verificado</t>
        </is>
      </c>
      <c r="M1066" s="8" t="n">
        <v>1</v>
      </c>
      <c r="N1066" s="9" t="n">
        <v>944.26</v>
      </c>
      <c r="O1066" s="9" t="n">
        <v>944.26</v>
      </c>
      <c r="P1066" s="9" t="n">
        <v>944.26</v>
      </c>
      <c r="Q1066" s="7" t="inlineStr">
        <is>
          <t>Sí</t>
        </is>
      </c>
      <c r="R1066" s="9">
        <f>IF(N1066="","",IF(Q1066="Sí",ROUND(N1066/1.18,2),N1066))</f>
        <v/>
      </c>
      <c r="S1066" s="7" t="inlineStr">
        <is>
          <t>2026-09-09</t>
        </is>
      </c>
      <c r="T1066" s="5" t="inlineStr">
        <is>
          <t>1 cotización de proveedores</t>
        </is>
      </c>
    </row>
    <row r="1067">
      <c r="A1067" s="7" t="inlineStr">
        <is>
          <t>MAT-26-054</t>
        </is>
      </c>
      <c r="B1067" s="7" t="inlineStr">
        <is>
          <t>Materiales</t>
        </is>
      </c>
      <c r="C1067" s="7" t="inlineStr">
        <is>
          <t>Muebles y espejos de baño</t>
        </is>
      </c>
      <c r="D1067" s="5" t="inlineStr">
        <is>
          <t>Botiquin City 40 Blanco</t>
        </is>
      </c>
      <c r="E1067" s="5" t="inlineStr">
        <is>
          <t>marca AML · referencia 2012000000195</t>
        </is>
      </c>
      <c r="F1067" s="5" t="inlineStr">
        <is>
          <t>Material retirado en almacén</t>
        </is>
      </c>
      <c r="G1067" s="5" t="inlineStr">
        <is>
          <t>botiquín, gabinete con espejo</t>
        </is>
      </c>
      <c r="H1067" s="7" t="inlineStr">
        <is>
          <t>unidad</t>
        </is>
      </c>
      <c r="I1067" s="7" t="inlineStr">
        <is>
          <t>Terminación de superficies</t>
        </is>
      </c>
      <c r="J1067" s="7" t="inlineStr">
        <is>
          <t>estandar</t>
        </is>
      </c>
      <c r="K1067" s="7" t="inlineStr">
        <is>
          <t>importado</t>
        </is>
      </c>
      <c r="L1067" s="7" t="inlineStr">
        <is>
          <t>Verificado</t>
        </is>
      </c>
      <c r="M1067" s="8" t="n">
        <v>1</v>
      </c>
      <c r="N1067" s="9" t="n">
        <v>6543.83</v>
      </c>
      <c r="O1067" s="9" t="n">
        <v>6543.83</v>
      </c>
      <c r="P1067" s="9" t="n">
        <v>6543.83</v>
      </c>
      <c r="Q1067" s="7" t="inlineStr">
        <is>
          <t>Sí</t>
        </is>
      </c>
      <c r="R1067" s="9">
        <f>IF(N1067="","",IF(Q1067="Sí",ROUND(N1067/1.18,2),N1067))</f>
        <v/>
      </c>
      <c r="S1067" s="7" t="inlineStr">
        <is>
          <t>2026-09-09</t>
        </is>
      </c>
      <c r="T1067" s="5" t="inlineStr">
        <is>
          <t>1 cotización de proveedores</t>
        </is>
      </c>
    </row>
    <row r="1068">
      <c r="A1068" s="7" t="inlineStr">
        <is>
          <t>MAT-26-055</t>
        </is>
      </c>
      <c r="B1068" s="7" t="inlineStr">
        <is>
          <t>Materiales</t>
        </is>
      </c>
      <c r="C1068" s="7" t="inlineStr">
        <is>
          <t>Muebles y espejos de baño</t>
        </is>
      </c>
      <c r="D1068" s="5" t="inlineStr">
        <is>
          <t>Botiquin para baño Led Antifog 50 x 70</t>
        </is>
      </c>
      <c r="E1068" s="5" t="inlineStr">
        <is>
          <t>marca GTSHOWER · referencia LDS5070100-240V</t>
        </is>
      </c>
      <c r="F1068" s="5" t="inlineStr">
        <is>
          <t>Material retirado en almacén</t>
        </is>
      </c>
      <c r="G1068" s="5" t="inlineStr">
        <is>
          <t>botiquín, gabinete con espejo</t>
        </is>
      </c>
      <c r="H1068" s="7" t="inlineStr">
        <is>
          <t>unidad</t>
        </is>
      </c>
      <c r="I1068" s="7" t="inlineStr">
        <is>
          <t>Terminación de superficies</t>
        </is>
      </c>
      <c r="J1068" s="7" t="inlineStr">
        <is>
          <t>estandar</t>
        </is>
      </c>
      <c r="K1068" s="7" t="inlineStr">
        <is>
          <t>importado</t>
        </is>
      </c>
      <c r="L1068" s="7" t="inlineStr">
        <is>
          <t>Verificado</t>
        </is>
      </c>
      <c r="M1068" s="8" t="n">
        <v>1</v>
      </c>
      <c r="N1068" s="9" t="n">
        <v>11139.52</v>
      </c>
      <c r="O1068" s="9" t="n">
        <v>10320.96</v>
      </c>
      <c r="P1068" s="9" t="n">
        <v>11958.08</v>
      </c>
      <c r="Q1068" s="7" t="inlineStr">
        <is>
          <t>Sí</t>
        </is>
      </c>
      <c r="R1068" s="9">
        <f>IF(N1068="","",IF(Q1068="Sí",ROUND(N1068/1.18,2),N1068))</f>
        <v/>
      </c>
      <c r="S1068" s="7" t="inlineStr">
        <is>
          <t>2026-09-09</t>
        </is>
      </c>
      <c r="T1068" s="5" t="inlineStr">
        <is>
          <t>2 cotizaciones de proveedores</t>
        </is>
      </c>
    </row>
    <row r="1069">
      <c r="A1069" s="7" t="inlineStr">
        <is>
          <t>MAT-26-056</t>
        </is>
      </c>
      <c r="B1069" s="7" t="inlineStr">
        <is>
          <t>Materiales</t>
        </is>
      </c>
      <c r="C1069" s="7" t="inlineStr">
        <is>
          <t>Muebles y espejos de baño</t>
        </is>
      </c>
      <c r="D1069" s="5" t="inlineStr">
        <is>
          <t>Botiquin para baño Led 50 x 70</t>
        </is>
      </c>
      <c r="E1069" s="5" t="inlineStr">
        <is>
          <t>marca GTSHOWER · referencia LIL5070100-240V</t>
        </is>
      </c>
      <c r="F1069" s="5" t="inlineStr">
        <is>
          <t>Material retirado en almacén</t>
        </is>
      </c>
      <c r="G1069" s="5" t="inlineStr">
        <is>
          <t>botiquín, gabinete con espejo</t>
        </is>
      </c>
      <c r="H1069" s="7" t="inlineStr">
        <is>
          <t>unidad</t>
        </is>
      </c>
      <c r="I1069" s="7" t="inlineStr">
        <is>
          <t>Terminación de superficies</t>
        </is>
      </c>
      <c r="J1069" s="7" t="inlineStr">
        <is>
          <t>estandar</t>
        </is>
      </c>
      <c r="K1069" s="7" t="inlineStr">
        <is>
          <t>importado</t>
        </is>
      </c>
      <c r="L1069" s="7" t="inlineStr">
        <is>
          <t>Verificado</t>
        </is>
      </c>
      <c r="M1069" s="8" t="n">
        <v>1</v>
      </c>
      <c r="N1069" s="9" t="n">
        <v>10820.41</v>
      </c>
      <c r="O1069" s="9" t="n">
        <v>10820.41</v>
      </c>
      <c r="P1069" s="9" t="n">
        <v>10820.41</v>
      </c>
      <c r="Q1069" s="7" t="inlineStr">
        <is>
          <t>Sí</t>
        </is>
      </c>
      <c r="R1069" s="9">
        <f>IF(N1069="","",IF(Q1069="Sí",ROUND(N1069/1.18,2),N1069))</f>
        <v/>
      </c>
      <c r="S1069" s="7" t="inlineStr">
        <is>
          <t>2026-09-09</t>
        </is>
      </c>
      <c r="T1069" s="5" t="inlineStr">
        <is>
          <t>1 cotización de proveedores</t>
        </is>
      </c>
    </row>
    <row r="1070">
      <c r="A1070" s="7" t="inlineStr">
        <is>
          <t>MAT-26-057</t>
        </is>
      </c>
      <c r="B1070" s="7" t="inlineStr">
        <is>
          <t>Materiales</t>
        </is>
      </c>
      <c r="C1070" s="7" t="inlineStr">
        <is>
          <t>Muebles y espejos de baño</t>
        </is>
      </c>
      <c r="D1070" s="5" t="inlineStr">
        <is>
          <t>Botiquin para baño Led 63 x 65</t>
        </is>
      </c>
      <c r="E1070" s="5" t="inlineStr">
        <is>
          <t>marca GTSHOWER · referencia LDS6365100-240V</t>
        </is>
      </c>
      <c r="F1070" s="5" t="inlineStr">
        <is>
          <t>Material retirado en almacén</t>
        </is>
      </c>
      <c r="G1070" s="5" t="inlineStr">
        <is>
          <t>botiquín, gabinete con espejo</t>
        </is>
      </c>
      <c r="H1070" s="7" t="inlineStr">
        <is>
          <t>unidad</t>
        </is>
      </c>
      <c r="I1070" s="7" t="inlineStr">
        <is>
          <t>Terminación de superficies</t>
        </is>
      </c>
      <c r="J1070" s="7" t="inlineStr">
        <is>
          <t>estandar</t>
        </is>
      </c>
      <c r="K1070" s="7" t="inlineStr">
        <is>
          <t>importado</t>
        </is>
      </c>
      <c r="L1070" s="7" t="inlineStr">
        <is>
          <t>Verificado</t>
        </is>
      </c>
      <c r="M1070" s="8" t="n">
        <v>1</v>
      </c>
      <c r="N1070" s="9" t="n">
        <v>13808.75</v>
      </c>
      <c r="O1070" s="9" t="n">
        <v>13808.75</v>
      </c>
      <c r="P1070" s="9" t="n">
        <v>13808.75</v>
      </c>
      <c r="Q1070" s="7" t="inlineStr">
        <is>
          <t>Sí</t>
        </is>
      </c>
      <c r="R1070" s="9">
        <f>IF(N1070="","",IF(Q1070="Sí",ROUND(N1070/1.18,2),N1070))</f>
        <v/>
      </c>
      <c r="S1070" s="7" t="inlineStr">
        <is>
          <t>2026-09-09</t>
        </is>
      </c>
      <c r="T1070" s="5" t="inlineStr">
        <is>
          <t>1 cotización de proveedores</t>
        </is>
      </c>
    </row>
    <row r="1071">
      <c r="A1071" s="7" t="inlineStr">
        <is>
          <t>MAT-26-058</t>
        </is>
      </c>
      <c r="B1071" s="7" t="inlineStr">
        <is>
          <t>Materiales</t>
        </is>
      </c>
      <c r="C1071" s="7" t="inlineStr">
        <is>
          <t>Muebles y espejos de baño</t>
        </is>
      </c>
      <c r="D1071" s="5" t="inlineStr">
        <is>
          <t>Botiquin para baño Led Antifog 80 x 70</t>
        </is>
      </c>
      <c r="E1071" s="5" t="inlineStr">
        <is>
          <t>marca GTSHOWER · referencia DPJG-06A100-240V</t>
        </is>
      </c>
      <c r="F1071" s="5" t="inlineStr">
        <is>
          <t>Material retirado en almacén</t>
        </is>
      </c>
      <c r="G1071" s="5" t="inlineStr">
        <is>
          <t>botiquín, gabinete con espejo</t>
        </is>
      </c>
      <c r="H1071" s="7" t="inlineStr">
        <is>
          <t>unidad</t>
        </is>
      </c>
      <c r="I1071" s="7" t="inlineStr">
        <is>
          <t>Terminación de superficies</t>
        </is>
      </c>
      <c r="J1071" s="7" t="inlineStr">
        <is>
          <t>estandar</t>
        </is>
      </c>
      <c r="K1071" s="7" t="inlineStr">
        <is>
          <t>importado</t>
        </is>
      </c>
      <c r="L1071" s="7" t="inlineStr">
        <is>
          <t>Verificado</t>
        </is>
      </c>
      <c r="M1071" s="8" t="n">
        <v>1</v>
      </c>
      <c r="N1071" s="9" t="n">
        <v>15911.65</v>
      </c>
      <c r="O1071" s="9" t="n">
        <v>15239.9</v>
      </c>
      <c r="P1071" s="9" t="n">
        <v>19262.79</v>
      </c>
      <c r="Q1071" s="7" t="inlineStr">
        <is>
          <t>Sí</t>
        </is>
      </c>
      <c r="R1071" s="9">
        <f>IF(N1071="","",IF(Q1071="Sí",ROUND(N1071/1.18,2),N1071))</f>
        <v/>
      </c>
      <c r="S1071" s="7" t="inlineStr">
        <is>
          <t>2026-09-09</t>
        </is>
      </c>
      <c r="T1071" s="5" t="inlineStr">
        <is>
          <t>5 cotizaciones de proveedores</t>
        </is>
      </c>
    </row>
    <row r="1072">
      <c r="A1072" s="7" t="inlineStr">
        <is>
          <t>MAT-26-059</t>
        </is>
      </c>
      <c r="B1072" s="7" t="inlineStr">
        <is>
          <t>Materiales</t>
        </is>
      </c>
      <c r="C1072" s="7" t="inlineStr">
        <is>
          <t>Muebles y espejos de baño</t>
        </is>
      </c>
      <c r="D1072" s="5" t="inlineStr">
        <is>
          <t>Botiquin para baño Led Antifog 100 x 90</t>
        </is>
      </c>
      <c r="E1072" s="5" t="inlineStr">
        <is>
          <t>marca GTSHOWER · referencia DPJG-06B100-240V</t>
        </is>
      </c>
      <c r="F1072" s="5" t="inlineStr">
        <is>
          <t>Material retirado en almacén</t>
        </is>
      </c>
      <c r="G1072" s="5" t="inlineStr">
        <is>
          <t>botiquín, gabinete con espejo</t>
        </is>
      </c>
      <c r="H1072" s="7" t="inlineStr">
        <is>
          <t>unidad</t>
        </is>
      </c>
      <c r="I1072" s="7" t="inlineStr">
        <is>
          <t>Terminación de superficies</t>
        </is>
      </c>
      <c r="J1072" s="7" t="inlineStr">
        <is>
          <t>estandar</t>
        </is>
      </c>
      <c r="K1072" s="7" t="inlineStr">
        <is>
          <t>importado</t>
        </is>
      </c>
      <c r="L1072" s="7" t="inlineStr">
        <is>
          <t>Verificado</t>
        </is>
      </c>
      <c r="M1072" s="8" t="n">
        <v>1</v>
      </c>
      <c r="N1072" s="9" t="n">
        <v>24256.84</v>
      </c>
      <c r="O1072" s="9" t="n">
        <v>24256.84</v>
      </c>
      <c r="P1072" s="9" t="n">
        <v>24256.84</v>
      </c>
      <c r="Q1072" s="7" t="inlineStr">
        <is>
          <t>Sí</t>
        </is>
      </c>
      <c r="R1072" s="9">
        <f>IF(N1072="","",IF(Q1072="Sí",ROUND(N1072/1.18,2),N1072))</f>
        <v/>
      </c>
      <c r="S1072" s="7" t="inlineStr">
        <is>
          <t>2026-09-09</t>
        </is>
      </c>
      <c r="T1072" s="5" t="inlineStr">
        <is>
          <t>1 cotización de proveedores</t>
        </is>
      </c>
    </row>
    <row r="1073">
      <c r="A1073" s="7" t="inlineStr">
        <is>
          <t>MAT-26-060</t>
        </is>
      </c>
      <c r="B1073" s="7" t="inlineStr">
        <is>
          <t>Materiales</t>
        </is>
      </c>
      <c r="C1073" s="7" t="inlineStr">
        <is>
          <t>Muebles y espejos de baño</t>
        </is>
      </c>
      <c r="D1073" s="5" t="inlineStr">
        <is>
          <t>Espejo para baño Rectangular</t>
        </is>
      </c>
      <c r="E1073" s="5" t="inlineStr">
        <is>
          <t>marca GTSHOWER · referencia 50X70</t>
        </is>
      </c>
      <c r="F1073" s="5" t="inlineStr">
        <is>
          <t>Material retirado en almacén</t>
        </is>
      </c>
      <c r="G1073" s="5" t="inlineStr">
        <is>
          <t>espejo de baño</t>
        </is>
      </c>
      <c r="H1073" s="7" t="inlineStr">
        <is>
          <t>unidad</t>
        </is>
      </c>
      <c r="I1073" s="7" t="inlineStr">
        <is>
          <t>Terminación de superficies</t>
        </is>
      </c>
      <c r="J1073" s="7" t="inlineStr">
        <is>
          <t>estandar</t>
        </is>
      </c>
      <c r="K1073" s="7" t="inlineStr">
        <is>
          <t>importado</t>
        </is>
      </c>
      <c r="L1073" s="7" t="inlineStr">
        <is>
          <t>Verificado</t>
        </is>
      </c>
      <c r="M1073" s="8" t="n">
        <v>1</v>
      </c>
      <c r="N1073" s="9" t="n">
        <v>1545.25</v>
      </c>
      <c r="O1073" s="9" t="n">
        <v>1210.04</v>
      </c>
      <c r="P1073" s="9" t="n">
        <v>1880.46</v>
      </c>
      <c r="Q1073" s="7" t="inlineStr">
        <is>
          <t>Sí</t>
        </is>
      </c>
      <c r="R1073" s="9">
        <f>IF(N1073="","",IF(Q1073="Sí",ROUND(N1073/1.18,2),N1073))</f>
        <v/>
      </c>
      <c r="S1073" s="7" t="inlineStr">
        <is>
          <t>2026-09-09</t>
        </is>
      </c>
      <c r="T1073" s="5" t="inlineStr">
        <is>
          <t>2 cotizaciones de proveedores</t>
        </is>
      </c>
    </row>
    <row r="1074">
      <c r="A1074" s="7" t="inlineStr">
        <is>
          <t>MAT-26-061</t>
        </is>
      </c>
      <c r="B1074" s="7" t="inlineStr">
        <is>
          <t>Materiales</t>
        </is>
      </c>
      <c r="C1074" s="7" t="inlineStr">
        <is>
          <t>Muebles y espejos de baño</t>
        </is>
      </c>
      <c r="D1074" s="5" t="inlineStr">
        <is>
          <t>Espejo para baño Redondo</t>
        </is>
      </c>
      <c r="E1074" s="5" t="inlineStr">
        <is>
          <t>marca GTSHOWER · referencia D600</t>
        </is>
      </c>
      <c r="F1074" s="5" t="inlineStr">
        <is>
          <t>Material retirado en almacén</t>
        </is>
      </c>
      <c r="G1074" s="5" t="inlineStr">
        <is>
          <t>espejo de baño</t>
        </is>
      </c>
      <c r="H1074" s="7" t="inlineStr">
        <is>
          <t>unidad</t>
        </is>
      </c>
      <c r="I1074" s="7" t="inlineStr">
        <is>
          <t>Terminación de superficies</t>
        </is>
      </c>
      <c r="J1074" s="7" t="inlineStr">
        <is>
          <t>estandar</t>
        </is>
      </c>
      <c r="K1074" s="7" t="inlineStr">
        <is>
          <t>importado</t>
        </is>
      </c>
      <c r="L1074" s="7" t="inlineStr">
        <is>
          <t>Verificado</t>
        </is>
      </c>
      <c r="M1074" s="8" t="n">
        <v>1</v>
      </c>
      <c r="N1074" s="9" t="n">
        <v>1210.04</v>
      </c>
      <c r="O1074" s="9" t="n">
        <v>1210.04</v>
      </c>
      <c r="P1074" s="9" t="n">
        <v>1210.04</v>
      </c>
      <c r="Q1074" s="7" t="inlineStr">
        <is>
          <t>Sí</t>
        </is>
      </c>
      <c r="R1074" s="9">
        <f>IF(N1074="","",IF(Q1074="Sí",ROUND(N1074/1.18,2),N1074))</f>
        <v/>
      </c>
      <c r="S1074" s="7" t="inlineStr">
        <is>
          <t>2026-09-09</t>
        </is>
      </c>
      <c r="T1074" s="5" t="inlineStr">
        <is>
          <t>1 cotización de proveedores</t>
        </is>
      </c>
    </row>
    <row r="1075">
      <c r="A1075" s="7" t="inlineStr">
        <is>
          <t>MAT-26-062</t>
        </is>
      </c>
      <c r="B1075" s="7" t="inlineStr">
        <is>
          <t>Materiales</t>
        </is>
      </c>
      <c r="C1075" s="7" t="inlineStr">
        <is>
          <t>Muebles y espejos de baño</t>
        </is>
      </c>
      <c r="D1075" s="5" t="inlineStr">
        <is>
          <t>Espejo Decorativo 50 x 70</t>
        </is>
      </c>
      <c r="E1075" s="5" t="inlineStr">
        <is>
          <t>marca INCO · referencia F-0530186039</t>
        </is>
      </c>
      <c r="F1075" s="5" t="inlineStr">
        <is>
          <t>Material retirado en almacén</t>
        </is>
      </c>
      <c r="G1075" s="5" t="inlineStr">
        <is>
          <t>espejo de baño</t>
        </is>
      </c>
      <c r="H1075" s="7" t="inlineStr">
        <is>
          <t>unidad</t>
        </is>
      </c>
      <c r="I1075" s="7" t="inlineStr">
        <is>
          <t>Terminación de superficies</t>
        </is>
      </c>
      <c r="J1075" s="7" t="inlineStr">
        <is>
          <t>estandar</t>
        </is>
      </c>
      <c r="K1075" s="7" t="inlineStr">
        <is>
          <t>importado</t>
        </is>
      </c>
      <c r="L1075" s="7" t="inlineStr">
        <is>
          <t>Verificado</t>
        </is>
      </c>
      <c r="M1075" s="8" t="n">
        <v>1</v>
      </c>
      <c r="N1075" s="9" t="n">
        <v>1345.54</v>
      </c>
      <c r="O1075" s="9" t="n">
        <v>1319.79</v>
      </c>
      <c r="P1075" s="9" t="n">
        <v>1372.71</v>
      </c>
      <c r="Q1075" s="7" t="inlineStr">
        <is>
          <t>Sí</t>
        </is>
      </c>
      <c r="R1075" s="9">
        <f>IF(N1075="","",IF(Q1075="Sí",ROUND(N1075/1.18,2),N1075))</f>
        <v/>
      </c>
      <c r="S1075" s="7" t="inlineStr">
        <is>
          <t>2026-09-09</t>
        </is>
      </c>
      <c r="T1075" s="5" t="inlineStr">
        <is>
          <t>3 cotizaciones de proveedores</t>
        </is>
      </c>
    </row>
    <row r="1076">
      <c r="A1076" s="7" t="inlineStr">
        <is>
          <t>MAT-26-063</t>
        </is>
      </c>
      <c r="B1076" s="7" t="inlineStr">
        <is>
          <t>Materiales</t>
        </is>
      </c>
      <c r="C1076" s="7" t="inlineStr">
        <is>
          <t>Muebles y espejos de baño</t>
        </is>
      </c>
      <c r="D1076" s="5" t="inlineStr">
        <is>
          <t>Espejo Sidney 42 x 66</t>
        </is>
      </c>
      <c r="E1076" s="5" t="inlineStr">
        <is>
          <t>marca AML · referencia 2012000000236</t>
        </is>
      </c>
      <c r="F1076" s="5" t="inlineStr">
        <is>
          <t>Material retirado en almacén</t>
        </is>
      </c>
      <c r="G1076" s="5" t="inlineStr">
        <is>
          <t>espejo de baño</t>
        </is>
      </c>
      <c r="H1076" s="7" t="inlineStr">
        <is>
          <t>unidad</t>
        </is>
      </c>
      <c r="I1076" s="7" t="inlineStr">
        <is>
          <t>Terminación de superficies</t>
        </is>
      </c>
      <c r="J1076" s="7" t="inlineStr">
        <is>
          <t>estandar</t>
        </is>
      </c>
      <c r="K1076" s="7" t="inlineStr">
        <is>
          <t>importado</t>
        </is>
      </c>
      <c r="L1076" s="7" t="inlineStr">
        <is>
          <t>Verificado</t>
        </is>
      </c>
      <c r="M1076" s="8" t="n">
        <v>1</v>
      </c>
      <c r="N1076" s="9" t="n">
        <v>2494.39</v>
      </c>
      <c r="O1076" s="9" t="n">
        <v>2494.39</v>
      </c>
      <c r="P1076" s="9" t="n">
        <v>2494.39</v>
      </c>
      <c r="Q1076" s="7" t="inlineStr">
        <is>
          <t>Sí</t>
        </is>
      </c>
      <c r="R1076" s="9">
        <f>IF(N1076="","",IF(Q1076="Sí",ROUND(N1076/1.18,2),N1076))</f>
        <v/>
      </c>
      <c r="S1076" s="7" t="inlineStr">
        <is>
          <t>2026-09-09</t>
        </is>
      </c>
      <c r="T1076" s="5" t="inlineStr">
        <is>
          <t>1 cotización de proveedores</t>
        </is>
      </c>
    </row>
    <row r="1077">
      <c r="A1077" s="7" t="inlineStr">
        <is>
          <t>MAT-26-064</t>
        </is>
      </c>
      <c r="B1077" s="7" t="inlineStr">
        <is>
          <t>Materiales</t>
        </is>
      </c>
      <c r="C1077" s="7" t="inlineStr">
        <is>
          <t>Muebles y espejos de baño</t>
        </is>
      </c>
      <c r="D1077" s="5" t="inlineStr">
        <is>
          <t>Espejo Rectangular Sidney</t>
        </is>
      </c>
      <c r="E1077" s="5" t="inlineStr">
        <is>
          <t>marca AML · referencia 2011000000766</t>
        </is>
      </c>
      <c r="F1077" s="5" t="inlineStr">
        <is>
          <t>Material retirado en almacén</t>
        </is>
      </c>
      <c r="G1077" s="5" t="inlineStr">
        <is>
          <t>espejo de baño</t>
        </is>
      </c>
      <c r="H1077" s="7" t="inlineStr">
        <is>
          <t>unidad</t>
        </is>
      </c>
      <c r="I1077" s="7" t="inlineStr">
        <is>
          <t>Terminación de superficies</t>
        </is>
      </c>
      <c r="J1077" s="7" t="inlineStr">
        <is>
          <t>estandar</t>
        </is>
      </c>
      <c r="K1077" s="7" t="inlineStr">
        <is>
          <t>importado</t>
        </is>
      </c>
      <c r="L1077" s="7" t="inlineStr">
        <is>
          <t>Verificado</t>
        </is>
      </c>
      <c r="M1077" s="8" t="n">
        <v>1</v>
      </c>
      <c r="N1077" s="9" t="n">
        <v>4905.63</v>
      </c>
      <c r="O1077" s="9" t="n">
        <v>3134.93</v>
      </c>
      <c r="P1077" s="9" t="n">
        <v>6676.32</v>
      </c>
      <c r="Q1077" s="7" t="inlineStr">
        <is>
          <t>Sí</t>
        </is>
      </c>
      <c r="R1077" s="9">
        <f>IF(N1077="","",IF(Q1077="Sí",ROUND(N1077/1.18,2),N1077))</f>
        <v/>
      </c>
      <c r="S1077" s="7" t="inlineStr">
        <is>
          <t>2026-09-09</t>
        </is>
      </c>
      <c r="T1077" s="5" t="inlineStr">
        <is>
          <t>2 cotizaciones de proveedores</t>
        </is>
      </c>
    </row>
    <row r="1078">
      <c r="A1078" s="7" t="inlineStr">
        <is>
          <t>MAT-26-065</t>
        </is>
      </c>
      <c r="B1078" s="7" t="inlineStr">
        <is>
          <t>Materiales</t>
        </is>
      </c>
      <c r="C1078" s="7" t="inlineStr">
        <is>
          <t>Muebles y espejos de baño</t>
        </is>
      </c>
      <c r="D1078" s="5" t="inlineStr">
        <is>
          <t>Espejo Sidney 50 x 90</t>
        </is>
      </c>
      <c r="E1078" s="5" t="inlineStr">
        <is>
          <t>marca AML · referencia 2008000000100</t>
        </is>
      </c>
      <c r="F1078" s="5" t="inlineStr">
        <is>
          <t>Material retirado en almacén</t>
        </is>
      </c>
      <c r="G1078" s="5" t="inlineStr">
        <is>
          <t>espejo de baño</t>
        </is>
      </c>
      <c r="H1078" s="7" t="inlineStr">
        <is>
          <t>unidad</t>
        </is>
      </c>
      <c r="I1078" s="7" t="inlineStr">
        <is>
          <t>Terminación de superficies</t>
        </is>
      </c>
      <c r="J1078" s="7" t="inlineStr">
        <is>
          <t>estandar</t>
        </is>
      </c>
      <c r="K1078" s="7" t="inlineStr">
        <is>
          <t>importado</t>
        </is>
      </c>
      <c r="L1078" s="7" t="inlineStr">
        <is>
          <t>Verificado</t>
        </is>
      </c>
      <c r="M1078" s="8" t="n">
        <v>1</v>
      </c>
      <c r="N1078" s="9" t="n">
        <v>3599.64</v>
      </c>
      <c r="O1078" s="9" t="n">
        <v>3599.64</v>
      </c>
      <c r="P1078" s="9" t="n">
        <v>3599.64</v>
      </c>
      <c r="Q1078" s="7" t="inlineStr">
        <is>
          <t>Sí</t>
        </is>
      </c>
      <c r="R1078" s="9">
        <f>IF(N1078="","",IF(Q1078="Sí",ROUND(N1078/1.18,2),N1078))</f>
        <v/>
      </c>
      <c r="S1078" s="7" t="inlineStr">
        <is>
          <t>2026-09-09</t>
        </is>
      </c>
      <c r="T1078" s="5" t="inlineStr">
        <is>
          <t>1 cotización de proveedores</t>
        </is>
      </c>
    </row>
    <row r="1079">
      <c r="A1079" s="7" t="inlineStr">
        <is>
          <t>MAT-26-066</t>
        </is>
      </c>
      <c r="B1079" s="7" t="inlineStr">
        <is>
          <t>Materiales</t>
        </is>
      </c>
      <c r="C1079" s="7" t="inlineStr">
        <is>
          <t>Muebles y espejos de baño</t>
        </is>
      </c>
      <c r="D1079" s="5" t="inlineStr">
        <is>
          <t>Espejo para baño Redondo 60 x 60 Led Antifog</t>
        </is>
      </c>
      <c r="E1079" s="5" t="inlineStr">
        <is>
          <t>marca GTSHOWER · referencia DP360100-240V</t>
        </is>
      </c>
      <c r="F1079" s="5" t="inlineStr">
        <is>
          <t>Material retirado en almacén</t>
        </is>
      </c>
      <c r="G1079" s="5" t="inlineStr">
        <is>
          <t>espejo de baño</t>
        </is>
      </c>
      <c r="H1079" s="7" t="inlineStr">
        <is>
          <t>unidad</t>
        </is>
      </c>
      <c r="I1079" s="7" t="inlineStr">
        <is>
          <t>Terminación de superficies</t>
        </is>
      </c>
      <c r="J1079" s="7" t="inlineStr">
        <is>
          <t>estandar</t>
        </is>
      </c>
      <c r="K1079" s="7" t="inlineStr">
        <is>
          <t>importado</t>
        </is>
      </c>
      <c r="L1079" s="7" t="inlineStr">
        <is>
          <t>Verificado</t>
        </is>
      </c>
      <c r="M1079" s="8" t="n">
        <v>1</v>
      </c>
      <c r="N1079" s="9" t="n">
        <v>4982.55</v>
      </c>
      <c r="O1079" s="9" t="n">
        <v>4982.55</v>
      </c>
      <c r="P1079" s="9" t="n">
        <v>4982.55</v>
      </c>
      <c r="Q1079" s="7" t="inlineStr">
        <is>
          <t>Sí</t>
        </is>
      </c>
      <c r="R1079" s="9">
        <f>IF(N1079="","",IF(Q1079="Sí",ROUND(N1079/1.18,2),N1079))</f>
        <v/>
      </c>
      <c r="S1079" s="7" t="inlineStr">
        <is>
          <t>2026-09-09</t>
        </is>
      </c>
      <c r="T1079" s="5" t="inlineStr">
        <is>
          <t>1 cotización de proveedores</t>
        </is>
      </c>
    </row>
    <row r="1080">
      <c r="A1080" s="7" t="inlineStr">
        <is>
          <t>MAT-26-067</t>
        </is>
      </c>
      <c r="B1080" s="7" t="inlineStr">
        <is>
          <t>Materiales</t>
        </is>
      </c>
      <c r="C1080" s="7" t="inlineStr">
        <is>
          <t>Muebles y espejos de baño</t>
        </is>
      </c>
      <c r="D1080" s="5" t="inlineStr">
        <is>
          <t>Espejo Sidney 80 x 90</t>
        </is>
      </c>
      <c r="E1080" s="5" t="inlineStr">
        <is>
          <t>marca AML · referencia 2008000000101</t>
        </is>
      </c>
      <c r="F1080" s="5" t="inlineStr">
        <is>
          <t>Material retirado en almacén</t>
        </is>
      </c>
      <c r="G1080" s="5" t="inlineStr">
        <is>
          <t>espejo de baño</t>
        </is>
      </c>
      <c r="H1080" s="7" t="inlineStr">
        <is>
          <t>unidad</t>
        </is>
      </c>
      <c r="I1080" s="7" t="inlineStr">
        <is>
          <t>Terminación de superficies</t>
        </is>
      </c>
      <c r="J1080" s="7" t="inlineStr">
        <is>
          <t>estandar</t>
        </is>
      </c>
      <c r="K1080" s="7" t="inlineStr">
        <is>
          <t>importado</t>
        </is>
      </c>
      <c r="L1080" s="7" t="inlineStr">
        <is>
          <t>Verificado</t>
        </is>
      </c>
      <c r="M1080" s="8" t="n">
        <v>1</v>
      </c>
      <c r="N1080" s="9" t="n">
        <v>5083.55</v>
      </c>
      <c r="O1080" s="9" t="n">
        <v>5083.55</v>
      </c>
      <c r="P1080" s="9" t="n">
        <v>5083.55</v>
      </c>
      <c r="Q1080" s="7" t="inlineStr">
        <is>
          <t>Sí</t>
        </is>
      </c>
      <c r="R1080" s="9">
        <f>IF(N1080="","",IF(Q1080="Sí",ROUND(N1080/1.18,2),N1080))</f>
        <v/>
      </c>
      <c r="S1080" s="7" t="inlineStr">
        <is>
          <t>2026-09-09</t>
        </is>
      </c>
      <c r="T1080" s="5" t="inlineStr">
        <is>
          <t>1 cotización de proveedores</t>
        </is>
      </c>
    </row>
    <row r="1081">
      <c r="A1081" s="7" t="inlineStr">
        <is>
          <t>MAT-26-068</t>
        </is>
      </c>
      <c r="B1081" s="7" t="inlineStr">
        <is>
          <t>Materiales</t>
        </is>
      </c>
      <c r="C1081" s="7" t="inlineStr">
        <is>
          <t>Muebles y espejos de baño</t>
        </is>
      </c>
      <c r="D1081" s="5" t="inlineStr">
        <is>
          <t>Espejo para baño Redondo Led Antifog</t>
        </is>
      </c>
      <c r="E1081" s="5" t="inlineStr">
        <is>
          <t>marca GTSHOWER · referencia LOM6060100-240V</t>
        </is>
      </c>
      <c r="F1081" s="5" t="inlineStr">
        <is>
          <t>Material retirado en almacén</t>
        </is>
      </c>
      <c r="G1081" s="5" t="inlineStr">
        <is>
          <t>espejo de baño</t>
        </is>
      </c>
      <c r="H1081" s="7" t="inlineStr">
        <is>
          <t>unidad</t>
        </is>
      </c>
      <c r="I1081" s="7" t="inlineStr">
        <is>
          <t>Terminación de superficies</t>
        </is>
      </c>
      <c r="J1081" s="7" t="inlineStr">
        <is>
          <t>estandar</t>
        </is>
      </c>
      <c r="K1081" s="7" t="inlineStr">
        <is>
          <t>importado</t>
        </is>
      </c>
      <c r="L1081" s="7" t="inlineStr">
        <is>
          <t>Verificado</t>
        </is>
      </c>
      <c r="M1081" s="8" t="n">
        <v>1</v>
      </c>
      <c r="N1081" s="9" t="n">
        <v>4949.82</v>
      </c>
      <c r="O1081" s="9" t="n">
        <v>4773.5</v>
      </c>
      <c r="P1081" s="9" t="n">
        <v>5126.14</v>
      </c>
      <c r="Q1081" s="7" t="inlineStr">
        <is>
          <t>Sí</t>
        </is>
      </c>
      <c r="R1081" s="9">
        <f>IF(N1081="","",IF(Q1081="Sí",ROUND(N1081/1.18,2),N1081))</f>
        <v/>
      </c>
      <c r="S1081" s="7" t="inlineStr">
        <is>
          <t>2026-09-09</t>
        </is>
      </c>
      <c r="T1081" s="5" t="inlineStr">
        <is>
          <t>2 cotizaciones de proveedores</t>
        </is>
      </c>
    </row>
    <row r="1082">
      <c r="A1082" s="7" t="inlineStr">
        <is>
          <t>MAT-26-069</t>
        </is>
      </c>
      <c r="B1082" s="7" t="inlineStr">
        <is>
          <t>Materiales</t>
        </is>
      </c>
      <c r="C1082" s="7" t="inlineStr">
        <is>
          <t>Muebles y espejos de baño</t>
        </is>
      </c>
      <c r="D1082" s="5" t="inlineStr">
        <is>
          <t>Espejo para baño Led Antifog 50 x 70</t>
        </is>
      </c>
      <c r="E1082" s="5" t="inlineStr">
        <is>
          <t>marca GTSHOWER · referencia LIM5070VR100-24V</t>
        </is>
      </c>
      <c r="F1082" s="5" t="inlineStr">
        <is>
          <t>Material retirado en almacén</t>
        </is>
      </c>
      <c r="G1082" s="5" t="inlineStr">
        <is>
          <t>espejo de baño</t>
        </is>
      </c>
      <c r="H1082" s="7" t="inlineStr">
        <is>
          <t>unidad</t>
        </is>
      </c>
      <c r="I1082" s="7" t="inlineStr">
        <is>
          <t>Terminación de superficies</t>
        </is>
      </c>
      <c r="J1082" s="7" t="inlineStr">
        <is>
          <t>estandar</t>
        </is>
      </c>
      <c r="K1082" s="7" t="inlineStr">
        <is>
          <t>importado</t>
        </is>
      </c>
      <c r="L1082" s="7" t="inlineStr">
        <is>
          <t>Verificado</t>
        </is>
      </c>
      <c r="M1082" s="8" t="n">
        <v>1</v>
      </c>
      <c r="N1082" s="9" t="n">
        <v>5267.25</v>
      </c>
      <c r="O1082" s="9" t="n">
        <v>4270.75</v>
      </c>
      <c r="P1082" s="9" t="n">
        <v>8534.43</v>
      </c>
      <c r="Q1082" s="7" t="inlineStr">
        <is>
          <t>Sí</t>
        </is>
      </c>
      <c r="R1082" s="9">
        <f>IF(N1082="","",IF(Q1082="Sí",ROUND(N1082/1.18,2),N1082))</f>
        <v/>
      </c>
      <c r="S1082" s="7" t="inlineStr">
        <is>
          <t>2026-09-09</t>
        </is>
      </c>
      <c r="T1082" s="5" t="inlineStr">
        <is>
          <t>3 cotizaciones de proveedores</t>
        </is>
      </c>
    </row>
    <row r="1083">
      <c r="A1083" s="7" t="inlineStr">
        <is>
          <t>MAT-26-070</t>
        </is>
      </c>
      <c r="B1083" s="7" t="inlineStr">
        <is>
          <t>Materiales</t>
        </is>
      </c>
      <c r="C1083" s="7" t="inlineStr">
        <is>
          <t>Muebles y espejos de baño</t>
        </is>
      </c>
      <c r="D1083" s="5" t="inlineStr">
        <is>
          <t>Espejo para baño Ovalado Led Antifog</t>
        </is>
      </c>
      <c r="E1083" s="5" t="inlineStr">
        <is>
          <t>marca GTSHOWER · referencia LOM5070EL100-24V</t>
        </is>
      </c>
      <c r="F1083" s="5" t="inlineStr">
        <is>
          <t>Material retirado en almacén</t>
        </is>
      </c>
      <c r="G1083" s="5" t="inlineStr">
        <is>
          <t>espejo de baño</t>
        </is>
      </c>
      <c r="H1083" s="7" t="inlineStr">
        <is>
          <t>unidad</t>
        </is>
      </c>
      <c r="I1083" s="7" t="inlineStr">
        <is>
          <t>Terminación de superficies</t>
        </is>
      </c>
      <c r="J1083" s="7" t="inlineStr">
        <is>
          <t>estandar</t>
        </is>
      </c>
      <c r="K1083" s="7" t="inlineStr">
        <is>
          <t>importado</t>
        </is>
      </c>
      <c r="L1083" s="7" t="inlineStr">
        <is>
          <t>Verificado</t>
        </is>
      </c>
      <c r="M1083" s="8" t="n">
        <v>1</v>
      </c>
      <c r="N1083" s="9" t="n">
        <v>5267.25</v>
      </c>
      <c r="O1083" s="9" t="n">
        <v>5267.25</v>
      </c>
      <c r="P1083" s="9" t="n">
        <v>5267.25</v>
      </c>
      <c r="Q1083" s="7" t="inlineStr">
        <is>
          <t>Sí</t>
        </is>
      </c>
      <c r="R1083" s="9">
        <f>IF(N1083="","",IF(Q1083="Sí",ROUND(N1083/1.18,2),N1083))</f>
        <v/>
      </c>
      <c r="S1083" s="7" t="inlineStr">
        <is>
          <t>2026-09-09</t>
        </is>
      </c>
      <c r="T1083" s="5" t="inlineStr">
        <is>
          <t>1 cotización de proveedores</t>
        </is>
      </c>
    </row>
    <row r="1084">
      <c r="A1084" s="7" t="inlineStr">
        <is>
          <t>MAT-26-071</t>
        </is>
      </c>
      <c r="B1084" s="7" t="inlineStr">
        <is>
          <t>Materiales</t>
        </is>
      </c>
      <c r="C1084" s="7" t="inlineStr">
        <is>
          <t>Muebles y espejos de baño</t>
        </is>
      </c>
      <c r="D1084" s="5" t="inlineStr">
        <is>
          <t>Espejo Led Antifog Chrome</t>
        </is>
      </c>
      <c r="E1084" s="5" t="inlineStr">
        <is>
          <t>marca GTSHOWER · referencia 50X80DP342</t>
        </is>
      </c>
      <c r="F1084" s="5" t="inlineStr">
        <is>
          <t>Material retirado en almacén</t>
        </is>
      </c>
      <c r="G1084" s="5" t="inlineStr">
        <is>
          <t>espejo de baño</t>
        </is>
      </c>
      <c r="H1084" s="7" t="inlineStr">
        <is>
          <t>unidad</t>
        </is>
      </c>
      <c r="I1084" s="7" t="inlineStr">
        <is>
          <t>Terminación de superficies</t>
        </is>
      </c>
      <c r="J1084" s="7" t="inlineStr">
        <is>
          <t>estandar</t>
        </is>
      </c>
      <c r="K1084" s="7" t="inlineStr">
        <is>
          <t>importado</t>
        </is>
      </c>
      <c r="L1084" s="7" t="inlineStr">
        <is>
          <t>Verificado</t>
        </is>
      </c>
      <c r="M1084" s="8" t="n">
        <v>1</v>
      </c>
      <c r="N1084" s="9" t="n">
        <v>6121.4</v>
      </c>
      <c r="O1084" s="9" t="n">
        <v>6121.4</v>
      </c>
      <c r="P1084" s="9" t="n">
        <v>6121.4</v>
      </c>
      <c r="Q1084" s="7" t="inlineStr">
        <is>
          <t>Sí</t>
        </is>
      </c>
      <c r="R1084" s="9">
        <f>IF(N1084="","",IF(Q1084="Sí",ROUND(N1084/1.18,2),N1084))</f>
        <v/>
      </c>
      <c r="S1084" s="7" t="inlineStr">
        <is>
          <t>2026-09-09</t>
        </is>
      </c>
      <c r="T1084" s="5" t="inlineStr">
        <is>
          <t>1 cotización de proveedores</t>
        </is>
      </c>
    </row>
    <row r="1085">
      <c r="A1085" s="7" t="inlineStr">
        <is>
          <t>MAT-26-072</t>
        </is>
      </c>
      <c r="B1085" s="7" t="inlineStr">
        <is>
          <t>Materiales</t>
        </is>
      </c>
      <c r="C1085" s="7" t="inlineStr">
        <is>
          <t>Muebles y espejos de baño</t>
        </is>
      </c>
      <c r="D1085" s="5" t="inlineStr">
        <is>
          <t>Espejo para baño Led Antifog 60 x 100</t>
        </is>
      </c>
      <c r="E1085" s="5" t="inlineStr">
        <is>
          <t>marca GTSHOWER · referencia DP343100-240V</t>
        </is>
      </c>
      <c r="F1085" s="5" t="inlineStr">
        <is>
          <t>Material retirado en almacén</t>
        </is>
      </c>
      <c r="G1085" s="5" t="inlineStr">
        <is>
          <t>espejo de baño</t>
        </is>
      </c>
      <c r="H1085" s="7" t="inlineStr">
        <is>
          <t>unidad</t>
        </is>
      </c>
      <c r="I1085" s="7" t="inlineStr">
        <is>
          <t>Terminación de superficies</t>
        </is>
      </c>
      <c r="J1085" s="7" t="inlineStr">
        <is>
          <t>estandar</t>
        </is>
      </c>
      <c r="K1085" s="7" t="inlineStr">
        <is>
          <t>importado</t>
        </is>
      </c>
      <c r="L1085" s="7" t="inlineStr">
        <is>
          <t>Verificado</t>
        </is>
      </c>
      <c r="M1085" s="8" t="n">
        <v>1</v>
      </c>
      <c r="N1085" s="9" t="n">
        <v>7403.72</v>
      </c>
      <c r="O1085" s="9" t="n">
        <v>7403.72</v>
      </c>
      <c r="P1085" s="9" t="n">
        <v>7403.72</v>
      </c>
      <c r="Q1085" s="7" t="inlineStr">
        <is>
          <t>Sí</t>
        </is>
      </c>
      <c r="R1085" s="9">
        <f>IF(N1085="","",IF(Q1085="Sí",ROUND(N1085/1.18,2),N1085))</f>
        <v/>
      </c>
      <c r="S1085" s="7" t="inlineStr">
        <is>
          <t>2026-09-09</t>
        </is>
      </c>
      <c r="T1085" s="5" t="inlineStr">
        <is>
          <t>1 cotización de proveedores</t>
        </is>
      </c>
    </row>
    <row r="1086">
      <c r="A1086" s="7" t="inlineStr">
        <is>
          <t>MAT-26-073</t>
        </is>
      </c>
      <c r="B1086" s="7" t="inlineStr">
        <is>
          <t>Materiales</t>
        </is>
      </c>
      <c r="C1086" s="7" t="inlineStr">
        <is>
          <t>Muebles y espejos de baño</t>
        </is>
      </c>
      <c r="D1086" s="5" t="inlineStr">
        <is>
          <t>Espejo para baño Led Antifog 120 x 60</t>
        </is>
      </c>
      <c r="E1086" s="5" t="inlineStr">
        <is>
          <t>marca GTSHOWER · referencia BRM12060RL100-24V</t>
        </is>
      </c>
      <c r="F1086" s="5" t="inlineStr">
        <is>
          <t>Material retirado en almacén</t>
        </is>
      </c>
      <c r="G1086" s="5" t="inlineStr">
        <is>
          <t>espejo de baño</t>
        </is>
      </c>
      <c r="H1086" s="7" t="inlineStr">
        <is>
          <t>unidad</t>
        </is>
      </c>
      <c r="I1086" s="7" t="inlineStr">
        <is>
          <t>Terminación de superficies</t>
        </is>
      </c>
      <c r="J1086" s="7" t="inlineStr">
        <is>
          <t>estandar</t>
        </is>
      </c>
      <c r="K1086" s="7" t="inlineStr">
        <is>
          <t>importado</t>
        </is>
      </c>
      <c r="L1086" s="7" t="inlineStr">
        <is>
          <t>Verificado</t>
        </is>
      </c>
      <c r="M1086" s="8" t="n">
        <v>1</v>
      </c>
      <c r="N1086" s="9" t="n">
        <v>8043.53</v>
      </c>
      <c r="O1086" s="9" t="n">
        <v>7811.18</v>
      </c>
      <c r="P1086" s="9" t="n">
        <v>8275.870000000001</v>
      </c>
      <c r="Q1086" s="7" t="inlineStr">
        <is>
          <t>Sí</t>
        </is>
      </c>
      <c r="R1086" s="9">
        <f>IF(N1086="","",IF(Q1086="Sí",ROUND(N1086/1.18,2),N1086))</f>
        <v/>
      </c>
      <c r="S1086" s="7" t="inlineStr">
        <is>
          <t>2026-09-09</t>
        </is>
      </c>
      <c r="T1086" s="5" t="inlineStr">
        <is>
          <t>2 cotizaciones de proveedores</t>
        </is>
      </c>
    </row>
    <row r="1087">
      <c r="A1087" s="7" t="inlineStr">
        <is>
          <t>MAT-26-074</t>
        </is>
      </c>
      <c r="B1087" s="7" t="inlineStr">
        <is>
          <t>Materiales</t>
        </is>
      </c>
      <c r="C1087" s="7" t="inlineStr">
        <is>
          <t>Muebles y espejos de baño</t>
        </is>
      </c>
      <c r="D1087" s="5" t="inlineStr">
        <is>
          <t>Espejo Con Aumento A 2 Vistas Cromo</t>
        </is>
      </c>
      <c r="E1087" s="5" t="inlineStr">
        <is>
          <t>marca HELVEX · referencia ES-001</t>
        </is>
      </c>
      <c r="F1087" s="5" t="inlineStr">
        <is>
          <t>Material retirado en almacén</t>
        </is>
      </c>
      <c r="G1087" s="5" t="inlineStr">
        <is>
          <t>espejo de baño</t>
        </is>
      </c>
      <c r="H1087" s="7" t="inlineStr">
        <is>
          <t>unidad</t>
        </is>
      </c>
      <c r="I1087" s="7" t="inlineStr">
        <is>
          <t>Terminación de superficies</t>
        </is>
      </c>
      <c r="J1087" s="7" t="inlineStr">
        <is>
          <t>estandar</t>
        </is>
      </c>
      <c r="K1087" s="7" t="inlineStr">
        <is>
          <t>importado</t>
        </is>
      </c>
      <c r="L1087" s="7" t="inlineStr">
        <is>
          <t>Verificado</t>
        </is>
      </c>
      <c r="M1087" s="8" t="n">
        <v>1</v>
      </c>
      <c r="N1087" s="9" t="n">
        <v>10672.33</v>
      </c>
      <c r="O1087" s="9" t="n">
        <v>10672.33</v>
      </c>
      <c r="P1087" s="9" t="n">
        <v>10672.33</v>
      </c>
      <c r="Q1087" s="7" t="inlineStr">
        <is>
          <t>Sí</t>
        </is>
      </c>
      <c r="R1087" s="9">
        <f>IF(N1087="","",IF(Q1087="Sí",ROUND(N1087/1.18,2),N1087))</f>
        <v/>
      </c>
      <c r="S1087" s="7" t="inlineStr">
        <is>
          <t>2026-09-09</t>
        </is>
      </c>
      <c r="T1087" s="5" t="inlineStr">
        <is>
          <t>1 cotización de proveedores</t>
        </is>
      </c>
    </row>
    <row r="1088">
      <c r="A1088" s="7" t="inlineStr">
        <is>
          <t>MAT-26-075</t>
        </is>
      </c>
      <c r="B1088" s="7" t="inlineStr">
        <is>
          <t>Materiales</t>
        </is>
      </c>
      <c r="C1088" s="7" t="inlineStr">
        <is>
          <t>Muebles y espejos de baño</t>
        </is>
      </c>
      <c r="D1088" s="5" t="inlineStr">
        <is>
          <t>Espejo para baño Led Antifog 60 x 140</t>
        </is>
      </c>
      <c r="E1088" s="5" t="inlineStr">
        <is>
          <t>marca GTSHOWER · referencia LRM14060C100-240V</t>
        </is>
      </c>
      <c r="F1088" s="5" t="inlineStr">
        <is>
          <t>Material retirado en almacén</t>
        </is>
      </c>
      <c r="G1088" s="5" t="inlineStr">
        <is>
          <t>espejo de baño</t>
        </is>
      </c>
      <c r="H1088" s="7" t="inlineStr">
        <is>
          <t>unidad</t>
        </is>
      </c>
      <c r="I1088" s="7" t="inlineStr">
        <is>
          <t>Terminación de superficies</t>
        </is>
      </c>
      <c r="J1088" s="7" t="inlineStr">
        <is>
          <t>estandar</t>
        </is>
      </c>
      <c r="K1088" s="7" t="inlineStr">
        <is>
          <t>importado</t>
        </is>
      </c>
      <c r="L1088" s="7" t="inlineStr">
        <is>
          <t>Verificado</t>
        </is>
      </c>
      <c r="M1088" s="8" t="n">
        <v>1</v>
      </c>
      <c r="N1088" s="9" t="n">
        <v>11263.66</v>
      </c>
      <c r="O1088" s="9" t="n">
        <v>8291.48</v>
      </c>
      <c r="P1088" s="9" t="n">
        <v>14235.83</v>
      </c>
      <c r="Q1088" s="7" t="inlineStr">
        <is>
          <t>Sí</t>
        </is>
      </c>
      <c r="R1088" s="9">
        <f>IF(N1088="","",IF(Q1088="Sí",ROUND(N1088/1.18,2),N1088))</f>
        <v/>
      </c>
      <c r="S1088" s="7" t="inlineStr">
        <is>
          <t>2026-09-09</t>
        </is>
      </c>
      <c r="T1088" s="5" t="inlineStr">
        <is>
          <t>2 cotizaciones de proveedores</t>
        </is>
      </c>
    </row>
    <row r="1089">
      <c r="A1089" s="7" t="inlineStr">
        <is>
          <t>MAT-27-001</t>
        </is>
      </c>
      <c r="B1089" s="7" t="inlineStr">
        <is>
          <t>Materiales</t>
        </is>
      </c>
      <c r="C1089" s="7" t="inlineStr">
        <is>
          <t>Accesorios de baño</t>
        </is>
      </c>
      <c r="D1089" s="5" t="inlineStr">
        <is>
          <t>Barra De Seguridad 16"</t>
        </is>
      </c>
      <c r="E1089" s="5" t="inlineStr">
        <is>
          <t>marca INEX · referencia GB016C</t>
        </is>
      </c>
      <c r="F1089" s="5" t="inlineStr">
        <is>
          <t>Material retirado en almacén</t>
        </is>
      </c>
      <c r="G1089" s="5" t="inlineStr">
        <is>
          <t>barra de seguridad, agarradera, accesibilidad</t>
        </is>
      </c>
      <c r="H1089" s="7" t="inlineStr">
        <is>
          <t>unidad</t>
        </is>
      </c>
      <c r="I1089" s="7" t="inlineStr">
        <is>
          <t>Terminación de superficies</t>
        </is>
      </c>
      <c r="J1089" s="7" t="inlineStr">
        <is>
          <t>estandar</t>
        </is>
      </c>
      <c r="K1089" s="7" t="inlineStr">
        <is>
          <t>importado</t>
        </is>
      </c>
      <c r="L1089" s="7" t="inlineStr">
        <is>
          <t>Verificado</t>
        </is>
      </c>
      <c r="M1089" s="8" t="n">
        <v>1</v>
      </c>
      <c r="N1089" s="9" t="n">
        <v>1176.96</v>
      </c>
      <c r="O1089" s="9" t="n">
        <v>1176.96</v>
      </c>
      <c r="P1089" s="9" t="n">
        <v>1176.96</v>
      </c>
      <c r="Q1089" s="7" t="inlineStr">
        <is>
          <t>Sí</t>
        </is>
      </c>
      <c r="R1089" s="9">
        <f>IF(N1089="","",IF(Q1089="Sí",ROUND(N1089/1.18,2),N1089))</f>
        <v/>
      </c>
      <c r="S1089" s="7" t="inlineStr">
        <is>
          <t>2026-09-09</t>
        </is>
      </c>
      <c r="T1089" s="5" t="inlineStr">
        <is>
          <t>1 cotización de proveedores</t>
        </is>
      </c>
    </row>
    <row r="1090">
      <c r="A1090" s="7" t="inlineStr">
        <is>
          <t>MAT-27-002</t>
        </is>
      </c>
      <c r="B1090" s="7" t="inlineStr">
        <is>
          <t>Materiales</t>
        </is>
      </c>
      <c r="C1090" s="7" t="inlineStr">
        <is>
          <t>Accesorios de baño</t>
        </is>
      </c>
      <c r="D1090" s="5" t="inlineStr">
        <is>
          <t>Barra De Seguridad Curva 145</t>
        </is>
      </c>
      <c r="E1090" s="5" t="inlineStr">
        <is>
          <t>marca INEX · referencia GB0145QC</t>
        </is>
      </c>
      <c r="F1090" s="5" t="inlineStr">
        <is>
          <t>Material retirado en almacén</t>
        </is>
      </c>
      <c r="G1090" s="5" t="inlineStr">
        <is>
          <t>barra de seguridad, agarradera, accesibilidad</t>
        </is>
      </c>
      <c r="H1090" s="7" t="inlineStr">
        <is>
          <t>unidad</t>
        </is>
      </c>
      <c r="I1090" s="7" t="inlineStr">
        <is>
          <t>Terminación de superficies</t>
        </is>
      </c>
      <c r="J1090" s="7" t="inlineStr">
        <is>
          <t>estandar</t>
        </is>
      </c>
      <c r="K1090" s="7" t="inlineStr">
        <is>
          <t>importado</t>
        </is>
      </c>
      <c r="L1090" s="7" t="inlineStr">
        <is>
          <t>Verificado</t>
        </is>
      </c>
      <c r="M1090" s="8" t="n">
        <v>1</v>
      </c>
      <c r="N1090" s="9" t="n">
        <v>1416.67</v>
      </c>
      <c r="O1090" s="9" t="n">
        <v>1416.67</v>
      </c>
      <c r="P1090" s="9" t="n">
        <v>1416.67</v>
      </c>
      <c r="Q1090" s="7" t="inlineStr">
        <is>
          <t>Sí</t>
        </is>
      </c>
      <c r="R1090" s="9">
        <f>IF(N1090="","",IF(Q1090="Sí",ROUND(N1090/1.18,2),N1090))</f>
        <v/>
      </c>
      <c r="S1090" s="7" t="inlineStr">
        <is>
          <t>2026-09-09</t>
        </is>
      </c>
      <c r="T1090" s="5" t="inlineStr">
        <is>
          <t>1 cotización de proveedores</t>
        </is>
      </c>
    </row>
    <row r="1091">
      <c r="A1091" s="7" t="inlineStr">
        <is>
          <t>MAT-27-003</t>
        </is>
      </c>
      <c r="B1091" s="7" t="inlineStr">
        <is>
          <t>Materiales</t>
        </is>
      </c>
      <c r="C1091" s="7" t="inlineStr">
        <is>
          <t>Accesorios de baño</t>
        </is>
      </c>
      <c r="D1091" s="5" t="inlineStr">
        <is>
          <t>Barra De Seguridad 20"</t>
        </is>
      </c>
      <c r="E1091" s="5" t="inlineStr">
        <is>
          <t>marca INEX · referencia GB020C</t>
        </is>
      </c>
      <c r="F1091" s="5" t="inlineStr">
        <is>
          <t>Material retirado en almacén</t>
        </is>
      </c>
      <c r="G1091" s="5" t="inlineStr">
        <is>
          <t>barra de seguridad, agarradera, accesibilidad</t>
        </is>
      </c>
      <c r="H1091" s="7" t="inlineStr">
        <is>
          <t>unidad</t>
        </is>
      </c>
      <c r="I1091" s="7" t="inlineStr">
        <is>
          <t>Terminación de superficies</t>
        </is>
      </c>
      <c r="J1091" s="7" t="inlineStr">
        <is>
          <t>estandar</t>
        </is>
      </c>
      <c r="K1091" s="7" t="inlineStr">
        <is>
          <t>importado</t>
        </is>
      </c>
      <c r="L1091" s="7" t="inlineStr">
        <is>
          <t>Verificado</t>
        </is>
      </c>
      <c r="M1091" s="8" t="n">
        <v>1</v>
      </c>
      <c r="N1091" s="9" t="n">
        <v>1522.47</v>
      </c>
      <c r="O1091" s="9" t="n">
        <v>1522.47</v>
      </c>
      <c r="P1091" s="9" t="n">
        <v>1522.47</v>
      </c>
      <c r="Q1091" s="7" t="inlineStr">
        <is>
          <t>Sí</t>
        </is>
      </c>
      <c r="R1091" s="9">
        <f>IF(N1091="","",IF(Q1091="Sí",ROUND(N1091/1.18,2),N1091))</f>
        <v/>
      </c>
      <c r="S1091" s="7" t="inlineStr">
        <is>
          <t>2026-09-09</t>
        </is>
      </c>
      <c r="T1091" s="5" t="inlineStr">
        <is>
          <t>1 cotización de proveedores</t>
        </is>
      </c>
    </row>
    <row r="1092">
      <c r="A1092" s="7" t="inlineStr">
        <is>
          <t>MAT-27-004</t>
        </is>
      </c>
      <c r="B1092" s="7" t="inlineStr">
        <is>
          <t>Materiales</t>
        </is>
      </c>
      <c r="C1092" s="7" t="inlineStr">
        <is>
          <t>Accesorios de baño</t>
        </is>
      </c>
      <c r="D1092" s="5" t="inlineStr">
        <is>
          <t>Barra Seguridad Recta 305 Mm Satin</t>
        </is>
      </c>
      <c r="E1092" s="5" t="inlineStr">
        <is>
          <t>marca HELVEX · referencia B-305-S</t>
        </is>
      </c>
      <c r="F1092" s="5" t="inlineStr">
        <is>
          <t>Material retirado en almacén</t>
        </is>
      </c>
      <c r="G1092" s="5" t="inlineStr">
        <is>
          <t>barra de seguridad, agarradera, accesibilidad</t>
        </is>
      </c>
      <c r="H1092" s="7" t="inlineStr">
        <is>
          <t>unidad</t>
        </is>
      </c>
      <c r="I1092" s="7" t="inlineStr">
        <is>
          <t>Terminación de superficies</t>
        </is>
      </c>
      <c r="J1092" s="7" t="inlineStr">
        <is>
          <t>estandar</t>
        </is>
      </c>
      <c r="K1092" s="7" t="inlineStr">
        <is>
          <t>importado</t>
        </is>
      </c>
      <c r="L1092" s="7" t="inlineStr">
        <is>
          <t>Verificado</t>
        </is>
      </c>
      <c r="M1092" s="8" t="n">
        <v>1</v>
      </c>
      <c r="N1092" s="9" t="n">
        <v>3007.09</v>
      </c>
      <c r="O1092" s="9" t="n">
        <v>3007.09</v>
      </c>
      <c r="P1092" s="9" t="n">
        <v>3007.09</v>
      </c>
      <c r="Q1092" s="7" t="inlineStr">
        <is>
          <t>Sí</t>
        </is>
      </c>
      <c r="R1092" s="9">
        <f>IF(N1092="","",IF(Q1092="Sí",ROUND(N1092/1.18,2),N1092))</f>
        <v/>
      </c>
      <c r="S1092" s="7" t="inlineStr">
        <is>
          <t>2026-09-09</t>
        </is>
      </c>
      <c r="T1092" s="5" t="inlineStr">
        <is>
          <t>1 cotización de proveedores</t>
        </is>
      </c>
    </row>
    <row r="1093">
      <c r="A1093" s="7" t="inlineStr">
        <is>
          <t>MAT-27-005</t>
        </is>
      </c>
      <c r="B1093" s="7" t="inlineStr">
        <is>
          <t>Materiales</t>
        </is>
      </c>
      <c r="C1093" s="7" t="inlineStr">
        <is>
          <t>Accesorios de baño</t>
        </is>
      </c>
      <c r="D1093" s="5" t="inlineStr">
        <is>
          <t>Barra Seguridad Recta</t>
        </is>
      </c>
      <c r="E1093" s="5" t="inlineStr">
        <is>
          <t>marca HELVEX · referencia B-470-S</t>
        </is>
      </c>
      <c r="F1093" s="5" t="inlineStr">
        <is>
          <t>Material retirado en almacén</t>
        </is>
      </c>
      <c r="G1093" s="5" t="inlineStr">
        <is>
          <t>barra de seguridad, agarradera, accesibilidad</t>
        </is>
      </c>
      <c r="H1093" s="7" t="inlineStr">
        <is>
          <t>unidad</t>
        </is>
      </c>
      <c r="I1093" s="7" t="inlineStr">
        <is>
          <t>Terminación de superficies</t>
        </is>
      </c>
      <c r="J1093" s="7" t="inlineStr">
        <is>
          <t>estandar</t>
        </is>
      </c>
      <c r="K1093" s="7" t="inlineStr">
        <is>
          <t>importado</t>
        </is>
      </c>
      <c r="L1093" s="7" t="inlineStr">
        <is>
          <t>Verificado</t>
        </is>
      </c>
      <c r="M1093" s="8" t="n">
        <v>1</v>
      </c>
      <c r="N1093" s="9" t="n">
        <v>3022.13</v>
      </c>
      <c r="O1093" s="9" t="n">
        <v>3022.13</v>
      </c>
      <c r="P1093" s="9" t="n">
        <v>3022.13</v>
      </c>
      <c r="Q1093" s="7" t="inlineStr">
        <is>
          <t>Sí</t>
        </is>
      </c>
      <c r="R1093" s="9">
        <f>IF(N1093="","",IF(Q1093="Sí",ROUND(N1093/1.18,2),N1093))</f>
        <v/>
      </c>
      <c r="S1093" s="7" t="inlineStr">
        <is>
          <t>2026-09-09</t>
        </is>
      </c>
      <c r="T1093" s="5" t="inlineStr">
        <is>
          <t>1 cotización de proveedores</t>
        </is>
      </c>
    </row>
    <row r="1094">
      <c r="A1094" s="7" t="inlineStr">
        <is>
          <t>MAT-27-006</t>
        </is>
      </c>
      <c r="B1094" s="7" t="inlineStr">
        <is>
          <t>Materiales</t>
        </is>
      </c>
      <c r="C1094" s="7" t="inlineStr">
        <is>
          <t>Accesorios de baño</t>
        </is>
      </c>
      <c r="D1094" s="5" t="inlineStr">
        <is>
          <t>Barra De Seguridad Recta 70 Cm</t>
        </is>
      </c>
      <c r="E1094" s="5" t="inlineStr">
        <is>
          <t>marca HELVEX · referencia B-700-S</t>
        </is>
      </c>
      <c r="F1094" s="5" t="inlineStr">
        <is>
          <t>Material retirado en almacén</t>
        </is>
      </c>
      <c r="G1094" s="5" t="inlineStr">
        <is>
          <t>barra de seguridad, agarradera, accesibilidad</t>
        </is>
      </c>
      <c r="H1094" s="7" t="inlineStr">
        <is>
          <t>unidad</t>
        </is>
      </c>
      <c r="I1094" s="7" t="inlineStr">
        <is>
          <t>Terminación de superficies</t>
        </is>
      </c>
      <c r="J1094" s="7" t="inlineStr">
        <is>
          <t>estandar</t>
        </is>
      </c>
      <c r="K1094" s="7" t="inlineStr">
        <is>
          <t>importado</t>
        </is>
      </c>
      <c r="L1094" s="7" t="inlineStr">
        <is>
          <t>Verificado</t>
        </is>
      </c>
      <c r="M1094" s="8" t="n">
        <v>1</v>
      </c>
      <c r="N1094" s="9" t="n">
        <v>3271.81</v>
      </c>
      <c r="O1094" s="9" t="n">
        <v>3271.81</v>
      </c>
      <c r="P1094" s="9" t="n">
        <v>3271.81</v>
      </c>
      <c r="Q1094" s="7" t="inlineStr">
        <is>
          <t>Sí</t>
        </is>
      </c>
      <c r="R1094" s="9">
        <f>IF(N1094="","",IF(Q1094="Sí",ROUND(N1094/1.18,2),N1094))</f>
        <v/>
      </c>
      <c r="S1094" s="7" t="inlineStr">
        <is>
          <t>2026-09-09</t>
        </is>
      </c>
      <c r="T1094" s="5" t="inlineStr">
        <is>
          <t>1 cotización de proveedores</t>
        </is>
      </c>
    </row>
    <row r="1095">
      <c r="A1095" s="7" t="inlineStr">
        <is>
          <t>MAT-27-007</t>
        </is>
      </c>
      <c r="B1095" s="7" t="inlineStr">
        <is>
          <t>Materiales</t>
        </is>
      </c>
      <c r="C1095" s="7" t="inlineStr">
        <is>
          <t>Accesorios de baño</t>
        </is>
      </c>
      <c r="D1095" s="5" t="inlineStr">
        <is>
          <t>Barra De Seguridad Recta 61 Cm</t>
        </is>
      </c>
      <c r="E1095" s="5" t="inlineStr">
        <is>
          <t>marca HELVEX · referencia B-610-S</t>
        </is>
      </c>
      <c r="F1095" s="5" t="inlineStr">
        <is>
          <t>Material retirado en almacén</t>
        </is>
      </c>
      <c r="G1095" s="5" t="inlineStr">
        <is>
          <t>barra de seguridad, agarradera, accesibilidad</t>
        </is>
      </c>
      <c r="H1095" s="7" t="inlineStr">
        <is>
          <t>unidad</t>
        </is>
      </c>
      <c r="I1095" s="7" t="inlineStr">
        <is>
          <t>Terminación de superficies</t>
        </is>
      </c>
      <c r="J1095" s="7" t="inlineStr">
        <is>
          <t>estandar</t>
        </is>
      </c>
      <c r="K1095" s="7" t="inlineStr">
        <is>
          <t>importado</t>
        </is>
      </c>
      <c r="L1095" s="7" t="inlineStr">
        <is>
          <t>Verificado</t>
        </is>
      </c>
      <c r="M1095" s="8" t="n">
        <v>1</v>
      </c>
      <c r="N1095" s="9" t="n">
        <v>3297.37</v>
      </c>
      <c r="O1095" s="9" t="n">
        <v>3297.37</v>
      </c>
      <c r="P1095" s="9" t="n">
        <v>3297.37</v>
      </c>
      <c r="Q1095" s="7" t="inlineStr">
        <is>
          <t>Sí</t>
        </is>
      </c>
      <c r="R1095" s="9">
        <f>IF(N1095="","",IF(Q1095="Sí",ROUND(N1095/1.18,2),N1095))</f>
        <v/>
      </c>
      <c r="S1095" s="7" t="inlineStr">
        <is>
          <t>2026-09-09</t>
        </is>
      </c>
      <c r="T1095" s="5" t="inlineStr">
        <is>
          <t>1 cotización de proveedores</t>
        </is>
      </c>
    </row>
    <row r="1096">
      <c r="A1096" s="7" t="inlineStr">
        <is>
          <t>MAT-27-008</t>
        </is>
      </c>
      <c r="B1096" s="7" t="inlineStr">
        <is>
          <t>Materiales</t>
        </is>
      </c>
      <c r="C1096" s="7" t="inlineStr">
        <is>
          <t>Accesorios de baño</t>
        </is>
      </c>
      <c r="D1096" s="5" t="inlineStr">
        <is>
          <t>Barra Seguridad Recta 90 Cm</t>
        </is>
      </c>
      <c r="E1096" s="5" t="inlineStr">
        <is>
          <t>marca HELVEX · referencia B-900-S</t>
        </is>
      </c>
      <c r="F1096" s="5" t="inlineStr">
        <is>
          <t>Material retirado en almacén</t>
        </is>
      </c>
      <c r="G1096" s="5" t="inlineStr">
        <is>
          <t>barra de seguridad, agarradera, accesibilidad</t>
        </is>
      </c>
      <c r="H1096" s="7" t="inlineStr">
        <is>
          <t>unidad</t>
        </is>
      </c>
      <c r="I1096" s="7" t="inlineStr">
        <is>
          <t>Terminación de superficies</t>
        </is>
      </c>
      <c r="J1096" s="7" t="inlineStr">
        <is>
          <t>estandar</t>
        </is>
      </c>
      <c r="K1096" s="7" t="inlineStr">
        <is>
          <t>importado</t>
        </is>
      </c>
      <c r="L1096" s="7" t="inlineStr">
        <is>
          <t>Verificado</t>
        </is>
      </c>
      <c r="M1096" s="8" t="n">
        <v>1</v>
      </c>
      <c r="N1096" s="9" t="n">
        <v>6226.47</v>
      </c>
      <c r="O1096" s="9" t="n">
        <v>6226.47</v>
      </c>
      <c r="P1096" s="9" t="n">
        <v>6226.47</v>
      </c>
      <c r="Q1096" s="7" t="inlineStr">
        <is>
          <t>Sí</t>
        </is>
      </c>
      <c r="R1096" s="9">
        <f>IF(N1096="","",IF(Q1096="Sí",ROUND(N1096/1.18,2),N1096))</f>
        <v/>
      </c>
      <c r="S1096" s="7" t="inlineStr">
        <is>
          <t>2026-09-09</t>
        </is>
      </c>
      <c r="T1096" s="5" t="inlineStr">
        <is>
          <t>1 cotización de proveedores</t>
        </is>
      </c>
    </row>
    <row r="1097">
      <c r="A1097" s="7" t="inlineStr">
        <is>
          <t>MAT-27-009</t>
        </is>
      </c>
      <c r="B1097" s="7" t="inlineStr">
        <is>
          <t>Materiales</t>
        </is>
      </c>
      <c r="C1097" s="7" t="inlineStr">
        <is>
          <t>Accesorios de baño</t>
        </is>
      </c>
      <c r="D1097" s="5" t="inlineStr">
        <is>
          <t>Agarradera Con Jabonera Clasica</t>
        </is>
      </c>
      <c r="E1097" s="5" t="inlineStr">
        <is>
          <t>marca HELVEX · referencia 158</t>
        </is>
      </c>
      <c r="F1097" s="5" t="inlineStr">
        <is>
          <t>Material retirado en almacén</t>
        </is>
      </c>
      <c r="G1097" s="5" t="inlineStr">
        <is>
          <t>barra de seguridad, agarradera, accesibilidad</t>
        </is>
      </c>
      <c r="H1097" s="7" t="inlineStr">
        <is>
          <t>unidad</t>
        </is>
      </c>
      <c r="I1097" s="7" t="inlineStr">
        <is>
          <t>Terminación de superficies</t>
        </is>
      </c>
      <c r="J1097" s="7" t="inlineStr">
        <is>
          <t>estandar</t>
        </is>
      </c>
      <c r="K1097" s="7" t="inlineStr">
        <is>
          <t>importado</t>
        </is>
      </c>
      <c r="L1097" s="7" t="inlineStr">
        <is>
          <t>Verificado</t>
        </is>
      </c>
      <c r="M1097" s="8" t="n">
        <v>1</v>
      </c>
      <c r="N1097" s="9" t="n">
        <v>7495.91</v>
      </c>
      <c r="O1097" s="9" t="n">
        <v>7495.91</v>
      </c>
      <c r="P1097" s="9" t="n">
        <v>7495.91</v>
      </c>
      <c r="Q1097" s="7" t="inlineStr">
        <is>
          <t>Sí</t>
        </is>
      </c>
      <c r="R1097" s="9">
        <f>IF(N1097="","",IF(Q1097="Sí",ROUND(N1097/1.18,2),N1097))</f>
        <v/>
      </c>
      <c r="S1097" s="7" t="inlineStr">
        <is>
          <t>2026-09-09</t>
        </is>
      </c>
      <c r="T1097" s="5" t="inlineStr">
        <is>
          <t>1 cotización de proveedores</t>
        </is>
      </c>
    </row>
    <row r="1098">
      <c r="A1098" s="7" t="inlineStr">
        <is>
          <t>MAT-27-010</t>
        </is>
      </c>
      <c r="B1098" s="7" t="inlineStr">
        <is>
          <t>Materiales</t>
        </is>
      </c>
      <c r="C1098" s="7" t="inlineStr">
        <is>
          <t>Accesorios de baño</t>
        </is>
      </c>
      <c r="D1098" s="5" t="inlineStr">
        <is>
          <t>Dispensador De Toalla Papel Gm Ai</t>
        </is>
      </c>
      <c r="E1098" s="5" t="inlineStr">
        <is>
          <t>marca HELVEX · referencia MB-2512</t>
        </is>
      </c>
      <c r="F1098" s="5" t="inlineStr">
        <is>
          <t>Material retirado en almacén</t>
        </is>
      </c>
      <c r="G1098" s="5" t="inlineStr">
        <is>
          <t>dispensador de jabón, dosificador automático</t>
        </is>
      </c>
      <c r="H1098" s="7" t="inlineStr">
        <is>
          <t>unidad</t>
        </is>
      </c>
      <c r="I1098" s="7" t="inlineStr">
        <is>
          <t>Terminación de superficies</t>
        </is>
      </c>
      <c r="J1098" s="7" t="inlineStr">
        <is>
          <t>estandar</t>
        </is>
      </c>
      <c r="K1098" s="7" t="inlineStr">
        <is>
          <t>importado</t>
        </is>
      </c>
      <c r="L1098" s="7" t="inlineStr">
        <is>
          <t>Verificado</t>
        </is>
      </c>
      <c r="M1098" s="8" t="n">
        <v>1</v>
      </c>
      <c r="N1098" s="9" t="n">
        <v>4472.06</v>
      </c>
      <c r="O1098" s="9" t="n">
        <v>4472.06</v>
      </c>
      <c r="P1098" s="9" t="n">
        <v>4472.06</v>
      </c>
      <c r="Q1098" s="7" t="inlineStr">
        <is>
          <t>Sí</t>
        </is>
      </c>
      <c r="R1098" s="9">
        <f>IF(N1098="","",IF(Q1098="Sí",ROUND(N1098/1.18,2),N1098))</f>
        <v/>
      </c>
      <c r="S1098" s="7" t="inlineStr">
        <is>
          <t>2026-09-09</t>
        </is>
      </c>
      <c r="T1098" s="5" t="inlineStr">
        <is>
          <t>1 cotización de proveedores</t>
        </is>
      </c>
    </row>
    <row r="1099">
      <c r="A1099" s="7" t="inlineStr">
        <is>
          <t>MAT-27-011</t>
        </is>
      </c>
      <c r="B1099" s="7" t="inlineStr">
        <is>
          <t>Materiales</t>
        </is>
      </c>
      <c r="C1099" s="7" t="inlineStr">
        <is>
          <t>Accesorios de baño</t>
        </is>
      </c>
      <c r="D1099" s="5" t="inlineStr">
        <is>
          <t>Dispensador De Jabon Cumberland</t>
        </is>
      </c>
      <c r="E1099" s="5" t="inlineStr">
        <is>
          <t>marca ZURN · referencia Z6956-SD</t>
        </is>
      </c>
      <c r="F1099" s="5" t="inlineStr">
        <is>
          <t>Material retirado en almacén</t>
        </is>
      </c>
      <c r="G1099" s="5" t="inlineStr">
        <is>
          <t>dispensador de jabón, dosificador automático</t>
        </is>
      </c>
      <c r="H1099" s="7" t="inlineStr">
        <is>
          <t>unidad</t>
        </is>
      </c>
      <c r="I1099" s="7" t="inlineStr">
        <is>
          <t>Terminación de superficies</t>
        </is>
      </c>
      <c r="J1099" s="7" t="inlineStr">
        <is>
          <t>estandar</t>
        </is>
      </c>
      <c r="K1099" s="7" t="inlineStr">
        <is>
          <t>importado</t>
        </is>
      </c>
      <c r="L1099" s="7" t="inlineStr">
        <is>
          <t>Verificado</t>
        </is>
      </c>
      <c r="M1099" s="8" t="n">
        <v>1</v>
      </c>
      <c r="N1099" s="9" t="n">
        <v>14903.09</v>
      </c>
      <c r="O1099" s="9" t="n">
        <v>14903.09</v>
      </c>
      <c r="P1099" s="9" t="n">
        <v>14903.09</v>
      </c>
      <c r="Q1099" s="7" t="inlineStr">
        <is>
          <t>Sí</t>
        </is>
      </c>
      <c r="R1099" s="9">
        <f>IF(N1099="","",IF(Q1099="Sí",ROUND(N1099/1.18,2),N1099))</f>
        <v/>
      </c>
      <c r="S1099" s="7" t="inlineStr">
        <is>
          <t>2026-09-09</t>
        </is>
      </c>
      <c r="T1099" s="5" t="inlineStr">
        <is>
          <t>1 cotización de proveedores</t>
        </is>
      </c>
    </row>
    <row r="1100">
      <c r="A1100" s="7" t="inlineStr">
        <is>
          <t>MAT-27-012</t>
        </is>
      </c>
      <c r="B1100" s="7" t="inlineStr">
        <is>
          <t>Materiales</t>
        </is>
      </c>
      <c r="C1100" s="7" t="inlineStr">
        <is>
          <t>Accesorios de baño</t>
        </is>
      </c>
      <c r="D1100" s="5" t="inlineStr">
        <is>
          <t>Dosificador Jabon Espuma Elec Bat</t>
        </is>
      </c>
      <c r="E1100" s="5" t="inlineStr">
        <is>
          <t>marca HELVEX · referencia MB1101</t>
        </is>
      </c>
      <c r="F1100" s="5" t="inlineStr">
        <is>
          <t>Material retirado en almacén</t>
        </is>
      </c>
      <c r="G1100" s="5" t="inlineStr">
        <is>
          <t>dispensador de jabón, dosificador automático</t>
        </is>
      </c>
      <c r="H1100" s="7" t="inlineStr">
        <is>
          <t>unidad</t>
        </is>
      </c>
      <c r="I1100" s="7" t="inlineStr">
        <is>
          <t>Terminación de superficies</t>
        </is>
      </c>
      <c r="J1100" s="7" t="inlineStr">
        <is>
          <t>estandar</t>
        </is>
      </c>
      <c r="K1100" s="7" t="inlineStr">
        <is>
          <t>importado</t>
        </is>
      </c>
      <c r="L1100" s="7" t="inlineStr">
        <is>
          <t>Verificado</t>
        </is>
      </c>
      <c r="M1100" s="8" t="n">
        <v>1</v>
      </c>
      <c r="N1100" s="9" t="n">
        <v>15547.21</v>
      </c>
      <c r="O1100" s="9" t="n">
        <v>15547.21</v>
      </c>
      <c r="P1100" s="9" t="n">
        <v>15547.21</v>
      </c>
      <c r="Q1100" s="7" t="inlineStr">
        <is>
          <t>Sí</t>
        </is>
      </c>
      <c r="R1100" s="9">
        <f>IF(N1100="","",IF(Q1100="Sí",ROUND(N1100/1.18,2),N1100))</f>
        <v/>
      </c>
      <c r="S1100" s="7" t="inlineStr">
        <is>
          <t>2026-09-09</t>
        </is>
      </c>
      <c r="T1100" s="5" t="inlineStr">
        <is>
          <t>1 cotización de proveedores</t>
        </is>
      </c>
    </row>
    <row r="1101">
      <c r="A1101" s="7" t="inlineStr">
        <is>
          <t>MAT-27-013</t>
        </is>
      </c>
      <c r="B1101" s="7" t="inlineStr">
        <is>
          <t>Materiales</t>
        </is>
      </c>
      <c r="C1101" s="7" t="inlineStr">
        <is>
          <t>Accesorios de baño</t>
        </is>
      </c>
      <c r="D1101" s="5" t="inlineStr">
        <is>
          <t>Secador de Manos Con Boton Acc</t>
        </is>
      </c>
      <c r="E1101" s="5" t="inlineStr">
        <is>
          <t>marca HELVEX · referencia MB-1011</t>
        </is>
      </c>
      <c r="F1101" s="5" t="inlineStr">
        <is>
          <t>Material retirado en almacén</t>
        </is>
      </c>
      <c r="G1101" s="5" t="inlineStr">
        <is>
          <t>secador de manos</t>
        </is>
      </c>
      <c r="H1101" s="7" t="inlineStr">
        <is>
          <t>unidad</t>
        </is>
      </c>
      <c r="I1101" s="7" t="inlineStr">
        <is>
          <t>Terminación de superficies</t>
        </is>
      </c>
      <c r="J1101" s="7" t="inlineStr">
        <is>
          <t>estandar</t>
        </is>
      </c>
      <c r="K1101" s="7" t="inlineStr">
        <is>
          <t>importado</t>
        </is>
      </c>
      <c r="L1101" s="7" t="inlineStr">
        <is>
          <t>Verificado</t>
        </is>
      </c>
      <c r="M1101" s="8" t="n">
        <v>1</v>
      </c>
      <c r="N1101" s="9" t="n">
        <v>16368.74</v>
      </c>
      <c r="O1101" s="9" t="n">
        <v>16368.74</v>
      </c>
      <c r="P1101" s="9" t="n">
        <v>16368.74</v>
      </c>
      <c r="Q1101" s="7" t="inlineStr">
        <is>
          <t>Sí</t>
        </is>
      </c>
      <c r="R1101" s="9">
        <f>IF(N1101="","",IF(Q1101="Sí",ROUND(N1101/1.18,2),N1101))</f>
        <v/>
      </c>
      <c r="S1101" s="7" t="inlineStr">
        <is>
          <t>2026-09-09</t>
        </is>
      </c>
      <c r="T1101" s="5" t="inlineStr">
        <is>
          <t>1 cotización de proveedores</t>
        </is>
      </c>
    </row>
    <row r="1102">
      <c r="A1102" s="7" t="inlineStr">
        <is>
          <t>MAT-27-014</t>
        </is>
      </c>
      <c r="B1102" s="7" t="inlineStr">
        <is>
          <t>Materiales</t>
        </is>
      </c>
      <c r="C1102" s="7" t="inlineStr">
        <is>
          <t>Accesorios de baño</t>
        </is>
      </c>
      <c r="D1102" s="5" t="inlineStr">
        <is>
          <t>Secador De Mano con Sensor Alumin Negro</t>
        </is>
      </c>
      <c r="E1102" s="5" t="inlineStr">
        <is>
          <t>marca WORLD DRYER · referencia Q-162A2</t>
        </is>
      </c>
      <c r="F1102" s="5" t="inlineStr">
        <is>
          <t>Material retirado en almacén</t>
        </is>
      </c>
      <c r="G1102" s="5" t="inlineStr">
        <is>
          <t>secador de manos</t>
        </is>
      </c>
      <c r="H1102" s="7" t="inlineStr">
        <is>
          <t>unidad</t>
        </is>
      </c>
      <c r="I1102" s="7" t="inlineStr">
        <is>
          <t>Terminación de superficies</t>
        </is>
      </c>
      <c r="J1102" s="7" t="inlineStr">
        <is>
          <t>estandar</t>
        </is>
      </c>
      <c r="K1102" s="7" t="inlineStr">
        <is>
          <t>importado</t>
        </is>
      </c>
      <c r="L1102" s="7" t="inlineStr">
        <is>
          <t>Verificado</t>
        </is>
      </c>
      <c r="M1102" s="8" t="n">
        <v>1</v>
      </c>
      <c r="N1102" s="9" t="n">
        <v>18390.47</v>
      </c>
      <c r="O1102" s="9" t="n">
        <v>18390.47</v>
      </c>
      <c r="P1102" s="9" t="n">
        <v>18390.47</v>
      </c>
      <c r="Q1102" s="7" t="inlineStr">
        <is>
          <t>Sí</t>
        </is>
      </c>
      <c r="R1102" s="9">
        <f>IF(N1102="","",IF(Q1102="Sí",ROUND(N1102/1.18,2),N1102))</f>
        <v/>
      </c>
      <c r="S1102" s="7" t="inlineStr">
        <is>
          <t>2026-09-09</t>
        </is>
      </c>
      <c r="T1102" s="5" t="inlineStr">
        <is>
          <t>1 cotización de proveedores</t>
        </is>
      </c>
    </row>
    <row r="1103">
      <c r="A1103" s="7" t="inlineStr">
        <is>
          <t>MAT-27-015</t>
        </is>
      </c>
      <c r="B1103" s="7" t="inlineStr">
        <is>
          <t>Materiales</t>
        </is>
      </c>
      <c r="C1103" s="7" t="inlineStr">
        <is>
          <t>Accesorios de baño</t>
        </is>
      </c>
      <c r="D1103" s="5" t="inlineStr">
        <is>
          <t>Secador De Manos Turbo</t>
        </is>
      </c>
      <c r="E1103" s="5" t="inlineStr">
        <is>
          <t>marca HELVEX · referencia MB-1012</t>
        </is>
      </c>
      <c r="F1103" s="5" t="inlineStr">
        <is>
          <t>Material retirado en almacén</t>
        </is>
      </c>
      <c r="G1103" s="5" t="inlineStr">
        <is>
          <t>secador de manos</t>
        </is>
      </c>
      <c r="H1103" s="7" t="inlineStr">
        <is>
          <t>unidad</t>
        </is>
      </c>
      <c r="I1103" s="7" t="inlineStr">
        <is>
          <t>Terminación de superficies</t>
        </is>
      </c>
      <c r="J1103" s="7" t="inlineStr">
        <is>
          <t>estandar</t>
        </is>
      </c>
      <c r="K1103" s="7" t="inlineStr">
        <is>
          <t>importado</t>
        </is>
      </c>
      <c r="L1103" s="7" t="inlineStr">
        <is>
          <t>Verificado</t>
        </is>
      </c>
      <c r="M1103" s="8" t="n">
        <v>1</v>
      </c>
      <c r="N1103" s="9" t="n">
        <v>27487.14</v>
      </c>
      <c r="O1103" s="9" t="n">
        <v>27487.14</v>
      </c>
      <c r="P1103" s="9" t="n">
        <v>27487.14</v>
      </c>
      <c r="Q1103" s="7" t="inlineStr">
        <is>
          <t>Sí</t>
        </is>
      </c>
      <c r="R1103" s="9">
        <f>IF(N1103="","",IF(Q1103="Sí",ROUND(N1103/1.18,2),N1103))</f>
        <v/>
      </c>
      <c r="S1103" s="7" t="inlineStr">
        <is>
          <t>2026-09-09</t>
        </is>
      </c>
      <c r="T1103" s="5" t="inlineStr">
        <is>
          <t>1 cotización de proveedores</t>
        </is>
      </c>
    </row>
    <row r="1104">
      <c r="A1104" s="7" t="inlineStr">
        <is>
          <t>MAT-27-016</t>
        </is>
      </c>
      <c r="B1104" s="7" t="inlineStr">
        <is>
          <t>Materiales</t>
        </is>
      </c>
      <c r="C1104" s="7" t="inlineStr">
        <is>
          <t>Accesorios de baño</t>
        </is>
      </c>
      <c r="D1104" s="5" t="inlineStr">
        <is>
          <t>Secador Manos con Sensor Turbo eléctrico Ace. I</t>
        </is>
      </c>
      <c r="E1104" s="5" t="inlineStr">
        <is>
          <t>marca HELVEX · referencia MB-1012AI</t>
        </is>
      </c>
      <c r="F1104" s="5" t="inlineStr">
        <is>
          <t>Material retirado en almacén</t>
        </is>
      </c>
      <c r="G1104" s="5" t="inlineStr">
        <is>
          <t>secador de manos</t>
        </is>
      </c>
      <c r="H1104" s="7" t="inlineStr">
        <is>
          <t>unidad</t>
        </is>
      </c>
      <c r="I1104" s="7" t="inlineStr">
        <is>
          <t>Terminación de superficies</t>
        </is>
      </c>
      <c r="J1104" s="7" t="inlineStr">
        <is>
          <t>estandar</t>
        </is>
      </c>
      <c r="K1104" s="7" t="inlineStr">
        <is>
          <t>importado</t>
        </is>
      </c>
      <c r="L1104" s="7" t="inlineStr">
        <is>
          <t>Verificado</t>
        </is>
      </c>
      <c r="M1104" s="8" t="n">
        <v>1</v>
      </c>
      <c r="N1104" s="9" t="n">
        <v>32765.78</v>
      </c>
      <c r="O1104" s="9" t="n">
        <v>32765.78</v>
      </c>
      <c r="P1104" s="9" t="n">
        <v>32765.78</v>
      </c>
      <c r="Q1104" s="7" t="inlineStr">
        <is>
          <t>Sí</t>
        </is>
      </c>
      <c r="R1104" s="9">
        <f>IF(N1104="","",IF(Q1104="Sí",ROUND(N1104/1.18,2),N1104))</f>
        <v/>
      </c>
      <c r="S1104" s="7" t="inlineStr">
        <is>
          <t>2026-09-09</t>
        </is>
      </c>
      <c r="T1104" s="5" t="inlineStr">
        <is>
          <t>1 cotización de proveedores</t>
        </is>
      </c>
    </row>
    <row r="1105">
      <c r="A1105" s="7" t="inlineStr">
        <is>
          <t>MAT-27-017</t>
        </is>
      </c>
      <c r="B1105" s="7" t="inlineStr">
        <is>
          <t>Materiales</t>
        </is>
      </c>
      <c r="C1105" s="7" t="inlineStr">
        <is>
          <t>Accesorios de baño</t>
        </is>
      </c>
      <c r="D1105" s="5" t="inlineStr">
        <is>
          <t>Secador De Mano Automatico Plateado Abs</t>
        </is>
      </c>
      <c r="E1105" s="5" t="inlineStr">
        <is>
          <t>marca WORLD DRYER · referencia V-649A</t>
        </is>
      </c>
      <c r="F1105" s="5" t="inlineStr">
        <is>
          <t>Material retirado en almacén</t>
        </is>
      </c>
      <c r="G1105" s="5" t="inlineStr">
        <is>
          <t>secador de manos</t>
        </is>
      </c>
      <c r="H1105" s="7" t="inlineStr">
        <is>
          <t>unidad</t>
        </is>
      </c>
      <c r="I1105" s="7" t="inlineStr">
        <is>
          <t>Terminación de superficies</t>
        </is>
      </c>
      <c r="J1105" s="7" t="inlineStr">
        <is>
          <t>estandar</t>
        </is>
      </c>
      <c r="K1105" s="7" t="inlineStr">
        <is>
          <t>importado</t>
        </is>
      </c>
      <c r="L1105" s="7" t="inlineStr">
        <is>
          <t>Verificado</t>
        </is>
      </c>
      <c r="M1105" s="8" t="n">
        <v>1</v>
      </c>
      <c r="N1105" s="9" t="n">
        <v>63455.69</v>
      </c>
      <c r="O1105" s="9" t="n">
        <v>63455.69</v>
      </c>
      <c r="P1105" s="9" t="n">
        <v>63455.69</v>
      </c>
      <c r="Q1105" s="7" t="inlineStr">
        <is>
          <t>Sí</t>
        </is>
      </c>
      <c r="R1105" s="9">
        <f>IF(N1105="","",IF(Q1105="Sí",ROUND(N1105/1.18,2),N1105))</f>
        <v/>
      </c>
      <c r="S1105" s="7" t="inlineStr">
        <is>
          <t>2026-09-09</t>
        </is>
      </c>
      <c r="T1105" s="5" t="inlineStr">
        <is>
          <t>1 cotización de proveedores</t>
        </is>
      </c>
    </row>
    <row r="1106">
      <c r="A1106" s="7" t="inlineStr">
        <is>
          <t>MAT-27-018</t>
        </is>
      </c>
      <c r="B1106" s="7" t="inlineStr">
        <is>
          <t>Materiales</t>
        </is>
      </c>
      <c r="C1106" s="7" t="inlineStr">
        <is>
          <t>Accesorios de baño</t>
        </is>
      </c>
      <c r="D1106" s="5" t="inlineStr">
        <is>
          <t>Accesorio para baño juego</t>
        </is>
      </c>
      <c r="E1106" s="5" t="inlineStr">
        <is>
          <t>marca SPC · referencia SPC-549-P05</t>
        </is>
      </c>
      <c r="F1106" s="5" t="inlineStr">
        <is>
          <t>Material retirado en almacén</t>
        </is>
      </c>
      <c r="G1106" s="5" t="inlineStr">
        <is>
          <t>juego de accesorios, kit de baño</t>
        </is>
      </c>
      <c r="H1106" s="7" t="inlineStr">
        <is>
          <t>juego</t>
        </is>
      </c>
      <c r="I1106" s="7" t="inlineStr">
        <is>
          <t>Terminación de superficies</t>
        </is>
      </c>
      <c r="J1106" s="7" t="inlineStr">
        <is>
          <t>estandar</t>
        </is>
      </c>
      <c r="K1106" s="7" t="inlineStr">
        <is>
          <t>importado</t>
        </is>
      </c>
      <c r="L1106" s="7" t="inlineStr">
        <is>
          <t>Verificado</t>
        </is>
      </c>
      <c r="M1106" s="8" t="n">
        <v>1</v>
      </c>
      <c r="N1106" s="9" t="n">
        <v>345.39</v>
      </c>
      <c r="O1106" s="9" t="n">
        <v>345.39</v>
      </c>
      <c r="P1106" s="9" t="n">
        <v>345.39</v>
      </c>
      <c r="Q1106" s="7" t="inlineStr">
        <is>
          <t>Sí</t>
        </is>
      </c>
      <c r="R1106" s="9">
        <f>IF(N1106="","",IF(Q1106="Sí",ROUND(N1106/1.18,2),N1106))</f>
        <v/>
      </c>
      <c r="S1106" s="7" t="inlineStr">
        <is>
          <t>2026-09-09</t>
        </is>
      </c>
      <c r="T1106" s="5" t="inlineStr">
        <is>
          <t>1 cotización de proveedores</t>
        </is>
      </c>
    </row>
    <row r="1107">
      <c r="A1107" s="7" t="inlineStr">
        <is>
          <t>MAT-27-019</t>
        </is>
      </c>
      <c r="B1107" s="7" t="inlineStr">
        <is>
          <t>Materiales</t>
        </is>
      </c>
      <c r="C1107" s="7" t="inlineStr">
        <is>
          <t>Accesorios de baño</t>
        </is>
      </c>
      <c r="D1107" s="5" t="inlineStr">
        <is>
          <t>Accesorio para baño juego (5 Pieza)</t>
        </is>
      </c>
      <c r="E1107" s="5" t="inlineStr">
        <is>
          <t>marca EZ-FLO/EASTMAN · referencia 12966</t>
        </is>
      </c>
      <c r="F1107" s="5" t="inlineStr">
        <is>
          <t>Material retirado en almacén</t>
        </is>
      </c>
      <c r="G1107" s="5" t="inlineStr">
        <is>
          <t>juego de accesorios, kit de baño</t>
        </is>
      </c>
      <c r="H1107" s="7" t="inlineStr">
        <is>
          <t>juego</t>
        </is>
      </c>
      <c r="I1107" s="7" t="inlineStr">
        <is>
          <t>Terminación de superficies</t>
        </is>
      </c>
      <c r="J1107" s="7" t="inlineStr">
        <is>
          <t>estandar</t>
        </is>
      </c>
      <c r="K1107" s="7" t="inlineStr">
        <is>
          <t>importado</t>
        </is>
      </c>
      <c r="L1107" s="7" t="inlineStr">
        <is>
          <t>Verificado</t>
        </is>
      </c>
      <c r="M1107" s="8" t="n">
        <v>1</v>
      </c>
      <c r="N1107" s="9" t="n">
        <v>940.91</v>
      </c>
      <c r="O1107" s="9" t="n">
        <v>940.91</v>
      </c>
      <c r="P1107" s="9" t="n">
        <v>940.91</v>
      </c>
      <c r="Q1107" s="7" t="inlineStr">
        <is>
          <t>Sí</t>
        </is>
      </c>
      <c r="R1107" s="9">
        <f>IF(N1107="","",IF(Q1107="Sí",ROUND(N1107/1.18,2),N1107))</f>
        <v/>
      </c>
      <c r="S1107" s="7" t="inlineStr">
        <is>
          <t>2026-09-09</t>
        </is>
      </c>
      <c r="T1107" s="5" t="inlineStr">
        <is>
          <t>1 cotización de proveedores</t>
        </is>
      </c>
    </row>
    <row r="1108">
      <c r="A1108" s="7" t="inlineStr">
        <is>
          <t>MAT-27-020</t>
        </is>
      </c>
      <c r="B1108" s="7" t="inlineStr">
        <is>
          <t>Materiales</t>
        </is>
      </c>
      <c r="C1108" s="7" t="inlineStr">
        <is>
          <t>Accesorios de baño</t>
        </is>
      </c>
      <c r="D1108" s="5" t="inlineStr">
        <is>
          <t>Kit Acc. baño 3 Pzas. Burdeos, cromo</t>
        </is>
      </c>
      <c r="E1108" s="5" t="inlineStr">
        <is>
          <t>marca TILBY-KIT · color cromo · referencia 601/3-ACROMO</t>
        </is>
      </c>
      <c r="F1108" s="5" t="inlineStr">
        <is>
          <t>Material retirado en almacén</t>
        </is>
      </c>
      <c r="G1108" s="5" t="inlineStr">
        <is>
          <t>juego de accesorios, kit de baño</t>
        </is>
      </c>
      <c r="H1108" s="7" t="inlineStr">
        <is>
          <t>juego</t>
        </is>
      </c>
      <c r="I1108" s="7" t="inlineStr">
        <is>
          <t>Terminación de superficies</t>
        </is>
      </c>
      <c r="J1108" s="7" t="inlineStr">
        <is>
          <t>estandar</t>
        </is>
      </c>
      <c r="K1108" s="7" t="inlineStr">
        <is>
          <t>importado</t>
        </is>
      </c>
      <c r="L1108" s="7" t="inlineStr">
        <is>
          <t>Verificado</t>
        </is>
      </c>
      <c r="M1108" s="8" t="n">
        <v>1</v>
      </c>
      <c r="N1108" s="9" t="n">
        <v>1081.92</v>
      </c>
      <c r="O1108" s="9" t="n">
        <v>1081.92</v>
      </c>
      <c r="P1108" s="9" t="n">
        <v>1081.92</v>
      </c>
      <c r="Q1108" s="7" t="inlineStr">
        <is>
          <t>Sí</t>
        </is>
      </c>
      <c r="R1108" s="9">
        <f>IF(N1108="","",IF(Q1108="Sí",ROUND(N1108/1.18,2),N1108))</f>
        <v/>
      </c>
      <c r="S1108" s="7" t="inlineStr">
        <is>
          <t>2026-09-09</t>
        </is>
      </c>
      <c r="T1108" s="5" t="inlineStr">
        <is>
          <t>1 cotización de proveedores</t>
        </is>
      </c>
    </row>
    <row r="1109">
      <c r="A1109" s="7" t="inlineStr">
        <is>
          <t>MAT-27-021</t>
        </is>
      </c>
      <c r="B1109" s="7" t="inlineStr">
        <is>
          <t>Materiales</t>
        </is>
      </c>
      <c r="C1109" s="7" t="inlineStr">
        <is>
          <t>Accesorios de baño</t>
        </is>
      </c>
      <c r="D1109" s="5" t="inlineStr">
        <is>
          <t>Kit Acc. baño 6 Pzas.</t>
        </is>
      </c>
      <c r="E1109" s="5" t="inlineStr">
        <is>
          <t>marca ULTRA · referencia 73700</t>
        </is>
      </c>
      <c r="F1109" s="5" t="inlineStr">
        <is>
          <t>Material retirado en almacén</t>
        </is>
      </c>
      <c r="G1109" s="5" t="inlineStr">
        <is>
          <t>juego de accesorios, kit de baño</t>
        </is>
      </c>
      <c r="H1109" s="7" t="inlineStr">
        <is>
          <t>juego</t>
        </is>
      </c>
      <c r="I1109" s="7" t="inlineStr">
        <is>
          <t>Terminación de superficies</t>
        </is>
      </c>
      <c r="J1109" s="7" t="inlineStr">
        <is>
          <t>estandar</t>
        </is>
      </c>
      <c r="K1109" s="7" t="inlineStr">
        <is>
          <t>importado</t>
        </is>
      </c>
      <c r="L1109" s="7" t="inlineStr">
        <is>
          <t>Verificado</t>
        </is>
      </c>
      <c r="M1109" s="8" t="n">
        <v>1</v>
      </c>
      <c r="N1109" s="9" t="n">
        <v>1342.61</v>
      </c>
      <c r="O1109" s="9" t="n">
        <v>1342.61</v>
      </c>
      <c r="P1109" s="9" t="n">
        <v>1342.61</v>
      </c>
      <c r="Q1109" s="7" t="inlineStr">
        <is>
          <t>Sí</t>
        </is>
      </c>
      <c r="R1109" s="9">
        <f>IF(N1109="","",IF(Q1109="Sí",ROUND(N1109/1.18,2),N1109))</f>
        <v/>
      </c>
      <c r="S1109" s="7" t="inlineStr">
        <is>
          <t>2026-09-09</t>
        </is>
      </c>
      <c r="T1109" s="5" t="inlineStr">
        <is>
          <t>1 cotización de proveedores</t>
        </is>
      </c>
    </row>
    <row r="1110">
      <c r="A1110" s="7" t="inlineStr">
        <is>
          <t>MAT-27-022</t>
        </is>
      </c>
      <c r="B1110" s="7" t="inlineStr">
        <is>
          <t>Materiales</t>
        </is>
      </c>
      <c r="C1110" s="7" t="inlineStr">
        <is>
          <t>Accesorios de baño</t>
        </is>
      </c>
      <c r="D1110" s="5" t="inlineStr">
        <is>
          <t>Kit Acc. baño 6 Pzas. Burdeos, cromo</t>
        </is>
      </c>
      <c r="E1110" s="5" t="inlineStr">
        <is>
          <t>marca TILBY-KIT · color cromo · referencia 601/6-ACROMO</t>
        </is>
      </c>
      <c r="F1110" s="5" t="inlineStr">
        <is>
          <t>Material retirado en almacén</t>
        </is>
      </c>
      <c r="G1110" s="5" t="inlineStr">
        <is>
          <t>juego de accesorios, kit de baño</t>
        </is>
      </c>
      <c r="H1110" s="7" t="inlineStr">
        <is>
          <t>juego</t>
        </is>
      </c>
      <c r="I1110" s="7" t="inlineStr">
        <is>
          <t>Terminación de superficies</t>
        </is>
      </c>
      <c r="J1110" s="7" t="inlineStr">
        <is>
          <t>estandar</t>
        </is>
      </c>
      <c r="K1110" s="7" t="inlineStr">
        <is>
          <t>importado</t>
        </is>
      </c>
      <c r="L1110" s="7" t="inlineStr">
        <is>
          <t>Verificado</t>
        </is>
      </c>
      <c r="M1110" s="8" t="n">
        <v>1</v>
      </c>
      <c r="N1110" s="9" t="n">
        <v>1598.64</v>
      </c>
      <c r="O1110" s="9" t="n">
        <v>1598.64</v>
      </c>
      <c r="P1110" s="9" t="n">
        <v>1598.64</v>
      </c>
      <c r="Q1110" s="7" t="inlineStr">
        <is>
          <t>Sí</t>
        </is>
      </c>
      <c r="R1110" s="9">
        <f>IF(N1110="","",IF(Q1110="Sí",ROUND(N1110/1.18,2),N1110))</f>
        <v/>
      </c>
      <c r="S1110" s="7" t="inlineStr">
        <is>
          <t>2026-09-09</t>
        </is>
      </c>
      <c r="T1110" s="5" t="inlineStr">
        <is>
          <t>1 cotización de proveedores</t>
        </is>
      </c>
    </row>
    <row r="1111">
      <c r="A1111" s="7" t="inlineStr">
        <is>
          <t>MAT-27-023</t>
        </is>
      </c>
      <c r="B1111" s="7" t="inlineStr">
        <is>
          <t>Materiales</t>
        </is>
      </c>
      <c r="C1111" s="7" t="inlineStr">
        <is>
          <t>Accesorios de baño</t>
        </is>
      </c>
      <c r="D1111" s="5" t="inlineStr">
        <is>
          <t>Kit Accesorios para baño Prem 4 Pzas</t>
        </is>
      </c>
      <c r="E1111" s="5" t="inlineStr">
        <is>
          <t>marca INEX · referencia IB904CR</t>
        </is>
      </c>
      <c r="F1111" s="5" t="inlineStr">
        <is>
          <t>Material retirado en almacén</t>
        </is>
      </c>
      <c r="G1111" s="5" t="inlineStr">
        <is>
          <t>juego de accesorios, kit de baño</t>
        </is>
      </c>
      <c r="H1111" s="7" t="inlineStr">
        <is>
          <t>juego</t>
        </is>
      </c>
      <c r="I1111" s="7" t="inlineStr">
        <is>
          <t>Terminación de superficies</t>
        </is>
      </c>
      <c r="J1111" s="7" t="inlineStr">
        <is>
          <t>estandar</t>
        </is>
      </c>
      <c r="K1111" s="7" t="inlineStr">
        <is>
          <t>importado</t>
        </is>
      </c>
      <c r="L1111" s="7" t="inlineStr">
        <is>
          <t>Verificado</t>
        </is>
      </c>
      <c r="M1111" s="8" t="n">
        <v>1</v>
      </c>
      <c r="N1111" s="9" t="n">
        <v>1605.2</v>
      </c>
      <c r="O1111" s="9" t="n">
        <v>1605.2</v>
      </c>
      <c r="P1111" s="9" t="n">
        <v>1605.2</v>
      </c>
      <c r="Q1111" s="7" t="inlineStr">
        <is>
          <t>Sí</t>
        </is>
      </c>
      <c r="R1111" s="9">
        <f>IF(N1111="","",IF(Q1111="Sí",ROUND(N1111/1.18,2),N1111))</f>
        <v/>
      </c>
      <c r="S1111" s="7" t="inlineStr">
        <is>
          <t>2026-09-09</t>
        </is>
      </c>
      <c r="T1111" s="5" t="inlineStr">
        <is>
          <t>1 cotización de proveedores</t>
        </is>
      </c>
    </row>
    <row r="1112">
      <c r="A1112" s="7" t="inlineStr">
        <is>
          <t>MAT-27-024</t>
        </is>
      </c>
      <c r="B1112" s="7" t="inlineStr">
        <is>
          <t>Materiales</t>
        </is>
      </c>
      <c r="C1112" s="7" t="inlineStr">
        <is>
          <t>Accesorios de baño</t>
        </is>
      </c>
      <c r="D1112" s="5" t="inlineStr">
        <is>
          <t>Kit Acc. baño 6 piezas Cuenca</t>
        </is>
      </c>
      <c r="E1112" s="5" t="inlineStr">
        <is>
          <t>marca TILBY-KIT · referencia 1300/6-A</t>
        </is>
      </c>
      <c r="F1112" s="5" t="inlineStr">
        <is>
          <t>Material retirado en almacén</t>
        </is>
      </c>
      <c r="G1112" s="5" t="inlineStr">
        <is>
          <t>juego de accesorios, kit de baño</t>
        </is>
      </c>
      <c r="H1112" s="7" t="inlineStr">
        <is>
          <t>juego</t>
        </is>
      </c>
      <c r="I1112" s="7" t="inlineStr">
        <is>
          <t>Terminación de superficies</t>
        </is>
      </c>
      <c r="J1112" s="7" t="inlineStr">
        <is>
          <t>estandar</t>
        </is>
      </c>
      <c r="K1112" s="7" t="inlineStr">
        <is>
          <t>importado</t>
        </is>
      </c>
      <c r="L1112" s="7" t="inlineStr">
        <is>
          <t>Verificado</t>
        </is>
      </c>
      <c r="M1112" s="8" t="n">
        <v>1</v>
      </c>
      <c r="N1112" s="9" t="n">
        <v>1638.74</v>
      </c>
      <c r="O1112" s="9" t="n">
        <v>1638.74</v>
      </c>
      <c r="P1112" s="9" t="n">
        <v>1638.74</v>
      </c>
      <c r="Q1112" s="7" t="inlineStr">
        <is>
          <t>Sí</t>
        </is>
      </c>
      <c r="R1112" s="9">
        <f>IF(N1112="","",IF(Q1112="Sí",ROUND(N1112/1.18,2),N1112))</f>
        <v/>
      </c>
      <c r="S1112" s="7" t="inlineStr">
        <is>
          <t>2026-09-09</t>
        </is>
      </c>
      <c r="T1112" s="5" t="inlineStr">
        <is>
          <t>1 cotización de proveedores</t>
        </is>
      </c>
    </row>
    <row r="1113">
      <c r="A1113" s="7" t="inlineStr">
        <is>
          <t>MAT-27-025</t>
        </is>
      </c>
      <c r="B1113" s="7" t="inlineStr">
        <is>
          <t>Materiales</t>
        </is>
      </c>
      <c r="C1113" s="7" t="inlineStr">
        <is>
          <t>Accesorios de baño</t>
        </is>
      </c>
      <c r="D1113" s="5" t="inlineStr">
        <is>
          <t>Kit De Acce para Baño 3 piezas Brushed Nickel</t>
        </is>
      </c>
      <c r="E1113" s="5" t="inlineStr">
        <is>
          <t>marca INEX · referencia IB-3M-303BN</t>
        </is>
      </c>
      <c r="F1113" s="5" t="inlineStr">
        <is>
          <t>Material retirado en almacén</t>
        </is>
      </c>
      <c r="G1113" s="5" t="inlineStr">
        <is>
          <t>juego de accesorios, kit de baño</t>
        </is>
      </c>
      <c r="H1113" s="7" t="inlineStr">
        <is>
          <t>juego</t>
        </is>
      </c>
      <c r="I1113" s="7" t="inlineStr">
        <is>
          <t>Terminación de superficies</t>
        </is>
      </c>
      <c r="J1113" s="7" t="inlineStr">
        <is>
          <t>estandar</t>
        </is>
      </c>
      <c r="K1113" s="7" t="inlineStr">
        <is>
          <t>importado</t>
        </is>
      </c>
      <c r="L1113" s="7" t="inlineStr">
        <is>
          <t>Verificado</t>
        </is>
      </c>
      <c r="M1113" s="8" t="n">
        <v>1</v>
      </c>
      <c r="N1113" s="9" t="n">
        <v>1673.59</v>
      </c>
      <c r="O1113" s="9" t="n">
        <v>1673.59</v>
      </c>
      <c r="P1113" s="9" t="n">
        <v>1673.59</v>
      </c>
      <c r="Q1113" s="7" t="inlineStr">
        <is>
          <t>Sí</t>
        </is>
      </c>
      <c r="R1113" s="9">
        <f>IF(N1113="","",IF(Q1113="Sí",ROUND(N1113/1.18,2),N1113))</f>
        <v/>
      </c>
      <c r="S1113" s="7" t="inlineStr">
        <is>
          <t>2026-09-09</t>
        </is>
      </c>
      <c r="T1113" s="5" t="inlineStr">
        <is>
          <t>1 cotización de proveedores</t>
        </is>
      </c>
    </row>
    <row r="1114">
      <c r="A1114" s="7" t="inlineStr">
        <is>
          <t>MAT-27-026</t>
        </is>
      </c>
      <c r="B1114" s="7" t="inlineStr">
        <is>
          <t>Materiales</t>
        </is>
      </c>
      <c r="C1114" s="7" t="inlineStr">
        <is>
          <t>Accesorios de baño</t>
        </is>
      </c>
      <c r="D1114" s="5" t="inlineStr">
        <is>
          <t>Kit De Accesorios para Baño 3 Piezas Negro</t>
        </is>
      </c>
      <c r="E1114" s="5" t="inlineStr">
        <is>
          <t>marca INEX · referencia IB-3M-303BK</t>
        </is>
      </c>
      <c r="F1114" s="5" t="inlineStr">
        <is>
          <t>Material retirado en almacén</t>
        </is>
      </c>
      <c r="G1114" s="5" t="inlineStr">
        <is>
          <t>juego de accesorios, kit de baño</t>
        </is>
      </c>
      <c r="H1114" s="7" t="inlineStr">
        <is>
          <t>juego</t>
        </is>
      </c>
      <c r="I1114" s="7" t="inlineStr">
        <is>
          <t>Terminación de superficies</t>
        </is>
      </c>
      <c r="J1114" s="7" t="inlineStr">
        <is>
          <t>estandar</t>
        </is>
      </c>
      <c r="K1114" s="7" t="inlineStr">
        <is>
          <t>importado</t>
        </is>
      </c>
      <c r="L1114" s="7" t="inlineStr">
        <is>
          <t>Verificado</t>
        </is>
      </c>
      <c r="M1114" s="8" t="n">
        <v>1</v>
      </c>
      <c r="N1114" s="9" t="n">
        <v>1673.59</v>
      </c>
      <c r="O1114" s="9" t="n">
        <v>1673.59</v>
      </c>
      <c r="P1114" s="9" t="n">
        <v>1673.59</v>
      </c>
      <c r="Q1114" s="7" t="inlineStr">
        <is>
          <t>Sí</t>
        </is>
      </c>
      <c r="R1114" s="9">
        <f>IF(N1114="","",IF(Q1114="Sí",ROUND(N1114/1.18,2),N1114))</f>
        <v/>
      </c>
      <c r="S1114" s="7" t="inlineStr">
        <is>
          <t>2026-09-09</t>
        </is>
      </c>
      <c r="T1114" s="5" t="inlineStr">
        <is>
          <t>1 cotización de proveedores</t>
        </is>
      </c>
    </row>
    <row r="1115">
      <c r="A1115" s="7" t="inlineStr">
        <is>
          <t>MAT-27-027</t>
        </is>
      </c>
      <c r="B1115" s="7" t="inlineStr">
        <is>
          <t>Materiales</t>
        </is>
      </c>
      <c r="C1115" s="7" t="inlineStr">
        <is>
          <t>Accesorios de baño</t>
        </is>
      </c>
      <c r="D1115" s="5" t="inlineStr">
        <is>
          <t>Kit para inodoro de Flush</t>
        </is>
      </c>
      <c r="E1115" s="5" t="inlineStr">
        <is>
          <t>marca FLEXIMATIC · referencia 4451</t>
        </is>
      </c>
      <c r="F1115" s="5" t="inlineStr">
        <is>
          <t>Material retirado en almacén</t>
        </is>
      </c>
      <c r="G1115" s="5" t="inlineStr">
        <is>
          <t>juego de accesorios, kit de baño</t>
        </is>
      </c>
      <c r="H1115" s="7" t="inlineStr">
        <is>
          <t>juego</t>
        </is>
      </c>
      <c r="I1115" s="7" t="inlineStr">
        <is>
          <t>Terminación de superficies</t>
        </is>
      </c>
      <c r="J1115" s="7" t="inlineStr">
        <is>
          <t>estandar</t>
        </is>
      </c>
      <c r="K1115" s="7" t="inlineStr">
        <is>
          <t>importado</t>
        </is>
      </c>
      <c r="L1115" s="7" t="inlineStr">
        <is>
          <t>Verificado</t>
        </is>
      </c>
      <c r="M1115" s="8" t="n">
        <v>1</v>
      </c>
      <c r="N1115" s="9" t="n">
        <v>1709.67</v>
      </c>
      <c r="O1115" s="9" t="n">
        <v>1709.67</v>
      </c>
      <c r="P1115" s="9" t="n">
        <v>1709.67</v>
      </c>
      <c r="Q1115" s="7" t="inlineStr">
        <is>
          <t>Sí</t>
        </is>
      </c>
      <c r="R1115" s="9">
        <f>IF(N1115="","",IF(Q1115="Sí",ROUND(N1115/1.18,2),N1115))</f>
        <v/>
      </c>
      <c r="S1115" s="7" t="inlineStr">
        <is>
          <t>2026-09-09</t>
        </is>
      </c>
      <c r="T1115" s="5" t="inlineStr">
        <is>
          <t>1 cotización de proveedores</t>
        </is>
      </c>
    </row>
    <row r="1116">
      <c r="A1116" s="7" t="inlineStr">
        <is>
          <t>MAT-27-028</t>
        </is>
      </c>
      <c r="B1116" s="7" t="inlineStr">
        <is>
          <t>Materiales</t>
        </is>
      </c>
      <c r="C1116" s="7" t="inlineStr">
        <is>
          <t>Accesorios de baño</t>
        </is>
      </c>
      <c r="D1116" s="5" t="inlineStr">
        <is>
          <t>Kit de Instalacion para Inodoro</t>
        </is>
      </c>
      <c r="E1116" s="5" t="inlineStr">
        <is>
          <t>marca FLUIDMASTERINC · referencia 400AK</t>
        </is>
      </c>
      <c r="F1116" s="5" t="inlineStr">
        <is>
          <t>Material retirado en almacén</t>
        </is>
      </c>
      <c r="G1116" s="5" t="inlineStr">
        <is>
          <t>juego de accesorios, kit de baño</t>
        </is>
      </c>
      <c r="H1116" s="7" t="inlineStr">
        <is>
          <t>juego</t>
        </is>
      </c>
      <c r="I1116" s="7" t="inlineStr">
        <is>
          <t>Terminación de superficies</t>
        </is>
      </c>
      <c r="J1116" s="7" t="inlineStr">
        <is>
          <t>estandar</t>
        </is>
      </c>
      <c r="K1116" s="7" t="inlineStr">
        <is>
          <t>importado</t>
        </is>
      </c>
      <c r="L1116" s="7" t="inlineStr">
        <is>
          <t>Verificado</t>
        </is>
      </c>
      <c r="M1116" s="8" t="n">
        <v>1</v>
      </c>
      <c r="N1116" s="9" t="n">
        <v>1773</v>
      </c>
      <c r="O1116" s="9" t="n">
        <v>1773</v>
      </c>
      <c r="P1116" s="9" t="n">
        <v>1773</v>
      </c>
      <c r="Q1116" s="7" t="inlineStr">
        <is>
          <t>Sí</t>
        </is>
      </c>
      <c r="R1116" s="9">
        <f>IF(N1116="","",IF(Q1116="Sí",ROUND(N1116/1.18,2),N1116))</f>
        <v/>
      </c>
      <c r="S1116" s="7" t="inlineStr">
        <is>
          <t>2026-09-09</t>
        </is>
      </c>
      <c r="T1116" s="5" t="inlineStr">
        <is>
          <t>1 cotización de proveedores</t>
        </is>
      </c>
    </row>
    <row r="1117">
      <c r="A1117" s="7" t="inlineStr">
        <is>
          <t>MAT-27-029</t>
        </is>
      </c>
      <c r="B1117" s="7" t="inlineStr">
        <is>
          <t>Materiales</t>
        </is>
      </c>
      <c r="C1117" s="7" t="inlineStr">
        <is>
          <t>Accesorios de baño</t>
        </is>
      </c>
      <c r="D1117" s="5" t="inlineStr">
        <is>
          <t>Accesorios Para Baño Huelva, cromo</t>
        </is>
      </c>
      <c r="E1117" s="5" t="inlineStr">
        <is>
          <t>marca TILBY-KIT · color cromo · referencia 1801/6-ASCROMO/MATE</t>
        </is>
      </c>
      <c r="F1117" s="5" t="inlineStr">
        <is>
          <t>Material retirado en almacén</t>
        </is>
      </c>
      <c r="G1117" s="5" t="inlineStr">
        <is>
          <t>juego de accesorios, kit de baño</t>
        </is>
      </c>
      <c r="H1117" s="7" t="inlineStr">
        <is>
          <t>juego</t>
        </is>
      </c>
      <c r="I1117" s="7" t="inlineStr">
        <is>
          <t>Terminación de superficies</t>
        </is>
      </c>
      <c r="J1117" s="7" t="inlineStr">
        <is>
          <t>estandar</t>
        </is>
      </c>
      <c r="K1117" s="7" t="inlineStr">
        <is>
          <t>importado</t>
        </is>
      </c>
      <c r="L1117" s="7" t="inlineStr">
        <is>
          <t>Verificado</t>
        </is>
      </c>
      <c r="M1117" s="8" t="n">
        <v>1</v>
      </c>
      <c r="N1117" s="9" t="n">
        <v>1798.73</v>
      </c>
      <c r="O1117" s="9" t="n">
        <v>1798.73</v>
      </c>
      <c r="P1117" s="9" t="n">
        <v>1798.73</v>
      </c>
      <c r="Q1117" s="7" t="inlineStr">
        <is>
          <t>Sí</t>
        </is>
      </c>
      <c r="R1117" s="9">
        <f>IF(N1117="","",IF(Q1117="Sí",ROUND(N1117/1.18,2),N1117))</f>
        <v/>
      </c>
      <c r="S1117" s="7" t="inlineStr">
        <is>
          <t>2026-09-09</t>
        </is>
      </c>
      <c r="T1117" s="5" t="inlineStr">
        <is>
          <t>1 cotización de proveedores</t>
        </is>
      </c>
    </row>
    <row r="1118">
      <c r="A1118" s="7" t="inlineStr">
        <is>
          <t>MAT-27-030</t>
        </is>
      </c>
      <c r="B1118" s="7" t="inlineStr">
        <is>
          <t>Materiales</t>
        </is>
      </c>
      <c r="C1118" s="7" t="inlineStr">
        <is>
          <t>Accesorios de baño</t>
        </is>
      </c>
      <c r="D1118" s="5" t="inlineStr">
        <is>
          <t>Kit De Acceso para Baño 4 piezas Brush Nickel</t>
        </is>
      </c>
      <c r="E1118" s="5" t="inlineStr">
        <is>
          <t>marca INEX · referencia IB-3M-404BN</t>
        </is>
      </c>
      <c r="F1118" s="5" t="inlineStr">
        <is>
          <t>Material retirado en almacén</t>
        </is>
      </c>
      <c r="G1118" s="5" t="inlineStr">
        <is>
          <t>juego de accesorios, kit de baño</t>
        </is>
      </c>
      <c r="H1118" s="7" t="inlineStr">
        <is>
          <t>juego</t>
        </is>
      </c>
      <c r="I1118" s="7" t="inlineStr">
        <is>
          <t>Terminación de superficies</t>
        </is>
      </c>
      <c r="J1118" s="7" t="inlineStr">
        <is>
          <t>estandar</t>
        </is>
      </c>
      <c r="K1118" s="7" t="inlineStr">
        <is>
          <t>importado</t>
        </is>
      </c>
      <c r="L1118" s="7" t="inlineStr">
        <is>
          <t>Verificado</t>
        </is>
      </c>
      <c r="M1118" s="8" t="n">
        <v>1</v>
      </c>
      <c r="N1118" s="9" t="n">
        <v>1813.97</v>
      </c>
      <c r="O1118" s="9" t="n">
        <v>1813.97</v>
      </c>
      <c r="P1118" s="9" t="n">
        <v>1813.97</v>
      </c>
      <c r="Q1118" s="7" t="inlineStr">
        <is>
          <t>Sí</t>
        </is>
      </c>
      <c r="R1118" s="9">
        <f>IF(N1118="","",IF(Q1118="Sí",ROUND(N1118/1.18,2),N1118))</f>
        <v/>
      </c>
      <c r="S1118" s="7" t="inlineStr">
        <is>
          <t>2026-09-09</t>
        </is>
      </c>
      <c r="T1118" s="5" t="inlineStr">
        <is>
          <t>1 cotización de proveedores</t>
        </is>
      </c>
    </row>
    <row r="1119">
      <c r="A1119" s="7" t="inlineStr">
        <is>
          <t>MAT-27-031</t>
        </is>
      </c>
      <c r="B1119" s="7" t="inlineStr">
        <is>
          <t>Materiales</t>
        </is>
      </c>
      <c r="C1119" s="7" t="inlineStr">
        <is>
          <t>Accesorios de baño</t>
        </is>
      </c>
      <c r="D1119" s="5" t="inlineStr">
        <is>
          <t>Kit Accesorio 6 piezas Vigo</t>
        </is>
      </c>
      <c r="E1119" s="5" t="inlineStr">
        <is>
          <t>marca TILBY-KIT · referencia 2200/6-A</t>
        </is>
      </c>
      <c r="F1119" s="5" t="inlineStr">
        <is>
          <t>Material retirado en almacén</t>
        </is>
      </c>
      <c r="G1119" s="5" t="inlineStr">
        <is>
          <t>juego de accesorios, kit de baño</t>
        </is>
      </c>
      <c r="H1119" s="7" t="inlineStr">
        <is>
          <t>juego</t>
        </is>
      </c>
      <c r="I1119" s="7" t="inlineStr">
        <is>
          <t>Terminación de superficies</t>
        </is>
      </c>
      <c r="J1119" s="7" t="inlineStr">
        <is>
          <t>estandar</t>
        </is>
      </c>
      <c r="K1119" s="7" t="inlineStr">
        <is>
          <t>importado</t>
        </is>
      </c>
      <c r="L1119" s="7" t="inlineStr">
        <is>
          <t>Verificado</t>
        </is>
      </c>
      <c r="M1119" s="8" t="n">
        <v>1</v>
      </c>
      <c r="N1119" s="9" t="n">
        <v>1839.57</v>
      </c>
      <c r="O1119" s="9" t="n">
        <v>1839.57</v>
      </c>
      <c r="P1119" s="9" t="n">
        <v>1839.57</v>
      </c>
      <c r="Q1119" s="7" t="inlineStr">
        <is>
          <t>Sí</t>
        </is>
      </c>
      <c r="R1119" s="9">
        <f>IF(N1119="","",IF(Q1119="Sí",ROUND(N1119/1.18,2),N1119))</f>
        <v/>
      </c>
      <c r="S1119" s="7" t="inlineStr">
        <is>
          <t>2026-09-09</t>
        </is>
      </c>
      <c r="T1119" s="5" t="inlineStr">
        <is>
          <t>1 cotización de proveedores</t>
        </is>
      </c>
    </row>
    <row r="1120">
      <c r="A1120" s="7" t="inlineStr">
        <is>
          <t>MAT-27-032</t>
        </is>
      </c>
      <c r="B1120" s="7" t="inlineStr">
        <is>
          <t>Materiales</t>
        </is>
      </c>
      <c r="C1120" s="7" t="inlineStr">
        <is>
          <t>Accesorios de baño</t>
        </is>
      </c>
      <c r="D1120" s="5" t="inlineStr">
        <is>
          <t>Kit Acc. baño 6 piezas Granada</t>
        </is>
      </c>
      <c r="E1120" s="5" t="inlineStr">
        <is>
          <t>marca TILBY-KIT · referencia 2700-6-A</t>
        </is>
      </c>
      <c r="F1120" s="5" t="inlineStr">
        <is>
          <t>Material retirado en almacén</t>
        </is>
      </c>
      <c r="G1120" s="5" t="inlineStr">
        <is>
          <t>juego de accesorios, kit de baño</t>
        </is>
      </c>
      <c r="H1120" s="7" t="inlineStr">
        <is>
          <t>juego</t>
        </is>
      </c>
      <c r="I1120" s="7" t="inlineStr">
        <is>
          <t>Terminación de superficies</t>
        </is>
      </c>
      <c r="J1120" s="7" t="inlineStr">
        <is>
          <t>estandar</t>
        </is>
      </c>
      <c r="K1120" s="7" t="inlineStr">
        <is>
          <t>importado</t>
        </is>
      </c>
      <c r="L1120" s="7" t="inlineStr">
        <is>
          <t>Verificado</t>
        </is>
      </c>
      <c r="M1120" s="8" t="n">
        <v>1</v>
      </c>
      <c r="N1120" s="9" t="n">
        <v>1876.22</v>
      </c>
      <c r="O1120" s="9" t="n">
        <v>1876.22</v>
      </c>
      <c r="P1120" s="9" t="n">
        <v>1876.22</v>
      </c>
      <c r="Q1120" s="7" t="inlineStr">
        <is>
          <t>Sí</t>
        </is>
      </c>
      <c r="R1120" s="9">
        <f>IF(N1120="","",IF(Q1120="Sí",ROUND(N1120/1.18,2),N1120))</f>
        <v/>
      </c>
      <c r="S1120" s="7" t="inlineStr">
        <is>
          <t>2026-09-09</t>
        </is>
      </c>
      <c r="T1120" s="5" t="inlineStr">
        <is>
          <t>1 cotización de proveedores</t>
        </is>
      </c>
    </row>
    <row r="1121">
      <c r="A1121" s="7" t="inlineStr">
        <is>
          <t>MAT-27-033</t>
        </is>
      </c>
      <c r="B1121" s="7" t="inlineStr">
        <is>
          <t>Materiales</t>
        </is>
      </c>
      <c r="C1121" s="7" t="inlineStr">
        <is>
          <t>Accesorios de baño</t>
        </is>
      </c>
      <c r="D1121" s="5" t="inlineStr">
        <is>
          <t>Kit De Accesorios Para Baños</t>
        </is>
      </c>
      <c r="E1121" s="5" t="inlineStr">
        <is>
          <t>marca TILBY-KIT · referencia 17700-6-A</t>
        </is>
      </c>
      <c r="F1121" s="5" t="inlineStr">
        <is>
          <t>Material retirado en almacén</t>
        </is>
      </c>
      <c r="G1121" s="5" t="inlineStr">
        <is>
          <t>juego de accesorios, kit de baño</t>
        </is>
      </c>
      <c r="H1121" s="7" t="inlineStr">
        <is>
          <t>juego</t>
        </is>
      </c>
      <c r="I1121" s="7" t="inlineStr">
        <is>
          <t>Terminación de superficies</t>
        </is>
      </c>
      <c r="J1121" s="7" t="inlineStr">
        <is>
          <t>estandar</t>
        </is>
      </c>
      <c r="K1121" s="7" t="inlineStr">
        <is>
          <t>importado</t>
        </is>
      </c>
      <c r="L1121" s="7" t="inlineStr">
        <is>
          <t>Verificado</t>
        </is>
      </c>
      <c r="M1121" s="8" t="n">
        <v>1</v>
      </c>
      <c r="N1121" s="9" t="n">
        <v>1259.2</v>
      </c>
      <c r="O1121" s="9" t="n">
        <v>349.33</v>
      </c>
      <c r="P1121" s="9" t="n">
        <v>3572.75</v>
      </c>
      <c r="Q1121" s="7" t="inlineStr">
        <is>
          <t>Sí</t>
        </is>
      </c>
      <c r="R1121" s="9">
        <f>IF(N1121="","",IF(Q1121="Sí",ROUND(N1121/1.18,2),N1121))</f>
        <v/>
      </c>
      <c r="S1121" s="7" t="inlineStr">
        <is>
          <t>2026-09-09</t>
        </is>
      </c>
      <c r="T1121" s="5" t="inlineStr">
        <is>
          <t>4 cotizaciones de proveedores</t>
        </is>
      </c>
    </row>
    <row r="1122">
      <c r="A1122" s="7" t="inlineStr">
        <is>
          <t>MAT-27-034</t>
        </is>
      </c>
      <c r="B1122" s="7" t="inlineStr">
        <is>
          <t>Materiales</t>
        </is>
      </c>
      <c r="C1122" s="7" t="inlineStr">
        <is>
          <t>Accesorios de baño</t>
        </is>
      </c>
      <c r="D1122" s="5" t="inlineStr">
        <is>
          <t>Accesorios Para Baño Burdeos, dorado</t>
        </is>
      </c>
      <c r="E1122" s="5" t="inlineStr">
        <is>
          <t>marca TILBY-KIT · color dorado · referencia 601/6-AGCROMO/ORO</t>
        </is>
      </c>
      <c r="F1122" s="5" t="inlineStr">
        <is>
          <t>Material retirado en almacén</t>
        </is>
      </c>
      <c r="G1122" s="5" t="inlineStr">
        <is>
          <t>juego de accesorios, kit de baño</t>
        </is>
      </c>
      <c r="H1122" s="7" t="inlineStr">
        <is>
          <t>juego</t>
        </is>
      </c>
      <c r="I1122" s="7" t="inlineStr">
        <is>
          <t>Terminación de superficies</t>
        </is>
      </c>
      <c r="J1122" s="7" t="inlineStr">
        <is>
          <t>estandar</t>
        </is>
      </c>
      <c r="K1122" s="7" t="inlineStr">
        <is>
          <t>importado</t>
        </is>
      </c>
      <c r="L1122" s="7" t="inlineStr">
        <is>
          <t>Verificado</t>
        </is>
      </c>
      <c r="M1122" s="8" t="n">
        <v>1</v>
      </c>
      <c r="N1122" s="9" t="n">
        <v>1984.74</v>
      </c>
      <c r="O1122" s="9" t="n">
        <v>1984.74</v>
      </c>
      <c r="P1122" s="9" t="n">
        <v>1984.74</v>
      </c>
      <c r="Q1122" s="7" t="inlineStr">
        <is>
          <t>Sí</t>
        </is>
      </c>
      <c r="R1122" s="9">
        <f>IF(N1122="","",IF(Q1122="Sí",ROUND(N1122/1.18,2),N1122))</f>
        <v/>
      </c>
      <c r="S1122" s="7" t="inlineStr">
        <is>
          <t>2026-09-09</t>
        </is>
      </c>
      <c r="T1122" s="5" t="inlineStr">
        <is>
          <t>1 cotización de proveedores</t>
        </is>
      </c>
    </row>
    <row r="1123">
      <c r="A1123" s="7" t="inlineStr">
        <is>
          <t>MAT-27-035</t>
        </is>
      </c>
      <c r="B1123" s="7" t="inlineStr">
        <is>
          <t>Materiales</t>
        </is>
      </c>
      <c r="C1123" s="7" t="inlineStr">
        <is>
          <t>Accesorios de baño</t>
        </is>
      </c>
      <c r="D1123" s="5" t="inlineStr">
        <is>
          <t>Kit Accesorios De Baño Cali 6 Piezas Cro</t>
        </is>
      </c>
      <c r="E1123" s="5" t="inlineStr">
        <is>
          <t>marca TILBY-KIT · referencia TB57200/6-A</t>
        </is>
      </c>
      <c r="F1123" s="5" t="inlineStr">
        <is>
          <t>Material retirado en almacén</t>
        </is>
      </c>
      <c r="G1123" s="5" t="inlineStr">
        <is>
          <t>juego de accesorios, kit de baño</t>
        </is>
      </c>
      <c r="H1123" s="7" t="inlineStr">
        <is>
          <t>juego</t>
        </is>
      </c>
      <c r="I1123" s="7" t="inlineStr">
        <is>
          <t>Terminación de superficies</t>
        </is>
      </c>
      <c r="J1123" s="7" t="inlineStr">
        <is>
          <t>estandar</t>
        </is>
      </c>
      <c r="K1123" s="7" t="inlineStr">
        <is>
          <t>importado</t>
        </is>
      </c>
      <c r="L1123" s="7" t="inlineStr">
        <is>
          <t>Verificado</t>
        </is>
      </c>
      <c r="M1123" s="8" t="n">
        <v>1</v>
      </c>
      <c r="N1123" s="9" t="n">
        <v>2072.07</v>
      </c>
      <c r="O1123" s="9" t="n">
        <v>2072.07</v>
      </c>
      <c r="P1123" s="9" t="n">
        <v>2072.07</v>
      </c>
      <c r="Q1123" s="7" t="inlineStr">
        <is>
          <t>Sí</t>
        </is>
      </c>
      <c r="R1123" s="9">
        <f>IF(N1123="","",IF(Q1123="Sí",ROUND(N1123/1.18,2),N1123))</f>
        <v/>
      </c>
      <c r="S1123" s="7" t="inlineStr">
        <is>
          <t>2026-09-09</t>
        </is>
      </c>
      <c r="T1123" s="5" t="inlineStr">
        <is>
          <t>1 cotización de proveedores</t>
        </is>
      </c>
    </row>
    <row r="1124">
      <c r="A1124" s="7" t="inlineStr">
        <is>
          <t>MAT-27-036</t>
        </is>
      </c>
      <c r="B1124" s="7" t="inlineStr">
        <is>
          <t>Materiales</t>
        </is>
      </c>
      <c r="C1124" s="7" t="inlineStr">
        <is>
          <t>Accesorios de baño</t>
        </is>
      </c>
      <c r="D1124" s="5" t="inlineStr">
        <is>
          <t>Kit Accesorios para baño Quito Cr</t>
        </is>
      </c>
      <c r="E1124" s="5" t="inlineStr">
        <is>
          <t>marca TILBY-KIT · referencia TBF5100/6-A</t>
        </is>
      </c>
      <c r="F1124" s="5" t="inlineStr">
        <is>
          <t>Material retirado en almacén</t>
        </is>
      </c>
      <c r="G1124" s="5" t="inlineStr">
        <is>
          <t>juego de accesorios, kit de baño</t>
        </is>
      </c>
      <c r="H1124" s="7" t="inlineStr">
        <is>
          <t>juego</t>
        </is>
      </c>
      <c r="I1124" s="7" t="inlineStr">
        <is>
          <t>Terminación de superficies</t>
        </is>
      </c>
      <c r="J1124" s="7" t="inlineStr">
        <is>
          <t>estandar</t>
        </is>
      </c>
      <c r="K1124" s="7" t="inlineStr">
        <is>
          <t>importado</t>
        </is>
      </c>
      <c r="L1124" s="7" t="inlineStr">
        <is>
          <t>Verificado</t>
        </is>
      </c>
      <c r="M1124" s="8" t="n">
        <v>1</v>
      </c>
      <c r="N1124" s="9" t="n">
        <v>2083.04</v>
      </c>
      <c r="O1124" s="9" t="n">
        <v>2083.04</v>
      </c>
      <c r="P1124" s="9" t="n">
        <v>2083.04</v>
      </c>
      <c r="Q1124" s="7" t="inlineStr">
        <is>
          <t>Sí</t>
        </is>
      </c>
      <c r="R1124" s="9">
        <f>IF(N1124="","",IF(Q1124="Sí",ROUND(N1124/1.18,2),N1124))</f>
        <v/>
      </c>
      <c r="S1124" s="7" t="inlineStr">
        <is>
          <t>2026-09-09</t>
        </is>
      </c>
      <c r="T1124" s="5" t="inlineStr">
        <is>
          <t>1 cotización de proveedores</t>
        </is>
      </c>
    </row>
    <row r="1125">
      <c r="A1125" s="7" t="inlineStr">
        <is>
          <t>MAT-27-037</t>
        </is>
      </c>
      <c r="B1125" s="7" t="inlineStr">
        <is>
          <t>Materiales</t>
        </is>
      </c>
      <c r="C1125" s="7" t="inlineStr">
        <is>
          <t>Accesorios de baño</t>
        </is>
      </c>
      <c r="D1125" s="5" t="inlineStr">
        <is>
          <t>Kit De Accesorios Para Baños, cromo</t>
        </is>
      </c>
      <c r="E1125" s="5" t="inlineStr">
        <is>
          <t>marca TILBY-KIT · color cromo · referencia 1801/6-ACROMO</t>
        </is>
      </c>
      <c r="F1125" s="5" t="inlineStr">
        <is>
          <t>Material retirado en almacén</t>
        </is>
      </c>
      <c r="G1125" s="5" t="inlineStr">
        <is>
          <t>juego de accesorios, kit de baño</t>
        </is>
      </c>
      <c r="H1125" s="7" t="inlineStr">
        <is>
          <t>juego</t>
        </is>
      </c>
      <c r="I1125" s="7" t="inlineStr">
        <is>
          <t>Terminación de superficies</t>
        </is>
      </c>
      <c r="J1125" s="7" t="inlineStr">
        <is>
          <t>estandar</t>
        </is>
      </c>
      <c r="K1125" s="7" t="inlineStr">
        <is>
          <t>importado</t>
        </is>
      </c>
      <c r="L1125" s="7" t="inlineStr">
        <is>
          <t>Verificado</t>
        </is>
      </c>
      <c r="M1125" s="8" t="n">
        <v>1</v>
      </c>
      <c r="N1125" s="9" t="n">
        <v>2297.93</v>
      </c>
      <c r="O1125" s="9" t="n">
        <v>2297.93</v>
      </c>
      <c r="P1125" s="9" t="n">
        <v>2297.93</v>
      </c>
      <c r="Q1125" s="7" t="inlineStr">
        <is>
          <t>Sí</t>
        </is>
      </c>
      <c r="R1125" s="9">
        <f>IF(N1125="","",IF(Q1125="Sí",ROUND(N1125/1.18,2),N1125))</f>
        <v/>
      </c>
      <c r="S1125" s="7" t="inlineStr">
        <is>
          <t>2026-09-09</t>
        </is>
      </c>
      <c r="T1125" s="5" t="inlineStr">
        <is>
          <t>1 cotización de proveedores</t>
        </is>
      </c>
    </row>
    <row r="1126">
      <c r="A1126" s="7" t="inlineStr">
        <is>
          <t>MAT-27-038</t>
        </is>
      </c>
      <c r="B1126" s="7" t="inlineStr">
        <is>
          <t>Materiales</t>
        </is>
      </c>
      <c r="C1126" s="7" t="inlineStr">
        <is>
          <t>Accesorios de baño</t>
        </is>
      </c>
      <c r="D1126" s="5" t="inlineStr">
        <is>
          <t>Kit Acc. Baño 6 Pz Cromo</t>
        </is>
      </c>
      <c r="E1126" s="5" t="inlineStr">
        <is>
          <t>marca ULTRA · referencia 19100-CR</t>
        </is>
      </c>
      <c r="F1126" s="5" t="inlineStr">
        <is>
          <t>Material retirado en almacén</t>
        </is>
      </c>
      <c r="G1126" s="5" t="inlineStr">
        <is>
          <t>juego de accesorios, kit de baño</t>
        </is>
      </c>
      <c r="H1126" s="7" t="inlineStr">
        <is>
          <t>juego</t>
        </is>
      </c>
      <c r="I1126" s="7" t="inlineStr">
        <is>
          <t>Terminación de superficies</t>
        </is>
      </c>
      <c r="J1126" s="7" t="inlineStr">
        <is>
          <t>estandar</t>
        </is>
      </c>
      <c r="K1126" s="7" t="inlineStr">
        <is>
          <t>importado</t>
        </is>
      </c>
      <c r="L1126" s="7" t="inlineStr">
        <is>
          <t>Verificado</t>
        </is>
      </c>
      <c r="M1126" s="8" t="n">
        <v>1</v>
      </c>
      <c r="N1126" s="9" t="n">
        <v>2327.23</v>
      </c>
      <c r="O1126" s="9" t="n">
        <v>2327.23</v>
      </c>
      <c r="P1126" s="9" t="n">
        <v>2327.23</v>
      </c>
      <c r="Q1126" s="7" t="inlineStr">
        <is>
          <t>Sí</t>
        </is>
      </c>
      <c r="R1126" s="9">
        <f>IF(N1126="","",IF(Q1126="Sí",ROUND(N1126/1.18,2),N1126))</f>
        <v/>
      </c>
      <c r="S1126" s="7" t="inlineStr">
        <is>
          <t>2026-09-09</t>
        </is>
      </c>
      <c r="T1126" s="5" t="inlineStr">
        <is>
          <t>1 cotización de proveedores</t>
        </is>
      </c>
    </row>
    <row r="1127">
      <c r="A1127" s="7" t="inlineStr">
        <is>
          <t>MAT-27-039</t>
        </is>
      </c>
      <c r="B1127" s="7" t="inlineStr">
        <is>
          <t>Materiales</t>
        </is>
      </c>
      <c r="C1127" s="7" t="inlineStr">
        <is>
          <t>Accesorios de baño</t>
        </is>
      </c>
      <c r="D1127" s="5" t="inlineStr">
        <is>
          <t>Kit Acc. Baño 6 Pz Matte Black</t>
        </is>
      </c>
      <c r="E1127" s="5" t="inlineStr">
        <is>
          <t>marca ULTRA · referencia 19100-BM</t>
        </is>
      </c>
      <c r="F1127" s="5" t="inlineStr">
        <is>
          <t>Material retirado en almacén</t>
        </is>
      </c>
      <c r="G1127" s="5" t="inlineStr">
        <is>
          <t>juego de accesorios, kit de baño</t>
        </is>
      </c>
      <c r="H1127" s="7" t="inlineStr">
        <is>
          <t>juego</t>
        </is>
      </c>
      <c r="I1127" s="7" t="inlineStr">
        <is>
          <t>Terminación de superficies</t>
        </is>
      </c>
      <c r="J1127" s="7" t="inlineStr">
        <is>
          <t>estandar</t>
        </is>
      </c>
      <c r="K1127" s="7" t="inlineStr">
        <is>
          <t>importado</t>
        </is>
      </c>
      <c r="L1127" s="7" t="inlineStr">
        <is>
          <t>Verificado</t>
        </is>
      </c>
      <c r="M1127" s="8" t="n">
        <v>1</v>
      </c>
      <c r="N1127" s="9" t="n">
        <v>2407.5</v>
      </c>
      <c r="O1127" s="9" t="n">
        <v>2407.5</v>
      </c>
      <c r="P1127" s="9" t="n">
        <v>2407.5</v>
      </c>
      <c r="Q1127" s="7" t="inlineStr">
        <is>
          <t>Sí</t>
        </is>
      </c>
      <c r="R1127" s="9">
        <f>IF(N1127="","",IF(Q1127="Sí",ROUND(N1127/1.18,2),N1127))</f>
        <v/>
      </c>
      <c r="S1127" s="7" t="inlineStr">
        <is>
          <t>2026-09-09</t>
        </is>
      </c>
      <c r="T1127" s="5" t="inlineStr">
        <is>
          <t>1 cotización de proveedores</t>
        </is>
      </c>
    </row>
    <row r="1128">
      <c r="A1128" s="7" t="inlineStr">
        <is>
          <t>MAT-27-040</t>
        </is>
      </c>
      <c r="B1128" s="7" t="inlineStr">
        <is>
          <t>Materiales</t>
        </is>
      </c>
      <c r="C1128" s="7" t="inlineStr">
        <is>
          <t>Accesorios de baño</t>
        </is>
      </c>
      <c r="D1128" s="5" t="inlineStr">
        <is>
          <t>Kit Accesorios para baño Livorno Cr</t>
        </is>
      </c>
      <c r="E1128" s="5" t="inlineStr">
        <is>
          <t>marca TILBY-KIT · referencia TB8900/6-A</t>
        </is>
      </c>
      <c r="F1128" s="5" t="inlineStr">
        <is>
          <t>Material retirado en almacén</t>
        </is>
      </c>
      <c r="G1128" s="5" t="inlineStr">
        <is>
          <t>juego de accesorios, kit de baño</t>
        </is>
      </c>
      <c r="H1128" s="7" t="inlineStr">
        <is>
          <t>juego</t>
        </is>
      </c>
      <c r="I1128" s="7" t="inlineStr">
        <is>
          <t>Terminación de superficies</t>
        </is>
      </c>
      <c r="J1128" s="7" t="inlineStr">
        <is>
          <t>estandar</t>
        </is>
      </c>
      <c r="K1128" s="7" t="inlineStr">
        <is>
          <t>importado</t>
        </is>
      </c>
      <c r="L1128" s="7" t="inlineStr">
        <is>
          <t>Verificado</t>
        </is>
      </c>
      <c r="M1128" s="8" t="n">
        <v>1</v>
      </c>
      <c r="N1128" s="9" t="n">
        <v>2638.09</v>
      </c>
      <c r="O1128" s="9" t="n">
        <v>2638.09</v>
      </c>
      <c r="P1128" s="9" t="n">
        <v>2638.09</v>
      </c>
      <c r="Q1128" s="7" t="inlineStr">
        <is>
          <t>Sí</t>
        </is>
      </c>
      <c r="R1128" s="9">
        <f>IF(N1128="","",IF(Q1128="Sí",ROUND(N1128/1.18,2),N1128))</f>
        <v/>
      </c>
      <c r="S1128" s="7" t="inlineStr">
        <is>
          <t>2026-09-09</t>
        </is>
      </c>
      <c r="T1128" s="5" t="inlineStr">
        <is>
          <t>1 cotización de proveedores</t>
        </is>
      </c>
    </row>
    <row r="1129">
      <c r="A1129" s="7" t="inlineStr">
        <is>
          <t>MAT-27-041</t>
        </is>
      </c>
      <c r="B1129" s="7" t="inlineStr">
        <is>
          <t>Materiales</t>
        </is>
      </c>
      <c r="C1129" s="7" t="inlineStr">
        <is>
          <t>Accesorios de baño</t>
        </is>
      </c>
      <c r="D1129" s="5" t="inlineStr">
        <is>
          <t>Kit Accesorios para baño Milano Cr</t>
        </is>
      </c>
      <c r="E1129" s="5" t="inlineStr">
        <is>
          <t>marca TILBY-KIT · referencia TB8600/6-A</t>
        </is>
      </c>
      <c r="F1129" s="5" t="inlineStr">
        <is>
          <t>Material retirado en almacén</t>
        </is>
      </c>
      <c r="G1129" s="5" t="inlineStr">
        <is>
          <t>juego de accesorios, kit de baño</t>
        </is>
      </c>
      <c r="H1129" s="7" t="inlineStr">
        <is>
          <t>juego</t>
        </is>
      </c>
      <c r="I1129" s="7" t="inlineStr">
        <is>
          <t>Terminación de superficies</t>
        </is>
      </c>
      <c r="J1129" s="7" t="inlineStr">
        <is>
          <t>estandar</t>
        </is>
      </c>
      <c r="K1129" s="7" t="inlineStr">
        <is>
          <t>importado</t>
        </is>
      </c>
      <c r="L1129" s="7" t="inlineStr">
        <is>
          <t>Verificado</t>
        </is>
      </c>
      <c r="M1129" s="8" t="n">
        <v>1</v>
      </c>
      <c r="N1129" s="9" t="n">
        <v>2920.29</v>
      </c>
      <c r="O1129" s="9" t="n">
        <v>2920.29</v>
      </c>
      <c r="P1129" s="9" t="n">
        <v>2920.29</v>
      </c>
      <c r="Q1129" s="7" t="inlineStr">
        <is>
          <t>Sí</t>
        </is>
      </c>
      <c r="R1129" s="9">
        <f>IF(N1129="","",IF(Q1129="Sí",ROUND(N1129/1.18,2),N1129))</f>
        <v/>
      </c>
      <c r="S1129" s="7" t="inlineStr">
        <is>
          <t>2026-09-09</t>
        </is>
      </c>
      <c r="T1129" s="5" t="inlineStr">
        <is>
          <t>1 cotización de proveedores</t>
        </is>
      </c>
    </row>
    <row r="1130">
      <c r="A1130" s="7" t="inlineStr">
        <is>
          <t>MAT-27-042</t>
        </is>
      </c>
      <c r="B1130" s="7" t="inlineStr">
        <is>
          <t>Materiales</t>
        </is>
      </c>
      <c r="C1130" s="7" t="inlineStr">
        <is>
          <t>Accesorios de baño</t>
        </is>
      </c>
      <c r="D1130" s="5" t="inlineStr">
        <is>
          <t>Kit Acc. baño 6 Pzas. Amalfi Cromo</t>
        </is>
      </c>
      <c r="E1130" s="5" t="inlineStr">
        <is>
          <t>marca TILBY-KIT · referencia TAB54/6-A</t>
        </is>
      </c>
      <c r="F1130" s="5" t="inlineStr">
        <is>
          <t>Material retirado en almacén</t>
        </is>
      </c>
      <c r="G1130" s="5" t="inlineStr">
        <is>
          <t>juego de accesorios, kit de baño</t>
        </is>
      </c>
      <c r="H1130" s="7" t="inlineStr">
        <is>
          <t>juego</t>
        </is>
      </c>
      <c r="I1130" s="7" t="inlineStr">
        <is>
          <t>Terminación de superficies</t>
        </is>
      </c>
      <c r="J1130" s="7" t="inlineStr">
        <is>
          <t>estandar</t>
        </is>
      </c>
      <c r="K1130" s="7" t="inlineStr">
        <is>
          <t>importado</t>
        </is>
      </c>
      <c r="L1130" s="7" t="inlineStr">
        <is>
          <t>Verificado</t>
        </is>
      </c>
      <c r="M1130" s="8" t="n">
        <v>1</v>
      </c>
      <c r="N1130" s="9" t="n">
        <v>2922.03</v>
      </c>
      <c r="O1130" s="9" t="n">
        <v>2922.03</v>
      </c>
      <c r="P1130" s="9" t="n">
        <v>2922.03</v>
      </c>
      <c r="Q1130" s="7" t="inlineStr">
        <is>
          <t>Sí</t>
        </is>
      </c>
      <c r="R1130" s="9">
        <f>IF(N1130="","",IF(Q1130="Sí",ROUND(N1130/1.18,2),N1130))</f>
        <v/>
      </c>
      <c r="S1130" s="7" t="inlineStr">
        <is>
          <t>2026-09-09</t>
        </is>
      </c>
      <c r="T1130" s="5" t="inlineStr">
        <is>
          <t>1 cotización de proveedores</t>
        </is>
      </c>
    </row>
    <row r="1131">
      <c r="A1131" s="7" t="inlineStr">
        <is>
          <t>MAT-27-043</t>
        </is>
      </c>
      <c r="B1131" s="7" t="inlineStr">
        <is>
          <t>Materiales</t>
        </is>
      </c>
      <c r="C1131" s="7" t="inlineStr">
        <is>
          <t>Accesorios de baño</t>
        </is>
      </c>
      <c r="D1131" s="5" t="inlineStr">
        <is>
          <t>Kit Accesorios para baño Dublin Cr</t>
        </is>
      </c>
      <c r="E1131" s="5" t="inlineStr">
        <is>
          <t>marca TILBY-KIT · referencia TB7100/6-A</t>
        </is>
      </c>
      <c r="F1131" s="5" t="inlineStr">
        <is>
          <t>Material retirado en almacén</t>
        </is>
      </c>
      <c r="G1131" s="5" t="inlineStr">
        <is>
          <t>juego de accesorios, kit de baño</t>
        </is>
      </c>
      <c r="H1131" s="7" t="inlineStr">
        <is>
          <t>juego</t>
        </is>
      </c>
      <c r="I1131" s="7" t="inlineStr">
        <is>
          <t>Terminación de superficies</t>
        </is>
      </c>
      <c r="J1131" s="7" t="inlineStr">
        <is>
          <t>estandar</t>
        </is>
      </c>
      <c r="K1131" s="7" t="inlineStr">
        <is>
          <t>importado</t>
        </is>
      </c>
      <c r="L1131" s="7" t="inlineStr">
        <is>
          <t>Verificado</t>
        </is>
      </c>
      <c r="M1131" s="8" t="n">
        <v>1</v>
      </c>
      <c r="N1131" s="9" t="n">
        <v>2939.75</v>
      </c>
      <c r="O1131" s="9" t="n">
        <v>2939.75</v>
      </c>
      <c r="P1131" s="9" t="n">
        <v>2939.75</v>
      </c>
      <c r="Q1131" s="7" t="inlineStr">
        <is>
          <t>Sí</t>
        </is>
      </c>
      <c r="R1131" s="9">
        <f>IF(N1131="","",IF(Q1131="Sí",ROUND(N1131/1.18,2),N1131))</f>
        <v/>
      </c>
      <c r="S1131" s="7" t="inlineStr">
        <is>
          <t>2026-09-09</t>
        </is>
      </c>
      <c r="T1131" s="5" t="inlineStr">
        <is>
          <t>1 cotización de proveedores</t>
        </is>
      </c>
    </row>
    <row r="1132">
      <c r="A1132" s="7" t="inlineStr">
        <is>
          <t>MAT-27-044</t>
        </is>
      </c>
      <c r="B1132" s="7" t="inlineStr">
        <is>
          <t>Materiales</t>
        </is>
      </c>
      <c r="C1132" s="7" t="inlineStr">
        <is>
          <t>Accesorios de baño</t>
        </is>
      </c>
      <c r="D1132" s="5" t="inlineStr">
        <is>
          <t>Kit De Accesorios para Baño 4 piezas Negro</t>
        </is>
      </c>
      <c r="E1132" s="5" t="inlineStr">
        <is>
          <t>marca INEX · referencia IB-3M-404BK</t>
        </is>
      </c>
      <c r="F1132" s="5" t="inlineStr">
        <is>
          <t>Material retirado en almacén</t>
        </is>
      </c>
      <c r="G1132" s="5" t="inlineStr">
        <is>
          <t>juego de accesorios, kit de baño</t>
        </is>
      </c>
      <c r="H1132" s="7" t="inlineStr">
        <is>
          <t>juego</t>
        </is>
      </c>
      <c r="I1132" s="7" t="inlineStr">
        <is>
          <t>Terminación de superficies</t>
        </is>
      </c>
      <c r="J1132" s="7" t="inlineStr">
        <is>
          <t>estandar</t>
        </is>
      </c>
      <c r="K1132" s="7" t="inlineStr">
        <is>
          <t>importado</t>
        </is>
      </c>
      <c r="L1132" s="7" t="inlineStr">
        <is>
          <t>Verificado</t>
        </is>
      </c>
      <c r="M1132" s="8" t="n">
        <v>1</v>
      </c>
      <c r="N1132" s="9" t="n">
        <v>3064.77</v>
      </c>
      <c r="O1132" s="9" t="n">
        <v>3064.77</v>
      </c>
      <c r="P1132" s="9" t="n">
        <v>3064.77</v>
      </c>
      <c r="Q1132" s="7" t="inlineStr">
        <is>
          <t>Sí</t>
        </is>
      </c>
      <c r="R1132" s="9">
        <f>IF(N1132="","",IF(Q1132="Sí",ROUND(N1132/1.18,2),N1132))</f>
        <v/>
      </c>
      <c r="S1132" s="7" t="inlineStr">
        <is>
          <t>2026-09-09</t>
        </is>
      </c>
      <c r="T1132" s="5" t="inlineStr">
        <is>
          <t>1 cotización de proveedores</t>
        </is>
      </c>
    </row>
    <row r="1133">
      <c r="A1133" s="7" t="inlineStr">
        <is>
          <t>MAT-27-045</t>
        </is>
      </c>
      <c r="B1133" s="7" t="inlineStr">
        <is>
          <t>Materiales</t>
        </is>
      </c>
      <c r="C1133" s="7" t="inlineStr">
        <is>
          <t>Accesorios de baño</t>
        </is>
      </c>
      <c r="D1133" s="5" t="inlineStr">
        <is>
          <t>Kit Acc. baño 6 Pzas. Valencia</t>
        </is>
      </c>
      <c r="E1133" s="5" t="inlineStr">
        <is>
          <t>marca TILBY-KIT · referencia TB71100-BR</t>
        </is>
      </c>
      <c r="F1133" s="5" t="inlineStr">
        <is>
          <t>Material retirado en almacén</t>
        </is>
      </c>
      <c r="G1133" s="5" t="inlineStr">
        <is>
          <t>juego de accesorios, kit de baño</t>
        </is>
      </c>
      <c r="H1133" s="7" t="inlineStr">
        <is>
          <t>juego</t>
        </is>
      </c>
      <c r="I1133" s="7" t="inlineStr">
        <is>
          <t>Terminación de superficies</t>
        </is>
      </c>
      <c r="J1133" s="7" t="inlineStr">
        <is>
          <t>estandar</t>
        </is>
      </c>
      <c r="K1133" s="7" t="inlineStr">
        <is>
          <t>importado</t>
        </is>
      </c>
      <c r="L1133" s="7" t="inlineStr">
        <is>
          <t>Verificado</t>
        </is>
      </c>
      <c r="M1133" s="8" t="n">
        <v>1</v>
      </c>
      <c r="N1133" s="9" t="n">
        <v>3070.44</v>
      </c>
      <c r="O1133" s="9" t="n">
        <v>3070.44</v>
      </c>
      <c r="P1133" s="9" t="n">
        <v>3070.44</v>
      </c>
      <c r="Q1133" s="7" t="inlineStr">
        <is>
          <t>Sí</t>
        </is>
      </c>
      <c r="R1133" s="9">
        <f>IF(N1133="","",IF(Q1133="Sí",ROUND(N1133/1.18,2),N1133))</f>
        <v/>
      </c>
      <c r="S1133" s="7" t="inlineStr">
        <is>
          <t>2026-09-09</t>
        </is>
      </c>
      <c r="T1133" s="5" t="inlineStr">
        <is>
          <t>1 cotización de proveedores</t>
        </is>
      </c>
    </row>
    <row r="1134">
      <c r="A1134" s="7" t="inlineStr">
        <is>
          <t>MAT-27-046</t>
        </is>
      </c>
      <c r="B1134" s="7" t="inlineStr">
        <is>
          <t>Materiales</t>
        </is>
      </c>
      <c r="C1134" s="7" t="inlineStr">
        <is>
          <t>Accesorios de baño</t>
        </is>
      </c>
      <c r="D1134" s="5" t="inlineStr">
        <is>
          <t>Kit 6 piezas Accesorio baño Luxury Sat</t>
        </is>
      </c>
      <c r="E1134" s="5" t="inlineStr">
        <is>
          <t>marca INEX · referencia IB806BR</t>
        </is>
      </c>
      <c r="F1134" s="5" t="inlineStr">
        <is>
          <t>Material retirado en almacén</t>
        </is>
      </c>
      <c r="G1134" s="5" t="inlineStr">
        <is>
          <t>juego de accesorios, kit de baño</t>
        </is>
      </c>
      <c r="H1134" s="7" t="inlineStr">
        <is>
          <t>juego</t>
        </is>
      </c>
      <c r="I1134" s="7" t="inlineStr">
        <is>
          <t>Terminación de superficies</t>
        </is>
      </c>
      <c r="J1134" s="7" t="inlineStr">
        <is>
          <t>estandar</t>
        </is>
      </c>
      <c r="K1134" s="7" t="inlineStr">
        <is>
          <t>importado</t>
        </is>
      </c>
      <c r="L1134" s="7" t="inlineStr">
        <is>
          <t>Verificado</t>
        </is>
      </c>
      <c r="M1134" s="8" t="n">
        <v>1</v>
      </c>
      <c r="N1134" s="9" t="n">
        <v>3143.39</v>
      </c>
      <c r="O1134" s="9" t="n">
        <v>3143.39</v>
      </c>
      <c r="P1134" s="9" t="n">
        <v>3143.39</v>
      </c>
      <c r="Q1134" s="7" t="inlineStr">
        <is>
          <t>Sí</t>
        </is>
      </c>
      <c r="R1134" s="9">
        <f>IF(N1134="","",IF(Q1134="Sí",ROUND(N1134/1.18,2),N1134))</f>
        <v/>
      </c>
      <c r="S1134" s="7" t="inlineStr">
        <is>
          <t>2026-09-09</t>
        </is>
      </c>
      <c r="T1134" s="5" t="inlineStr">
        <is>
          <t>1 cotización de proveedores</t>
        </is>
      </c>
    </row>
    <row r="1135">
      <c r="A1135" s="7" t="inlineStr">
        <is>
          <t>MAT-27-047</t>
        </is>
      </c>
      <c r="B1135" s="7" t="inlineStr">
        <is>
          <t>Materiales</t>
        </is>
      </c>
      <c r="C1135" s="7" t="inlineStr">
        <is>
          <t>Accesorios de baño</t>
        </is>
      </c>
      <c r="D1135" s="5" t="inlineStr">
        <is>
          <t>Kit Acc. baño 6 Pzas. Lazio Cromo</t>
        </is>
      </c>
      <c r="E1135" s="5" t="inlineStr">
        <is>
          <t>marca TILBY-KIT · referencia TAB53/6-A</t>
        </is>
      </c>
      <c r="F1135" s="5" t="inlineStr">
        <is>
          <t>Material retirado en almacén</t>
        </is>
      </c>
      <c r="G1135" s="5" t="inlineStr">
        <is>
          <t>juego de accesorios, kit de baño</t>
        </is>
      </c>
      <c r="H1135" s="7" t="inlineStr">
        <is>
          <t>juego</t>
        </is>
      </c>
      <c r="I1135" s="7" t="inlineStr">
        <is>
          <t>Terminación de superficies</t>
        </is>
      </c>
      <c r="J1135" s="7" t="inlineStr">
        <is>
          <t>estandar</t>
        </is>
      </c>
      <c r="K1135" s="7" t="inlineStr">
        <is>
          <t>importado</t>
        </is>
      </c>
      <c r="L1135" s="7" t="inlineStr">
        <is>
          <t>Verificado</t>
        </is>
      </c>
      <c r="M1135" s="8" t="n">
        <v>1</v>
      </c>
      <c r="N1135" s="9" t="n">
        <v>3187.68</v>
      </c>
      <c r="O1135" s="9" t="n">
        <v>3187.68</v>
      </c>
      <c r="P1135" s="9" t="n">
        <v>3187.68</v>
      </c>
      <c r="Q1135" s="7" t="inlineStr">
        <is>
          <t>Sí</t>
        </is>
      </c>
      <c r="R1135" s="9">
        <f>IF(N1135="","",IF(Q1135="Sí",ROUND(N1135/1.18,2),N1135))</f>
        <v/>
      </c>
      <c r="S1135" s="7" t="inlineStr">
        <is>
          <t>2026-09-09</t>
        </is>
      </c>
      <c r="T1135" s="5" t="inlineStr">
        <is>
          <t>1 cotización de proveedores</t>
        </is>
      </c>
    </row>
    <row r="1136">
      <c r="A1136" s="7" t="inlineStr">
        <is>
          <t>MAT-27-048</t>
        </is>
      </c>
      <c r="B1136" s="7" t="inlineStr">
        <is>
          <t>Materiales</t>
        </is>
      </c>
      <c r="C1136" s="7" t="inlineStr">
        <is>
          <t>Accesorios de baño</t>
        </is>
      </c>
      <c r="D1136" s="5" t="inlineStr">
        <is>
          <t>Kit Acc. Baño 6 Pz Brush Golden</t>
        </is>
      </c>
      <c r="E1136" s="5" t="inlineStr">
        <is>
          <t>marca ULTRA · referencia 19100-BG</t>
        </is>
      </c>
      <c r="F1136" s="5" t="inlineStr">
        <is>
          <t>Material retirado en almacén</t>
        </is>
      </c>
      <c r="G1136" s="5" t="inlineStr">
        <is>
          <t>juego de accesorios, kit de baño</t>
        </is>
      </c>
      <c r="H1136" s="7" t="inlineStr">
        <is>
          <t>juego</t>
        </is>
      </c>
      <c r="I1136" s="7" t="inlineStr">
        <is>
          <t>Terminación de superficies</t>
        </is>
      </c>
      <c r="J1136" s="7" t="inlineStr">
        <is>
          <t>estandar</t>
        </is>
      </c>
      <c r="K1136" s="7" t="inlineStr">
        <is>
          <t>importado</t>
        </is>
      </c>
      <c r="L1136" s="7" t="inlineStr">
        <is>
          <t>Verificado</t>
        </is>
      </c>
      <c r="M1136" s="8" t="n">
        <v>1</v>
      </c>
      <c r="N1136" s="9" t="n">
        <v>3266.26</v>
      </c>
      <c r="O1136" s="9" t="n">
        <v>3266.26</v>
      </c>
      <c r="P1136" s="9" t="n">
        <v>3266.26</v>
      </c>
      <c r="Q1136" s="7" t="inlineStr">
        <is>
          <t>Sí</t>
        </is>
      </c>
      <c r="R1136" s="9">
        <f>IF(N1136="","",IF(Q1136="Sí",ROUND(N1136/1.18,2),N1136))</f>
        <v/>
      </c>
      <c r="S1136" s="7" t="inlineStr">
        <is>
          <t>2026-09-09</t>
        </is>
      </c>
      <c r="T1136" s="5" t="inlineStr">
        <is>
          <t>1 cotización de proveedores</t>
        </is>
      </c>
    </row>
    <row r="1137">
      <c r="A1137" s="7" t="inlineStr">
        <is>
          <t>MAT-27-049</t>
        </is>
      </c>
      <c r="B1137" s="7" t="inlineStr">
        <is>
          <t>Materiales</t>
        </is>
      </c>
      <c r="C1137" s="7" t="inlineStr">
        <is>
          <t>Accesorios de baño</t>
        </is>
      </c>
      <c r="D1137" s="5" t="inlineStr">
        <is>
          <t>Kit Acc. baño 6 Pzas. Dubai Gold Matt</t>
        </is>
      </c>
      <c r="E1137" s="5" t="inlineStr">
        <is>
          <t>marca TILBY-KIT · referencia TB81900/6-MG</t>
        </is>
      </c>
      <c r="F1137" s="5" t="inlineStr">
        <is>
          <t>Material retirado en almacén</t>
        </is>
      </c>
      <c r="G1137" s="5" t="inlineStr">
        <is>
          <t>juego de accesorios, kit de baño</t>
        </is>
      </c>
      <c r="H1137" s="7" t="inlineStr">
        <is>
          <t>juego</t>
        </is>
      </c>
      <c r="I1137" s="7" t="inlineStr">
        <is>
          <t>Terminación de superficies</t>
        </is>
      </c>
      <c r="J1137" s="7" t="inlineStr">
        <is>
          <t>estandar</t>
        </is>
      </c>
      <c r="K1137" s="7" t="inlineStr">
        <is>
          <t>importado</t>
        </is>
      </c>
      <c r="L1137" s="7" t="inlineStr">
        <is>
          <t>Verificado</t>
        </is>
      </c>
      <c r="M1137" s="8" t="n">
        <v>1</v>
      </c>
      <c r="N1137" s="9" t="n">
        <v>3318.89</v>
      </c>
      <c r="O1137" s="9" t="n">
        <v>3318.89</v>
      </c>
      <c r="P1137" s="9" t="n">
        <v>3318.89</v>
      </c>
      <c r="Q1137" s="7" t="inlineStr">
        <is>
          <t>Sí</t>
        </is>
      </c>
      <c r="R1137" s="9">
        <f>IF(N1137="","",IF(Q1137="Sí",ROUND(N1137/1.18,2),N1137))</f>
        <v/>
      </c>
      <c r="S1137" s="7" t="inlineStr">
        <is>
          <t>2026-09-09</t>
        </is>
      </c>
      <c r="T1137" s="5" t="inlineStr">
        <is>
          <t>1 cotización de proveedores</t>
        </is>
      </c>
    </row>
    <row r="1138">
      <c r="A1138" s="7" t="inlineStr">
        <is>
          <t>MAT-27-050</t>
        </is>
      </c>
      <c r="B1138" s="7" t="inlineStr">
        <is>
          <t>Materiales</t>
        </is>
      </c>
      <c r="C1138" s="7" t="inlineStr">
        <is>
          <t>Accesorios de baño</t>
        </is>
      </c>
      <c r="D1138" s="5" t="inlineStr">
        <is>
          <t>Kit 6 piezas Accesorio baño Luxury Cromo</t>
        </is>
      </c>
      <c r="E1138" s="5" t="inlineStr">
        <is>
          <t>marca INEX · referencia IB806CR</t>
        </is>
      </c>
      <c r="F1138" s="5" t="inlineStr">
        <is>
          <t>Material retirado en almacén</t>
        </is>
      </c>
      <c r="G1138" s="5" t="inlineStr">
        <is>
          <t>juego de accesorios, kit de baño</t>
        </is>
      </c>
      <c r="H1138" s="7" t="inlineStr">
        <is>
          <t>juego</t>
        </is>
      </c>
      <c r="I1138" s="7" t="inlineStr">
        <is>
          <t>Terminación de superficies</t>
        </is>
      </c>
      <c r="J1138" s="7" t="inlineStr">
        <is>
          <t>estandar</t>
        </is>
      </c>
      <c r="K1138" s="7" t="inlineStr">
        <is>
          <t>importado</t>
        </is>
      </c>
      <c r="L1138" s="7" t="inlineStr">
        <is>
          <t>Verificado</t>
        </is>
      </c>
      <c r="M1138" s="8" t="n">
        <v>1</v>
      </c>
      <c r="N1138" s="9" t="n">
        <v>3360.24</v>
      </c>
      <c r="O1138" s="9" t="n">
        <v>3360.24</v>
      </c>
      <c r="P1138" s="9" t="n">
        <v>3360.24</v>
      </c>
      <c r="Q1138" s="7" t="inlineStr">
        <is>
          <t>Sí</t>
        </is>
      </c>
      <c r="R1138" s="9">
        <f>IF(N1138="","",IF(Q1138="Sí",ROUND(N1138/1.18,2),N1138))</f>
        <v/>
      </c>
      <c r="S1138" s="7" t="inlineStr">
        <is>
          <t>2026-09-09</t>
        </is>
      </c>
      <c r="T1138" s="5" t="inlineStr">
        <is>
          <t>1 cotización de proveedores</t>
        </is>
      </c>
    </row>
    <row r="1139">
      <c r="A1139" s="7" t="inlineStr">
        <is>
          <t>MAT-27-051</t>
        </is>
      </c>
      <c r="B1139" s="7" t="inlineStr">
        <is>
          <t>Materiales</t>
        </is>
      </c>
      <c r="C1139" s="7" t="inlineStr">
        <is>
          <t>Accesorios de baño</t>
        </is>
      </c>
      <c r="D1139" s="5" t="inlineStr">
        <is>
          <t>Kit Acc. baño 6 Pzas. Bergamo</t>
        </is>
      </c>
      <c r="E1139" s="5" t="inlineStr">
        <is>
          <t>marca TILBY-KIT · referencia TB17A/6-A</t>
        </is>
      </c>
      <c r="F1139" s="5" t="inlineStr">
        <is>
          <t>Material retirado en almacén</t>
        </is>
      </c>
      <c r="G1139" s="5" t="inlineStr">
        <is>
          <t>juego de accesorios, kit de baño</t>
        </is>
      </c>
      <c r="H1139" s="7" t="inlineStr">
        <is>
          <t>juego</t>
        </is>
      </c>
      <c r="I1139" s="7" t="inlineStr">
        <is>
          <t>Terminación de superficies</t>
        </is>
      </c>
      <c r="J1139" s="7" t="inlineStr">
        <is>
          <t>estandar</t>
        </is>
      </c>
      <c r="K1139" s="7" t="inlineStr">
        <is>
          <t>importado</t>
        </is>
      </c>
      <c r="L1139" s="7" t="inlineStr">
        <is>
          <t>Verificado</t>
        </is>
      </c>
      <c r="M1139" s="8" t="n">
        <v>1</v>
      </c>
      <c r="N1139" s="9" t="n">
        <v>3453.33</v>
      </c>
      <c r="O1139" s="9" t="n">
        <v>3453.33</v>
      </c>
      <c r="P1139" s="9" t="n">
        <v>3453.33</v>
      </c>
      <c r="Q1139" s="7" t="inlineStr">
        <is>
          <t>Sí</t>
        </is>
      </c>
      <c r="R1139" s="9">
        <f>IF(N1139="","",IF(Q1139="Sí",ROUND(N1139/1.18,2),N1139))</f>
        <v/>
      </c>
      <c r="S1139" s="7" t="inlineStr">
        <is>
          <t>2026-09-09</t>
        </is>
      </c>
      <c r="T1139" s="5" t="inlineStr">
        <is>
          <t>1 cotización de proveedores</t>
        </is>
      </c>
    </row>
    <row r="1140">
      <c r="A1140" s="7" t="inlineStr">
        <is>
          <t>MAT-27-052</t>
        </is>
      </c>
      <c r="B1140" s="7" t="inlineStr">
        <is>
          <t>Materiales</t>
        </is>
      </c>
      <c r="C1140" s="7" t="inlineStr">
        <is>
          <t>Accesorios de baño</t>
        </is>
      </c>
      <c r="D1140" s="5" t="inlineStr">
        <is>
          <t>Kit Accesorios para baño Bergamo Ss-Bn</t>
        </is>
      </c>
      <c r="E1140" s="5" t="inlineStr">
        <is>
          <t>marca TILBY-KIT · referencia TB17A-SS/6-BN</t>
        </is>
      </c>
      <c r="F1140" s="5" t="inlineStr">
        <is>
          <t>Material retirado en almacén</t>
        </is>
      </c>
      <c r="G1140" s="5" t="inlineStr">
        <is>
          <t>juego de accesorios, kit de baño</t>
        </is>
      </c>
      <c r="H1140" s="7" t="inlineStr">
        <is>
          <t>juego</t>
        </is>
      </c>
      <c r="I1140" s="7" t="inlineStr">
        <is>
          <t>Terminación de superficies</t>
        </is>
      </c>
      <c r="J1140" s="7" t="inlineStr">
        <is>
          <t>estandar</t>
        </is>
      </c>
      <c r="K1140" s="7" t="inlineStr">
        <is>
          <t>importado</t>
        </is>
      </c>
      <c r="L1140" s="7" t="inlineStr">
        <is>
          <t>Verificado</t>
        </is>
      </c>
      <c r="M1140" s="8" t="n">
        <v>1</v>
      </c>
      <c r="N1140" s="9" t="n">
        <v>3470.14</v>
      </c>
      <c r="O1140" s="9" t="n">
        <v>3470.14</v>
      </c>
      <c r="P1140" s="9" t="n">
        <v>3470.14</v>
      </c>
      <c r="Q1140" s="7" t="inlineStr">
        <is>
          <t>Sí</t>
        </is>
      </c>
      <c r="R1140" s="9">
        <f>IF(N1140="","",IF(Q1140="Sí",ROUND(N1140/1.18,2),N1140))</f>
        <v/>
      </c>
      <c r="S1140" s="7" t="inlineStr">
        <is>
          <t>2026-09-09</t>
        </is>
      </c>
      <c r="T1140" s="5" t="inlineStr">
        <is>
          <t>1 cotización de proveedores</t>
        </is>
      </c>
    </row>
    <row r="1141">
      <c r="A1141" s="7" t="inlineStr">
        <is>
          <t>MAT-27-053</t>
        </is>
      </c>
      <c r="B1141" s="7" t="inlineStr">
        <is>
          <t>Materiales</t>
        </is>
      </c>
      <c r="C1141" s="7" t="inlineStr">
        <is>
          <t>Accesorios de baño</t>
        </is>
      </c>
      <c r="D1141" s="5" t="inlineStr">
        <is>
          <t>Kit Acc. baño 6 Pzas. Verona</t>
        </is>
      </c>
      <c r="E1141" s="5" t="inlineStr">
        <is>
          <t>marca TILBY-KIT · referencia TB622001/6-A</t>
        </is>
      </c>
      <c r="F1141" s="5" t="inlineStr">
        <is>
          <t>Material retirado en almacén</t>
        </is>
      </c>
      <c r="G1141" s="5" t="inlineStr">
        <is>
          <t>juego de accesorios, kit de baño</t>
        </is>
      </c>
      <c r="H1141" s="7" t="inlineStr">
        <is>
          <t>juego</t>
        </is>
      </c>
      <c r="I1141" s="7" t="inlineStr">
        <is>
          <t>Terminación de superficies</t>
        </is>
      </c>
      <c r="J1141" s="7" t="inlineStr">
        <is>
          <t>estandar</t>
        </is>
      </c>
      <c r="K1141" s="7" t="inlineStr">
        <is>
          <t>importado</t>
        </is>
      </c>
      <c r="L1141" s="7" t="inlineStr">
        <is>
          <t>Verificado</t>
        </is>
      </c>
      <c r="M1141" s="8" t="n">
        <v>1</v>
      </c>
      <c r="N1141" s="9" t="n">
        <v>3610.88</v>
      </c>
      <c r="O1141" s="9" t="n">
        <v>3610.88</v>
      </c>
      <c r="P1141" s="9" t="n">
        <v>3610.88</v>
      </c>
      <c r="Q1141" s="7" t="inlineStr">
        <is>
          <t>Sí</t>
        </is>
      </c>
      <c r="R1141" s="9">
        <f>IF(N1141="","",IF(Q1141="Sí",ROUND(N1141/1.18,2),N1141))</f>
        <v/>
      </c>
      <c r="S1141" s="7" t="inlineStr">
        <is>
          <t>2026-09-09</t>
        </is>
      </c>
      <c r="T1141" s="5" t="inlineStr">
        <is>
          <t>1 cotización de proveedores</t>
        </is>
      </c>
    </row>
    <row r="1142">
      <c r="A1142" s="7" t="inlineStr">
        <is>
          <t>MAT-27-054</t>
        </is>
      </c>
      <c r="B1142" s="7" t="inlineStr">
        <is>
          <t>Materiales</t>
        </is>
      </c>
      <c r="C1142" s="7" t="inlineStr">
        <is>
          <t>Accesorios de baño</t>
        </is>
      </c>
      <c r="D1142" s="5" t="inlineStr">
        <is>
          <t>Kit Acc. baño 6 Pzas. Dubai Brush Nickel</t>
        </is>
      </c>
      <c r="E1142" s="5" t="inlineStr">
        <is>
          <t>marca TILBY-KIT · referencia TB81900/6-BN</t>
        </is>
      </c>
      <c r="F1142" s="5" t="inlineStr">
        <is>
          <t>Material retirado en almacén</t>
        </is>
      </c>
      <c r="G1142" s="5" t="inlineStr">
        <is>
          <t>juego de accesorios, kit de baño</t>
        </is>
      </c>
      <c r="H1142" s="7" t="inlineStr">
        <is>
          <t>juego</t>
        </is>
      </c>
      <c r="I1142" s="7" t="inlineStr">
        <is>
          <t>Terminación de superficies</t>
        </is>
      </c>
      <c r="J1142" s="7" t="inlineStr">
        <is>
          <t>estandar</t>
        </is>
      </c>
      <c r="K1142" s="7" t="inlineStr">
        <is>
          <t>importado</t>
        </is>
      </c>
      <c r="L1142" s="7" t="inlineStr">
        <is>
          <t>Verificado</t>
        </is>
      </c>
      <c r="M1142" s="8" t="n">
        <v>1</v>
      </c>
      <c r="N1142" s="9" t="n">
        <v>3628.64</v>
      </c>
      <c r="O1142" s="9" t="n">
        <v>3628.64</v>
      </c>
      <c r="P1142" s="9" t="n">
        <v>3628.64</v>
      </c>
      <c r="Q1142" s="7" t="inlineStr">
        <is>
          <t>Sí</t>
        </is>
      </c>
      <c r="R1142" s="9">
        <f>IF(N1142="","",IF(Q1142="Sí",ROUND(N1142/1.18,2),N1142))</f>
        <v/>
      </c>
      <c r="S1142" s="7" t="inlineStr">
        <is>
          <t>2026-09-09</t>
        </is>
      </c>
      <c r="T1142" s="5" t="inlineStr">
        <is>
          <t>1 cotización de proveedores</t>
        </is>
      </c>
    </row>
    <row r="1143">
      <c r="A1143" s="7" t="inlineStr">
        <is>
          <t>MAT-27-055</t>
        </is>
      </c>
      <c r="B1143" s="7" t="inlineStr">
        <is>
          <t>Materiales</t>
        </is>
      </c>
      <c r="C1143" s="7" t="inlineStr">
        <is>
          <t>Accesorios de baño</t>
        </is>
      </c>
      <c r="D1143" s="5" t="inlineStr">
        <is>
          <t>Kit Acc. baños 6 piezas Devon</t>
        </is>
      </c>
      <c r="E1143" s="5" t="inlineStr">
        <is>
          <t>marca TILBY-KIT · referencia TB22601/6-BL</t>
        </is>
      </c>
      <c r="F1143" s="5" t="inlineStr">
        <is>
          <t>Material retirado en almacén</t>
        </is>
      </c>
      <c r="G1143" s="5" t="inlineStr">
        <is>
          <t>juego de accesorios, kit de baño</t>
        </is>
      </c>
      <c r="H1143" s="7" t="inlineStr">
        <is>
          <t>juego</t>
        </is>
      </c>
      <c r="I1143" s="7" t="inlineStr">
        <is>
          <t>Terminación de superficies</t>
        </is>
      </c>
      <c r="J1143" s="7" t="inlineStr">
        <is>
          <t>estandar</t>
        </is>
      </c>
      <c r="K1143" s="7" t="inlineStr">
        <is>
          <t>importado</t>
        </is>
      </c>
      <c r="L1143" s="7" t="inlineStr">
        <is>
          <t>Verificado</t>
        </is>
      </c>
      <c r="M1143" s="8" t="n">
        <v>1</v>
      </c>
      <c r="N1143" s="9" t="n">
        <v>3629.2</v>
      </c>
      <c r="O1143" s="9" t="n">
        <v>3629.2</v>
      </c>
      <c r="P1143" s="9" t="n">
        <v>3629.2</v>
      </c>
      <c r="Q1143" s="7" t="inlineStr">
        <is>
          <t>Sí</t>
        </is>
      </c>
      <c r="R1143" s="9">
        <f>IF(N1143="","",IF(Q1143="Sí",ROUND(N1143/1.18,2),N1143))</f>
        <v/>
      </c>
      <c r="S1143" s="7" t="inlineStr">
        <is>
          <t>2026-09-09</t>
        </is>
      </c>
      <c r="T1143" s="5" t="inlineStr">
        <is>
          <t>1 cotización de proveedores</t>
        </is>
      </c>
    </row>
    <row r="1144">
      <c r="A1144" s="7" t="inlineStr">
        <is>
          <t>MAT-27-056</t>
        </is>
      </c>
      <c r="B1144" s="7" t="inlineStr">
        <is>
          <t>Materiales</t>
        </is>
      </c>
      <c r="C1144" s="7" t="inlineStr">
        <is>
          <t>Accesorios de baño</t>
        </is>
      </c>
      <c r="D1144" s="5" t="inlineStr">
        <is>
          <t>Kit Accesorios para baño Livorno Brush Nick</t>
        </is>
      </c>
      <c r="E1144" s="5" t="inlineStr">
        <is>
          <t>marca TILBY-KIT · referencia TB8900/6-BN</t>
        </is>
      </c>
      <c r="F1144" s="5" t="inlineStr">
        <is>
          <t>Material retirado en almacén</t>
        </is>
      </c>
      <c r="G1144" s="5" t="inlineStr">
        <is>
          <t>juego de accesorios, kit de baño</t>
        </is>
      </c>
      <c r="H1144" s="7" t="inlineStr">
        <is>
          <t>juego</t>
        </is>
      </c>
      <c r="I1144" s="7" t="inlineStr">
        <is>
          <t>Terminación de superficies</t>
        </is>
      </c>
      <c r="J1144" s="7" t="inlineStr">
        <is>
          <t>estandar</t>
        </is>
      </c>
      <c r="K1144" s="7" t="inlineStr">
        <is>
          <t>importado</t>
        </is>
      </c>
      <c r="L1144" s="7" t="inlineStr">
        <is>
          <t>Verificado</t>
        </is>
      </c>
      <c r="M1144" s="8" t="n">
        <v>1</v>
      </c>
      <c r="N1144" s="9" t="n">
        <v>3966.56</v>
      </c>
      <c r="O1144" s="9" t="n">
        <v>3966.56</v>
      </c>
      <c r="P1144" s="9" t="n">
        <v>3966.56</v>
      </c>
      <c r="Q1144" s="7" t="inlineStr">
        <is>
          <t>Sí</t>
        </is>
      </c>
      <c r="R1144" s="9">
        <f>IF(N1144="","",IF(Q1144="Sí",ROUND(N1144/1.18,2),N1144))</f>
        <v/>
      </c>
      <c r="S1144" s="7" t="inlineStr">
        <is>
          <t>2026-09-09</t>
        </is>
      </c>
      <c r="T1144" s="5" t="inlineStr">
        <is>
          <t>1 cotización de proveedores</t>
        </is>
      </c>
    </row>
    <row r="1145">
      <c r="A1145" s="7" t="inlineStr">
        <is>
          <t>MAT-27-057</t>
        </is>
      </c>
      <c r="B1145" s="7" t="inlineStr">
        <is>
          <t>Materiales</t>
        </is>
      </c>
      <c r="C1145" s="7" t="inlineStr">
        <is>
          <t>Accesorios de baño</t>
        </is>
      </c>
      <c r="D1145" s="5" t="inlineStr">
        <is>
          <t>Kit Acc. baño 6 Pzas. Lugano</t>
        </is>
      </c>
      <c r="E1145" s="5" t="inlineStr">
        <is>
          <t>marca TILBY-GR · referencia TB7500/6-BL</t>
        </is>
      </c>
      <c r="F1145" s="5" t="inlineStr">
        <is>
          <t>Material retirado en almacén</t>
        </is>
      </c>
      <c r="G1145" s="5" t="inlineStr">
        <is>
          <t>juego de accesorios, kit de baño</t>
        </is>
      </c>
      <c r="H1145" s="7" t="inlineStr">
        <is>
          <t>juego</t>
        </is>
      </c>
      <c r="I1145" s="7" t="inlineStr">
        <is>
          <t>Terminación de superficies</t>
        </is>
      </c>
      <c r="J1145" s="7" t="inlineStr">
        <is>
          <t>estandar</t>
        </is>
      </c>
      <c r="K1145" s="7" t="inlineStr">
        <is>
          <t>importado</t>
        </is>
      </c>
      <c r="L1145" s="7" t="inlineStr">
        <is>
          <t>Verificado</t>
        </is>
      </c>
      <c r="M1145" s="8" t="n">
        <v>1</v>
      </c>
      <c r="N1145" s="9" t="n">
        <v>3967.7</v>
      </c>
      <c r="O1145" s="9" t="n">
        <v>3967.7</v>
      </c>
      <c r="P1145" s="9" t="n">
        <v>3967.7</v>
      </c>
      <c r="Q1145" s="7" t="inlineStr">
        <is>
          <t>Sí</t>
        </is>
      </c>
      <c r="R1145" s="9">
        <f>IF(N1145="","",IF(Q1145="Sí",ROUND(N1145/1.18,2),N1145))</f>
        <v/>
      </c>
      <c r="S1145" s="7" t="inlineStr">
        <is>
          <t>2026-09-09</t>
        </is>
      </c>
      <c r="T1145" s="5" t="inlineStr">
        <is>
          <t>1 cotización de proveedores</t>
        </is>
      </c>
    </row>
    <row r="1146">
      <c r="A1146" s="7" t="inlineStr">
        <is>
          <t>MAT-27-058</t>
        </is>
      </c>
      <c r="B1146" s="7" t="inlineStr">
        <is>
          <t>Materiales</t>
        </is>
      </c>
      <c r="C1146" s="7" t="inlineStr">
        <is>
          <t>Accesorios de baño</t>
        </is>
      </c>
      <c r="D1146" s="5" t="inlineStr">
        <is>
          <t>Kit Acc. baños 6 piezas Malaga</t>
        </is>
      </c>
      <c r="E1146" s="5" t="inlineStr">
        <is>
          <t>marca TILBY-KIT · referencia 16100/6-ACER</t>
        </is>
      </c>
      <c r="F1146" s="5" t="inlineStr">
        <is>
          <t>Material retirado en almacén</t>
        </is>
      </c>
      <c r="G1146" s="5" t="inlineStr">
        <is>
          <t>juego de accesorios, kit de baño</t>
        </is>
      </c>
      <c r="H1146" s="7" t="inlineStr">
        <is>
          <t>juego</t>
        </is>
      </c>
      <c r="I1146" s="7" t="inlineStr">
        <is>
          <t>Terminación de superficies</t>
        </is>
      </c>
      <c r="J1146" s="7" t="inlineStr">
        <is>
          <t>estandar</t>
        </is>
      </c>
      <c r="K1146" s="7" t="inlineStr">
        <is>
          <t>importado</t>
        </is>
      </c>
      <c r="L1146" s="7" t="inlineStr">
        <is>
          <t>Verificado</t>
        </is>
      </c>
      <c r="M1146" s="8" t="n">
        <v>1</v>
      </c>
      <c r="N1146" s="9" t="n">
        <v>4100.31</v>
      </c>
      <c r="O1146" s="9" t="n">
        <v>4100.31</v>
      </c>
      <c r="P1146" s="9" t="n">
        <v>4100.31</v>
      </c>
      <c r="Q1146" s="7" t="inlineStr">
        <is>
          <t>Sí</t>
        </is>
      </c>
      <c r="R1146" s="9">
        <f>IF(N1146="","",IF(Q1146="Sí",ROUND(N1146/1.18,2),N1146))</f>
        <v/>
      </c>
      <c r="S1146" s="7" t="inlineStr">
        <is>
          <t>2026-09-09</t>
        </is>
      </c>
      <c r="T1146" s="5" t="inlineStr">
        <is>
          <t>1 cotización de proveedores</t>
        </is>
      </c>
    </row>
    <row r="1147">
      <c r="A1147" s="7" t="inlineStr">
        <is>
          <t>MAT-27-059</t>
        </is>
      </c>
      <c r="B1147" s="7" t="inlineStr">
        <is>
          <t>Materiales</t>
        </is>
      </c>
      <c r="C1147" s="7" t="inlineStr">
        <is>
          <t>Accesorios de baño</t>
        </is>
      </c>
      <c r="D1147" s="5" t="inlineStr">
        <is>
          <t>Kit Acc baño 6 Pz Gold</t>
        </is>
      </c>
      <c r="E1147" s="5" t="inlineStr">
        <is>
          <t>marca INEX · referencia IB-706-GOLD</t>
        </is>
      </c>
      <c r="F1147" s="5" t="inlineStr">
        <is>
          <t>Material retirado en almacén</t>
        </is>
      </c>
      <c r="G1147" s="5" t="inlineStr">
        <is>
          <t>juego de accesorios, kit de baño</t>
        </is>
      </c>
      <c r="H1147" s="7" t="inlineStr">
        <is>
          <t>juego</t>
        </is>
      </c>
      <c r="I1147" s="7" t="inlineStr">
        <is>
          <t>Terminación de superficies</t>
        </is>
      </c>
      <c r="J1147" s="7" t="inlineStr">
        <is>
          <t>estandar</t>
        </is>
      </c>
      <c r="K1147" s="7" t="inlineStr">
        <is>
          <t>importado</t>
        </is>
      </c>
      <c r="L1147" s="7" t="inlineStr">
        <is>
          <t>Verificado</t>
        </is>
      </c>
      <c r="M1147" s="8" t="n">
        <v>1</v>
      </c>
      <c r="N1147" s="9" t="n">
        <v>4178.42</v>
      </c>
      <c r="O1147" s="9" t="n">
        <v>4178.42</v>
      </c>
      <c r="P1147" s="9" t="n">
        <v>4178.42</v>
      </c>
      <c r="Q1147" s="7" t="inlineStr">
        <is>
          <t>Sí</t>
        </is>
      </c>
      <c r="R1147" s="9">
        <f>IF(N1147="","",IF(Q1147="Sí",ROUND(N1147/1.18,2),N1147))</f>
        <v/>
      </c>
      <c r="S1147" s="7" t="inlineStr">
        <is>
          <t>2026-09-09</t>
        </is>
      </c>
      <c r="T1147" s="5" t="inlineStr">
        <is>
          <t>1 cotización de proveedores</t>
        </is>
      </c>
    </row>
    <row r="1148">
      <c r="A1148" s="7" t="inlineStr">
        <is>
          <t>MAT-27-060</t>
        </is>
      </c>
      <c r="B1148" s="7" t="inlineStr">
        <is>
          <t>Materiales</t>
        </is>
      </c>
      <c r="C1148" s="7" t="inlineStr">
        <is>
          <t>Accesorios de baño</t>
        </is>
      </c>
      <c r="D1148" s="5" t="inlineStr">
        <is>
          <t>Kit Accesorios para baño Prem 6 Pzas</t>
        </is>
      </c>
      <c r="E1148" s="5" t="inlineStr">
        <is>
          <t>marca INEX · referencia IB906CR</t>
        </is>
      </c>
      <c r="F1148" s="5" t="inlineStr">
        <is>
          <t>Material retirado en almacén</t>
        </is>
      </c>
      <c r="G1148" s="5" t="inlineStr">
        <is>
          <t>juego de accesorios, kit de baño</t>
        </is>
      </c>
      <c r="H1148" s="7" t="inlineStr">
        <is>
          <t>juego</t>
        </is>
      </c>
      <c r="I1148" s="7" t="inlineStr">
        <is>
          <t>Terminación de superficies</t>
        </is>
      </c>
      <c r="J1148" s="7" t="inlineStr">
        <is>
          <t>estandar</t>
        </is>
      </c>
      <c r="K1148" s="7" t="inlineStr">
        <is>
          <t>importado</t>
        </is>
      </c>
      <c r="L1148" s="7" t="inlineStr">
        <is>
          <t>Verificado</t>
        </is>
      </c>
      <c r="M1148" s="8" t="n">
        <v>1</v>
      </c>
      <c r="N1148" s="9" t="n">
        <v>4228.62</v>
      </c>
      <c r="O1148" s="9" t="n">
        <v>4228.62</v>
      </c>
      <c r="P1148" s="9" t="n">
        <v>4228.62</v>
      </c>
      <c r="Q1148" s="7" t="inlineStr">
        <is>
          <t>Sí</t>
        </is>
      </c>
      <c r="R1148" s="9">
        <f>IF(N1148="","",IF(Q1148="Sí",ROUND(N1148/1.18,2),N1148))</f>
        <v/>
      </c>
      <c r="S1148" s="7" t="inlineStr">
        <is>
          <t>2026-09-09</t>
        </is>
      </c>
      <c r="T1148" s="5" t="inlineStr">
        <is>
          <t>1 cotización de proveedores</t>
        </is>
      </c>
    </row>
    <row r="1149">
      <c r="A1149" s="7" t="inlineStr">
        <is>
          <t>MAT-27-061</t>
        </is>
      </c>
      <c r="B1149" s="7" t="inlineStr">
        <is>
          <t>Materiales</t>
        </is>
      </c>
      <c r="C1149" s="7" t="inlineStr">
        <is>
          <t>Accesorios de baño</t>
        </is>
      </c>
      <c r="D1149" s="5" t="inlineStr">
        <is>
          <t>Kit Acces. baño Livorno 6 Pzas Oil Brush</t>
        </is>
      </c>
      <c r="E1149" s="5" t="inlineStr">
        <is>
          <t>marca TILBY-KIT · referencia TB8900/6-ORB</t>
        </is>
      </c>
      <c r="F1149" s="5" t="inlineStr">
        <is>
          <t>Material retirado en almacén</t>
        </is>
      </c>
      <c r="G1149" s="5" t="inlineStr">
        <is>
          <t>juego de accesorios, kit de baño</t>
        </is>
      </c>
      <c r="H1149" s="7" t="inlineStr">
        <is>
          <t>juego</t>
        </is>
      </c>
      <c r="I1149" s="7" t="inlineStr">
        <is>
          <t>Terminación de superficies</t>
        </is>
      </c>
      <c r="J1149" s="7" t="inlineStr">
        <is>
          <t>estandar</t>
        </is>
      </c>
      <c r="K1149" s="7" t="inlineStr">
        <is>
          <t>importado</t>
        </is>
      </c>
      <c r="L1149" s="7" t="inlineStr">
        <is>
          <t>Verificado</t>
        </is>
      </c>
      <c r="M1149" s="8" t="n">
        <v>1</v>
      </c>
      <c r="N1149" s="9" t="n">
        <v>4323.48</v>
      </c>
      <c r="O1149" s="9" t="n">
        <v>4323.48</v>
      </c>
      <c r="P1149" s="9" t="n">
        <v>4323.48</v>
      </c>
      <c r="Q1149" s="7" t="inlineStr">
        <is>
          <t>Sí</t>
        </is>
      </c>
      <c r="R1149" s="9">
        <f>IF(N1149="","",IF(Q1149="Sí",ROUND(N1149/1.18,2),N1149))</f>
        <v/>
      </c>
      <c r="S1149" s="7" t="inlineStr">
        <is>
          <t>2026-09-09</t>
        </is>
      </c>
      <c r="T1149" s="5" t="inlineStr">
        <is>
          <t>1 cotización de proveedores</t>
        </is>
      </c>
    </row>
    <row r="1150">
      <c r="A1150" s="7" t="inlineStr">
        <is>
          <t>MAT-27-062</t>
        </is>
      </c>
      <c r="B1150" s="7" t="inlineStr">
        <is>
          <t>Materiales</t>
        </is>
      </c>
      <c r="C1150" s="7" t="inlineStr">
        <is>
          <t>Accesorios de baño</t>
        </is>
      </c>
      <c r="D1150" s="5" t="inlineStr">
        <is>
          <t>Kit Acc. baño 6 Pzas. Ajaccio</t>
        </is>
      </c>
      <c r="E1150" s="5" t="inlineStr">
        <is>
          <t>marca TILBY-KIT · referencia TB25100-BR</t>
        </is>
      </c>
      <c r="F1150" s="5" t="inlineStr">
        <is>
          <t>Material retirado en almacén</t>
        </is>
      </c>
      <c r="G1150" s="5" t="inlineStr">
        <is>
          <t>juego de accesorios, kit de baño</t>
        </is>
      </c>
      <c r="H1150" s="7" t="inlineStr">
        <is>
          <t>juego</t>
        </is>
      </c>
      <c r="I1150" s="7" t="inlineStr">
        <is>
          <t>Terminación de superficies</t>
        </is>
      </c>
      <c r="J1150" s="7" t="inlineStr">
        <is>
          <t>estandar</t>
        </is>
      </c>
      <c r="K1150" s="7" t="inlineStr">
        <is>
          <t>importado</t>
        </is>
      </c>
      <c r="L1150" s="7" t="inlineStr">
        <is>
          <t>Verificado</t>
        </is>
      </c>
      <c r="M1150" s="8" t="n">
        <v>1</v>
      </c>
      <c r="N1150" s="9" t="n">
        <v>4372.84</v>
      </c>
      <c r="O1150" s="9" t="n">
        <v>4372.84</v>
      </c>
      <c r="P1150" s="9" t="n">
        <v>4372.84</v>
      </c>
      <c r="Q1150" s="7" t="inlineStr">
        <is>
          <t>Sí</t>
        </is>
      </c>
      <c r="R1150" s="9">
        <f>IF(N1150="","",IF(Q1150="Sí",ROUND(N1150/1.18,2),N1150))</f>
        <v/>
      </c>
      <c r="S1150" s="7" t="inlineStr">
        <is>
          <t>2026-09-09</t>
        </is>
      </c>
      <c r="T1150" s="5" t="inlineStr">
        <is>
          <t>1 cotización de proveedores</t>
        </is>
      </c>
    </row>
    <row r="1151">
      <c r="A1151" s="7" t="inlineStr">
        <is>
          <t>MAT-27-063</t>
        </is>
      </c>
      <c r="B1151" s="7" t="inlineStr">
        <is>
          <t>Materiales</t>
        </is>
      </c>
      <c r="C1151" s="7" t="inlineStr">
        <is>
          <t>Accesorios de baño</t>
        </is>
      </c>
      <c r="D1151" s="5" t="inlineStr">
        <is>
          <t>Accesorios Para Baño Linz</t>
        </is>
      </c>
      <c r="E1151" s="5" t="inlineStr">
        <is>
          <t>marca TILBY-KIT · referencia TB1114001/6-A</t>
        </is>
      </c>
      <c r="F1151" s="5" t="inlineStr">
        <is>
          <t>Material retirado en almacén</t>
        </is>
      </c>
      <c r="G1151" s="5" t="inlineStr">
        <is>
          <t>juego de accesorios, kit de baño</t>
        </is>
      </c>
      <c r="H1151" s="7" t="inlineStr">
        <is>
          <t>juego</t>
        </is>
      </c>
      <c r="I1151" s="7" t="inlineStr">
        <is>
          <t>Terminación de superficies</t>
        </is>
      </c>
      <c r="J1151" s="7" t="inlineStr">
        <is>
          <t>estandar</t>
        </is>
      </c>
      <c r="K1151" s="7" t="inlineStr">
        <is>
          <t>importado</t>
        </is>
      </c>
      <c r="L1151" s="7" t="inlineStr">
        <is>
          <t>Verificado</t>
        </is>
      </c>
      <c r="M1151" s="8" t="n">
        <v>1</v>
      </c>
      <c r="N1151" s="9" t="n">
        <v>4513.31</v>
      </c>
      <c r="O1151" s="9" t="n">
        <v>4513.31</v>
      </c>
      <c r="P1151" s="9" t="n">
        <v>4513.31</v>
      </c>
      <c r="Q1151" s="7" t="inlineStr">
        <is>
          <t>Sí</t>
        </is>
      </c>
      <c r="R1151" s="9">
        <f>IF(N1151="","",IF(Q1151="Sí",ROUND(N1151/1.18,2),N1151))</f>
        <v/>
      </c>
      <c r="S1151" s="7" t="inlineStr">
        <is>
          <t>2026-09-09</t>
        </is>
      </c>
      <c r="T1151" s="5" t="inlineStr">
        <is>
          <t>1 cotización de proveedores</t>
        </is>
      </c>
    </row>
    <row r="1152">
      <c r="A1152" s="7" t="inlineStr">
        <is>
          <t>MAT-27-064</t>
        </is>
      </c>
      <c r="B1152" s="7" t="inlineStr">
        <is>
          <t>Materiales</t>
        </is>
      </c>
      <c r="C1152" s="7" t="inlineStr">
        <is>
          <t>Accesorios de baño</t>
        </is>
      </c>
      <c r="D1152" s="5" t="inlineStr">
        <is>
          <t>Accesorios Para Baño Venecia</t>
        </is>
      </c>
      <c r="E1152" s="5" t="inlineStr">
        <is>
          <t>marca TILBY-KIT · referencia TBZ279001/6-A</t>
        </is>
      </c>
      <c r="F1152" s="5" t="inlineStr">
        <is>
          <t>Material retirado en almacén</t>
        </is>
      </c>
      <c r="G1152" s="5" t="inlineStr">
        <is>
          <t>juego de accesorios, kit de baño</t>
        </is>
      </c>
      <c r="H1152" s="7" t="inlineStr">
        <is>
          <t>juego</t>
        </is>
      </c>
      <c r="I1152" s="7" t="inlineStr">
        <is>
          <t>Terminación de superficies</t>
        </is>
      </c>
      <c r="J1152" s="7" t="inlineStr">
        <is>
          <t>estandar</t>
        </is>
      </c>
      <c r="K1152" s="7" t="inlineStr">
        <is>
          <t>importado</t>
        </is>
      </c>
      <c r="L1152" s="7" t="inlineStr">
        <is>
          <t>Verificado</t>
        </is>
      </c>
      <c r="M1152" s="8" t="n">
        <v>1</v>
      </c>
      <c r="N1152" s="9" t="n">
        <v>5068.78</v>
      </c>
      <c r="O1152" s="9" t="n">
        <v>5068.78</v>
      </c>
      <c r="P1152" s="9" t="n">
        <v>5068.78</v>
      </c>
      <c r="Q1152" s="7" t="inlineStr">
        <is>
          <t>Sí</t>
        </is>
      </c>
      <c r="R1152" s="9">
        <f>IF(N1152="","",IF(Q1152="Sí",ROUND(N1152/1.18,2),N1152))</f>
        <v/>
      </c>
      <c r="S1152" s="7" t="inlineStr">
        <is>
          <t>2026-09-09</t>
        </is>
      </c>
      <c r="T1152" s="5" t="inlineStr">
        <is>
          <t>1 cotización de proveedores</t>
        </is>
      </c>
    </row>
    <row r="1153">
      <c r="A1153" s="7" t="inlineStr">
        <is>
          <t>MAT-27-065</t>
        </is>
      </c>
      <c r="B1153" s="7" t="inlineStr">
        <is>
          <t>Materiales</t>
        </is>
      </c>
      <c r="C1153" s="7" t="inlineStr">
        <is>
          <t>Accesorios de baño</t>
        </is>
      </c>
      <c r="D1153" s="5" t="inlineStr">
        <is>
          <t>Accesorios Para Baño Lazio</t>
        </is>
      </c>
      <c r="E1153" s="5" t="inlineStr">
        <is>
          <t>marca TILBY-KIT · referencia TB5001/6-A</t>
        </is>
      </c>
      <c r="F1153" s="5" t="inlineStr">
        <is>
          <t>Material retirado en almacén</t>
        </is>
      </c>
      <c r="G1153" s="5" t="inlineStr">
        <is>
          <t>juego de accesorios, kit de baño</t>
        </is>
      </c>
      <c r="H1153" s="7" t="inlineStr">
        <is>
          <t>juego</t>
        </is>
      </c>
      <c r="I1153" s="7" t="inlineStr">
        <is>
          <t>Terminación de superficies</t>
        </is>
      </c>
      <c r="J1153" s="7" t="inlineStr">
        <is>
          <t>estandar</t>
        </is>
      </c>
      <c r="K1153" s="7" t="inlineStr">
        <is>
          <t>importado</t>
        </is>
      </c>
      <c r="L1153" s="7" t="inlineStr">
        <is>
          <t>Verificado</t>
        </is>
      </c>
      <c r="M1153" s="8" t="n">
        <v>1</v>
      </c>
      <c r="N1153" s="9" t="n">
        <v>6703.24</v>
      </c>
      <c r="O1153" s="9" t="n">
        <v>6703.24</v>
      </c>
      <c r="P1153" s="9" t="n">
        <v>6703.24</v>
      </c>
      <c r="Q1153" s="7" t="inlineStr">
        <is>
          <t>Sí</t>
        </is>
      </c>
      <c r="R1153" s="9">
        <f>IF(N1153="","",IF(Q1153="Sí",ROUND(N1153/1.18,2),N1153))</f>
        <v/>
      </c>
      <c r="S1153" s="7" t="inlineStr">
        <is>
          <t>2026-09-09</t>
        </is>
      </c>
      <c r="T1153" s="5" t="inlineStr">
        <is>
          <t>1 cotización de proveedores</t>
        </is>
      </c>
    </row>
    <row r="1154">
      <c r="A1154" s="7" t="inlineStr">
        <is>
          <t>MAT-28-001</t>
        </is>
      </c>
      <c r="B1154" s="7" t="inlineStr">
        <is>
          <t>Materiales</t>
        </is>
      </c>
      <c r="C1154" s="7" t="inlineStr">
        <is>
          <t>Alarmas y control de accesos</t>
        </is>
      </c>
      <c r="D1154" s="5" t="inlineStr">
        <is>
          <t>Panel para Control LCD</t>
        </is>
      </c>
      <c r="E1154" s="5" t="inlineStr">
        <is>
          <t>marca AMC · accesorios para alarmas · referencia VOX-OUT</t>
        </is>
      </c>
      <c r="F1154" s="5" t="inlineStr">
        <is>
          <t>Material retirado en almacén</t>
        </is>
      </c>
      <c r="G1154" s="5" t="inlineStr"/>
      <c r="H1154" s="7" t="inlineStr">
        <is>
          <t>unidad</t>
        </is>
      </c>
      <c r="I1154" s="7" t="inlineStr">
        <is>
          <t>Instalaciones</t>
        </is>
      </c>
      <c r="J1154" s="7" t="inlineStr">
        <is>
          <t>estandar</t>
        </is>
      </c>
      <c r="K1154" s="7" t="inlineStr">
        <is>
          <t>importado</t>
        </is>
      </c>
      <c r="L1154" s="7" t="inlineStr">
        <is>
          <t>Verificado</t>
        </is>
      </c>
      <c r="M1154" s="8" t="n">
        <v>1</v>
      </c>
      <c r="N1154" s="9" t="n">
        <v>4948.38</v>
      </c>
      <c r="O1154" s="9" t="n">
        <v>4948.38</v>
      </c>
      <c r="P1154" s="9" t="n">
        <v>4948.38</v>
      </c>
      <c r="Q1154" s="7" t="inlineStr">
        <is>
          <t>Sí</t>
        </is>
      </c>
      <c r="R1154" s="9">
        <f>IF(N1154="","",IF(Q1154="Sí",ROUND(N1154/1.18,2),N1154))</f>
        <v/>
      </c>
      <c r="S1154" s="7" t="inlineStr">
        <is>
          <t>2026-09-09</t>
        </is>
      </c>
      <c r="T1154" s="5" t="inlineStr">
        <is>
          <t>1 cotización de proveedores</t>
        </is>
      </c>
    </row>
    <row r="1155">
      <c r="A1155" s="7" t="inlineStr">
        <is>
          <t>MAT-28-002</t>
        </is>
      </c>
      <c r="B1155" s="7" t="inlineStr">
        <is>
          <t>Materiales</t>
        </is>
      </c>
      <c r="C1155" s="7" t="inlineStr">
        <is>
          <t>Alarmas y control de accesos</t>
        </is>
      </c>
      <c r="D1155" s="5" t="inlineStr">
        <is>
          <t>Panel De Control IP 28 Zonas</t>
        </is>
      </c>
      <c r="E1155" s="5" t="inlineStr">
        <is>
          <t>marca BOSCH · panel · referencia B4512</t>
        </is>
      </c>
      <c r="F1155" s="5" t="inlineStr">
        <is>
          <t>Material retirado en almacén</t>
        </is>
      </c>
      <c r="G1155" s="5" t="inlineStr"/>
      <c r="H1155" s="7" t="inlineStr">
        <is>
          <t>unidad</t>
        </is>
      </c>
      <c r="I1155" s="7" t="inlineStr">
        <is>
          <t>Instalaciones</t>
        </is>
      </c>
      <c r="J1155" s="7" t="inlineStr">
        <is>
          <t>estandar</t>
        </is>
      </c>
      <c r="K1155" s="7" t="inlineStr">
        <is>
          <t>importado</t>
        </is>
      </c>
      <c r="L1155" s="7" t="inlineStr">
        <is>
          <t>Verificado</t>
        </is>
      </c>
      <c r="M1155" s="8" t="n">
        <v>1</v>
      </c>
      <c r="N1155" s="9" t="n">
        <v>7194.58</v>
      </c>
      <c r="O1155" s="9" t="n">
        <v>7194.58</v>
      </c>
      <c r="P1155" s="9" t="n">
        <v>7194.58</v>
      </c>
      <c r="Q1155" s="7" t="inlineStr">
        <is>
          <t>Sí</t>
        </is>
      </c>
      <c r="R1155" s="9">
        <f>IF(N1155="","",IF(Q1155="Sí",ROUND(N1155/1.18,2),N1155))</f>
        <v/>
      </c>
      <c r="S1155" s="7" t="inlineStr">
        <is>
          <t>2026-09-09</t>
        </is>
      </c>
      <c r="T1155" s="5" t="inlineStr">
        <is>
          <t>1 cotización de proveedores</t>
        </is>
      </c>
    </row>
    <row r="1156">
      <c r="A1156" s="7" t="inlineStr">
        <is>
          <t>MAT-28-003</t>
        </is>
      </c>
      <c r="B1156" s="7" t="inlineStr">
        <is>
          <t>Materiales</t>
        </is>
      </c>
      <c r="C1156" s="7" t="inlineStr">
        <is>
          <t>Alarmas y control de accesos</t>
        </is>
      </c>
      <c r="D1156" s="5" t="inlineStr">
        <is>
          <t>Panel De Control IP 48 Zonas</t>
        </is>
      </c>
      <c r="E1156" s="5" t="inlineStr">
        <is>
          <t>marca BOSCH · panel · referencia B5512</t>
        </is>
      </c>
      <c r="F1156" s="5" t="inlineStr">
        <is>
          <t>Material retirado en almacén</t>
        </is>
      </c>
      <c r="G1156" s="5" t="inlineStr"/>
      <c r="H1156" s="7" t="inlineStr">
        <is>
          <t>unidad</t>
        </is>
      </c>
      <c r="I1156" s="7" t="inlineStr">
        <is>
          <t>Instalaciones</t>
        </is>
      </c>
      <c r="J1156" s="7" t="inlineStr">
        <is>
          <t>estandar</t>
        </is>
      </c>
      <c r="K1156" s="7" t="inlineStr">
        <is>
          <t>importado</t>
        </is>
      </c>
      <c r="L1156" s="7" t="inlineStr">
        <is>
          <t>Verificado</t>
        </is>
      </c>
      <c r="M1156" s="8" t="n">
        <v>1</v>
      </c>
      <c r="N1156" s="9" t="n">
        <v>8277.66</v>
      </c>
      <c r="O1156" s="9" t="n">
        <v>8277.66</v>
      </c>
      <c r="P1156" s="9" t="n">
        <v>8277.66</v>
      </c>
      <c r="Q1156" s="7" t="inlineStr">
        <is>
          <t>Sí</t>
        </is>
      </c>
      <c r="R1156" s="9">
        <f>IF(N1156="","",IF(Q1156="Sí",ROUND(N1156/1.18,2),N1156))</f>
        <v/>
      </c>
      <c r="S1156" s="7" t="inlineStr">
        <is>
          <t>2026-09-09</t>
        </is>
      </c>
      <c r="T1156" s="5" t="inlineStr">
        <is>
          <t>1 cotización de proveedores</t>
        </is>
      </c>
    </row>
    <row r="1157">
      <c r="A1157" s="7" t="inlineStr">
        <is>
          <t>MAT-28-004</t>
        </is>
      </c>
      <c r="B1157" s="7" t="inlineStr">
        <is>
          <t>Materiales</t>
        </is>
      </c>
      <c r="C1157" s="7" t="inlineStr">
        <is>
          <t>Alarmas y control de accesos</t>
        </is>
      </c>
      <c r="D1157" s="5" t="inlineStr">
        <is>
          <t>Panel Control De Pared Plena</t>
        </is>
      </c>
      <c r="E1157" s="5" t="inlineStr">
        <is>
          <t>marca BOSCH · panel · referencia PLM-WCP</t>
        </is>
      </c>
      <c r="F1157" s="5" t="inlineStr">
        <is>
          <t>Material retirado en almacén</t>
        </is>
      </c>
      <c r="G1157" s="5" t="inlineStr"/>
      <c r="H1157" s="7" t="inlineStr">
        <is>
          <t>unidad</t>
        </is>
      </c>
      <c r="I1157" s="7" t="inlineStr">
        <is>
          <t>Instalaciones</t>
        </is>
      </c>
      <c r="J1157" s="7" t="inlineStr">
        <is>
          <t>estandar</t>
        </is>
      </c>
      <c r="K1157" s="7" t="inlineStr">
        <is>
          <t>importado</t>
        </is>
      </c>
      <c r="L1157" s="7" t="inlineStr">
        <is>
          <t>Verificado</t>
        </is>
      </c>
      <c r="M1157" s="8" t="n">
        <v>1</v>
      </c>
      <c r="N1157" s="9" t="n">
        <v>10609.4</v>
      </c>
      <c r="O1157" s="9" t="n">
        <v>10609.4</v>
      </c>
      <c r="P1157" s="9" t="n">
        <v>10609.4</v>
      </c>
      <c r="Q1157" s="7" t="inlineStr">
        <is>
          <t>Sí</t>
        </is>
      </c>
      <c r="R1157" s="9">
        <f>IF(N1157="","",IF(Q1157="Sí",ROUND(N1157/1.18,2),N1157))</f>
        <v/>
      </c>
      <c r="S1157" s="7" t="inlineStr">
        <is>
          <t>2026-09-09</t>
        </is>
      </c>
      <c r="T1157" s="5" t="inlineStr">
        <is>
          <t>1 cotización de proveedores</t>
        </is>
      </c>
    </row>
    <row r="1158">
      <c r="A1158" s="7" t="inlineStr">
        <is>
          <t>MAT-28-005</t>
        </is>
      </c>
      <c r="B1158" s="7" t="inlineStr">
        <is>
          <t>Materiales</t>
        </is>
      </c>
      <c r="C1158" s="7" t="inlineStr">
        <is>
          <t>Alarmas y control de accesos</t>
        </is>
      </c>
      <c r="D1158" s="5" t="inlineStr">
        <is>
          <t>Central de Seguridad Con Vesta-243</t>
        </is>
      </c>
      <c r="E1158" s="5" t="inlineStr">
        <is>
          <t>marca VESTA · alambricas · referencia VESTALITE</t>
        </is>
      </c>
      <c r="F1158" s="5" t="inlineStr">
        <is>
          <t>Material retirado en almacén</t>
        </is>
      </c>
      <c r="G1158" s="5" t="inlineStr"/>
      <c r="H1158" s="7" t="inlineStr">
        <is>
          <t>unidad</t>
        </is>
      </c>
      <c r="I1158" s="7" t="inlineStr">
        <is>
          <t>Instalaciones</t>
        </is>
      </c>
      <c r="J1158" s="7" t="inlineStr">
        <is>
          <t>estandar</t>
        </is>
      </c>
      <c r="K1158" s="7" t="inlineStr">
        <is>
          <t>importado</t>
        </is>
      </c>
      <c r="L1158" s="7" t="inlineStr">
        <is>
          <t>Verificado</t>
        </is>
      </c>
      <c r="M1158" s="8" t="n">
        <v>1</v>
      </c>
      <c r="N1158" s="9" t="n">
        <v>11910.4</v>
      </c>
      <c r="O1158" s="9" t="n">
        <v>11910.4</v>
      </c>
      <c r="P1158" s="9" t="n">
        <v>11910.4</v>
      </c>
      <c r="Q1158" s="7" t="inlineStr">
        <is>
          <t>Sí</t>
        </is>
      </c>
      <c r="R1158" s="9">
        <f>IF(N1158="","",IF(Q1158="Sí",ROUND(N1158/1.18,2),N1158))</f>
        <v/>
      </c>
      <c r="S1158" s="7" t="inlineStr">
        <is>
          <t>2026-09-09</t>
        </is>
      </c>
      <c r="T1158" s="5" t="inlineStr">
        <is>
          <t>1 cotización de proveedores</t>
        </is>
      </c>
    </row>
    <row r="1159">
      <c r="A1159" s="7" t="inlineStr">
        <is>
          <t>MAT-28-006</t>
        </is>
      </c>
      <c r="B1159" s="7" t="inlineStr">
        <is>
          <t>Materiales</t>
        </is>
      </c>
      <c r="C1159" s="7" t="inlineStr">
        <is>
          <t>Alarmas y control de accesos</t>
        </is>
      </c>
      <c r="D1159" s="5" t="inlineStr">
        <is>
          <t>Central Vesta de Seguridad IP+4G 320 Zonas</t>
        </is>
      </c>
      <c r="E1159" s="5" t="inlineStr">
        <is>
          <t>marca VESTA · alambricas · referencia V047N-433</t>
        </is>
      </c>
      <c r="F1159" s="5" t="inlineStr">
        <is>
          <t>Material retirado en almacén</t>
        </is>
      </c>
      <c r="G1159" s="5" t="inlineStr"/>
      <c r="H1159" s="7" t="inlineStr">
        <is>
          <t>unidad</t>
        </is>
      </c>
      <c r="I1159" s="7" t="inlineStr">
        <is>
          <t>Instalaciones</t>
        </is>
      </c>
      <c r="J1159" s="7" t="inlineStr">
        <is>
          <t>estandar</t>
        </is>
      </c>
      <c r="K1159" s="7" t="inlineStr">
        <is>
          <t>importado</t>
        </is>
      </c>
      <c r="L1159" s="7" t="inlineStr">
        <is>
          <t>Verificado</t>
        </is>
      </c>
      <c r="M1159" s="8" t="n">
        <v>1</v>
      </c>
      <c r="N1159" s="9" t="n">
        <v>13889.31</v>
      </c>
      <c r="O1159" s="9" t="n">
        <v>13889.31</v>
      </c>
      <c r="P1159" s="9" t="n">
        <v>13889.31</v>
      </c>
      <c r="Q1159" s="7" t="inlineStr">
        <is>
          <t>Sí</t>
        </is>
      </c>
      <c r="R1159" s="9">
        <f>IF(N1159="","",IF(Q1159="Sí",ROUND(N1159/1.18,2),N1159))</f>
        <v/>
      </c>
      <c r="S1159" s="7" t="inlineStr">
        <is>
          <t>2026-09-09</t>
        </is>
      </c>
      <c r="T1159" s="5" t="inlineStr">
        <is>
          <t>1 cotización de proveedores</t>
        </is>
      </c>
    </row>
    <row r="1160">
      <c r="A1160" s="7" t="inlineStr">
        <is>
          <t>MAT-28-007</t>
        </is>
      </c>
      <c r="B1160" s="7" t="inlineStr">
        <is>
          <t>Materiales</t>
        </is>
      </c>
      <c r="C1160" s="7" t="inlineStr">
        <is>
          <t>Alarmas y control de accesos</t>
        </is>
      </c>
      <c r="D1160" s="5" t="inlineStr">
        <is>
          <t>Central Híbrida Vestade Hasta 320 Zonas</t>
        </is>
      </c>
      <c r="E1160" s="5" t="inlineStr">
        <is>
          <t>marca VESTA · alambricas · referencia V113N-433</t>
        </is>
      </c>
      <c r="F1160" s="5" t="inlineStr">
        <is>
          <t>Material retirado en almacén</t>
        </is>
      </c>
      <c r="G1160" s="5" t="inlineStr"/>
      <c r="H1160" s="7" t="inlineStr">
        <is>
          <t>unidad</t>
        </is>
      </c>
      <c r="I1160" s="7" t="inlineStr">
        <is>
          <t>Instalaciones</t>
        </is>
      </c>
      <c r="J1160" s="7" t="inlineStr">
        <is>
          <t>estandar</t>
        </is>
      </c>
      <c r="K1160" s="7" t="inlineStr">
        <is>
          <t>importado</t>
        </is>
      </c>
      <c r="L1160" s="7" t="inlineStr">
        <is>
          <t>Verificado</t>
        </is>
      </c>
      <c r="M1160" s="8" t="n">
        <v>1</v>
      </c>
      <c r="N1160" s="9" t="n">
        <v>19216.09</v>
      </c>
      <c r="O1160" s="9" t="n">
        <v>19216.09</v>
      </c>
      <c r="P1160" s="9" t="n">
        <v>19216.09</v>
      </c>
      <c r="Q1160" s="7" t="inlineStr">
        <is>
          <t>Sí</t>
        </is>
      </c>
      <c r="R1160" s="9">
        <f>IF(N1160="","",IF(Q1160="Sí",ROUND(N1160/1.18,2),N1160))</f>
        <v/>
      </c>
      <c r="S1160" s="7" t="inlineStr">
        <is>
          <t>2026-09-09</t>
        </is>
      </c>
      <c r="T1160" s="5" t="inlineStr">
        <is>
          <t>1 cotización de proveedores</t>
        </is>
      </c>
    </row>
    <row r="1161">
      <c r="A1161" s="7" t="inlineStr">
        <is>
          <t>MAT-28-008</t>
        </is>
      </c>
      <c r="B1161" s="7" t="inlineStr">
        <is>
          <t>Materiales</t>
        </is>
      </c>
      <c r="C1161" s="7" t="inlineStr">
        <is>
          <t>Alarmas y control de accesos</t>
        </is>
      </c>
      <c r="D1161" s="5" t="inlineStr">
        <is>
          <t>Central de Seguridad IP con Vesta-047N</t>
        </is>
      </c>
      <c r="E1161" s="5" t="inlineStr">
        <is>
          <t>marca VESTA · alambricas · referencia VESTA4G</t>
        </is>
      </c>
      <c r="F1161" s="5" t="inlineStr">
        <is>
          <t>Material retirado en almacén</t>
        </is>
      </c>
      <c r="G1161" s="5" t="inlineStr"/>
      <c r="H1161" s="7" t="inlineStr">
        <is>
          <t>unidad</t>
        </is>
      </c>
      <c r="I1161" s="7" t="inlineStr">
        <is>
          <t>Instalaciones</t>
        </is>
      </c>
      <c r="J1161" s="7" t="inlineStr">
        <is>
          <t>estandar</t>
        </is>
      </c>
      <c r="K1161" s="7" t="inlineStr">
        <is>
          <t>importado</t>
        </is>
      </c>
      <c r="L1161" s="7" t="inlineStr">
        <is>
          <t>Verificado</t>
        </is>
      </c>
      <c r="M1161" s="8" t="n">
        <v>1</v>
      </c>
      <c r="N1161" s="9" t="n">
        <v>19632.39</v>
      </c>
      <c r="O1161" s="9" t="n">
        <v>19632.39</v>
      </c>
      <c r="P1161" s="9" t="n">
        <v>19632.39</v>
      </c>
      <c r="Q1161" s="7" t="inlineStr">
        <is>
          <t>Sí</t>
        </is>
      </c>
      <c r="R1161" s="9">
        <f>IF(N1161="","",IF(Q1161="Sí",ROUND(N1161/1.18,2),N1161))</f>
        <v/>
      </c>
      <c r="S1161" s="7" t="inlineStr">
        <is>
          <t>2026-09-09</t>
        </is>
      </c>
      <c r="T1161" s="5" t="inlineStr">
        <is>
          <t>1 cotización de proveedores</t>
        </is>
      </c>
    </row>
    <row r="1162">
      <c r="A1162" s="7" t="inlineStr">
        <is>
          <t>MAT-28-009</t>
        </is>
      </c>
      <c r="B1162" s="7" t="inlineStr">
        <is>
          <t>Materiales</t>
        </is>
      </c>
      <c r="C1162" s="7" t="inlineStr">
        <is>
          <t>Alarmas y control de accesos</t>
        </is>
      </c>
      <c r="D1162" s="5" t="inlineStr">
        <is>
          <t>Panel De Control 32-Areas</t>
        </is>
      </c>
      <c r="E1162" s="5" t="inlineStr">
        <is>
          <t>marca BOSCH · accesorios para alarmas · referencia B9512G</t>
        </is>
      </c>
      <c r="F1162" s="5" t="inlineStr">
        <is>
          <t>Material retirado en almacén</t>
        </is>
      </c>
      <c r="G1162" s="5" t="inlineStr"/>
      <c r="H1162" s="7" t="inlineStr">
        <is>
          <t>unidad</t>
        </is>
      </c>
      <c r="I1162" s="7" t="inlineStr">
        <is>
          <t>Instalaciones</t>
        </is>
      </c>
      <c r="J1162" s="7" t="inlineStr">
        <is>
          <t>estandar</t>
        </is>
      </c>
      <c r="K1162" s="7" t="inlineStr">
        <is>
          <t>importado</t>
        </is>
      </c>
      <c r="L1162" s="7" t="inlineStr">
        <is>
          <t>Verificado</t>
        </is>
      </c>
      <c r="M1162" s="8" t="n">
        <v>1</v>
      </c>
      <c r="N1162" s="9" t="n">
        <v>23000.86</v>
      </c>
      <c r="O1162" s="9" t="n">
        <v>23000.86</v>
      </c>
      <c r="P1162" s="9" t="n">
        <v>23000.86</v>
      </c>
      <c r="Q1162" s="7" t="inlineStr">
        <is>
          <t>Sí</t>
        </is>
      </c>
      <c r="R1162" s="9">
        <f>IF(N1162="","",IF(Q1162="Sí",ROUND(N1162/1.18,2),N1162))</f>
        <v/>
      </c>
      <c r="S1162" s="7" t="inlineStr">
        <is>
          <t>2026-09-09</t>
        </is>
      </c>
      <c r="T1162" s="5" t="inlineStr">
        <is>
          <t>1 cotización de proveedores</t>
        </is>
      </c>
    </row>
    <row r="1163">
      <c r="A1163" s="7" t="inlineStr">
        <is>
          <t>MAT-28-010</t>
        </is>
      </c>
      <c r="B1163" s="7" t="inlineStr">
        <is>
          <t>Materiales</t>
        </is>
      </c>
      <c r="C1163" s="7" t="inlineStr">
        <is>
          <t>Alarmas y control de accesos</t>
        </is>
      </c>
      <c r="D1163" s="5" t="inlineStr">
        <is>
          <t>Teclado Basico 2 Lineas</t>
        </is>
      </c>
      <c r="E1163" s="5" t="inlineStr">
        <is>
          <t>marca BOSCH · teclados · referencia B915</t>
        </is>
      </c>
      <c r="F1163" s="5" t="inlineStr">
        <is>
          <t>Material retirado en almacén</t>
        </is>
      </c>
      <c r="G1163" s="5" t="inlineStr"/>
      <c r="H1163" s="7" t="inlineStr">
        <is>
          <t>unidad</t>
        </is>
      </c>
      <c r="I1163" s="7" t="inlineStr">
        <is>
          <t>Instalaciones</t>
        </is>
      </c>
      <c r="J1163" s="7" t="inlineStr">
        <is>
          <t>estandar</t>
        </is>
      </c>
      <c r="K1163" s="7" t="inlineStr">
        <is>
          <t>importado</t>
        </is>
      </c>
      <c r="L1163" s="7" t="inlineStr">
        <is>
          <t>Verificado</t>
        </is>
      </c>
      <c r="M1163" s="8" t="n">
        <v>1</v>
      </c>
      <c r="N1163" s="9" t="n">
        <v>3449.44</v>
      </c>
      <c r="O1163" s="9" t="n">
        <v>3449.44</v>
      </c>
      <c r="P1163" s="9" t="n">
        <v>3449.44</v>
      </c>
      <c r="Q1163" s="7" t="inlineStr">
        <is>
          <t>Sí</t>
        </is>
      </c>
      <c r="R1163" s="9">
        <f>IF(N1163="","",IF(Q1163="Sí",ROUND(N1163/1.18,2),N1163))</f>
        <v/>
      </c>
      <c r="S1163" s="7" t="inlineStr">
        <is>
          <t>2026-09-09</t>
        </is>
      </c>
      <c r="T1163" s="5" t="inlineStr">
        <is>
          <t>1 cotización de proveedores</t>
        </is>
      </c>
    </row>
    <row r="1164">
      <c r="A1164" s="7" t="inlineStr">
        <is>
          <t>MAT-28-011</t>
        </is>
      </c>
      <c r="B1164" s="7" t="inlineStr">
        <is>
          <t>Materiales</t>
        </is>
      </c>
      <c r="C1164" s="7" t="inlineStr">
        <is>
          <t>Alarmas y control de accesos</t>
        </is>
      </c>
      <c r="D1164" s="5" t="inlineStr">
        <is>
          <t>Teclado inalámbrico con Lector De Proximi</t>
        </is>
      </c>
      <c r="E1164" s="5" t="inlineStr">
        <is>
          <t>marca VESTA · accesorios para alarmas · referencia VESTA-012-433</t>
        </is>
      </c>
      <c r="F1164" s="5" t="inlineStr">
        <is>
          <t>Material retirado en almacén</t>
        </is>
      </c>
      <c r="G1164" s="5" t="inlineStr"/>
      <c r="H1164" s="7" t="inlineStr">
        <is>
          <t>unidad</t>
        </is>
      </c>
      <c r="I1164" s="7" t="inlineStr">
        <is>
          <t>Instalaciones</t>
        </is>
      </c>
      <c r="J1164" s="7" t="inlineStr">
        <is>
          <t>estandar</t>
        </is>
      </c>
      <c r="K1164" s="7" t="inlineStr">
        <is>
          <t>importado</t>
        </is>
      </c>
      <c r="L1164" s="7" t="inlineStr">
        <is>
          <t>Verificado</t>
        </is>
      </c>
      <c r="M1164" s="8" t="n">
        <v>1</v>
      </c>
      <c r="N1164" s="9" t="n">
        <v>3869.01</v>
      </c>
      <c r="O1164" s="9" t="n">
        <v>3869.01</v>
      </c>
      <c r="P1164" s="9" t="n">
        <v>3869.01</v>
      </c>
      <c r="Q1164" s="7" t="inlineStr">
        <is>
          <t>Sí</t>
        </is>
      </c>
      <c r="R1164" s="9">
        <f>IF(N1164="","",IF(Q1164="Sí",ROUND(N1164/1.18,2),N1164))</f>
        <v/>
      </c>
      <c r="S1164" s="7" t="inlineStr">
        <is>
          <t>2026-09-09</t>
        </is>
      </c>
      <c r="T1164" s="5" t="inlineStr">
        <is>
          <t>1 cotización de proveedores</t>
        </is>
      </c>
    </row>
    <row r="1165">
      <c r="A1165" s="7" t="inlineStr">
        <is>
          <t>MAT-28-012</t>
        </is>
      </c>
      <c r="B1165" s="7" t="inlineStr">
        <is>
          <t>Materiales</t>
        </is>
      </c>
      <c r="C1165" s="7" t="inlineStr">
        <is>
          <t>Alarmas y control de accesos</t>
        </is>
      </c>
      <c r="D1165" s="5" t="inlineStr">
        <is>
          <t>Teclado Con Funciones B920</t>
        </is>
      </c>
      <c r="E1165" s="5" t="inlineStr">
        <is>
          <t>marca BOSCH · teclados · referencia B920</t>
        </is>
      </c>
      <c r="F1165" s="5" t="inlineStr">
        <is>
          <t>Material retirado en almacén</t>
        </is>
      </c>
      <c r="G1165" s="5" t="inlineStr"/>
      <c r="H1165" s="7" t="inlineStr">
        <is>
          <t>unidad</t>
        </is>
      </c>
      <c r="I1165" s="7" t="inlineStr">
        <is>
          <t>Instalaciones</t>
        </is>
      </c>
      <c r="J1165" s="7" t="inlineStr">
        <is>
          <t>estandar</t>
        </is>
      </c>
      <c r="K1165" s="7" t="inlineStr">
        <is>
          <t>importado</t>
        </is>
      </c>
      <c r="L1165" s="7" t="inlineStr">
        <is>
          <t>Verificado</t>
        </is>
      </c>
      <c r="M1165" s="8" t="n">
        <v>1</v>
      </c>
      <c r="N1165" s="9" t="n">
        <v>5376.57</v>
      </c>
      <c r="O1165" s="9" t="n">
        <v>5376.57</v>
      </c>
      <c r="P1165" s="9" t="n">
        <v>5376.57</v>
      </c>
      <c r="Q1165" s="7" t="inlineStr">
        <is>
          <t>Sí</t>
        </is>
      </c>
      <c r="R1165" s="9">
        <f>IF(N1165="","",IF(Q1165="Sí",ROUND(N1165/1.18,2),N1165))</f>
        <v/>
      </c>
      <c r="S1165" s="7" t="inlineStr">
        <is>
          <t>2026-09-09</t>
        </is>
      </c>
      <c r="T1165" s="5" t="inlineStr">
        <is>
          <t>1 cotización de proveedores</t>
        </is>
      </c>
    </row>
    <row r="1166">
      <c r="A1166" s="7" t="inlineStr">
        <is>
          <t>MAT-28-013</t>
        </is>
      </c>
      <c r="B1166" s="7" t="inlineStr">
        <is>
          <t>Materiales</t>
        </is>
      </c>
      <c r="C1166" s="7" t="inlineStr">
        <is>
          <t>Alarmas y control de accesos</t>
        </is>
      </c>
      <c r="D1166" s="5" t="inlineStr">
        <is>
          <t>Teclado De Control Y Anunciador LCD</t>
        </is>
      </c>
      <c r="E1166" s="5" t="inlineStr">
        <is>
          <t>marca BOSCH · teclados · referencia FMR-7033</t>
        </is>
      </c>
      <c r="F1166" s="5" t="inlineStr">
        <is>
          <t>Material retirado en almacén</t>
        </is>
      </c>
      <c r="G1166" s="5" t="inlineStr"/>
      <c r="H1166" s="7" t="inlineStr">
        <is>
          <t>unidad</t>
        </is>
      </c>
      <c r="I1166" s="7" t="inlineStr">
        <is>
          <t>Instalaciones</t>
        </is>
      </c>
      <c r="J1166" s="7" t="inlineStr">
        <is>
          <t>estandar</t>
        </is>
      </c>
      <c r="K1166" s="7" t="inlineStr">
        <is>
          <t>importado</t>
        </is>
      </c>
      <c r="L1166" s="7" t="inlineStr">
        <is>
          <t>Verificado</t>
        </is>
      </c>
      <c r="M1166" s="8" t="n">
        <v>1</v>
      </c>
      <c r="N1166" s="9" t="n">
        <v>5376.57</v>
      </c>
      <c r="O1166" s="9" t="n">
        <v>5376.57</v>
      </c>
      <c r="P1166" s="9" t="n">
        <v>5376.57</v>
      </c>
      <c r="Q1166" s="7" t="inlineStr">
        <is>
          <t>Sí</t>
        </is>
      </c>
      <c r="R1166" s="9">
        <f>IF(N1166="","",IF(Q1166="Sí",ROUND(N1166/1.18,2),N1166))</f>
        <v/>
      </c>
      <c r="S1166" s="7" t="inlineStr">
        <is>
          <t>2026-09-09</t>
        </is>
      </c>
      <c r="T1166" s="5" t="inlineStr">
        <is>
          <t>1 cotización de proveedores</t>
        </is>
      </c>
    </row>
    <row r="1167">
      <c r="A1167" s="7" t="inlineStr">
        <is>
          <t>MAT-28-014</t>
        </is>
      </c>
      <c r="B1167" s="7" t="inlineStr">
        <is>
          <t>Materiales</t>
        </is>
      </c>
      <c r="C1167" s="7" t="inlineStr">
        <is>
          <t>Alarmas y control de accesos</t>
        </is>
      </c>
      <c r="D1167" s="5" t="inlineStr">
        <is>
          <t>Teclado Capacitvo 2 Lineas</t>
        </is>
      </c>
      <c r="E1167" s="5" t="inlineStr">
        <is>
          <t>marca BOSCH · teclados · referencia B921C</t>
        </is>
      </c>
      <c r="F1167" s="5" t="inlineStr">
        <is>
          <t>Material retirado en almacén</t>
        </is>
      </c>
      <c r="G1167" s="5" t="inlineStr"/>
      <c r="H1167" s="7" t="inlineStr">
        <is>
          <t>unidad</t>
        </is>
      </c>
      <c r="I1167" s="7" t="inlineStr">
        <is>
          <t>Instalaciones</t>
        </is>
      </c>
      <c r="J1167" s="7" t="inlineStr">
        <is>
          <t>estandar</t>
        </is>
      </c>
      <c r="K1167" s="7" t="inlineStr">
        <is>
          <t>importado</t>
        </is>
      </c>
      <c r="L1167" s="7" t="inlineStr">
        <is>
          <t>Verificado</t>
        </is>
      </c>
      <c r="M1167" s="8" t="n">
        <v>1</v>
      </c>
      <c r="N1167" s="9" t="n">
        <v>6547.98</v>
      </c>
      <c r="O1167" s="9" t="n">
        <v>6547.98</v>
      </c>
      <c r="P1167" s="9" t="n">
        <v>6547.98</v>
      </c>
      <c r="Q1167" s="7" t="inlineStr">
        <is>
          <t>Sí</t>
        </is>
      </c>
      <c r="R1167" s="9">
        <f>IF(N1167="","",IF(Q1167="Sí",ROUND(N1167/1.18,2),N1167))</f>
        <v/>
      </c>
      <c r="S1167" s="7" t="inlineStr">
        <is>
          <t>2026-09-09</t>
        </is>
      </c>
      <c r="T1167" s="5" t="inlineStr">
        <is>
          <t>1 cotización de proveedores</t>
        </is>
      </c>
    </row>
    <row r="1168">
      <c r="A1168" s="7" t="inlineStr">
        <is>
          <t>MAT-28-015</t>
        </is>
      </c>
      <c r="B1168" s="7" t="inlineStr">
        <is>
          <t>Materiales</t>
        </is>
      </c>
      <c r="C1168" s="7" t="inlineStr">
        <is>
          <t>Alarmas y control de accesos</t>
        </is>
      </c>
      <c r="D1168" s="5" t="inlineStr">
        <is>
          <t>Teclado Para Fuego E Intrusión</t>
        </is>
      </c>
      <c r="E1168" s="5" t="inlineStr">
        <is>
          <t>marca BOSCH · teclados · referencia B925F</t>
        </is>
      </c>
      <c r="F1168" s="5" t="inlineStr">
        <is>
          <t>Material retirado en almacén</t>
        </is>
      </c>
      <c r="G1168" s="5" t="inlineStr"/>
      <c r="H1168" s="7" t="inlineStr">
        <is>
          <t>unidad</t>
        </is>
      </c>
      <c r="I1168" s="7" t="inlineStr">
        <is>
          <t>Instalaciones</t>
        </is>
      </c>
      <c r="J1168" s="7" t="inlineStr">
        <is>
          <t>estandar</t>
        </is>
      </c>
      <c r="K1168" s="7" t="inlineStr">
        <is>
          <t>importado</t>
        </is>
      </c>
      <c r="L1168" s="7" t="inlineStr">
        <is>
          <t>Verificado</t>
        </is>
      </c>
      <c r="M1168" s="8" t="n">
        <v>1</v>
      </c>
      <c r="N1168" s="9" t="n">
        <v>7211.08</v>
      </c>
      <c r="O1168" s="9" t="n">
        <v>7211.08</v>
      </c>
      <c r="P1168" s="9" t="n">
        <v>7211.08</v>
      </c>
      <c r="Q1168" s="7" t="inlineStr">
        <is>
          <t>Sí</t>
        </is>
      </c>
      <c r="R1168" s="9">
        <f>IF(N1168="","",IF(Q1168="Sí",ROUND(N1168/1.18,2),N1168))</f>
        <v/>
      </c>
      <c r="S1168" s="7" t="inlineStr">
        <is>
          <t>2026-09-09</t>
        </is>
      </c>
      <c r="T1168" s="5" t="inlineStr">
        <is>
          <t>1 cotización de proveedores</t>
        </is>
      </c>
    </row>
    <row r="1169">
      <c r="A1169" s="7" t="inlineStr">
        <is>
          <t>MAT-28-016</t>
        </is>
      </c>
      <c r="B1169" s="7" t="inlineStr">
        <is>
          <t>Materiales</t>
        </is>
      </c>
      <c r="C1169" s="7" t="inlineStr">
        <is>
          <t>Alarmas y control de accesos</t>
        </is>
      </c>
      <c r="D1169" s="5" t="inlineStr">
        <is>
          <t>Teclado inalámbrico con Lector de proximidad+Sirena</t>
        </is>
      </c>
      <c r="E1169" s="5" t="inlineStr">
        <is>
          <t>marca VESTA · accesorios para alarmas · referencia VESTA-307-433</t>
        </is>
      </c>
      <c r="F1169" s="5" t="inlineStr">
        <is>
          <t>Material retirado en almacén</t>
        </is>
      </c>
      <c r="G1169" s="5" t="inlineStr"/>
      <c r="H1169" s="7" t="inlineStr">
        <is>
          <t>unidad</t>
        </is>
      </c>
      <c r="I1169" s="7" t="inlineStr">
        <is>
          <t>Instalaciones</t>
        </is>
      </c>
      <c r="J1169" s="7" t="inlineStr">
        <is>
          <t>estandar</t>
        </is>
      </c>
      <c r="K1169" s="7" t="inlineStr">
        <is>
          <t>importado</t>
        </is>
      </c>
      <c r="L1169" s="7" t="inlineStr">
        <is>
          <t>Verificado</t>
        </is>
      </c>
      <c r="M1169" s="8" t="n">
        <v>1</v>
      </c>
      <c r="N1169" s="9" t="n">
        <v>7359.61</v>
      </c>
      <c r="O1169" s="9" t="n">
        <v>7359.61</v>
      </c>
      <c r="P1169" s="9" t="n">
        <v>7359.61</v>
      </c>
      <c r="Q1169" s="7" t="inlineStr">
        <is>
          <t>Sí</t>
        </is>
      </c>
      <c r="R1169" s="9">
        <f>IF(N1169="","",IF(Q1169="Sí",ROUND(N1169/1.18,2),N1169))</f>
        <v/>
      </c>
      <c r="S1169" s="7" t="inlineStr">
        <is>
          <t>2026-09-09</t>
        </is>
      </c>
      <c r="T1169" s="5" t="inlineStr">
        <is>
          <t>1 cotización de proveedores</t>
        </is>
      </c>
    </row>
    <row r="1170">
      <c r="A1170" s="7" t="inlineStr">
        <is>
          <t>MAT-28-017</t>
        </is>
      </c>
      <c r="B1170" s="7" t="inlineStr">
        <is>
          <t>Materiales</t>
        </is>
      </c>
      <c r="C1170" s="7" t="inlineStr">
        <is>
          <t>Alarmas y control de accesos</t>
        </is>
      </c>
      <c r="D1170" s="5" t="inlineStr">
        <is>
          <t>Teclado Rf(F1)+Cableado con Lector Mifare</t>
        </is>
      </c>
      <c r="E1170" s="5" t="inlineStr">
        <is>
          <t>marca VESTA · accesorios para alarmas · referencia VESTA-125N-433</t>
        </is>
      </c>
      <c r="F1170" s="5" t="inlineStr">
        <is>
          <t>Material retirado en almacén</t>
        </is>
      </c>
      <c r="G1170" s="5" t="inlineStr"/>
      <c r="H1170" s="7" t="inlineStr">
        <is>
          <t>unidad</t>
        </is>
      </c>
      <c r="I1170" s="7" t="inlineStr">
        <is>
          <t>Instalaciones</t>
        </is>
      </c>
      <c r="J1170" s="7" t="inlineStr">
        <is>
          <t>estandar</t>
        </is>
      </c>
      <c r="K1170" s="7" t="inlineStr">
        <is>
          <t>importado</t>
        </is>
      </c>
      <c r="L1170" s="7" t="inlineStr">
        <is>
          <t>Verificado</t>
        </is>
      </c>
      <c r="M1170" s="8" t="n">
        <v>1</v>
      </c>
      <c r="N1170" s="9" t="n">
        <v>7523.11</v>
      </c>
      <c r="O1170" s="9" t="n">
        <v>7523.11</v>
      </c>
      <c r="P1170" s="9" t="n">
        <v>7523.11</v>
      </c>
      <c r="Q1170" s="7" t="inlineStr">
        <is>
          <t>Sí</t>
        </is>
      </c>
      <c r="R1170" s="9">
        <f>IF(N1170="","",IF(Q1170="Sí",ROUND(N1170/1.18,2),N1170))</f>
        <v/>
      </c>
      <c r="S1170" s="7" t="inlineStr">
        <is>
          <t>2026-09-09</t>
        </is>
      </c>
      <c r="T1170" s="5" t="inlineStr">
        <is>
          <t>1 cotización de proveedores</t>
        </is>
      </c>
    </row>
    <row r="1171">
      <c r="A1171" s="7" t="inlineStr">
        <is>
          <t>MAT-28-018</t>
        </is>
      </c>
      <c r="B1171" s="7" t="inlineStr">
        <is>
          <t>Materiales</t>
        </is>
      </c>
      <c r="C1171" s="7" t="inlineStr">
        <is>
          <t>Alarmas y control de accesos</t>
        </is>
      </c>
      <c r="D1171" s="5" t="inlineStr">
        <is>
          <t>Teclado Tactil</t>
        </is>
      </c>
      <c r="E1171" s="5" t="inlineStr">
        <is>
          <t>marca BOSCH · teclados · referencia B942W</t>
        </is>
      </c>
      <c r="F1171" s="5" t="inlineStr">
        <is>
          <t>Material retirado en almacén</t>
        </is>
      </c>
      <c r="G1171" s="5" t="inlineStr"/>
      <c r="H1171" s="7" t="inlineStr">
        <is>
          <t>unidad</t>
        </is>
      </c>
      <c r="I1171" s="7" t="inlineStr">
        <is>
          <t>Instalaciones</t>
        </is>
      </c>
      <c r="J1171" s="7" t="inlineStr">
        <is>
          <t>estandar</t>
        </is>
      </c>
      <c r="K1171" s="7" t="inlineStr">
        <is>
          <t>importado</t>
        </is>
      </c>
      <c r="L1171" s="7" t="inlineStr">
        <is>
          <t>Verificado</t>
        </is>
      </c>
      <c r="M1171" s="8" t="n">
        <v>1</v>
      </c>
      <c r="N1171" s="9" t="n">
        <v>13205.36</v>
      </c>
      <c r="O1171" s="9" t="n">
        <v>13205.36</v>
      </c>
      <c r="P1171" s="9" t="n">
        <v>13205.36</v>
      </c>
      <c r="Q1171" s="7" t="inlineStr">
        <is>
          <t>Sí</t>
        </is>
      </c>
      <c r="R1171" s="9">
        <f>IF(N1171="","",IF(Q1171="Sí",ROUND(N1171/1.18,2),N1171))</f>
        <v/>
      </c>
      <c r="S1171" s="7" t="inlineStr">
        <is>
          <t>2026-09-09</t>
        </is>
      </c>
      <c r="T1171" s="5" t="inlineStr">
        <is>
          <t>1 cotización de proveedores</t>
        </is>
      </c>
    </row>
    <row r="1172">
      <c r="A1172" s="7" t="inlineStr">
        <is>
          <t>MAT-28-019</t>
        </is>
      </c>
      <c r="B1172" s="7" t="inlineStr">
        <is>
          <t>Materiales</t>
        </is>
      </c>
      <c r="C1172" s="7" t="inlineStr">
        <is>
          <t>Alarmas y control de accesos</t>
        </is>
      </c>
      <c r="D1172" s="5" t="inlineStr">
        <is>
          <t>Contactos De Puerta</t>
        </is>
      </c>
      <c r="E1172" s="5" t="inlineStr">
        <is>
          <t>marca BOSCH · accesorios para alarmas · referencia ISN-CMET-4418</t>
        </is>
      </c>
      <c r="F1172" s="5" t="inlineStr">
        <is>
          <t>Material retirado en almacén</t>
        </is>
      </c>
      <c r="G1172" s="5" t="inlineStr"/>
      <c r="H1172" s="7" t="inlineStr">
        <is>
          <t>unidad</t>
        </is>
      </c>
      <c r="I1172" s="7" t="inlineStr">
        <is>
          <t>Instalaciones</t>
        </is>
      </c>
      <c r="J1172" s="7" t="inlineStr">
        <is>
          <t>estandar</t>
        </is>
      </c>
      <c r="K1172" s="7" t="inlineStr">
        <is>
          <t>importado</t>
        </is>
      </c>
      <c r="L1172" s="7" t="inlineStr">
        <is>
          <t>Verificado</t>
        </is>
      </c>
      <c r="M1172" s="8" t="n">
        <v>1</v>
      </c>
      <c r="N1172" s="9" t="n">
        <v>696.26</v>
      </c>
      <c r="O1172" s="9" t="n">
        <v>696.26</v>
      </c>
      <c r="P1172" s="9" t="n">
        <v>696.26</v>
      </c>
      <c r="Q1172" s="7" t="inlineStr">
        <is>
          <t>Sí</t>
        </is>
      </c>
      <c r="R1172" s="9">
        <f>IF(N1172="","",IF(Q1172="Sí",ROUND(N1172/1.18,2),N1172))</f>
        <v/>
      </c>
      <c r="S1172" s="7" t="inlineStr">
        <is>
          <t>2026-09-09</t>
        </is>
      </c>
      <c r="T1172" s="5" t="inlineStr">
        <is>
          <t>1 cotización de proveedores</t>
        </is>
      </c>
    </row>
    <row r="1173">
      <c r="A1173" s="7" t="inlineStr">
        <is>
          <t>MAT-28-020</t>
        </is>
      </c>
      <c r="B1173" s="7" t="inlineStr">
        <is>
          <t>Materiales</t>
        </is>
      </c>
      <c r="C1173" s="7" t="inlineStr">
        <is>
          <t>Alarmas y control de accesos</t>
        </is>
      </c>
      <c r="D1173" s="5" t="inlineStr">
        <is>
          <t>Sensor De Flexion inalámbrico</t>
        </is>
      </c>
      <c r="E1173" s="5" t="inlineStr">
        <is>
          <t>marca LINSEG · sensores · referencia SFI3577172</t>
        </is>
      </c>
      <c r="F1173" s="5" t="inlineStr">
        <is>
          <t>Material retirado en almacén</t>
        </is>
      </c>
      <c r="G1173" s="5" t="inlineStr"/>
      <c r="H1173" s="7" t="inlineStr">
        <is>
          <t>unidad</t>
        </is>
      </c>
      <c r="I1173" s="7" t="inlineStr">
        <is>
          <t>Instalaciones</t>
        </is>
      </c>
      <c r="J1173" s="7" t="inlineStr">
        <is>
          <t>estandar</t>
        </is>
      </c>
      <c r="K1173" s="7" t="inlineStr">
        <is>
          <t>importado</t>
        </is>
      </c>
      <c r="L1173" s="7" t="inlineStr">
        <is>
          <t>Verificado</t>
        </is>
      </c>
      <c r="M1173" s="8" t="n">
        <v>1</v>
      </c>
      <c r="N1173" s="9" t="n">
        <v>754.84</v>
      </c>
      <c r="O1173" s="9" t="n">
        <v>754.84</v>
      </c>
      <c r="P1173" s="9" t="n">
        <v>754.84</v>
      </c>
      <c r="Q1173" s="7" t="inlineStr">
        <is>
          <t>Sí</t>
        </is>
      </c>
      <c r="R1173" s="9">
        <f>IF(N1173="","",IF(Q1173="Sí",ROUND(N1173/1.18,2),N1173))</f>
        <v/>
      </c>
      <c r="S1173" s="7" t="inlineStr">
        <is>
          <t>2026-09-09</t>
        </is>
      </c>
      <c r="T1173" s="5" t="inlineStr">
        <is>
          <t>1 cotización de proveedores</t>
        </is>
      </c>
    </row>
    <row r="1174">
      <c r="A1174" s="7" t="inlineStr">
        <is>
          <t>MAT-28-021</t>
        </is>
      </c>
      <c r="B1174" s="7" t="inlineStr">
        <is>
          <t>Materiales</t>
        </is>
      </c>
      <c r="C1174" s="7" t="inlineStr">
        <is>
          <t>Alarmas y control de accesos</t>
        </is>
      </c>
      <c r="D1174" s="5" t="inlineStr">
        <is>
          <t>Sensor magnético para Puertas Y Ventanas</t>
        </is>
      </c>
      <c r="E1174" s="5" t="inlineStr">
        <is>
          <t>marca AMC · accesorios para alarmas · referencia CM-400</t>
        </is>
      </c>
      <c r="F1174" s="5" t="inlineStr">
        <is>
          <t>Material retirado en almacén</t>
        </is>
      </c>
      <c r="G1174" s="5" t="inlineStr"/>
      <c r="H1174" s="7" t="inlineStr">
        <is>
          <t>unidad</t>
        </is>
      </c>
      <c r="I1174" s="7" t="inlineStr">
        <is>
          <t>Instalaciones</t>
        </is>
      </c>
      <c r="J1174" s="7" t="inlineStr">
        <is>
          <t>estandar</t>
        </is>
      </c>
      <c r="K1174" s="7" t="inlineStr">
        <is>
          <t>importado</t>
        </is>
      </c>
      <c r="L1174" s="7" t="inlineStr">
        <is>
          <t>Verificado</t>
        </is>
      </c>
      <c r="M1174" s="8" t="n">
        <v>1</v>
      </c>
      <c r="N1174" s="9" t="n">
        <v>784.09</v>
      </c>
      <c r="O1174" s="9" t="n">
        <v>784.09</v>
      </c>
      <c r="P1174" s="9" t="n">
        <v>784.09</v>
      </c>
      <c r="Q1174" s="7" t="inlineStr">
        <is>
          <t>Sí</t>
        </is>
      </c>
      <c r="R1174" s="9">
        <f>IF(N1174="","",IF(Q1174="Sí",ROUND(N1174/1.18,2),N1174))</f>
        <v/>
      </c>
      <c r="S1174" s="7" t="inlineStr">
        <is>
          <t>2026-09-09</t>
        </is>
      </c>
      <c r="T1174" s="5" t="inlineStr">
        <is>
          <t>1 cotización de proveedores</t>
        </is>
      </c>
    </row>
    <row r="1175">
      <c r="A1175" s="7" t="inlineStr">
        <is>
          <t>MAT-28-022</t>
        </is>
      </c>
      <c r="B1175" s="7" t="inlineStr">
        <is>
          <t>Materiales</t>
        </is>
      </c>
      <c r="C1175" s="7" t="inlineStr">
        <is>
          <t>Alarmas y control de accesos</t>
        </is>
      </c>
      <c r="D1175" s="5" t="inlineStr">
        <is>
          <t>Detector Movimiento infrarrojo 12 Mt</t>
        </is>
      </c>
      <c r="E1175" s="5" t="inlineStr">
        <is>
          <t>marca BOSCH · accesorios para alarmas · referencia ISC-BPR2-WP12</t>
        </is>
      </c>
      <c r="F1175" s="5" t="inlineStr">
        <is>
          <t>Material retirado en almacén</t>
        </is>
      </c>
      <c r="G1175" s="5" t="inlineStr"/>
      <c r="H1175" s="7" t="inlineStr">
        <is>
          <t>unidad</t>
        </is>
      </c>
      <c r="I1175" s="7" t="inlineStr">
        <is>
          <t>Instalaciones</t>
        </is>
      </c>
      <c r="J1175" s="7" t="inlineStr">
        <is>
          <t>estandar</t>
        </is>
      </c>
      <c r="K1175" s="7" t="inlineStr">
        <is>
          <t>importado</t>
        </is>
      </c>
      <c r="L1175" s="7" t="inlineStr">
        <is>
          <t>Verificado</t>
        </is>
      </c>
      <c r="M1175" s="8" t="n">
        <v>1</v>
      </c>
      <c r="N1175" s="9" t="n">
        <v>820.3</v>
      </c>
      <c r="O1175" s="9" t="n">
        <v>820.3</v>
      </c>
      <c r="P1175" s="9" t="n">
        <v>820.3</v>
      </c>
      <c r="Q1175" s="7" t="inlineStr">
        <is>
          <t>Sí</t>
        </is>
      </c>
      <c r="R1175" s="9">
        <f>IF(N1175="","",IF(Q1175="Sí",ROUND(N1175/1.18,2),N1175))</f>
        <v/>
      </c>
      <c r="S1175" s="7" t="inlineStr">
        <is>
          <t>2026-09-09</t>
        </is>
      </c>
      <c r="T1175" s="5" t="inlineStr">
        <is>
          <t>1 cotización de proveedores</t>
        </is>
      </c>
    </row>
    <row r="1176">
      <c r="A1176" s="7" t="inlineStr">
        <is>
          <t>MAT-28-023</t>
        </is>
      </c>
      <c r="B1176" s="7" t="inlineStr">
        <is>
          <t>Materiales</t>
        </is>
      </c>
      <c r="C1176" s="7" t="inlineStr">
        <is>
          <t>Alarmas y control de accesos</t>
        </is>
      </c>
      <c r="D1176" s="5" t="inlineStr">
        <is>
          <t>Sensor De Presencia</t>
        </is>
      </c>
      <c r="E1176" s="5" t="inlineStr">
        <is>
          <t>marca AMC · accesorios para alarmas · referencia IF-400</t>
        </is>
      </c>
      <c r="F1176" s="5" t="inlineStr">
        <is>
          <t>Material retirado en almacén</t>
        </is>
      </c>
      <c r="G1176" s="5" t="inlineStr"/>
      <c r="H1176" s="7" t="inlineStr">
        <is>
          <t>unidad</t>
        </is>
      </c>
      <c r="I1176" s="7" t="inlineStr">
        <is>
          <t>Instalaciones</t>
        </is>
      </c>
      <c r="J1176" s="7" t="inlineStr">
        <is>
          <t>estandar</t>
        </is>
      </c>
      <c r="K1176" s="7" t="inlineStr">
        <is>
          <t>importado</t>
        </is>
      </c>
      <c r="L1176" s="7" t="inlineStr">
        <is>
          <t>Verificado</t>
        </is>
      </c>
      <c r="M1176" s="8" t="n">
        <v>1</v>
      </c>
      <c r="N1176" s="9" t="n">
        <v>914.76</v>
      </c>
      <c r="O1176" s="9" t="n">
        <v>914.76</v>
      </c>
      <c r="P1176" s="9" t="n">
        <v>914.76</v>
      </c>
      <c r="Q1176" s="7" t="inlineStr">
        <is>
          <t>Sí</t>
        </is>
      </c>
      <c r="R1176" s="9">
        <f>IF(N1176="","",IF(Q1176="Sí",ROUND(N1176/1.18,2),N1176))</f>
        <v/>
      </c>
      <c r="S1176" s="7" t="inlineStr">
        <is>
          <t>2026-09-09</t>
        </is>
      </c>
      <c r="T1176" s="5" t="inlineStr">
        <is>
          <t>1 cotización de proveedores</t>
        </is>
      </c>
    </row>
    <row r="1177">
      <c r="A1177" s="7" t="inlineStr">
        <is>
          <t>MAT-28-024</t>
        </is>
      </c>
      <c r="B1177" s="7" t="inlineStr">
        <is>
          <t>Materiales</t>
        </is>
      </c>
      <c r="C1177" s="7" t="inlineStr">
        <is>
          <t>Alarmas y control de accesos</t>
        </is>
      </c>
      <c r="D1177" s="5" t="inlineStr">
        <is>
          <t>Sensor De Ocupación Cx-100</t>
        </is>
      </c>
      <c r="E1177" s="5" t="inlineStr">
        <is>
          <t>marca WATTSTOPPER · alarmas · referencia CX-100</t>
        </is>
      </c>
      <c r="F1177" s="5" t="inlineStr">
        <is>
          <t>Material retirado en almacén</t>
        </is>
      </c>
      <c r="G1177" s="5" t="inlineStr"/>
      <c r="H1177" s="7" t="inlineStr">
        <is>
          <t>unidad</t>
        </is>
      </c>
      <c r="I1177" s="7" t="inlineStr">
        <is>
          <t>Instalaciones</t>
        </is>
      </c>
      <c r="J1177" s="7" t="inlineStr">
        <is>
          <t>estandar</t>
        </is>
      </c>
      <c r="K1177" s="7" t="inlineStr">
        <is>
          <t>importado</t>
        </is>
      </c>
      <c r="L1177" s="7" t="inlineStr">
        <is>
          <t>Verificado</t>
        </is>
      </c>
      <c r="M1177" s="8" t="n">
        <v>1</v>
      </c>
      <c r="N1177" s="9" t="n">
        <v>1402.47</v>
      </c>
      <c r="O1177" s="9" t="n">
        <v>1402.47</v>
      </c>
      <c r="P1177" s="9" t="n">
        <v>1402.47</v>
      </c>
      <c r="Q1177" s="7" t="inlineStr">
        <is>
          <t>Sí</t>
        </is>
      </c>
      <c r="R1177" s="9">
        <f>IF(N1177="","",IF(Q1177="Sí",ROUND(N1177/1.18,2),N1177))</f>
        <v/>
      </c>
      <c r="S1177" s="7" t="inlineStr">
        <is>
          <t>2026-09-09</t>
        </is>
      </c>
      <c r="T1177" s="5" t="inlineStr">
        <is>
          <t>1 cotización de proveedores</t>
        </is>
      </c>
    </row>
    <row r="1178">
      <c r="A1178" s="7" t="inlineStr">
        <is>
          <t>MAT-28-025</t>
        </is>
      </c>
      <c r="B1178" s="7" t="inlineStr">
        <is>
          <t>Materiales</t>
        </is>
      </c>
      <c r="C1178" s="7" t="inlineStr">
        <is>
          <t>Alarmas y control de accesos</t>
        </is>
      </c>
      <c r="D1178" s="5" t="inlineStr">
        <is>
          <t>Sensor Us 500 Pies 24V</t>
        </is>
      </c>
      <c r="E1178" s="5" t="inlineStr">
        <is>
          <t>marca WATTSTOPPER · alarmas · referencia W-500A</t>
        </is>
      </c>
      <c r="F1178" s="5" t="inlineStr">
        <is>
          <t>Material retirado en almacén</t>
        </is>
      </c>
      <c r="G1178" s="5" t="inlineStr"/>
      <c r="H1178" s="7" t="inlineStr">
        <is>
          <t>unidad</t>
        </is>
      </c>
      <c r="I1178" s="7" t="inlineStr">
        <is>
          <t>Instalaciones</t>
        </is>
      </c>
      <c r="J1178" s="7" t="inlineStr">
        <is>
          <t>estandar</t>
        </is>
      </c>
      <c r="K1178" s="7" t="inlineStr">
        <is>
          <t>importado</t>
        </is>
      </c>
      <c r="L1178" s="7" t="inlineStr">
        <is>
          <t>Verificado</t>
        </is>
      </c>
      <c r="M1178" s="8" t="n">
        <v>1</v>
      </c>
      <c r="N1178" s="9" t="n">
        <v>1499.01</v>
      </c>
      <c r="O1178" s="9" t="n">
        <v>1499.01</v>
      </c>
      <c r="P1178" s="9" t="n">
        <v>1499.01</v>
      </c>
      <c r="Q1178" s="7" t="inlineStr">
        <is>
          <t>Sí</t>
        </is>
      </c>
      <c r="R1178" s="9">
        <f>IF(N1178="","",IF(Q1178="Sí",ROUND(N1178/1.18,2),N1178))</f>
        <v/>
      </c>
      <c r="S1178" s="7" t="inlineStr">
        <is>
          <t>2026-09-09</t>
        </is>
      </c>
      <c r="T1178" s="5" t="inlineStr">
        <is>
          <t>1 cotización de proveedores</t>
        </is>
      </c>
    </row>
    <row r="1179">
      <c r="A1179" s="7" t="inlineStr">
        <is>
          <t>MAT-28-026</t>
        </is>
      </c>
      <c r="B1179" s="7" t="inlineStr">
        <is>
          <t>Materiales</t>
        </is>
      </c>
      <c r="C1179" s="7" t="inlineStr">
        <is>
          <t>Alarmas y control de accesos</t>
        </is>
      </c>
      <c r="D1179" s="5" t="inlineStr">
        <is>
          <t>Contacto Magnético inalámbrico Vesta</t>
        </is>
      </c>
      <c r="E1179" s="5" t="inlineStr">
        <is>
          <t>marca VESTA · alarmas · referencia V013-433</t>
        </is>
      </c>
      <c r="F1179" s="5" t="inlineStr">
        <is>
          <t>Material retirado en almacén</t>
        </is>
      </c>
      <c r="G1179" s="5" t="inlineStr"/>
      <c r="H1179" s="7" t="inlineStr">
        <is>
          <t>unidad</t>
        </is>
      </c>
      <c r="I1179" s="7" t="inlineStr">
        <is>
          <t>Instalaciones</t>
        </is>
      </c>
      <c r="J1179" s="7" t="inlineStr">
        <is>
          <t>estandar</t>
        </is>
      </c>
      <c r="K1179" s="7" t="inlineStr">
        <is>
          <t>importado</t>
        </is>
      </c>
      <c r="L1179" s="7" t="inlineStr">
        <is>
          <t>Verificado</t>
        </is>
      </c>
      <c r="M1179" s="8" t="n">
        <v>1</v>
      </c>
      <c r="N1179" s="9" t="n">
        <v>1559.9</v>
      </c>
      <c r="O1179" s="9" t="n">
        <v>1559.9</v>
      </c>
      <c r="P1179" s="9" t="n">
        <v>1559.9</v>
      </c>
      <c r="Q1179" s="7" t="inlineStr">
        <is>
          <t>Sí</t>
        </is>
      </c>
      <c r="R1179" s="9">
        <f>IF(N1179="","",IF(Q1179="Sí",ROUND(N1179/1.18,2),N1179))</f>
        <v/>
      </c>
      <c r="S1179" s="7" t="inlineStr">
        <is>
          <t>2026-09-09</t>
        </is>
      </c>
      <c r="T1179" s="5" t="inlineStr">
        <is>
          <t>1 cotización de proveedores</t>
        </is>
      </c>
    </row>
    <row r="1180">
      <c r="A1180" s="7" t="inlineStr">
        <is>
          <t>MAT-28-027</t>
        </is>
      </c>
      <c r="B1180" s="7" t="inlineStr">
        <is>
          <t>Materiales</t>
        </is>
      </c>
      <c r="C1180" s="7" t="inlineStr">
        <is>
          <t>Alarmas y control de accesos</t>
        </is>
      </c>
      <c r="D1180" s="5" t="inlineStr">
        <is>
          <t>Detector Movimiento Blueline 12 Mt</t>
        </is>
      </c>
      <c r="E1180" s="5" t="inlineStr">
        <is>
          <t>marca BOSCH · accesorios para alarmas · referencia ISC-BDL2-WP12G</t>
        </is>
      </c>
      <c r="F1180" s="5" t="inlineStr">
        <is>
          <t>Material retirado en almacén</t>
        </is>
      </c>
      <c r="G1180" s="5" t="inlineStr"/>
      <c r="H1180" s="7" t="inlineStr">
        <is>
          <t>unidad</t>
        </is>
      </c>
      <c r="I1180" s="7" t="inlineStr">
        <is>
          <t>Instalaciones</t>
        </is>
      </c>
      <c r="J1180" s="7" t="inlineStr">
        <is>
          <t>estandar</t>
        </is>
      </c>
      <c r="K1180" s="7" t="inlineStr">
        <is>
          <t>importado</t>
        </is>
      </c>
      <c r="L1180" s="7" t="inlineStr">
        <is>
          <t>Verificado</t>
        </is>
      </c>
      <c r="M1180" s="8" t="n">
        <v>1</v>
      </c>
      <c r="N1180" s="9" t="n">
        <v>1601.53</v>
      </c>
      <c r="O1180" s="9" t="n">
        <v>1601.53</v>
      </c>
      <c r="P1180" s="9" t="n">
        <v>1601.53</v>
      </c>
      <c r="Q1180" s="7" t="inlineStr">
        <is>
          <t>Sí</t>
        </is>
      </c>
      <c r="R1180" s="9">
        <f>IF(N1180="","",IF(Q1180="Sí",ROUND(N1180/1.18,2),N1180))</f>
        <v/>
      </c>
      <c r="S1180" s="7" t="inlineStr">
        <is>
          <t>2026-09-09</t>
        </is>
      </c>
      <c r="T1180" s="5" t="inlineStr">
        <is>
          <t>1 cotización de proveedores</t>
        </is>
      </c>
    </row>
    <row r="1181">
      <c r="A1181" s="7" t="inlineStr">
        <is>
          <t>MAT-28-028</t>
        </is>
      </c>
      <c r="B1181" s="7" t="inlineStr">
        <is>
          <t>Materiales</t>
        </is>
      </c>
      <c r="C1181" s="7" t="inlineStr">
        <is>
          <t>Alarmas y control de accesos</t>
        </is>
      </c>
      <c r="D1181" s="5" t="inlineStr">
        <is>
          <t>Detector De Salida Sns</t>
        </is>
      </c>
      <c r="E1181" s="5" t="inlineStr">
        <is>
          <t>marca BOSCH · accesorios para alarmas · referencia DS151I</t>
        </is>
      </c>
      <c r="F1181" s="5" t="inlineStr">
        <is>
          <t>Material retirado en almacén</t>
        </is>
      </c>
      <c r="G1181" s="5" t="inlineStr"/>
      <c r="H1181" s="7" t="inlineStr">
        <is>
          <t>unidad</t>
        </is>
      </c>
      <c r="I1181" s="7" t="inlineStr">
        <is>
          <t>Instalaciones</t>
        </is>
      </c>
      <c r="J1181" s="7" t="inlineStr">
        <is>
          <t>estandar</t>
        </is>
      </c>
      <c r="K1181" s="7" t="inlineStr">
        <is>
          <t>importado</t>
        </is>
      </c>
      <c r="L1181" s="7" t="inlineStr">
        <is>
          <t>Verificado</t>
        </is>
      </c>
      <c r="M1181" s="8" t="n">
        <v>1</v>
      </c>
      <c r="N1181" s="9" t="n">
        <v>1624.59</v>
      </c>
      <c r="O1181" s="9" t="n">
        <v>1624.59</v>
      </c>
      <c r="P1181" s="9" t="n">
        <v>1624.59</v>
      </c>
      <c r="Q1181" s="7" t="inlineStr">
        <is>
          <t>Sí</t>
        </is>
      </c>
      <c r="R1181" s="9">
        <f>IF(N1181="","",IF(Q1181="Sí",ROUND(N1181/1.18,2),N1181))</f>
        <v/>
      </c>
      <c r="S1181" s="7" t="inlineStr">
        <is>
          <t>2026-09-09</t>
        </is>
      </c>
      <c r="T1181" s="5" t="inlineStr">
        <is>
          <t>1 cotización de proveedores</t>
        </is>
      </c>
    </row>
    <row r="1182">
      <c r="A1182" s="7" t="inlineStr">
        <is>
          <t>MAT-28-029</t>
        </is>
      </c>
      <c r="B1182" s="7" t="inlineStr">
        <is>
          <t>Materiales</t>
        </is>
      </c>
      <c r="C1182" s="7" t="inlineStr">
        <is>
          <t>Alarmas y control de accesos</t>
        </is>
      </c>
      <c r="D1182" s="5" t="inlineStr">
        <is>
          <t>Contacto Magnético inalámbrico</t>
        </is>
      </c>
      <c r="E1182" s="5" t="inlineStr">
        <is>
          <t>marca VESTA · alarmas · referencia VESTA-019N-433</t>
        </is>
      </c>
      <c r="F1182" s="5" t="inlineStr">
        <is>
          <t>Material retirado en almacén</t>
        </is>
      </c>
      <c r="G1182" s="5" t="inlineStr"/>
      <c r="H1182" s="7" t="inlineStr">
        <is>
          <t>unidad</t>
        </is>
      </c>
      <c r="I1182" s="7" t="inlineStr">
        <is>
          <t>Instalaciones</t>
        </is>
      </c>
      <c r="J1182" s="7" t="inlineStr">
        <is>
          <t>estandar</t>
        </is>
      </c>
      <c r="K1182" s="7" t="inlineStr">
        <is>
          <t>importado</t>
        </is>
      </c>
      <c r="L1182" s="7" t="inlineStr">
        <is>
          <t>Verificado</t>
        </is>
      </c>
      <c r="M1182" s="8" t="n">
        <v>1</v>
      </c>
      <c r="N1182" s="9" t="n">
        <v>1786.61</v>
      </c>
      <c r="O1182" s="9" t="n">
        <v>1786.61</v>
      </c>
      <c r="P1182" s="9" t="n">
        <v>1786.61</v>
      </c>
      <c r="Q1182" s="7" t="inlineStr">
        <is>
          <t>Sí</t>
        </is>
      </c>
      <c r="R1182" s="9">
        <f>IF(N1182="","",IF(Q1182="Sí",ROUND(N1182/1.18,2),N1182))</f>
        <v/>
      </c>
      <c r="S1182" s="7" t="inlineStr">
        <is>
          <t>2026-09-09</t>
        </is>
      </c>
      <c r="T1182" s="5" t="inlineStr">
        <is>
          <t>1 cotización de proveedores</t>
        </is>
      </c>
    </row>
    <row r="1183">
      <c r="A1183" s="7" t="inlineStr">
        <is>
          <t>MAT-28-030</t>
        </is>
      </c>
      <c r="B1183" s="7" t="inlineStr">
        <is>
          <t>Materiales</t>
        </is>
      </c>
      <c r="C1183" s="7" t="inlineStr">
        <is>
          <t>Alarmas y control de accesos</t>
        </is>
      </c>
      <c r="D1183" s="5" t="inlineStr">
        <is>
          <t>Contacto Montaje Superficie Inalámbrico</t>
        </is>
      </c>
      <c r="E1183" s="5" t="inlineStr">
        <is>
          <t>marca BOSCH · alarmas · referencia RFDW-SM-A</t>
        </is>
      </c>
      <c r="F1183" s="5" t="inlineStr">
        <is>
          <t>Material retirado en almacén</t>
        </is>
      </c>
      <c r="G1183" s="5" t="inlineStr"/>
      <c r="H1183" s="7" t="inlineStr">
        <is>
          <t>unidad</t>
        </is>
      </c>
      <c r="I1183" s="7" t="inlineStr">
        <is>
          <t>Instalaciones</t>
        </is>
      </c>
      <c r="J1183" s="7" t="inlineStr">
        <is>
          <t>estandar</t>
        </is>
      </c>
      <c r="K1183" s="7" t="inlineStr">
        <is>
          <t>importado</t>
        </is>
      </c>
      <c r="L1183" s="7" t="inlineStr">
        <is>
          <t>Verificado</t>
        </is>
      </c>
      <c r="M1183" s="8" t="n">
        <v>1</v>
      </c>
      <c r="N1183" s="9" t="n">
        <v>1989.25</v>
      </c>
      <c r="O1183" s="9" t="n">
        <v>1989.25</v>
      </c>
      <c r="P1183" s="9" t="n">
        <v>1989.25</v>
      </c>
      <c r="Q1183" s="7" t="inlineStr">
        <is>
          <t>Sí</t>
        </is>
      </c>
      <c r="R1183" s="9">
        <f>IF(N1183="","",IF(Q1183="Sí",ROUND(N1183/1.18,2),N1183))</f>
        <v/>
      </c>
      <c r="S1183" s="7" t="inlineStr">
        <is>
          <t>2026-09-09</t>
        </is>
      </c>
      <c r="T1183" s="5" t="inlineStr">
        <is>
          <t>1 cotización de proveedores</t>
        </is>
      </c>
    </row>
    <row r="1184">
      <c r="A1184" s="7" t="inlineStr">
        <is>
          <t>MAT-28-031</t>
        </is>
      </c>
      <c r="B1184" s="7" t="inlineStr">
        <is>
          <t>Materiales</t>
        </is>
      </c>
      <c r="C1184" s="7" t="inlineStr">
        <is>
          <t>Alarmas y control de accesos</t>
        </is>
      </c>
      <c r="D1184" s="5" t="inlineStr">
        <is>
          <t>Detectores De Salida Sns</t>
        </is>
      </c>
      <c r="E1184" s="5" t="inlineStr">
        <is>
          <t>marca BOSCH · accesorios para alarmas · referencia DS160</t>
        </is>
      </c>
      <c r="F1184" s="5" t="inlineStr">
        <is>
          <t>Material retirado en almacén</t>
        </is>
      </c>
      <c r="G1184" s="5" t="inlineStr"/>
      <c r="H1184" s="7" t="inlineStr">
        <is>
          <t>unidad</t>
        </is>
      </c>
      <c r="I1184" s="7" t="inlineStr">
        <is>
          <t>Instalaciones</t>
        </is>
      </c>
      <c r="J1184" s="7" t="inlineStr">
        <is>
          <t>estandar</t>
        </is>
      </c>
      <c r="K1184" s="7" t="inlineStr">
        <is>
          <t>importado</t>
        </is>
      </c>
      <c r="L1184" s="7" t="inlineStr">
        <is>
          <t>Verificado</t>
        </is>
      </c>
      <c r="M1184" s="8" t="n">
        <v>1</v>
      </c>
      <c r="N1184" s="9" t="n">
        <v>2155.03</v>
      </c>
      <c r="O1184" s="9" t="n">
        <v>2155.03</v>
      </c>
      <c r="P1184" s="9" t="n">
        <v>2155.03</v>
      </c>
      <c r="Q1184" s="7" t="inlineStr">
        <is>
          <t>Sí</t>
        </is>
      </c>
      <c r="R1184" s="9">
        <f>IF(N1184="","",IF(Q1184="Sí",ROUND(N1184/1.18,2),N1184))</f>
        <v/>
      </c>
      <c r="S1184" s="7" t="inlineStr">
        <is>
          <t>2026-09-09</t>
        </is>
      </c>
      <c r="T1184" s="5" t="inlineStr">
        <is>
          <t>1 cotización de proveedores</t>
        </is>
      </c>
    </row>
    <row r="1185">
      <c r="A1185" s="7" t="inlineStr">
        <is>
          <t>MAT-28-032</t>
        </is>
      </c>
      <c r="B1185" s="7" t="inlineStr">
        <is>
          <t>Materiales</t>
        </is>
      </c>
      <c r="C1185" s="7" t="inlineStr">
        <is>
          <t>Alarmas y control de accesos</t>
        </is>
      </c>
      <c r="D1185" s="5" t="inlineStr">
        <is>
          <t>Sensor PIR 120V</t>
        </is>
      </c>
      <c r="E1185" s="5" t="inlineStr">
        <is>
          <t>marca WATTSTOPPER · alarmas · referencia WS-250-W</t>
        </is>
      </c>
      <c r="F1185" s="5" t="inlineStr">
        <is>
          <t>Material retirado en almacén</t>
        </is>
      </c>
      <c r="G1185" s="5" t="inlineStr"/>
      <c r="H1185" s="7" t="inlineStr">
        <is>
          <t>unidad</t>
        </is>
      </c>
      <c r="I1185" s="7" t="inlineStr">
        <is>
          <t>Instalaciones</t>
        </is>
      </c>
      <c r="J1185" s="7" t="inlineStr">
        <is>
          <t>estandar</t>
        </is>
      </c>
      <c r="K1185" s="7" t="inlineStr">
        <is>
          <t>importado</t>
        </is>
      </c>
      <c r="L1185" s="7" t="inlineStr">
        <is>
          <t>Verificado</t>
        </is>
      </c>
      <c r="M1185" s="8" t="n">
        <v>1</v>
      </c>
      <c r="N1185" s="9" t="n">
        <v>2242.16</v>
      </c>
      <c r="O1185" s="9" t="n">
        <v>2242.16</v>
      </c>
      <c r="P1185" s="9" t="n">
        <v>2242.16</v>
      </c>
      <c r="Q1185" s="7" t="inlineStr">
        <is>
          <t>Sí</t>
        </is>
      </c>
      <c r="R1185" s="9">
        <f>IF(N1185="","",IF(Q1185="Sí",ROUND(N1185/1.18,2),N1185))</f>
        <v/>
      </c>
      <c r="S1185" s="7" t="inlineStr">
        <is>
          <t>2026-09-09</t>
        </is>
      </c>
      <c r="T1185" s="5" t="inlineStr">
        <is>
          <t>1 cotización de proveedores</t>
        </is>
      </c>
    </row>
    <row r="1186">
      <c r="A1186" s="7" t="inlineStr">
        <is>
          <t>MAT-28-033</t>
        </is>
      </c>
      <c r="B1186" s="7" t="inlineStr">
        <is>
          <t>Materiales</t>
        </is>
      </c>
      <c r="C1186" s="7" t="inlineStr">
        <is>
          <t>Alarmas y control de accesos</t>
        </is>
      </c>
      <c r="D1186" s="5" t="inlineStr">
        <is>
          <t>Detector movimiento Tritech</t>
        </is>
      </c>
      <c r="E1186" s="5" t="inlineStr">
        <is>
          <t>marca BOSCH · accesorios para alarmas · referencia ISC-PDL1-W18G</t>
        </is>
      </c>
      <c r="F1186" s="5" t="inlineStr">
        <is>
          <t>Material retirado en almacén</t>
        </is>
      </c>
      <c r="G1186" s="5" t="inlineStr"/>
      <c r="H1186" s="7" t="inlineStr">
        <is>
          <t>unidad</t>
        </is>
      </c>
      <c r="I1186" s="7" t="inlineStr">
        <is>
          <t>Instalaciones</t>
        </is>
      </c>
      <c r="J1186" s="7" t="inlineStr">
        <is>
          <t>estandar</t>
        </is>
      </c>
      <c r="K1186" s="7" t="inlineStr">
        <is>
          <t>importado</t>
        </is>
      </c>
      <c r="L1186" s="7" t="inlineStr">
        <is>
          <t>Verificado</t>
        </is>
      </c>
      <c r="M1186" s="8" t="n">
        <v>1</v>
      </c>
      <c r="N1186" s="9" t="n">
        <v>2323.92</v>
      </c>
      <c r="O1186" s="9" t="n">
        <v>2323.92</v>
      </c>
      <c r="P1186" s="9" t="n">
        <v>2323.92</v>
      </c>
      <c r="Q1186" s="7" t="inlineStr">
        <is>
          <t>Sí</t>
        </is>
      </c>
      <c r="R1186" s="9">
        <f>IF(N1186="","",IF(Q1186="Sí",ROUND(N1186/1.18,2),N1186))</f>
        <v/>
      </c>
      <c r="S1186" s="7" t="inlineStr">
        <is>
          <t>2026-09-09</t>
        </is>
      </c>
      <c r="T1186" s="5" t="inlineStr">
        <is>
          <t>1 cotización de proveedores</t>
        </is>
      </c>
    </row>
    <row r="1187">
      <c r="A1187" s="7" t="inlineStr">
        <is>
          <t>MAT-28-034</t>
        </is>
      </c>
      <c r="B1187" s="7" t="inlineStr">
        <is>
          <t>Materiales</t>
        </is>
      </c>
      <c r="C1187" s="7" t="inlineStr">
        <is>
          <t>Alarmas y control de accesos</t>
        </is>
      </c>
      <c r="D1187" s="5" t="inlineStr">
        <is>
          <t>Detector De Vibración Y Rotura De Crista</t>
        </is>
      </c>
      <c r="E1187" s="5" t="inlineStr">
        <is>
          <t>marca VESTA · alarmas · referencia VESTA-040-433</t>
        </is>
      </c>
      <c r="F1187" s="5" t="inlineStr">
        <is>
          <t>Material retirado en almacén</t>
        </is>
      </c>
      <c r="G1187" s="5" t="inlineStr"/>
      <c r="H1187" s="7" t="inlineStr">
        <is>
          <t>unidad</t>
        </is>
      </c>
      <c r="I1187" s="7" t="inlineStr">
        <is>
          <t>Instalaciones</t>
        </is>
      </c>
      <c r="J1187" s="7" t="inlineStr">
        <is>
          <t>estandar</t>
        </is>
      </c>
      <c r="K1187" s="7" t="inlineStr">
        <is>
          <t>importado</t>
        </is>
      </c>
      <c r="L1187" s="7" t="inlineStr">
        <is>
          <t>Verificado</t>
        </is>
      </c>
      <c r="M1187" s="8" t="n">
        <v>1</v>
      </c>
      <c r="N1187" s="9" t="n">
        <v>2409.38</v>
      </c>
      <c r="O1187" s="9" t="n">
        <v>2409.38</v>
      </c>
      <c r="P1187" s="9" t="n">
        <v>2409.38</v>
      </c>
      <c r="Q1187" s="7" t="inlineStr">
        <is>
          <t>Sí</t>
        </is>
      </c>
      <c r="R1187" s="9">
        <f>IF(N1187="","",IF(Q1187="Sí",ROUND(N1187/1.18,2),N1187))</f>
        <v/>
      </c>
      <c r="S1187" s="7" t="inlineStr">
        <is>
          <t>2026-09-09</t>
        </is>
      </c>
      <c r="T1187" s="5" t="inlineStr">
        <is>
          <t>1 cotización de proveedores</t>
        </is>
      </c>
    </row>
    <row r="1188">
      <c r="A1188" s="7" t="inlineStr">
        <is>
          <t>MAT-28-035</t>
        </is>
      </c>
      <c r="B1188" s="7" t="inlineStr">
        <is>
          <t>Materiales</t>
        </is>
      </c>
      <c r="C1188" s="7" t="inlineStr">
        <is>
          <t>Alarmas y control de accesos</t>
        </is>
      </c>
      <c r="D1188" s="5" t="inlineStr">
        <is>
          <t>Detector PIR inalámbrico 15M 130 Grad.</t>
        </is>
      </c>
      <c r="E1188" s="5" t="inlineStr">
        <is>
          <t>marca VESTA · alarmas · referencia VESTA-177-433</t>
        </is>
      </c>
      <c r="F1188" s="5" t="inlineStr">
        <is>
          <t>Material retirado en almacén</t>
        </is>
      </c>
      <c r="G1188" s="5" t="inlineStr"/>
      <c r="H1188" s="7" t="inlineStr">
        <is>
          <t>unidad</t>
        </is>
      </c>
      <c r="I1188" s="7" t="inlineStr">
        <is>
          <t>Instalaciones</t>
        </is>
      </c>
      <c r="J1188" s="7" t="inlineStr">
        <is>
          <t>estandar</t>
        </is>
      </c>
      <c r="K1188" s="7" t="inlineStr">
        <is>
          <t>importado</t>
        </is>
      </c>
      <c r="L1188" s="7" t="inlineStr">
        <is>
          <t>Verificado</t>
        </is>
      </c>
      <c r="M1188" s="8" t="n">
        <v>1</v>
      </c>
      <c r="N1188" s="9" t="n">
        <v>2675.69</v>
      </c>
      <c r="O1188" s="9" t="n">
        <v>2675.69</v>
      </c>
      <c r="P1188" s="9" t="n">
        <v>2675.69</v>
      </c>
      <c r="Q1188" s="7" t="inlineStr">
        <is>
          <t>Sí</t>
        </is>
      </c>
      <c r="R1188" s="9">
        <f>IF(N1188="","",IF(Q1188="Sí",ROUND(N1188/1.18,2),N1188))</f>
        <v/>
      </c>
      <c r="S1188" s="7" t="inlineStr">
        <is>
          <t>2026-09-09</t>
        </is>
      </c>
      <c r="T1188" s="5" t="inlineStr">
        <is>
          <t>1 cotización de proveedores</t>
        </is>
      </c>
    </row>
    <row r="1189">
      <c r="A1189" s="7" t="inlineStr">
        <is>
          <t>MAT-28-036</t>
        </is>
      </c>
      <c r="B1189" s="7" t="inlineStr">
        <is>
          <t>Materiales</t>
        </is>
      </c>
      <c r="C1189" s="7" t="inlineStr">
        <is>
          <t>Alarmas y control de accesos</t>
        </is>
      </c>
      <c r="D1189" s="5" t="inlineStr">
        <is>
          <t>Detector Movimiento 16M</t>
        </is>
      </c>
      <c r="E1189" s="5" t="inlineStr">
        <is>
          <t>marca BOSCH · alarmas · referencia ISC-PPR1-WA16G</t>
        </is>
      </c>
      <c r="F1189" s="5" t="inlineStr">
        <is>
          <t>Material retirado en almacén</t>
        </is>
      </c>
      <c r="G1189" s="5" t="inlineStr"/>
      <c r="H1189" s="7" t="inlineStr">
        <is>
          <t>unidad</t>
        </is>
      </c>
      <c r="I1189" s="7" t="inlineStr">
        <is>
          <t>Instalaciones</t>
        </is>
      </c>
      <c r="J1189" s="7" t="inlineStr">
        <is>
          <t>estandar</t>
        </is>
      </c>
      <c r="K1189" s="7" t="inlineStr">
        <is>
          <t>importado</t>
        </is>
      </c>
      <c r="L1189" s="7" t="inlineStr">
        <is>
          <t>Verificado</t>
        </is>
      </c>
      <c r="M1189" s="8" t="n">
        <v>1</v>
      </c>
      <c r="N1189" s="9" t="n">
        <v>2944.96</v>
      </c>
      <c r="O1189" s="9" t="n">
        <v>2944.96</v>
      </c>
      <c r="P1189" s="9" t="n">
        <v>2944.96</v>
      </c>
      <c r="Q1189" s="7" t="inlineStr">
        <is>
          <t>Sí</t>
        </is>
      </c>
      <c r="R1189" s="9">
        <f>IF(N1189="","",IF(Q1189="Sí",ROUND(N1189/1.18,2),N1189))</f>
        <v/>
      </c>
      <c r="S1189" s="7" t="inlineStr">
        <is>
          <t>2026-09-09</t>
        </is>
      </c>
      <c r="T1189" s="5" t="inlineStr">
        <is>
          <t>1 cotización de proveedores</t>
        </is>
      </c>
    </row>
    <row r="1190">
      <c r="A1190" s="7" t="inlineStr">
        <is>
          <t>MAT-28-037</t>
        </is>
      </c>
      <c r="B1190" s="7" t="inlineStr">
        <is>
          <t>Materiales</t>
        </is>
      </c>
      <c r="C1190" s="7" t="inlineStr">
        <is>
          <t>Alarmas y control de accesos</t>
        </is>
      </c>
      <c r="D1190" s="5" t="inlineStr">
        <is>
          <t>Detector Movimiento Inalámbrico, 12M</t>
        </is>
      </c>
      <c r="E1190" s="5" t="inlineStr">
        <is>
          <t>marca BOSCH · accesorios para alarmas · referencia RFPR-12-A</t>
        </is>
      </c>
      <c r="F1190" s="5" t="inlineStr">
        <is>
          <t>Material retirado en almacén</t>
        </is>
      </c>
      <c r="G1190" s="5" t="inlineStr"/>
      <c r="H1190" s="7" t="inlineStr">
        <is>
          <t>unidad</t>
        </is>
      </c>
      <c r="I1190" s="7" t="inlineStr">
        <is>
          <t>Instalaciones</t>
        </is>
      </c>
      <c r="J1190" s="7" t="inlineStr">
        <is>
          <t>estandar</t>
        </is>
      </c>
      <c r="K1190" s="7" t="inlineStr">
        <is>
          <t>importado</t>
        </is>
      </c>
      <c r="L1190" s="7" t="inlineStr">
        <is>
          <t>Verificado</t>
        </is>
      </c>
      <c r="M1190" s="8" t="n">
        <v>1</v>
      </c>
      <c r="N1190" s="9" t="n">
        <v>4061.41</v>
      </c>
      <c r="O1190" s="9" t="n">
        <v>4061.41</v>
      </c>
      <c r="P1190" s="9" t="n">
        <v>4061.41</v>
      </c>
      <c r="Q1190" s="7" t="inlineStr">
        <is>
          <t>Sí</t>
        </is>
      </c>
      <c r="R1190" s="9">
        <f>IF(N1190="","",IF(Q1190="Sí",ROUND(N1190/1.18,2),N1190))</f>
        <v/>
      </c>
      <c r="S1190" s="7" t="inlineStr">
        <is>
          <t>2026-09-09</t>
        </is>
      </c>
      <c r="T1190" s="5" t="inlineStr">
        <is>
          <t>1 cotización de proveedores</t>
        </is>
      </c>
    </row>
    <row r="1191">
      <c r="A1191" s="7" t="inlineStr">
        <is>
          <t>MAT-28-038</t>
        </is>
      </c>
      <c r="B1191" s="7" t="inlineStr">
        <is>
          <t>Materiales</t>
        </is>
      </c>
      <c r="C1191" s="7" t="inlineStr">
        <is>
          <t>Alarmas y control de accesos</t>
        </is>
      </c>
      <c r="D1191" s="5" t="inlineStr">
        <is>
          <t>Sensor PIR 120V 1200 Pies</t>
        </is>
      </c>
      <c r="E1191" s="5" t="inlineStr">
        <is>
          <t>marca WATTSTOPPER · alarmas · referencia CI-355</t>
        </is>
      </c>
      <c r="F1191" s="5" t="inlineStr">
        <is>
          <t>Material retirado en almacén</t>
        </is>
      </c>
      <c r="G1191" s="5" t="inlineStr"/>
      <c r="H1191" s="7" t="inlineStr">
        <is>
          <t>unidad</t>
        </is>
      </c>
      <c r="I1191" s="7" t="inlineStr">
        <is>
          <t>Instalaciones</t>
        </is>
      </c>
      <c r="J1191" s="7" t="inlineStr">
        <is>
          <t>estandar</t>
        </is>
      </c>
      <c r="K1191" s="7" t="inlineStr">
        <is>
          <t>importado</t>
        </is>
      </c>
      <c r="L1191" s="7" t="inlineStr">
        <is>
          <t>Verificado</t>
        </is>
      </c>
      <c r="M1191" s="8" t="n">
        <v>1</v>
      </c>
      <c r="N1191" s="9" t="n">
        <v>4246.61</v>
      </c>
      <c r="O1191" s="9" t="n">
        <v>4246.61</v>
      </c>
      <c r="P1191" s="9" t="n">
        <v>4246.61</v>
      </c>
      <c r="Q1191" s="7" t="inlineStr">
        <is>
          <t>Sí</t>
        </is>
      </c>
      <c r="R1191" s="9">
        <f>IF(N1191="","",IF(Q1191="Sí",ROUND(N1191/1.18,2),N1191))</f>
        <v/>
      </c>
      <c r="S1191" s="7" t="inlineStr">
        <is>
          <t>2026-09-09</t>
        </is>
      </c>
      <c r="T1191" s="5" t="inlineStr">
        <is>
          <t>1 cotización de proveedores</t>
        </is>
      </c>
    </row>
    <row r="1192">
      <c r="A1192" s="7" t="inlineStr">
        <is>
          <t>MAT-28-039</t>
        </is>
      </c>
      <c r="B1192" s="7" t="inlineStr">
        <is>
          <t>Materiales</t>
        </is>
      </c>
      <c r="C1192" s="7" t="inlineStr">
        <is>
          <t>Alarmas y control de accesos</t>
        </is>
      </c>
      <c r="D1192" s="5" t="inlineStr">
        <is>
          <t>Detector Movimiento Exterior Tritech</t>
        </is>
      </c>
      <c r="E1192" s="5" t="inlineStr">
        <is>
          <t>marca BOSCH · accesorios para alarmas · referencia OD850-F1</t>
        </is>
      </c>
      <c r="F1192" s="5" t="inlineStr">
        <is>
          <t>Material retirado en almacén</t>
        </is>
      </c>
      <c r="G1192" s="5" t="inlineStr"/>
      <c r="H1192" s="7" t="inlineStr">
        <is>
          <t>unidad</t>
        </is>
      </c>
      <c r="I1192" s="7" t="inlineStr">
        <is>
          <t>Instalaciones</t>
        </is>
      </c>
      <c r="J1192" s="7" t="inlineStr">
        <is>
          <t>estandar</t>
        </is>
      </c>
      <c r="K1192" s="7" t="inlineStr">
        <is>
          <t>importado</t>
        </is>
      </c>
      <c r="L1192" s="7" t="inlineStr">
        <is>
          <t>Verificado</t>
        </is>
      </c>
      <c r="M1192" s="8" t="n">
        <v>1</v>
      </c>
      <c r="N1192" s="9" t="n">
        <v>4381.61</v>
      </c>
      <c r="O1192" s="9" t="n">
        <v>4381.61</v>
      </c>
      <c r="P1192" s="9" t="n">
        <v>4381.61</v>
      </c>
      <c r="Q1192" s="7" t="inlineStr">
        <is>
          <t>Sí</t>
        </is>
      </c>
      <c r="R1192" s="9">
        <f>IF(N1192="","",IF(Q1192="Sí",ROUND(N1192/1.18,2),N1192))</f>
        <v/>
      </c>
      <c r="S1192" s="7" t="inlineStr">
        <is>
          <t>2026-09-09</t>
        </is>
      </c>
      <c r="T1192" s="5" t="inlineStr">
        <is>
          <t>1 cotización de proveedores</t>
        </is>
      </c>
    </row>
    <row r="1193">
      <c r="A1193" s="7" t="inlineStr">
        <is>
          <t>MAT-28-040</t>
        </is>
      </c>
      <c r="B1193" s="7" t="inlineStr">
        <is>
          <t>Materiales</t>
        </is>
      </c>
      <c r="C1193" s="7" t="inlineStr">
        <is>
          <t>Alarmas y control de accesos</t>
        </is>
      </c>
      <c r="D1193" s="5" t="inlineStr">
        <is>
          <t>Detector inalámbrico de Doble tecnología 12M</t>
        </is>
      </c>
      <c r="E1193" s="5" t="inlineStr">
        <is>
          <t>marca VESTA · alarmas · referencia VESTA-151-433</t>
        </is>
      </c>
      <c r="F1193" s="5" t="inlineStr">
        <is>
          <t>Material retirado en almacén</t>
        </is>
      </c>
      <c r="G1193" s="5" t="inlineStr"/>
      <c r="H1193" s="7" t="inlineStr">
        <is>
          <t>unidad</t>
        </is>
      </c>
      <c r="I1193" s="7" t="inlineStr">
        <is>
          <t>Instalaciones</t>
        </is>
      </c>
      <c r="J1193" s="7" t="inlineStr">
        <is>
          <t>estandar</t>
        </is>
      </c>
      <c r="K1193" s="7" t="inlineStr">
        <is>
          <t>importado</t>
        </is>
      </c>
      <c r="L1193" s="7" t="inlineStr">
        <is>
          <t>Verificado</t>
        </is>
      </c>
      <c r="M1193" s="8" t="n">
        <v>1</v>
      </c>
      <c r="N1193" s="9" t="n">
        <v>5338.48</v>
      </c>
      <c r="O1193" s="9" t="n">
        <v>5338.48</v>
      </c>
      <c r="P1193" s="9" t="n">
        <v>5338.48</v>
      </c>
      <c r="Q1193" s="7" t="inlineStr">
        <is>
          <t>Sí</t>
        </is>
      </c>
      <c r="R1193" s="9">
        <f>IF(N1193="","",IF(Q1193="Sí",ROUND(N1193/1.18,2),N1193))</f>
        <v/>
      </c>
      <c r="S1193" s="7" t="inlineStr">
        <is>
          <t>2026-09-09</t>
        </is>
      </c>
      <c r="T1193" s="5" t="inlineStr">
        <is>
          <t>1 cotización de proveedores</t>
        </is>
      </c>
    </row>
    <row r="1194">
      <c r="A1194" s="7" t="inlineStr">
        <is>
          <t>MAT-28-041</t>
        </is>
      </c>
      <c r="B1194" s="7" t="inlineStr">
        <is>
          <t>Materiales</t>
        </is>
      </c>
      <c r="C1194" s="7" t="inlineStr">
        <is>
          <t>Alarmas y control de accesos</t>
        </is>
      </c>
      <c r="D1194" s="5" t="inlineStr">
        <is>
          <t>Detector Movimiento Inalámbrico, 11M</t>
        </is>
      </c>
      <c r="E1194" s="5" t="inlineStr">
        <is>
          <t>marca BOSCH · alarmas · referencia RFDL-11-A</t>
        </is>
      </c>
      <c r="F1194" s="5" t="inlineStr">
        <is>
          <t>Material retirado en almacén</t>
        </is>
      </c>
      <c r="G1194" s="5" t="inlineStr"/>
      <c r="H1194" s="7" t="inlineStr">
        <is>
          <t>unidad</t>
        </is>
      </c>
      <c r="I1194" s="7" t="inlineStr">
        <is>
          <t>Instalaciones</t>
        </is>
      </c>
      <c r="J1194" s="7" t="inlineStr">
        <is>
          <t>estandar</t>
        </is>
      </c>
      <c r="K1194" s="7" t="inlineStr">
        <is>
          <t>importado</t>
        </is>
      </c>
      <c r="L1194" s="7" t="inlineStr">
        <is>
          <t>Verificado</t>
        </is>
      </c>
      <c r="M1194" s="8" t="n">
        <v>1</v>
      </c>
      <c r="N1194" s="9" t="n">
        <v>5567.22</v>
      </c>
      <c r="O1194" s="9" t="n">
        <v>5567.22</v>
      </c>
      <c r="P1194" s="9" t="n">
        <v>5567.22</v>
      </c>
      <c r="Q1194" s="7" t="inlineStr">
        <is>
          <t>Sí</t>
        </is>
      </c>
      <c r="R1194" s="9">
        <f>IF(N1194="","",IF(Q1194="Sí",ROUND(N1194/1.18,2),N1194))</f>
        <v/>
      </c>
      <c r="S1194" s="7" t="inlineStr">
        <is>
          <t>2026-09-09</t>
        </is>
      </c>
      <c r="T1194" s="5" t="inlineStr">
        <is>
          <t>1 cotización de proveedores</t>
        </is>
      </c>
    </row>
    <row r="1195">
      <c r="A1195" s="7" t="inlineStr">
        <is>
          <t>MAT-28-042</t>
        </is>
      </c>
      <c r="B1195" s="7" t="inlineStr">
        <is>
          <t>Materiales</t>
        </is>
      </c>
      <c r="C1195" s="7" t="inlineStr">
        <is>
          <t>Alarmas y control de accesos</t>
        </is>
      </c>
      <c r="D1195" s="5" t="inlineStr">
        <is>
          <t>Detector De Humo Multifucional PIR 6M</t>
        </is>
      </c>
      <c r="E1195" s="5" t="inlineStr">
        <is>
          <t>marca VESTA · alarmas · referencia VESTA-336-433</t>
        </is>
      </c>
      <c r="F1195" s="5" t="inlineStr">
        <is>
          <t>Material retirado en almacén</t>
        </is>
      </c>
      <c r="G1195" s="5" t="inlineStr"/>
      <c r="H1195" s="7" t="inlineStr">
        <is>
          <t>unidad</t>
        </is>
      </c>
      <c r="I1195" s="7" t="inlineStr">
        <is>
          <t>Instalaciones</t>
        </is>
      </c>
      <c r="J1195" s="7" t="inlineStr">
        <is>
          <t>estandar</t>
        </is>
      </c>
      <c r="K1195" s="7" t="inlineStr">
        <is>
          <t>importado</t>
        </is>
      </c>
      <c r="L1195" s="7" t="inlineStr">
        <is>
          <t>Verificado</t>
        </is>
      </c>
      <c r="M1195" s="8" t="n">
        <v>1</v>
      </c>
      <c r="N1195" s="9" t="n">
        <v>5604.86</v>
      </c>
      <c r="O1195" s="9" t="n">
        <v>5604.86</v>
      </c>
      <c r="P1195" s="9" t="n">
        <v>5604.86</v>
      </c>
      <c r="Q1195" s="7" t="inlineStr">
        <is>
          <t>Sí</t>
        </is>
      </c>
      <c r="R1195" s="9">
        <f>IF(N1195="","",IF(Q1195="Sí",ROUND(N1195/1.18,2),N1195))</f>
        <v/>
      </c>
      <c r="S1195" s="7" t="inlineStr">
        <is>
          <t>2026-09-09</t>
        </is>
      </c>
      <c r="T1195" s="5" t="inlineStr">
        <is>
          <t>1 cotización de proveedores</t>
        </is>
      </c>
    </row>
    <row r="1196">
      <c r="A1196" s="7" t="inlineStr">
        <is>
          <t>MAT-28-043</t>
        </is>
      </c>
      <c r="B1196" s="7" t="inlineStr">
        <is>
          <t>Materiales</t>
        </is>
      </c>
      <c r="C1196" s="7" t="inlineStr">
        <is>
          <t>Alarmas y control de accesos</t>
        </is>
      </c>
      <c r="D1196" s="5" t="inlineStr">
        <is>
          <t>Sensor Dual 120V 360 Gr</t>
        </is>
      </c>
      <c r="E1196" s="5" t="inlineStr">
        <is>
          <t>marca WATTSTOPPER · alarmas · referencia DT-355</t>
        </is>
      </c>
      <c r="F1196" s="5" t="inlineStr">
        <is>
          <t>Material retirado en almacén</t>
        </is>
      </c>
      <c r="G1196" s="5" t="inlineStr"/>
      <c r="H1196" s="7" t="inlineStr">
        <is>
          <t>unidad</t>
        </is>
      </c>
      <c r="I1196" s="7" t="inlineStr">
        <is>
          <t>Instalaciones</t>
        </is>
      </c>
      <c r="J1196" s="7" t="inlineStr">
        <is>
          <t>estandar</t>
        </is>
      </c>
      <c r="K1196" s="7" t="inlineStr">
        <is>
          <t>importado</t>
        </is>
      </c>
      <c r="L1196" s="7" t="inlineStr">
        <is>
          <t>Verificado</t>
        </is>
      </c>
      <c r="M1196" s="8" t="n">
        <v>1</v>
      </c>
      <c r="N1196" s="9" t="n">
        <v>6462.31</v>
      </c>
      <c r="O1196" s="9" t="n">
        <v>6462.31</v>
      </c>
      <c r="P1196" s="9" t="n">
        <v>6462.31</v>
      </c>
      <c r="Q1196" s="7" t="inlineStr">
        <is>
          <t>Sí</t>
        </is>
      </c>
      <c r="R1196" s="9">
        <f>IF(N1196="","",IF(Q1196="Sí",ROUND(N1196/1.18,2),N1196))</f>
        <v/>
      </c>
      <c r="S1196" s="7" t="inlineStr">
        <is>
          <t>2026-09-09</t>
        </is>
      </c>
      <c r="T1196" s="5" t="inlineStr">
        <is>
          <t>1 cotización de proveedores</t>
        </is>
      </c>
    </row>
    <row r="1197">
      <c r="A1197" s="7" t="inlineStr">
        <is>
          <t>MAT-28-044</t>
        </is>
      </c>
      <c r="B1197" s="7" t="inlineStr">
        <is>
          <t>Materiales</t>
        </is>
      </c>
      <c r="C1197" s="7" t="inlineStr">
        <is>
          <t>Alarmas y control de accesos</t>
        </is>
      </c>
      <c r="D1197" s="5" t="inlineStr">
        <is>
          <t>Detector PIR inalámbrico De Exterior 10M</t>
        </is>
      </c>
      <c r="E1197" s="5" t="inlineStr">
        <is>
          <t>marca VESTA · alarmas · referencia VESTA-036-433</t>
        </is>
      </c>
      <c r="F1197" s="5" t="inlineStr">
        <is>
          <t>Material retirado en almacén</t>
        </is>
      </c>
      <c r="G1197" s="5" t="inlineStr"/>
      <c r="H1197" s="7" t="inlineStr">
        <is>
          <t>unidad</t>
        </is>
      </c>
      <c r="I1197" s="7" t="inlineStr">
        <is>
          <t>Instalaciones</t>
        </is>
      </c>
      <c r="J1197" s="7" t="inlineStr">
        <is>
          <t>estandar</t>
        </is>
      </c>
      <c r="K1197" s="7" t="inlineStr">
        <is>
          <t>importado</t>
        </is>
      </c>
      <c r="L1197" s="7" t="inlineStr">
        <is>
          <t>Verificado</t>
        </is>
      </c>
      <c r="M1197" s="8" t="n">
        <v>1</v>
      </c>
      <c r="N1197" s="9" t="n">
        <v>7135.36</v>
      </c>
      <c r="O1197" s="9" t="n">
        <v>7135.36</v>
      </c>
      <c r="P1197" s="9" t="n">
        <v>7135.36</v>
      </c>
      <c r="Q1197" s="7" t="inlineStr">
        <is>
          <t>Sí</t>
        </is>
      </c>
      <c r="R1197" s="9">
        <f>IF(N1197="","",IF(Q1197="Sí",ROUND(N1197/1.18,2),N1197))</f>
        <v/>
      </c>
      <c r="S1197" s="7" t="inlineStr">
        <is>
          <t>2026-09-09</t>
        </is>
      </c>
      <c r="T1197" s="5" t="inlineStr">
        <is>
          <t>1 cotización de proveedores</t>
        </is>
      </c>
    </row>
    <row r="1198">
      <c r="A1198" s="7" t="inlineStr">
        <is>
          <t>MAT-28-045</t>
        </is>
      </c>
      <c r="B1198" s="7" t="inlineStr">
        <is>
          <t>Materiales</t>
        </is>
      </c>
      <c r="C1198" s="7" t="inlineStr">
        <is>
          <t>Alarmas y control de accesos</t>
        </is>
      </c>
      <c r="D1198" s="5" t="inlineStr">
        <is>
          <t>Detector Pircam Para Interior</t>
        </is>
      </c>
      <c r="E1198" s="5" t="inlineStr">
        <is>
          <t>marca VESTA · alarmas · referencia VESTA-270-433</t>
        </is>
      </c>
      <c r="F1198" s="5" t="inlineStr">
        <is>
          <t>Material retirado en almacén</t>
        </is>
      </c>
      <c r="G1198" s="5" t="inlineStr"/>
      <c r="H1198" s="7" t="inlineStr">
        <is>
          <t>unidad</t>
        </is>
      </c>
      <c r="I1198" s="7" t="inlineStr">
        <is>
          <t>Instalaciones</t>
        </is>
      </c>
      <c r="J1198" s="7" t="inlineStr">
        <is>
          <t>estandar</t>
        </is>
      </c>
      <c r="K1198" s="7" t="inlineStr">
        <is>
          <t>importado</t>
        </is>
      </c>
      <c r="L1198" s="7" t="inlineStr">
        <is>
          <t>Verificado</t>
        </is>
      </c>
      <c r="M1198" s="8" t="n">
        <v>1</v>
      </c>
      <c r="N1198" s="9" t="n">
        <v>7155.67</v>
      </c>
      <c r="O1198" s="9" t="n">
        <v>7155.67</v>
      </c>
      <c r="P1198" s="9" t="n">
        <v>7155.67</v>
      </c>
      <c r="Q1198" s="7" t="inlineStr">
        <is>
          <t>Sí</t>
        </is>
      </c>
      <c r="R1198" s="9">
        <f>IF(N1198="","",IF(Q1198="Sí",ROUND(N1198/1.18,2),N1198))</f>
        <v/>
      </c>
      <c r="S1198" s="7" t="inlineStr">
        <is>
          <t>2026-09-09</t>
        </is>
      </c>
      <c r="T1198" s="5" t="inlineStr">
        <is>
          <t>1 cotización de proveedores</t>
        </is>
      </c>
    </row>
    <row r="1199">
      <c r="A1199" s="7" t="inlineStr">
        <is>
          <t>MAT-28-046</t>
        </is>
      </c>
      <c r="B1199" s="7" t="inlineStr">
        <is>
          <t>Materiales</t>
        </is>
      </c>
      <c r="C1199" s="7" t="inlineStr">
        <is>
          <t>Alarmas y control de accesos</t>
        </is>
      </c>
      <c r="D1199" s="5" t="inlineStr">
        <is>
          <t>Detector Pircam inalámbrico para Exterior</t>
        </is>
      </c>
      <c r="E1199" s="5" t="inlineStr">
        <is>
          <t>marca VESTA · alarmas · referencia VESTA-347-433</t>
        </is>
      </c>
      <c r="F1199" s="5" t="inlineStr">
        <is>
          <t>Material retirado en almacén</t>
        </is>
      </c>
      <c r="G1199" s="5" t="inlineStr"/>
      <c r="H1199" s="7" t="inlineStr">
        <is>
          <t>unidad</t>
        </is>
      </c>
      <c r="I1199" s="7" t="inlineStr">
        <is>
          <t>Instalaciones</t>
        </is>
      </c>
      <c r="J1199" s="7" t="inlineStr">
        <is>
          <t>estandar</t>
        </is>
      </c>
      <c r="K1199" s="7" t="inlineStr">
        <is>
          <t>importado</t>
        </is>
      </c>
      <c r="L1199" s="7" t="inlineStr">
        <is>
          <t>Verificado</t>
        </is>
      </c>
      <c r="M1199" s="8" t="n">
        <v>1</v>
      </c>
      <c r="N1199" s="9" t="n">
        <v>11447.71</v>
      </c>
      <c r="O1199" s="9" t="n">
        <v>11447.71</v>
      </c>
      <c r="P1199" s="9" t="n">
        <v>11447.71</v>
      </c>
      <c r="Q1199" s="7" t="inlineStr">
        <is>
          <t>Sí</t>
        </is>
      </c>
      <c r="R1199" s="9">
        <f>IF(N1199="","",IF(Q1199="Sí",ROUND(N1199/1.18,2),N1199))</f>
        <v/>
      </c>
      <c r="S1199" s="7" t="inlineStr">
        <is>
          <t>2026-09-09</t>
        </is>
      </c>
      <c r="T1199" s="5" t="inlineStr">
        <is>
          <t>1 cotización de proveedores</t>
        </is>
      </c>
    </row>
    <row r="1200">
      <c r="A1200" s="7" t="inlineStr">
        <is>
          <t>MAT-28-047</t>
        </is>
      </c>
      <c r="B1200" s="7" t="inlineStr">
        <is>
          <t>Materiales</t>
        </is>
      </c>
      <c r="C1200" s="7" t="inlineStr">
        <is>
          <t>Alarmas y control de accesos</t>
        </is>
      </c>
      <c r="D1200" s="5" t="inlineStr">
        <is>
          <t>Sirena De 12V 30W Blanca</t>
        </is>
      </c>
      <c r="E1200" s="5" t="inlineStr">
        <is>
          <t>marca LINSEG · accesorios para alarmas · referencia 000898</t>
        </is>
      </c>
      <c r="F1200" s="5" t="inlineStr">
        <is>
          <t>Material retirado en almacén</t>
        </is>
      </c>
      <c r="G1200" s="5" t="inlineStr"/>
      <c r="H1200" s="7" t="inlineStr">
        <is>
          <t>unidad</t>
        </is>
      </c>
      <c r="I1200" s="7" t="inlineStr">
        <is>
          <t>Instalaciones</t>
        </is>
      </c>
      <c r="J1200" s="7" t="inlineStr">
        <is>
          <t>estandar</t>
        </is>
      </c>
      <c r="K1200" s="7" t="inlineStr">
        <is>
          <t>importado</t>
        </is>
      </c>
      <c r="L1200" s="7" t="inlineStr">
        <is>
          <t>Verificado</t>
        </is>
      </c>
      <c r="M1200" s="8" t="n">
        <v>1</v>
      </c>
      <c r="N1200" s="9" t="n">
        <v>713.99</v>
      </c>
      <c r="O1200" s="9" t="n">
        <v>713.99</v>
      </c>
      <c r="P1200" s="9" t="n">
        <v>713.99</v>
      </c>
      <c r="Q1200" s="7" t="inlineStr">
        <is>
          <t>Sí</t>
        </is>
      </c>
      <c r="R1200" s="9">
        <f>IF(N1200="","",IF(Q1200="Sí",ROUND(N1200/1.18,2),N1200))</f>
        <v/>
      </c>
      <c r="S1200" s="7" t="inlineStr">
        <is>
          <t>2026-09-09</t>
        </is>
      </c>
      <c r="T1200" s="5" t="inlineStr">
        <is>
          <t>1 cotización de proveedores</t>
        </is>
      </c>
    </row>
    <row r="1201">
      <c r="A1201" s="7" t="inlineStr">
        <is>
          <t>MAT-28-048</t>
        </is>
      </c>
      <c r="B1201" s="7" t="inlineStr">
        <is>
          <t>Materiales</t>
        </is>
      </c>
      <c r="C1201" s="7" t="inlineStr">
        <is>
          <t>Alarmas y control de accesos</t>
        </is>
      </c>
      <c r="D1201" s="5" t="inlineStr">
        <is>
          <t>Sirena inalámbrica Interior 95 Db A 10M</t>
        </is>
      </c>
      <c r="E1201" s="5" t="inlineStr">
        <is>
          <t>marca VESTA · accesorios para alarmas · referencia VESTA-373-433</t>
        </is>
      </c>
      <c r="F1201" s="5" t="inlineStr">
        <is>
          <t>Material retirado en almacén</t>
        </is>
      </c>
      <c r="G1201" s="5" t="inlineStr"/>
      <c r="H1201" s="7" t="inlineStr">
        <is>
          <t>unidad</t>
        </is>
      </c>
      <c r="I1201" s="7" t="inlineStr">
        <is>
          <t>Instalaciones</t>
        </is>
      </c>
      <c r="J1201" s="7" t="inlineStr">
        <is>
          <t>estandar</t>
        </is>
      </c>
      <c r="K1201" s="7" t="inlineStr">
        <is>
          <t>importado</t>
        </is>
      </c>
      <c r="L1201" s="7" t="inlineStr">
        <is>
          <t>Verificado</t>
        </is>
      </c>
      <c r="M1201" s="8" t="n">
        <v>1</v>
      </c>
      <c r="N1201" s="9" t="n">
        <v>3381.4</v>
      </c>
      <c r="O1201" s="9" t="n">
        <v>3381.4</v>
      </c>
      <c r="P1201" s="9" t="n">
        <v>3381.4</v>
      </c>
      <c r="Q1201" s="7" t="inlineStr">
        <is>
          <t>Sí</t>
        </is>
      </c>
      <c r="R1201" s="9">
        <f>IF(N1201="","",IF(Q1201="Sí",ROUND(N1201/1.18,2),N1201))</f>
        <v/>
      </c>
      <c r="S1201" s="7" t="inlineStr">
        <is>
          <t>2026-09-09</t>
        </is>
      </c>
      <c r="T1201" s="5" t="inlineStr">
        <is>
          <t>1 cotización de proveedores</t>
        </is>
      </c>
    </row>
    <row r="1202">
      <c r="A1202" s="7" t="inlineStr">
        <is>
          <t>MAT-28-049</t>
        </is>
      </c>
      <c r="B1202" s="7" t="inlineStr">
        <is>
          <t>Materiales</t>
        </is>
      </c>
      <c r="C1202" s="7" t="inlineStr">
        <is>
          <t>Alarmas y control de accesos</t>
        </is>
      </c>
      <c r="D1202" s="5" t="inlineStr">
        <is>
          <t>Sirena Exterior 104 Db A 1 Metro</t>
        </is>
      </c>
      <c r="E1202" s="5" t="inlineStr">
        <is>
          <t>marca VESTA · alarmas · referencia VESTA-107N-433</t>
        </is>
      </c>
      <c r="F1202" s="5" t="inlineStr">
        <is>
          <t>Material retirado en almacén</t>
        </is>
      </c>
      <c r="G1202" s="5" t="inlineStr"/>
      <c r="H1202" s="7" t="inlineStr">
        <is>
          <t>unidad</t>
        </is>
      </c>
      <c r="I1202" s="7" t="inlineStr">
        <is>
          <t>Instalaciones</t>
        </is>
      </c>
      <c r="J1202" s="7" t="inlineStr">
        <is>
          <t>estandar</t>
        </is>
      </c>
      <c r="K1202" s="7" t="inlineStr">
        <is>
          <t>importado</t>
        </is>
      </c>
      <c r="L1202" s="7" t="inlineStr">
        <is>
          <t>Verificado</t>
        </is>
      </c>
      <c r="M1202" s="8" t="n">
        <v>1</v>
      </c>
      <c r="N1202" s="9" t="n">
        <v>5053.69</v>
      </c>
      <c r="O1202" s="9" t="n">
        <v>5053.69</v>
      </c>
      <c r="P1202" s="9" t="n">
        <v>5053.69</v>
      </c>
      <c r="Q1202" s="7" t="inlineStr">
        <is>
          <t>Sí</t>
        </is>
      </c>
      <c r="R1202" s="9">
        <f>IF(N1202="","",IF(Q1202="Sí",ROUND(N1202/1.18,2),N1202))</f>
        <v/>
      </c>
      <c r="S1202" s="7" t="inlineStr">
        <is>
          <t>2026-09-09</t>
        </is>
      </c>
      <c r="T1202" s="5" t="inlineStr">
        <is>
          <t>1 cotización de proveedores</t>
        </is>
      </c>
    </row>
    <row r="1203">
      <c r="A1203" s="7" t="inlineStr">
        <is>
          <t>MAT-28-050</t>
        </is>
      </c>
      <c r="B1203" s="7" t="inlineStr">
        <is>
          <t>Materiales</t>
        </is>
      </c>
      <c r="C1203" s="7" t="inlineStr">
        <is>
          <t>Alarmas y control de accesos</t>
        </is>
      </c>
      <c r="D1203" s="5" t="inlineStr">
        <is>
          <t>Bocina Mini 24 Vdc 102 Db</t>
        </is>
      </c>
      <c r="E1203" s="5" t="inlineStr">
        <is>
          <t>marca TUTONDO · componentes para alarmas · referencia MN530GB</t>
        </is>
      </c>
      <c r="F1203" s="5" t="inlineStr">
        <is>
          <t>Material retirado en almacén</t>
        </is>
      </c>
      <c r="G1203" s="5" t="inlineStr"/>
      <c r="H1203" s="7" t="inlineStr">
        <is>
          <t>unidad</t>
        </is>
      </c>
      <c r="I1203" s="7" t="inlineStr">
        <is>
          <t>Instalaciones</t>
        </is>
      </c>
      <c r="J1203" s="7" t="inlineStr">
        <is>
          <t>estandar</t>
        </is>
      </c>
      <c r="K1203" s="7" t="inlineStr">
        <is>
          <t>importado</t>
        </is>
      </c>
      <c r="L1203" s="7" t="inlineStr">
        <is>
          <t>Verificado</t>
        </is>
      </c>
      <c r="M1203" s="8" t="n">
        <v>1</v>
      </c>
      <c r="N1203" s="9" t="n">
        <v>8877.5</v>
      </c>
      <c r="O1203" s="9" t="n">
        <v>8877.5</v>
      </c>
      <c r="P1203" s="9" t="n">
        <v>8877.5</v>
      </c>
      <c r="Q1203" s="7" t="inlineStr">
        <is>
          <t>Sí</t>
        </is>
      </c>
      <c r="R1203" s="9">
        <f>IF(N1203="","",IF(Q1203="Sí",ROUND(N1203/1.18,2),N1203))</f>
        <v/>
      </c>
      <c r="S1203" s="7" t="inlineStr">
        <is>
          <t>2026-09-09</t>
        </is>
      </c>
      <c r="T1203" s="5" t="inlineStr">
        <is>
          <t>1 cotización de proveedores</t>
        </is>
      </c>
    </row>
    <row r="1204">
      <c r="A1204" s="7" t="inlineStr">
        <is>
          <t>MAT-28-051</t>
        </is>
      </c>
      <c r="B1204" s="7" t="inlineStr">
        <is>
          <t>Materiales</t>
        </is>
      </c>
      <c r="C1204" s="7" t="inlineStr">
        <is>
          <t>Alarmas y control de accesos</t>
        </is>
      </c>
      <c r="D1204" s="5" t="inlineStr">
        <is>
          <t>Bocina Oli 24V 30W Negra</t>
        </is>
      </c>
      <c r="E1204" s="5" t="inlineStr">
        <is>
          <t>marca TUTONDO · componentes para alarmas · referencia OL530C2N</t>
        </is>
      </c>
      <c r="F1204" s="5" t="inlineStr">
        <is>
          <t>Material retirado en almacén</t>
        </is>
      </c>
      <c r="G1204" s="5" t="inlineStr"/>
      <c r="H1204" s="7" t="inlineStr">
        <is>
          <t>unidad</t>
        </is>
      </c>
      <c r="I1204" s="7" t="inlineStr">
        <is>
          <t>Instalaciones</t>
        </is>
      </c>
      <c r="J1204" s="7" t="inlineStr">
        <is>
          <t>estandar</t>
        </is>
      </c>
      <c r="K1204" s="7" t="inlineStr">
        <is>
          <t>importado</t>
        </is>
      </c>
      <c r="L1204" s="7" t="inlineStr">
        <is>
          <t>Verificado</t>
        </is>
      </c>
      <c r="M1204" s="8" t="n">
        <v>1</v>
      </c>
      <c r="N1204" s="9" t="n">
        <v>15935.49</v>
      </c>
      <c r="O1204" s="9" t="n">
        <v>15935.49</v>
      </c>
      <c r="P1204" s="9" t="n">
        <v>15935.49</v>
      </c>
      <c r="Q1204" s="7" t="inlineStr">
        <is>
          <t>Sí</t>
        </is>
      </c>
      <c r="R1204" s="9">
        <f>IF(N1204="","",IF(Q1204="Sí",ROUND(N1204/1.18,2),N1204))</f>
        <v/>
      </c>
      <c r="S1204" s="7" t="inlineStr">
        <is>
          <t>2026-09-09</t>
        </is>
      </c>
      <c r="T1204" s="5" t="inlineStr">
        <is>
          <t>1 cotización de proveedores</t>
        </is>
      </c>
    </row>
    <row r="1205">
      <c r="A1205" s="7" t="inlineStr">
        <is>
          <t>MAT-28-052</t>
        </is>
      </c>
      <c r="B1205" s="7" t="inlineStr">
        <is>
          <t>Materiales</t>
        </is>
      </c>
      <c r="C1205" s="7" t="inlineStr">
        <is>
          <t>Alarmas y control de accesos</t>
        </is>
      </c>
      <c r="D1205" s="5" t="inlineStr">
        <is>
          <t>Bocina Esferica Multiposicion 2 Vias 120W</t>
        </is>
      </c>
      <c r="E1205" s="5" t="inlineStr">
        <is>
          <t>marca TUTONDO · componentes para alarmas · referencia SX33ASLMC</t>
        </is>
      </c>
      <c r="F1205" s="5" t="inlineStr">
        <is>
          <t>Material retirado en almacén</t>
        </is>
      </c>
      <c r="G1205" s="5" t="inlineStr"/>
      <c r="H1205" s="7" t="inlineStr">
        <is>
          <t>unidad</t>
        </is>
      </c>
      <c r="I1205" s="7" t="inlineStr">
        <is>
          <t>Instalaciones</t>
        </is>
      </c>
      <c r="J1205" s="7" t="inlineStr">
        <is>
          <t>estandar</t>
        </is>
      </c>
      <c r="K1205" s="7" t="inlineStr">
        <is>
          <t>importado</t>
        </is>
      </c>
      <c r="L1205" s="7" t="inlineStr">
        <is>
          <t>Verificado</t>
        </is>
      </c>
      <c r="M1205" s="8" t="n">
        <v>1</v>
      </c>
      <c r="N1205" s="9" t="n">
        <v>39917.14</v>
      </c>
      <c r="O1205" s="9" t="n">
        <v>39917.14</v>
      </c>
      <c r="P1205" s="9" t="n">
        <v>39917.14</v>
      </c>
      <c r="Q1205" s="7" t="inlineStr">
        <is>
          <t>Sí</t>
        </is>
      </c>
      <c r="R1205" s="9">
        <f>IF(N1205="","",IF(Q1205="Sí",ROUND(N1205/1.18,2),N1205))</f>
        <v/>
      </c>
      <c r="S1205" s="7" t="inlineStr">
        <is>
          <t>2026-09-09</t>
        </is>
      </c>
      <c r="T1205" s="5" t="inlineStr">
        <is>
          <t>1 cotización de proveedores</t>
        </is>
      </c>
    </row>
    <row r="1206">
      <c r="A1206" s="7" t="inlineStr">
        <is>
          <t>MAT-28-053</t>
        </is>
      </c>
      <c r="B1206" s="7" t="inlineStr">
        <is>
          <t>Materiales</t>
        </is>
      </c>
      <c r="C1206" s="7" t="inlineStr">
        <is>
          <t>Alarmas y control de accesos</t>
        </is>
      </c>
      <c r="D1206" s="5" t="inlineStr">
        <is>
          <t>Bocina Esferica para Piso 2 Vias 120W</t>
        </is>
      </c>
      <c r="E1206" s="5" t="inlineStr">
        <is>
          <t>marca TUTONDO · componentes para alarmas · referencia SX31ASLMC</t>
        </is>
      </c>
      <c r="F1206" s="5" t="inlineStr">
        <is>
          <t>Material retirado en almacén</t>
        </is>
      </c>
      <c r="G1206" s="5" t="inlineStr"/>
      <c r="H1206" s="7" t="inlineStr">
        <is>
          <t>unidad</t>
        </is>
      </c>
      <c r="I1206" s="7" t="inlineStr">
        <is>
          <t>Instalaciones</t>
        </is>
      </c>
      <c r="J1206" s="7" t="inlineStr">
        <is>
          <t>estandar</t>
        </is>
      </c>
      <c r="K1206" s="7" t="inlineStr">
        <is>
          <t>importado</t>
        </is>
      </c>
      <c r="L1206" s="7" t="inlineStr">
        <is>
          <t>Verificado</t>
        </is>
      </c>
      <c r="M1206" s="8" t="n">
        <v>1</v>
      </c>
      <c r="N1206" s="9" t="n">
        <v>49478.37</v>
      </c>
      <c r="O1206" s="9" t="n">
        <v>49478.37</v>
      </c>
      <c r="P1206" s="9" t="n">
        <v>49478.37</v>
      </c>
      <c r="Q1206" s="7" t="inlineStr">
        <is>
          <t>Sí</t>
        </is>
      </c>
      <c r="R1206" s="9">
        <f>IF(N1206="","",IF(Q1206="Sí",ROUND(N1206/1.18,2),N1206))</f>
        <v/>
      </c>
      <c r="S1206" s="7" t="inlineStr">
        <is>
          <t>2026-09-09</t>
        </is>
      </c>
      <c r="T1206" s="5" t="inlineStr">
        <is>
          <t>1 cotización de proveedores</t>
        </is>
      </c>
    </row>
    <row r="1207">
      <c r="A1207" s="7" t="inlineStr">
        <is>
          <t>MAT-28-054</t>
        </is>
      </c>
      <c r="B1207" s="7" t="inlineStr">
        <is>
          <t>Materiales</t>
        </is>
      </c>
      <c r="C1207" s="7" t="inlineStr">
        <is>
          <t>Alarmas y control de accesos</t>
        </is>
      </c>
      <c r="D1207" s="5" t="inlineStr">
        <is>
          <t>Pulsador De Pánico, 1 Botón</t>
        </is>
      </c>
      <c r="E1207" s="5" t="inlineStr">
        <is>
          <t>marca BOSCH · accesorios para alarmas · referencia RFPB-SB-A</t>
        </is>
      </c>
      <c r="F1207" s="5" t="inlineStr">
        <is>
          <t>Material retirado en almacén</t>
        </is>
      </c>
      <c r="G1207" s="5" t="inlineStr"/>
      <c r="H1207" s="7" t="inlineStr">
        <is>
          <t>unidad</t>
        </is>
      </c>
      <c r="I1207" s="7" t="inlineStr">
        <is>
          <t>Instalaciones</t>
        </is>
      </c>
      <c r="J1207" s="7" t="inlineStr">
        <is>
          <t>estandar</t>
        </is>
      </c>
      <c r="K1207" s="7" t="inlineStr">
        <is>
          <t>importado</t>
        </is>
      </c>
      <c r="L1207" s="7" t="inlineStr">
        <is>
          <t>Verificado</t>
        </is>
      </c>
      <c r="M1207" s="8" t="n">
        <v>1</v>
      </c>
      <c r="N1207" s="9" t="n">
        <v>2022.91</v>
      </c>
      <c r="O1207" s="9" t="n">
        <v>2022.91</v>
      </c>
      <c r="P1207" s="9" t="n">
        <v>2022.91</v>
      </c>
      <c r="Q1207" s="7" t="inlineStr">
        <is>
          <t>Sí</t>
        </is>
      </c>
      <c r="R1207" s="9">
        <f>IF(N1207="","",IF(Q1207="Sí",ROUND(N1207/1.18,2),N1207))</f>
        <v/>
      </c>
      <c r="S1207" s="7" t="inlineStr">
        <is>
          <t>2026-09-09</t>
        </is>
      </c>
      <c r="T1207" s="5" t="inlineStr">
        <is>
          <t>1 cotización de proveedores</t>
        </is>
      </c>
    </row>
    <row r="1208">
      <c r="A1208" s="7" t="inlineStr">
        <is>
          <t>MAT-28-055</t>
        </is>
      </c>
      <c r="B1208" s="7" t="inlineStr">
        <is>
          <t>Materiales</t>
        </is>
      </c>
      <c r="C1208" s="7" t="inlineStr">
        <is>
          <t>Alarmas y control de accesos</t>
        </is>
      </c>
      <c r="D1208" s="5" t="inlineStr">
        <is>
          <t>Lector Tarjeta Iclass Wiegand 7.6 Cm</t>
        </is>
      </c>
      <c r="E1208" s="5" t="inlineStr">
        <is>
          <t>marca BOSCH · lectores · referencia ARD-SER10-WI</t>
        </is>
      </c>
      <c r="F1208" s="5" t="inlineStr">
        <is>
          <t>Material retirado en almacén</t>
        </is>
      </c>
      <c r="G1208" s="5" t="inlineStr"/>
      <c r="H1208" s="7" t="inlineStr">
        <is>
          <t>unidad</t>
        </is>
      </c>
      <c r="I1208" s="7" t="inlineStr">
        <is>
          <t>Instalaciones</t>
        </is>
      </c>
      <c r="J1208" s="7" t="inlineStr">
        <is>
          <t>estandar</t>
        </is>
      </c>
      <c r="K1208" s="7" t="inlineStr">
        <is>
          <t>importado</t>
        </is>
      </c>
      <c r="L1208" s="7" t="inlineStr">
        <is>
          <t>Verificado</t>
        </is>
      </c>
      <c r="M1208" s="8" t="n">
        <v>1</v>
      </c>
      <c r="N1208" s="9" t="n">
        <v>5449.72</v>
      </c>
      <c r="O1208" s="9" t="n">
        <v>5449.72</v>
      </c>
      <c r="P1208" s="9" t="n">
        <v>5449.72</v>
      </c>
      <c r="Q1208" s="7" t="inlineStr">
        <is>
          <t>Sí</t>
        </is>
      </c>
      <c r="R1208" s="9">
        <f>IF(N1208="","",IF(Q1208="Sí",ROUND(N1208/1.18,2),N1208))</f>
        <v/>
      </c>
      <c r="S1208" s="7" t="inlineStr">
        <is>
          <t>2026-09-09</t>
        </is>
      </c>
      <c r="T1208" s="5" t="inlineStr">
        <is>
          <t>1 cotización de proveedores</t>
        </is>
      </c>
    </row>
    <row r="1209">
      <c r="A1209" s="7" t="inlineStr">
        <is>
          <t>MAT-28-056</t>
        </is>
      </c>
      <c r="B1209" s="7" t="inlineStr">
        <is>
          <t>Materiales</t>
        </is>
      </c>
      <c r="C1209" s="7" t="inlineStr">
        <is>
          <t>Alarmas y control de accesos</t>
        </is>
      </c>
      <c r="D1209" s="5" t="inlineStr">
        <is>
          <t>Control acceso Para Puerta</t>
        </is>
      </c>
      <c r="E1209" s="5" t="inlineStr">
        <is>
          <t>marca BOSCH · accesorios control de acceso · referencia B901</t>
        </is>
      </c>
      <c r="F1209" s="5" t="inlineStr">
        <is>
          <t>Material retirado en almacén</t>
        </is>
      </c>
      <c r="G1209" s="5" t="inlineStr"/>
      <c r="H1209" s="7" t="inlineStr">
        <is>
          <t>unidad</t>
        </is>
      </c>
      <c r="I1209" s="7" t="inlineStr">
        <is>
          <t>Instalaciones</t>
        </is>
      </c>
      <c r="J1209" s="7" t="inlineStr">
        <is>
          <t>estandar</t>
        </is>
      </c>
      <c r="K1209" s="7" t="inlineStr">
        <is>
          <t>importado</t>
        </is>
      </c>
      <c r="L1209" s="7" t="inlineStr">
        <is>
          <t>Verificado</t>
        </is>
      </c>
      <c r="M1209" s="8" t="n">
        <v>1</v>
      </c>
      <c r="N1209" s="9" t="n">
        <v>8723.620000000001</v>
      </c>
      <c r="O1209" s="9" t="n">
        <v>8723.620000000001</v>
      </c>
      <c r="P1209" s="9" t="n">
        <v>8723.620000000001</v>
      </c>
      <c r="Q1209" s="7" t="inlineStr">
        <is>
          <t>Sí</t>
        </is>
      </c>
      <c r="R1209" s="9">
        <f>IF(N1209="","",IF(Q1209="Sí",ROUND(N1209/1.18,2),N1209))</f>
        <v/>
      </c>
      <c r="S1209" s="7" t="inlineStr">
        <is>
          <t>2026-09-09</t>
        </is>
      </c>
      <c r="T1209" s="5" t="inlineStr">
        <is>
          <t>1 cotización de proveedores</t>
        </is>
      </c>
    </row>
    <row r="1210">
      <c r="A1210" s="7" t="inlineStr">
        <is>
          <t>MAT-28-057</t>
        </is>
      </c>
      <c r="B1210" s="7" t="inlineStr">
        <is>
          <t>Materiales</t>
        </is>
      </c>
      <c r="C1210" s="7" t="inlineStr">
        <is>
          <t>Alarmas y control de accesos</t>
        </is>
      </c>
      <c r="D1210" s="5" t="inlineStr">
        <is>
          <t>Control acceso Prox. Ext. con Teclado</t>
        </is>
      </c>
      <c r="E1210" s="5" t="inlineStr">
        <is>
          <t>marca CCTV CORE · componente de control de acceso · referencia COR-ACC970</t>
        </is>
      </c>
      <c r="F1210" s="5" t="inlineStr">
        <is>
          <t>Material retirado en almacén</t>
        </is>
      </c>
      <c r="G1210" s="5" t="inlineStr"/>
      <c r="H1210" s="7" t="inlineStr">
        <is>
          <t>unidad</t>
        </is>
      </c>
      <c r="I1210" s="7" t="inlineStr">
        <is>
          <t>Instalaciones</t>
        </is>
      </c>
      <c r="J1210" s="7" t="inlineStr">
        <is>
          <t>estandar</t>
        </is>
      </c>
      <c r="K1210" s="7" t="inlineStr">
        <is>
          <t>importado</t>
        </is>
      </c>
      <c r="L1210" s="7" t="inlineStr">
        <is>
          <t>Verificado</t>
        </is>
      </c>
      <c r="M1210" s="8" t="n">
        <v>1</v>
      </c>
      <c r="N1210" s="9" t="n">
        <v>9465.780000000001</v>
      </c>
      <c r="O1210" s="9" t="n">
        <v>8365.110000000001</v>
      </c>
      <c r="P1210" s="9" t="n">
        <v>10566.44</v>
      </c>
      <c r="Q1210" s="7" t="inlineStr">
        <is>
          <t>Sí</t>
        </is>
      </c>
      <c r="R1210" s="9">
        <f>IF(N1210="","",IF(Q1210="Sí",ROUND(N1210/1.18,2),N1210))</f>
        <v/>
      </c>
      <c r="S1210" s="7" t="inlineStr">
        <is>
          <t>2026-09-09</t>
        </is>
      </c>
      <c r="T1210" s="5" t="inlineStr">
        <is>
          <t>2 cotizaciones de proveedores</t>
        </is>
      </c>
    </row>
    <row r="1211">
      <c r="A1211" s="7" t="inlineStr">
        <is>
          <t>MAT-28-058</t>
        </is>
      </c>
      <c r="B1211" s="7" t="inlineStr">
        <is>
          <t>Materiales</t>
        </is>
      </c>
      <c r="C1211" s="7" t="inlineStr">
        <is>
          <t>Alarmas y control de accesos</t>
        </is>
      </c>
      <c r="D1211" s="5" t="inlineStr">
        <is>
          <t>Lector Tarjeta Iclass Wiegand 11.4 Cm</t>
        </is>
      </c>
      <c r="E1211" s="5" t="inlineStr">
        <is>
          <t>marca BOSCH · lectores · referencia ARD-SER40-WI</t>
        </is>
      </c>
      <c r="F1211" s="5" t="inlineStr">
        <is>
          <t>Material retirado en almacén</t>
        </is>
      </c>
      <c r="G1211" s="5" t="inlineStr"/>
      <c r="H1211" s="7" t="inlineStr">
        <is>
          <t>unidad</t>
        </is>
      </c>
      <c r="I1211" s="7" t="inlineStr">
        <is>
          <t>Instalaciones</t>
        </is>
      </c>
      <c r="J1211" s="7" t="inlineStr">
        <is>
          <t>estandar</t>
        </is>
      </c>
      <c r="K1211" s="7" t="inlineStr">
        <is>
          <t>importado</t>
        </is>
      </c>
      <c r="L1211" s="7" t="inlineStr">
        <is>
          <t>Verificado</t>
        </is>
      </c>
      <c r="M1211" s="8" t="n">
        <v>1</v>
      </c>
      <c r="N1211" s="9" t="n">
        <v>11217.38</v>
      </c>
      <c r="O1211" s="9" t="n">
        <v>11217.38</v>
      </c>
      <c r="P1211" s="9" t="n">
        <v>11217.38</v>
      </c>
      <c r="Q1211" s="7" t="inlineStr">
        <is>
          <t>Sí</t>
        </is>
      </c>
      <c r="R1211" s="9">
        <f>IF(N1211="","",IF(Q1211="Sí",ROUND(N1211/1.18,2),N1211))</f>
        <v/>
      </c>
      <c r="S1211" s="7" t="inlineStr">
        <is>
          <t>2026-09-09</t>
        </is>
      </c>
      <c r="T1211" s="5" t="inlineStr">
        <is>
          <t>1 cotización de proveedores</t>
        </is>
      </c>
    </row>
    <row r="1212">
      <c r="A1212" s="7" t="inlineStr">
        <is>
          <t>MAT-28-059</t>
        </is>
      </c>
      <c r="B1212" s="7" t="inlineStr">
        <is>
          <t>Materiales</t>
        </is>
      </c>
      <c r="C1212" s="7" t="inlineStr">
        <is>
          <t>Alarmas y control de accesos</t>
        </is>
      </c>
      <c r="D1212" s="5" t="inlineStr">
        <is>
          <t>Control acceso IP Ext. con Teclado</t>
        </is>
      </c>
      <c r="E1212" s="5" t="inlineStr">
        <is>
          <t>marca CCTV CORE · componente de control de acceso · referencia COR-ACC980IP</t>
        </is>
      </c>
      <c r="F1212" s="5" t="inlineStr">
        <is>
          <t>Material retirado en almacén</t>
        </is>
      </c>
      <c r="G1212" s="5" t="inlineStr"/>
      <c r="H1212" s="7" t="inlineStr">
        <is>
          <t>unidad</t>
        </is>
      </c>
      <c r="I1212" s="7" t="inlineStr">
        <is>
          <t>Instalaciones</t>
        </is>
      </c>
      <c r="J1212" s="7" t="inlineStr">
        <is>
          <t>estandar</t>
        </is>
      </c>
      <c r="K1212" s="7" t="inlineStr">
        <is>
          <t>importado</t>
        </is>
      </c>
      <c r="L1212" s="7" t="inlineStr">
        <is>
          <t>Verificado</t>
        </is>
      </c>
      <c r="M1212" s="8" t="n">
        <v>1</v>
      </c>
      <c r="N1212" s="9" t="n">
        <v>12767.79</v>
      </c>
      <c r="O1212" s="9" t="n">
        <v>12767.79</v>
      </c>
      <c r="P1212" s="9" t="n">
        <v>12767.79</v>
      </c>
      <c r="Q1212" s="7" t="inlineStr">
        <is>
          <t>Sí</t>
        </is>
      </c>
      <c r="R1212" s="9">
        <f>IF(N1212="","",IF(Q1212="Sí",ROUND(N1212/1.18,2),N1212))</f>
        <v/>
      </c>
      <c r="S1212" s="7" t="inlineStr">
        <is>
          <t>2026-09-09</t>
        </is>
      </c>
      <c r="T1212" s="5" t="inlineStr">
        <is>
          <t>1 cotización de proveedores</t>
        </is>
      </c>
    </row>
    <row r="1213">
      <c r="A1213" s="7" t="inlineStr">
        <is>
          <t>MAT-28-060</t>
        </is>
      </c>
      <c r="B1213" s="7" t="inlineStr">
        <is>
          <t>Materiales</t>
        </is>
      </c>
      <c r="C1213" s="7" t="inlineStr">
        <is>
          <t>Alarmas y control de accesos</t>
        </is>
      </c>
      <c r="D1213" s="5" t="inlineStr">
        <is>
          <t>Lector Tarjeta Iclass 37 Bit</t>
        </is>
      </c>
      <c r="E1213" s="5" t="inlineStr">
        <is>
          <t>marca BOSCH · lectores · referencia ACD-IC2K37-50</t>
        </is>
      </c>
      <c r="F1213" s="5" t="inlineStr">
        <is>
          <t>Material retirado en almacén</t>
        </is>
      </c>
      <c r="G1213" s="5" t="inlineStr"/>
      <c r="H1213" s="7" t="inlineStr">
        <is>
          <t>unidad</t>
        </is>
      </c>
      <c r="I1213" s="7" t="inlineStr">
        <is>
          <t>Instalaciones</t>
        </is>
      </c>
      <c r="J1213" s="7" t="inlineStr">
        <is>
          <t>estandar</t>
        </is>
      </c>
      <c r="K1213" s="7" t="inlineStr">
        <is>
          <t>importado</t>
        </is>
      </c>
      <c r="L1213" s="7" t="inlineStr">
        <is>
          <t>Verificado</t>
        </is>
      </c>
      <c r="M1213" s="8" t="n">
        <v>1</v>
      </c>
      <c r="N1213" s="9" t="n">
        <v>13952.71</v>
      </c>
      <c r="O1213" s="9" t="n">
        <v>13952.71</v>
      </c>
      <c r="P1213" s="9" t="n">
        <v>13952.71</v>
      </c>
      <c r="Q1213" s="7" t="inlineStr">
        <is>
          <t>Sí</t>
        </is>
      </c>
      <c r="R1213" s="9">
        <f>IF(N1213="","",IF(Q1213="Sí",ROUND(N1213/1.18,2),N1213))</f>
        <v/>
      </c>
      <c r="S1213" s="7" t="inlineStr">
        <is>
          <t>2026-09-09</t>
        </is>
      </c>
      <c r="T1213" s="5" t="inlineStr">
        <is>
          <t>1 cotización de proveedores</t>
        </is>
      </c>
    </row>
    <row r="1214">
      <c r="A1214" s="7" t="inlineStr">
        <is>
          <t>MAT-28-061</t>
        </is>
      </c>
      <c r="B1214" s="7" t="inlineStr">
        <is>
          <t>Materiales</t>
        </is>
      </c>
      <c r="C1214" s="7" t="inlineStr">
        <is>
          <t>Alarmas y control de accesos</t>
        </is>
      </c>
      <c r="D1214" s="5" t="inlineStr">
        <is>
          <t>Control acceso biométrico / Huella Net</t>
        </is>
      </c>
      <c r="E1214" s="5" t="inlineStr">
        <is>
          <t>marca CCTV CORE · componente de control de acceso · referencia COR-ACC890BIO</t>
        </is>
      </c>
      <c r="F1214" s="5" t="inlineStr">
        <is>
          <t>Material retirado en almacén</t>
        </is>
      </c>
      <c r="G1214" s="5" t="inlineStr"/>
      <c r="H1214" s="7" t="inlineStr">
        <is>
          <t>unidad</t>
        </is>
      </c>
      <c r="I1214" s="7" t="inlineStr">
        <is>
          <t>Instalaciones</t>
        </is>
      </c>
      <c r="J1214" s="7" t="inlineStr">
        <is>
          <t>estandar</t>
        </is>
      </c>
      <c r="K1214" s="7" t="inlineStr">
        <is>
          <t>importado</t>
        </is>
      </c>
      <c r="L1214" s="7" t="inlineStr">
        <is>
          <t>Verificado</t>
        </is>
      </c>
      <c r="M1214" s="8" t="n">
        <v>1</v>
      </c>
      <c r="N1214" s="9" t="n">
        <v>16289.94</v>
      </c>
      <c r="O1214" s="9" t="n">
        <v>16289.94</v>
      </c>
      <c r="P1214" s="9" t="n">
        <v>16289.94</v>
      </c>
      <c r="Q1214" s="7" t="inlineStr">
        <is>
          <t>Sí</t>
        </is>
      </c>
      <c r="R1214" s="9">
        <f>IF(N1214="","",IF(Q1214="Sí",ROUND(N1214/1.18,2),N1214))</f>
        <v/>
      </c>
      <c r="S1214" s="7" t="inlineStr">
        <is>
          <t>2026-09-09</t>
        </is>
      </c>
      <c r="T1214" s="5" t="inlineStr">
        <is>
          <t>1 cotización de proveedores</t>
        </is>
      </c>
    </row>
    <row r="1215">
      <c r="A1215" s="7" t="inlineStr">
        <is>
          <t>MAT-28-062</t>
        </is>
      </c>
      <c r="B1215" s="7" t="inlineStr">
        <is>
          <t>Materiales</t>
        </is>
      </c>
      <c r="C1215" s="7" t="inlineStr">
        <is>
          <t>Alarmas y control de accesos</t>
        </is>
      </c>
      <c r="D1215" s="5" t="inlineStr">
        <is>
          <t>Lector Tarjeta Iclass Wiegand 33.6 Cm</t>
        </is>
      </c>
      <c r="E1215" s="5" t="inlineStr">
        <is>
          <t>marca BOSCH · lectores · referencia ARD-SER90-WI</t>
        </is>
      </c>
      <c r="F1215" s="5" t="inlineStr">
        <is>
          <t>Material retirado en almacén</t>
        </is>
      </c>
      <c r="G1215" s="5" t="inlineStr"/>
      <c r="H1215" s="7" t="inlineStr">
        <is>
          <t>unidad</t>
        </is>
      </c>
      <c r="I1215" s="7" t="inlineStr">
        <is>
          <t>Instalaciones</t>
        </is>
      </c>
      <c r="J1215" s="7" t="inlineStr">
        <is>
          <t>estandar</t>
        </is>
      </c>
      <c r="K1215" s="7" t="inlineStr">
        <is>
          <t>importado</t>
        </is>
      </c>
      <c r="L1215" s="7" t="inlineStr">
        <is>
          <t>Verificado</t>
        </is>
      </c>
      <c r="M1215" s="8" t="n">
        <v>1</v>
      </c>
      <c r="N1215" s="9" t="n">
        <v>31872.76</v>
      </c>
      <c r="O1215" s="9" t="n">
        <v>31872.76</v>
      </c>
      <c r="P1215" s="9" t="n">
        <v>31872.76</v>
      </c>
      <c r="Q1215" s="7" t="inlineStr">
        <is>
          <t>Sí</t>
        </is>
      </c>
      <c r="R1215" s="9">
        <f>IF(N1215="","",IF(Q1215="Sí",ROUND(N1215/1.18,2),N1215))</f>
        <v/>
      </c>
      <c r="S1215" s="7" t="inlineStr">
        <is>
          <t>2026-09-09</t>
        </is>
      </c>
      <c r="T1215" s="5" t="inlineStr">
        <is>
          <t>1 cotización de proveedores</t>
        </is>
      </c>
    </row>
    <row r="1216">
      <c r="A1216" s="7" t="inlineStr">
        <is>
          <t>MAT-28-063</t>
        </is>
      </c>
      <c r="B1216" s="7" t="inlineStr">
        <is>
          <t>Materiales</t>
        </is>
      </c>
      <c r="C1216" s="7" t="inlineStr">
        <is>
          <t>Alarmas y control de accesos</t>
        </is>
      </c>
      <c r="D1216" s="5" t="inlineStr">
        <is>
          <t>Control acceso para 12 Salidas Network</t>
        </is>
      </c>
      <c r="E1216" s="5" t="inlineStr">
        <is>
          <t>marca CCTV CORE · componente de control de acceso · referencia COR-ACC1000</t>
        </is>
      </c>
      <c r="F1216" s="5" t="inlineStr">
        <is>
          <t>Material retirado en almacén</t>
        </is>
      </c>
      <c r="G1216" s="5" t="inlineStr"/>
      <c r="H1216" s="7" t="inlineStr">
        <is>
          <t>unidad</t>
        </is>
      </c>
      <c r="I1216" s="7" t="inlineStr">
        <is>
          <t>Instalaciones</t>
        </is>
      </c>
      <c r="J1216" s="7" t="inlineStr">
        <is>
          <t>estandar</t>
        </is>
      </c>
      <c r="K1216" s="7" t="inlineStr">
        <is>
          <t>importado</t>
        </is>
      </c>
      <c r="L1216" s="7" t="inlineStr">
        <is>
          <t>Verificado</t>
        </is>
      </c>
      <c r="M1216" s="8" t="n">
        <v>1</v>
      </c>
      <c r="N1216" s="9" t="n">
        <v>34781.26</v>
      </c>
      <c r="O1216" s="9" t="n">
        <v>34781.26</v>
      </c>
      <c r="P1216" s="9" t="n">
        <v>34781.26</v>
      </c>
      <c r="Q1216" s="7" t="inlineStr">
        <is>
          <t>Sí</t>
        </is>
      </c>
      <c r="R1216" s="9">
        <f>IF(N1216="","",IF(Q1216="Sí",ROUND(N1216/1.18,2),N1216))</f>
        <v/>
      </c>
      <c r="S1216" s="7" t="inlineStr">
        <is>
          <t>2026-09-09</t>
        </is>
      </c>
      <c r="T1216" s="5" t="inlineStr">
        <is>
          <t>1 cotización de proveedores</t>
        </is>
      </c>
    </row>
    <row r="1217">
      <c r="A1217" s="7" t="inlineStr">
        <is>
          <t>MAT-28-064</t>
        </is>
      </c>
      <c r="B1217" s="7" t="inlineStr">
        <is>
          <t>Materiales</t>
        </is>
      </c>
      <c r="C1217" s="7" t="inlineStr">
        <is>
          <t>Alarmas y control de accesos</t>
        </is>
      </c>
      <c r="D1217" s="5" t="inlineStr">
        <is>
          <t>Control De acceso Con Huella</t>
        </is>
      </c>
      <c r="E1217" s="5" t="inlineStr">
        <is>
          <t>marca BOSCH · componente de control de acceso · referencia ARD-FPBEW2-H2</t>
        </is>
      </c>
      <c r="F1217" s="5" t="inlineStr">
        <is>
          <t>Material retirado en almacén</t>
        </is>
      </c>
      <c r="G1217" s="5" t="inlineStr"/>
      <c r="H1217" s="7" t="inlineStr">
        <is>
          <t>unidad</t>
        </is>
      </c>
      <c r="I1217" s="7" t="inlineStr">
        <is>
          <t>Instalaciones</t>
        </is>
      </c>
      <c r="J1217" s="7" t="inlineStr">
        <is>
          <t>estandar</t>
        </is>
      </c>
      <c r="K1217" s="7" t="inlineStr">
        <is>
          <t>importado</t>
        </is>
      </c>
      <c r="L1217" s="7" t="inlineStr">
        <is>
          <t>Verificado</t>
        </is>
      </c>
      <c r="M1217" s="8" t="n">
        <v>1</v>
      </c>
      <c r="N1217" s="9" t="n">
        <v>48902.72</v>
      </c>
      <c r="O1217" s="9" t="n">
        <v>48902.72</v>
      </c>
      <c r="P1217" s="9" t="n">
        <v>48902.72</v>
      </c>
      <c r="Q1217" s="7" t="inlineStr">
        <is>
          <t>Sí</t>
        </is>
      </c>
      <c r="R1217" s="9">
        <f>IF(N1217="","",IF(Q1217="Sí",ROUND(N1217/1.18,2),N1217))</f>
        <v/>
      </c>
      <c r="S1217" s="7" t="inlineStr">
        <is>
          <t>2026-09-09</t>
        </is>
      </c>
      <c r="T1217" s="5" t="inlineStr">
        <is>
          <t>1 cotización de proveedores</t>
        </is>
      </c>
    </row>
    <row r="1218">
      <c r="A1218" s="7" t="inlineStr">
        <is>
          <t>MAT-28-065</t>
        </is>
      </c>
      <c r="B1218" s="7" t="inlineStr">
        <is>
          <t>Materiales</t>
        </is>
      </c>
      <c r="C1218" s="7" t="inlineStr">
        <is>
          <t>Alarmas y control de accesos</t>
        </is>
      </c>
      <c r="D1218" s="5" t="inlineStr">
        <is>
          <t>Kit Alarma inalámbrica</t>
        </is>
      </c>
      <c r="E1218" s="5" t="inlineStr">
        <is>
          <t>marca AMC · alarmas · referencia KITBELLBOX</t>
        </is>
      </c>
      <c r="F1218" s="5" t="inlineStr">
        <is>
          <t>Material retirado en almacén</t>
        </is>
      </c>
      <c r="G1218" s="5" t="inlineStr"/>
      <c r="H1218" s="7" t="inlineStr">
        <is>
          <t>unidad</t>
        </is>
      </c>
      <c r="I1218" s="7" t="inlineStr">
        <is>
          <t>Instalaciones</t>
        </is>
      </c>
      <c r="J1218" s="7" t="inlineStr">
        <is>
          <t>estandar</t>
        </is>
      </c>
      <c r="K1218" s="7" t="inlineStr">
        <is>
          <t>importado</t>
        </is>
      </c>
      <c r="L1218" s="7" t="inlineStr">
        <is>
          <t>Verificado</t>
        </is>
      </c>
      <c r="M1218" s="8" t="n">
        <v>1</v>
      </c>
      <c r="N1218" s="9" t="n">
        <v>7107.67</v>
      </c>
      <c r="O1218" s="9" t="n">
        <v>7107.67</v>
      </c>
      <c r="P1218" s="9" t="n">
        <v>7107.67</v>
      </c>
      <c r="Q1218" s="7" t="inlineStr">
        <is>
          <t>Sí</t>
        </is>
      </c>
      <c r="R1218" s="9">
        <f>IF(N1218="","",IF(Q1218="Sí",ROUND(N1218/1.18,2),N1218))</f>
        <v/>
      </c>
      <c r="S1218" s="7" t="inlineStr">
        <is>
          <t>2026-09-09</t>
        </is>
      </c>
      <c r="T1218" s="5" t="inlineStr">
        <is>
          <t>1 cotización de proveedores</t>
        </is>
      </c>
    </row>
    <row r="1219">
      <c r="A1219" s="7" t="inlineStr">
        <is>
          <t>MAT-28-066</t>
        </is>
      </c>
      <c r="B1219" s="7" t="inlineStr">
        <is>
          <t>Materiales</t>
        </is>
      </c>
      <c r="C1219" s="7" t="inlineStr">
        <is>
          <t>Alarmas y control de accesos</t>
        </is>
      </c>
      <c r="D1219" s="5" t="inlineStr">
        <is>
          <t>Cable Audio AWG 16 / 4 Blanco / Gris</t>
        </is>
      </c>
      <c r="E1219" s="5" t="inlineStr">
        <is>
          <t>marca GENESIS · cables · referencia 5251-906836R500'</t>
        </is>
      </c>
      <c r="F1219" s="5" t="inlineStr">
        <is>
          <t>Material retirado en almacén</t>
        </is>
      </c>
      <c r="G1219" s="5" t="inlineStr"/>
      <c r="H1219" s="7" t="inlineStr">
        <is>
          <t>unidad</t>
        </is>
      </c>
      <c r="I1219" s="7" t="inlineStr">
        <is>
          <t>Instalaciones</t>
        </is>
      </c>
      <c r="J1219" s="7" t="inlineStr">
        <is>
          <t>estandar</t>
        </is>
      </c>
      <c r="K1219" s="7" t="inlineStr">
        <is>
          <t>importado</t>
        </is>
      </c>
      <c r="L1219" s="7" t="inlineStr">
        <is>
          <t>Verificado</t>
        </is>
      </c>
      <c r="M1219" s="8" t="n">
        <v>1</v>
      </c>
      <c r="N1219" s="9" t="n">
        <v>10439.3</v>
      </c>
      <c r="O1219" s="9" t="n">
        <v>10439.3</v>
      </c>
      <c r="P1219" s="9" t="n">
        <v>10439.3</v>
      </c>
      <c r="Q1219" s="7" t="inlineStr">
        <is>
          <t>Sí</t>
        </is>
      </c>
      <c r="R1219" s="9">
        <f>IF(N1219="","",IF(Q1219="Sí",ROUND(N1219/1.18,2),N1219))</f>
        <v/>
      </c>
      <c r="S1219" s="7" t="inlineStr">
        <is>
          <t>2026-09-09</t>
        </is>
      </c>
      <c r="T1219" s="5" t="inlineStr">
        <is>
          <t>1 cotización de proveedores</t>
        </is>
      </c>
    </row>
    <row r="1220">
      <c r="A1220" s="7" t="inlineStr">
        <is>
          <t>MAT-28-067</t>
        </is>
      </c>
      <c r="B1220" s="7" t="inlineStr">
        <is>
          <t>Materiales</t>
        </is>
      </c>
      <c r="C1220" s="7" t="inlineStr">
        <is>
          <t>Alarmas y control de accesos</t>
        </is>
      </c>
      <c r="D1220" s="5" t="inlineStr">
        <is>
          <t>Modulo Telefono Plug-In</t>
        </is>
      </c>
      <c r="E1220" s="5" t="inlineStr">
        <is>
          <t>marca BOSCH · componente de control de acceso · referencia B430</t>
        </is>
      </c>
      <c r="F1220" s="5" t="inlineStr">
        <is>
          <t>Material retirado en almacén</t>
        </is>
      </c>
      <c r="G1220" s="5" t="inlineStr"/>
      <c r="H1220" s="7" t="inlineStr">
        <is>
          <t>unidad</t>
        </is>
      </c>
      <c r="I1220" s="7" t="inlineStr">
        <is>
          <t>Instalaciones</t>
        </is>
      </c>
      <c r="J1220" s="7" t="inlineStr">
        <is>
          <t>estandar</t>
        </is>
      </c>
      <c r="K1220" s="7" t="inlineStr">
        <is>
          <t>importado</t>
        </is>
      </c>
      <c r="L1220" s="7" t="inlineStr">
        <is>
          <t>Verificado</t>
        </is>
      </c>
      <c r="M1220" s="8" t="n">
        <v>1</v>
      </c>
      <c r="N1220" s="9" t="n">
        <v>2299.62</v>
      </c>
      <c r="O1220" s="9" t="n">
        <v>2299.62</v>
      </c>
      <c r="P1220" s="9" t="n">
        <v>2299.62</v>
      </c>
      <c r="Q1220" s="7" t="inlineStr">
        <is>
          <t>Sí</t>
        </is>
      </c>
      <c r="R1220" s="9">
        <f>IF(N1220="","",IF(Q1220="Sí",ROUND(N1220/1.18,2),N1220))</f>
        <v/>
      </c>
      <c r="S1220" s="7" t="inlineStr">
        <is>
          <t>2026-09-09</t>
        </is>
      </c>
      <c r="T1220" s="5" t="inlineStr">
        <is>
          <t>1 cotización de proveedores</t>
        </is>
      </c>
    </row>
    <row r="1221">
      <c r="A1221" s="7" t="inlineStr">
        <is>
          <t>MAT-28-068</t>
        </is>
      </c>
      <c r="B1221" s="7" t="inlineStr">
        <is>
          <t>Materiales</t>
        </is>
      </c>
      <c r="C1221" s="7" t="inlineStr">
        <is>
          <t>Alarmas y control de accesos</t>
        </is>
      </c>
      <c r="D1221" s="5" t="inlineStr">
        <is>
          <t>Parlante 6.5" Cielo, Par, S2 Incei</t>
        </is>
      </c>
      <c r="E1221" s="5" t="inlineStr">
        <is>
          <t>marca NUVO LEGRAND · componentes para alarmas · referencia NV21C6</t>
        </is>
      </c>
      <c r="F1221" s="5" t="inlineStr">
        <is>
          <t>Material retirado en almacén</t>
        </is>
      </c>
      <c r="G1221" s="5" t="inlineStr"/>
      <c r="H1221" s="7" t="inlineStr">
        <is>
          <t>unidad</t>
        </is>
      </c>
      <c r="I1221" s="7" t="inlineStr">
        <is>
          <t>Instalaciones</t>
        </is>
      </c>
      <c r="J1221" s="7" t="inlineStr">
        <is>
          <t>estandar</t>
        </is>
      </c>
      <c r="K1221" s="7" t="inlineStr">
        <is>
          <t>importado</t>
        </is>
      </c>
      <c r="L1221" s="7" t="inlineStr">
        <is>
          <t>Verificado</t>
        </is>
      </c>
      <c r="M1221" s="8" t="n">
        <v>1</v>
      </c>
      <c r="N1221" s="9" t="n">
        <v>7860.67</v>
      </c>
      <c r="O1221" s="9" t="n">
        <v>7860.67</v>
      </c>
      <c r="P1221" s="9" t="n">
        <v>7860.67</v>
      </c>
      <c r="Q1221" s="7" t="inlineStr">
        <is>
          <t>Sí</t>
        </is>
      </c>
      <c r="R1221" s="9">
        <f>IF(N1221="","",IF(Q1221="Sí",ROUND(N1221/1.18,2),N1221))</f>
        <v/>
      </c>
      <c r="S1221" s="7" t="inlineStr">
        <is>
          <t>2026-09-09</t>
        </is>
      </c>
      <c r="T1221" s="5" t="inlineStr">
        <is>
          <t>1 cotización de proveedores</t>
        </is>
      </c>
    </row>
    <row r="1222">
      <c r="A1222" s="7" t="inlineStr">
        <is>
          <t>MAT-28-069</t>
        </is>
      </c>
      <c r="B1222" s="7" t="inlineStr">
        <is>
          <t>Materiales</t>
        </is>
      </c>
      <c r="C1222" s="7" t="inlineStr">
        <is>
          <t>Alarmas y control de accesos</t>
        </is>
      </c>
      <c r="D1222" s="5" t="inlineStr">
        <is>
          <t>Carril Din</t>
        </is>
      </c>
      <c r="E1222" s="5" t="inlineStr">
        <is>
          <t>marca BOSCH · accesorios control de acceso · referencia ACX-RAIL-250</t>
        </is>
      </c>
      <c r="F1222" s="5" t="inlineStr">
        <is>
          <t>Material retirado en almacén</t>
        </is>
      </c>
      <c r="G1222" s="5" t="inlineStr"/>
      <c r="H1222" s="7" t="inlineStr">
        <is>
          <t>unidad</t>
        </is>
      </c>
      <c r="I1222" s="7" t="inlineStr">
        <is>
          <t>Instalaciones</t>
        </is>
      </c>
      <c r="J1222" s="7" t="inlineStr">
        <is>
          <t>estandar</t>
        </is>
      </c>
      <c r="K1222" s="7" t="inlineStr">
        <is>
          <t>importado</t>
        </is>
      </c>
      <c r="L1222" s="7" t="inlineStr">
        <is>
          <t>Verificado</t>
        </is>
      </c>
      <c r="M1222" s="8" t="n">
        <v>1</v>
      </c>
      <c r="N1222" s="9" t="n">
        <v>481.6</v>
      </c>
      <c r="O1222" s="9" t="n">
        <v>481.6</v>
      </c>
      <c r="P1222" s="9" t="n">
        <v>481.6</v>
      </c>
      <c r="Q1222" s="7" t="inlineStr">
        <is>
          <t>Sí</t>
        </is>
      </c>
      <c r="R1222" s="9">
        <f>IF(N1222="","",IF(Q1222="Sí",ROUND(N1222/1.18,2),N1222))</f>
        <v/>
      </c>
      <c r="S1222" s="7" t="inlineStr">
        <is>
          <t>2026-09-09</t>
        </is>
      </c>
      <c r="T1222" s="5" t="inlineStr">
        <is>
          <t>1 cotización de proveedores</t>
        </is>
      </c>
    </row>
    <row r="1223">
      <c r="A1223" s="7" t="inlineStr">
        <is>
          <t>MAT-28-070</t>
        </is>
      </c>
      <c r="B1223" s="7" t="inlineStr">
        <is>
          <t>Materiales</t>
        </is>
      </c>
      <c r="C1223" s="7" t="inlineStr">
        <is>
          <t>Alarmas y control de accesos</t>
        </is>
      </c>
      <c r="D1223" s="5" t="inlineStr">
        <is>
          <t>Gabinete para Modulo Pqn</t>
        </is>
      </c>
      <c r="E1223" s="5" t="inlineStr">
        <is>
          <t>marca BOSCH · componente de control de acceso · referencia B11</t>
        </is>
      </c>
      <c r="F1223" s="5" t="inlineStr">
        <is>
          <t>Material retirado en almacén</t>
        </is>
      </c>
      <c r="G1223" s="5" t="inlineStr"/>
      <c r="H1223" s="7" t="inlineStr">
        <is>
          <t>unidad</t>
        </is>
      </c>
      <c r="I1223" s="7" t="inlineStr">
        <is>
          <t>Instalaciones</t>
        </is>
      </c>
      <c r="J1223" s="7" t="inlineStr">
        <is>
          <t>estandar</t>
        </is>
      </c>
      <c r="K1223" s="7" t="inlineStr">
        <is>
          <t>importado</t>
        </is>
      </c>
      <c r="L1223" s="7" t="inlineStr">
        <is>
          <t>Verificado</t>
        </is>
      </c>
      <c r="M1223" s="8" t="n">
        <v>1</v>
      </c>
      <c r="N1223" s="9" t="n">
        <v>1083.05</v>
      </c>
      <c r="O1223" s="9" t="n">
        <v>1083.05</v>
      </c>
      <c r="P1223" s="9" t="n">
        <v>1083.05</v>
      </c>
      <c r="Q1223" s="7" t="inlineStr">
        <is>
          <t>Sí</t>
        </is>
      </c>
      <c r="R1223" s="9">
        <f>IF(N1223="","",IF(Q1223="Sí",ROUND(N1223/1.18,2),N1223))</f>
        <v/>
      </c>
      <c r="S1223" s="7" t="inlineStr">
        <is>
          <t>2026-09-09</t>
        </is>
      </c>
      <c r="T1223" s="5" t="inlineStr">
        <is>
          <t>1 cotización de proveedores</t>
        </is>
      </c>
    </row>
    <row r="1224">
      <c r="A1224" s="7" t="inlineStr">
        <is>
          <t>MAT-28-071</t>
        </is>
      </c>
      <c r="B1224" s="7" t="inlineStr">
        <is>
          <t>Materiales</t>
        </is>
      </c>
      <c r="C1224" s="7" t="inlineStr">
        <is>
          <t>Alarmas y control de accesos</t>
        </is>
      </c>
      <c r="D1224" s="5" t="inlineStr">
        <is>
          <t>Gabinete para Modulo Mdn</t>
        </is>
      </c>
      <c r="E1224" s="5" t="inlineStr">
        <is>
          <t>marca BOSCH · componente de control de acceso · referencia B10</t>
        </is>
      </c>
      <c r="F1224" s="5" t="inlineStr">
        <is>
          <t>Material retirado en almacén</t>
        </is>
      </c>
      <c r="G1224" s="5" t="inlineStr"/>
      <c r="H1224" s="7" t="inlineStr">
        <is>
          <t>unidad</t>
        </is>
      </c>
      <c r="I1224" s="7" t="inlineStr">
        <is>
          <t>Instalaciones</t>
        </is>
      </c>
      <c r="J1224" s="7" t="inlineStr">
        <is>
          <t>estandar</t>
        </is>
      </c>
      <c r="K1224" s="7" t="inlineStr">
        <is>
          <t>importado</t>
        </is>
      </c>
      <c r="L1224" s="7" t="inlineStr">
        <is>
          <t>Verificado</t>
        </is>
      </c>
      <c r="M1224" s="8" t="n">
        <v>1</v>
      </c>
      <c r="N1224" s="9" t="n">
        <v>1199.1</v>
      </c>
      <c r="O1224" s="9" t="n">
        <v>1199.1</v>
      </c>
      <c r="P1224" s="9" t="n">
        <v>1199.1</v>
      </c>
      <c r="Q1224" s="7" t="inlineStr">
        <is>
          <t>Sí</t>
        </is>
      </c>
      <c r="R1224" s="9">
        <f>IF(N1224="","",IF(Q1224="Sí",ROUND(N1224/1.18,2),N1224))</f>
        <v/>
      </c>
      <c r="S1224" s="7" t="inlineStr">
        <is>
          <t>2026-09-09</t>
        </is>
      </c>
      <c r="T1224" s="5" t="inlineStr">
        <is>
          <t>1 cotización de proveedores</t>
        </is>
      </c>
    </row>
    <row r="1225">
      <c r="A1225" s="7" t="inlineStr">
        <is>
          <t>MAT-28-072</t>
        </is>
      </c>
      <c r="B1225" s="7" t="inlineStr">
        <is>
          <t>Materiales</t>
        </is>
      </c>
      <c r="C1225" s="7" t="inlineStr">
        <is>
          <t>Alarmas y control de accesos</t>
        </is>
      </c>
      <c r="D1225" s="5" t="inlineStr">
        <is>
          <t>Comunicador Gsm</t>
        </is>
      </c>
      <c r="E1225" s="5" t="inlineStr">
        <is>
          <t>marca LINSEG · componentes cerco electricos · referencia 000403CELL8</t>
        </is>
      </c>
      <c r="F1225" s="5" t="inlineStr">
        <is>
          <t>Material retirado en almacén</t>
        </is>
      </c>
      <c r="G1225" s="5" t="inlineStr"/>
      <c r="H1225" s="7" t="inlineStr">
        <is>
          <t>unidad</t>
        </is>
      </c>
      <c r="I1225" s="7" t="inlineStr">
        <is>
          <t>Instalaciones</t>
        </is>
      </c>
      <c r="J1225" s="7" t="inlineStr">
        <is>
          <t>estandar</t>
        </is>
      </c>
      <c r="K1225" s="7" t="inlineStr">
        <is>
          <t>importado</t>
        </is>
      </c>
      <c r="L1225" s="7" t="inlineStr">
        <is>
          <t>Verificado</t>
        </is>
      </c>
      <c r="M1225" s="8" t="n">
        <v>1</v>
      </c>
      <c r="N1225" s="9" t="n">
        <v>4924.63</v>
      </c>
      <c r="O1225" s="9" t="n">
        <v>4924.63</v>
      </c>
      <c r="P1225" s="9" t="n">
        <v>4924.63</v>
      </c>
      <c r="Q1225" s="7" t="inlineStr">
        <is>
          <t>Sí</t>
        </is>
      </c>
      <c r="R1225" s="9">
        <f>IF(N1225="","",IF(Q1225="Sí",ROUND(N1225/1.18,2),N1225))</f>
        <v/>
      </c>
      <c r="S1225" s="7" t="inlineStr">
        <is>
          <t>2026-09-09</t>
        </is>
      </c>
      <c r="T1225" s="5" t="inlineStr">
        <is>
          <t>1 cotización de proveedores</t>
        </is>
      </c>
    </row>
    <row r="1226">
      <c r="A1226" s="7" t="inlineStr">
        <is>
          <t>MAT-28-073</t>
        </is>
      </c>
      <c r="B1226" s="7" t="inlineStr">
        <is>
          <t>Materiales</t>
        </is>
      </c>
      <c r="C1226" s="7" t="inlineStr">
        <is>
          <t>Alarmas y control de accesos</t>
        </is>
      </c>
      <c r="D1226" s="5" t="inlineStr">
        <is>
          <t>Controlador De Puerta Wi 2 Lect.</t>
        </is>
      </c>
      <c r="E1226" s="5" t="inlineStr">
        <is>
          <t>marca BOSCH · controladores · referencia APC-AMC2-2WCF</t>
        </is>
      </c>
      <c r="F1226" s="5" t="inlineStr">
        <is>
          <t>Material retirado en almacén</t>
        </is>
      </c>
      <c r="G1226" s="5" t="inlineStr"/>
      <c r="H1226" s="7" t="inlineStr">
        <is>
          <t>unidad</t>
        </is>
      </c>
      <c r="I1226" s="7" t="inlineStr">
        <is>
          <t>Instalaciones</t>
        </is>
      </c>
      <c r="J1226" s="7" t="inlineStr">
        <is>
          <t>estandar</t>
        </is>
      </c>
      <c r="K1226" s="7" t="inlineStr">
        <is>
          <t>importado</t>
        </is>
      </c>
      <c r="L1226" s="7" t="inlineStr">
        <is>
          <t>Verificado</t>
        </is>
      </c>
      <c r="M1226" s="8" t="n">
        <v>1</v>
      </c>
      <c r="N1226" s="9" t="n">
        <v>30875.02</v>
      </c>
      <c r="O1226" s="9" t="n">
        <v>30875.02</v>
      </c>
      <c r="P1226" s="9" t="n">
        <v>30875.02</v>
      </c>
      <c r="Q1226" s="7" t="inlineStr">
        <is>
          <t>Sí</t>
        </is>
      </c>
      <c r="R1226" s="9">
        <f>IF(N1226="","",IF(Q1226="Sí",ROUND(N1226/1.18,2),N1226))</f>
        <v/>
      </c>
      <c r="S1226" s="7" t="inlineStr">
        <is>
          <t>2026-09-09</t>
        </is>
      </c>
      <c r="T1226" s="5" t="inlineStr">
        <is>
          <t>1 cotización de proveedores</t>
        </is>
      </c>
    </row>
    <row r="1227">
      <c r="A1227" s="7" t="inlineStr">
        <is>
          <t>MAT-28-074</t>
        </is>
      </c>
      <c r="B1227" s="7" t="inlineStr">
        <is>
          <t>Materiales</t>
        </is>
      </c>
      <c r="C1227" s="7" t="inlineStr">
        <is>
          <t>Alarmas y control de accesos</t>
        </is>
      </c>
      <c r="D1227" s="5" t="inlineStr">
        <is>
          <t>Controlador Puerta Extension Wiegand</t>
        </is>
      </c>
      <c r="E1227" s="5" t="inlineStr">
        <is>
          <t>marca BOSCH · accesorios control de acceso · referencia API-AMC2-4WE</t>
        </is>
      </c>
      <c r="F1227" s="5" t="inlineStr">
        <is>
          <t>Material retirado en almacén</t>
        </is>
      </c>
      <c r="G1227" s="5" t="inlineStr"/>
      <c r="H1227" s="7" t="inlineStr">
        <is>
          <t>unidad</t>
        </is>
      </c>
      <c r="I1227" s="7" t="inlineStr">
        <is>
          <t>Instalaciones</t>
        </is>
      </c>
      <c r="J1227" s="7" t="inlineStr">
        <is>
          <t>estandar</t>
        </is>
      </c>
      <c r="K1227" s="7" t="inlineStr">
        <is>
          <t>importado</t>
        </is>
      </c>
      <c r="L1227" s="7" t="inlineStr">
        <is>
          <t>Verificado</t>
        </is>
      </c>
      <c r="M1227" s="8" t="n">
        <v>1</v>
      </c>
      <c r="N1227" s="9" t="n">
        <v>40571.93</v>
      </c>
      <c r="O1227" s="9" t="n">
        <v>40571.93</v>
      </c>
      <c r="P1227" s="9" t="n">
        <v>40571.93</v>
      </c>
      <c r="Q1227" s="7" t="inlineStr">
        <is>
          <t>Sí</t>
        </is>
      </c>
      <c r="R1227" s="9">
        <f>IF(N1227="","",IF(Q1227="Sí",ROUND(N1227/1.18,2),N1227))</f>
        <v/>
      </c>
      <c r="S1227" s="7" t="inlineStr">
        <is>
          <t>2026-09-09</t>
        </is>
      </c>
      <c r="T1227" s="5" t="inlineStr">
        <is>
          <t>1 cotización de proveedores</t>
        </is>
      </c>
    </row>
    <row r="1228">
      <c r="A1228" s="7" t="inlineStr">
        <is>
          <t>MAT-28-075</t>
        </is>
      </c>
      <c r="B1228" s="7" t="inlineStr">
        <is>
          <t>Materiales</t>
        </is>
      </c>
      <c r="C1228" s="7" t="inlineStr">
        <is>
          <t>Alarmas y control de accesos</t>
        </is>
      </c>
      <c r="D1228" s="5" t="inlineStr">
        <is>
          <t>Controlador acceso Modular</t>
        </is>
      </c>
      <c r="E1228" s="5" t="inlineStr">
        <is>
          <t>marca BOSCH · accesorios control de acceso · referencia APC-AMC2-4WCF</t>
        </is>
      </c>
      <c r="F1228" s="5" t="inlineStr">
        <is>
          <t>Material retirado en almacén</t>
        </is>
      </c>
      <c r="G1228" s="5" t="inlineStr"/>
      <c r="H1228" s="7" t="inlineStr">
        <is>
          <t>unidad</t>
        </is>
      </c>
      <c r="I1228" s="7" t="inlineStr">
        <is>
          <t>Instalaciones</t>
        </is>
      </c>
      <c r="J1228" s="7" t="inlineStr">
        <is>
          <t>estandar</t>
        </is>
      </c>
      <c r="K1228" s="7" t="inlineStr">
        <is>
          <t>importado</t>
        </is>
      </c>
      <c r="L1228" s="7" t="inlineStr">
        <is>
          <t>Verificado</t>
        </is>
      </c>
      <c r="M1228" s="8" t="n">
        <v>1</v>
      </c>
      <c r="N1228" s="9" t="n">
        <v>51002.38</v>
      </c>
      <c r="O1228" s="9" t="n">
        <v>51002.38</v>
      </c>
      <c r="P1228" s="9" t="n">
        <v>51002.38</v>
      </c>
      <c r="Q1228" s="7" t="inlineStr">
        <is>
          <t>Sí</t>
        </is>
      </c>
      <c r="R1228" s="9">
        <f>IF(N1228="","",IF(Q1228="Sí",ROUND(N1228/1.18,2),N1228))</f>
        <v/>
      </c>
      <c r="S1228" s="7" t="inlineStr">
        <is>
          <t>2026-09-09</t>
        </is>
      </c>
      <c r="T1228" s="5" t="inlineStr">
        <is>
          <t>1 cotización de proveedores</t>
        </is>
      </c>
    </row>
    <row r="1229">
      <c r="A1229" s="7" t="inlineStr">
        <is>
          <t>MAT-28-076</t>
        </is>
      </c>
      <c r="B1229" s="7" t="inlineStr">
        <is>
          <t>Materiales</t>
        </is>
      </c>
      <c r="C1229" s="7" t="inlineStr">
        <is>
          <t>Alarmas y control de accesos</t>
        </is>
      </c>
      <c r="D1229" s="5" t="inlineStr">
        <is>
          <t>Fuente Ethernet PoE 15.4W 1 Puerto</t>
        </is>
      </c>
      <c r="E1229" s="5" t="inlineStr">
        <is>
          <t>marca BOSCH · componentes para alarmas · referencia NPD-5001-POE</t>
        </is>
      </c>
      <c r="F1229" s="5" t="inlineStr">
        <is>
          <t>Material retirado en almacén</t>
        </is>
      </c>
      <c r="G1229" s="5" t="inlineStr"/>
      <c r="H1229" s="7" t="inlineStr">
        <is>
          <t>unidad</t>
        </is>
      </c>
      <c r="I1229" s="7" t="inlineStr">
        <is>
          <t>Instalaciones</t>
        </is>
      </c>
      <c r="J1229" s="7" t="inlineStr">
        <is>
          <t>estandar</t>
        </is>
      </c>
      <c r="K1229" s="7" t="inlineStr">
        <is>
          <t>importado</t>
        </is>
      </c>
      <c r="L1229" s="7" t="inlineStr">
        <is>
          <t>Verificado</t>
        </is>
      </c>
      <c r="M1229" s="8" t="n">
        <v>1</v>
      </c>
      <c r="N1229" s="9" t="n">
        <v>1857.35</v>
      </c>
      <c r="O1229" s="9" t="n">
        <v>1857.35</v>
      </c>
      <c r="P1229" s="9" t="n">
        <v>1857.35</v>
      </c>
      <c r="Q1229" s="7" t="inlineStr">
        <is>
          <t>Sí</t>
        </is>
      </c>
      <c r="R1229" s="9">
        <f>IF(N1229="","",IF(Q1229="Sí",ROUND(N1229/1.18,2),N1229))</f>
        <v/>
      </c>
      <c r="S1229" s="7" t="inlineStr">
        <is>
          <t>2026-09-09</t>
        </is>
      </c>
      <c r="T1229" s="5" t="inlineStr">
        <is>
          <t>1 cotización de proveedores</t>
        </is>
      </c>
    </row>
    <row r="1230">
      <c r="A1230" s="7" t="inlineStr">
        <is>
          <t>MAT-28-077</t>
        </is>
      </c>
      <c r="B1230" s="7" t="inlineStr">
        <is>
          <t>Materiales</t>
        </is>
      </c>
      <c r="C1230" s="7" t="inlineStr">
        <is>
          <t>Alarmas y control de accesos</t>
        </is>
      </c>
      <c r="D1230" s="5" t="inlineStr">
        <is>
          <t>Power Pack 120 / 277V</t>
        </is>
      </c>
      <c r="E1230" s="5" t="inlineStr">
        <is>
          <t>marca WATTSTOPPER · accesorios para alarmas · referencia BZ-150</t>
        </is>
      </c>
      <c r="F1230" s="5" t="inlineStr">
        <is>
          <t>Material retirado en almacén</t>
        </is>
      </c>
      <c r="G1230" s="5" t="inlineStr"/>
      <c r="H1230" s="7" t="inlineStr">
        <is>
          <t>unidad</t>
        </is>
      </c>
      <c r="I1230" s="7" t="inlineStr">
        <is>
          <t>Instalaciones</t>
        </is>
      </c>
      <c r="J1230" s="7" t="inlineStr">
        <is>
          <t>estandar</t>
        </is>
      </c>
      <c r="K1230" s="7" t="inlineStr">
        <is>
          <t>importado</t>
        </is>
      </c>
      <c r="L1230" s="7" t="inlineStr">
        <is>
          <t>Verificado</t>
        </is>
      </c>
      <c r="M1230" s="8" t="n">
        <v>1</v>
      </c>
      <c r="N1230" s="9" t="n">
        <v>2150.5</v>
      </c>
      <c r="O1230" s="9" t="n">
        <v>2150.5</v>
      </c>
      <c r="P1230" s="9" t="n">
        <v>2150.5</v>
      </c>
      <c r="Q1230" s="7" t="inlineStr">
        <is>
          <t>Sí</t>
        </is>
      </c>
      <c r="R1230" s="9">
        <f>IF(N1230="","",IF(Q1230="Sí",ROUND(N1230/1.18,2),N1230))</f>
        <v/>
      </c>
      <c r="S1230" s="7" t="inlineStr">
        <is>
          <t>2026-09-09</t>
        </is>
      </c>
      <c r="T1230" s="5" t="inlineStr">
        <is>
          <t>1 cotización de proveedores</t>
        </is>
      </c>
    </row>
    <row r="1231">
      <c r="A1231" s="7" t="inlineStr">
        <is>
          <t>MAT-28-078</t>
        </is>
      </c>
      <c r="B1231" s="7" t="inlineStr">
        <is>
          <t>Materiales</t>
        </is>
      </c>
      <c r="C1231" s="7" t="inlineStr">
        <is>
          <t>Alarmas y control de accesos</t>
        </is>
      </c>
      <c r="D1231" s="5" t="inlineStr">
        <is>
          <t>Aislador Intermedio Plano Iw-15</t>
        </is>
      </c>
      <c r="E1231" s="5" t="inlineStr">
        <is>
          <t>marca LINSEG · aisladores · referencia 25265</t>
        </is>
      </c>
      <c r="F1231" s="5" t="inlineStr">
        <is>
          <t>Material retirado en almacén</t>
        </is>
      </c>
      <c r="G1231" s="5" t="inlineStr"/>
      <c r="H1231" s="7" t="inlineStr">
        <is>
          <t>unidad</t>
        </is>
      </c>
      <c r="I1231" s="7" t="inlineStr">
        <is>
          <t>Instalaciones</t>
        </is>
      </c>
      <c r="J1231" s="7" t="inlineStr">
        <is>
          <t>estandar</t>
        </is>
      </c>
      <c r="K1231" s="7" t="inlineStr">
        <is>
          <t>importado</t>
        </is>
      </c>
      <c r="L1231" s="7" t="inlineStr">
        <is>
          <t>Verificado</t>
        </is>
      </c>
      <c r="M1231" s="8" t="n">
        <v>1</v>
      </c>
      <c r="N1231" s="9" t="n">
        <v>10.19</v>
      </c>
      <c r="O1231" s="9" t="n">
        <v>10.19</v>
      </c>
      <c r="P1231" s="9" t="n">
        <v>10.19</v>
      </c>
      <c r="Q1231" s="7" t="inlineStr">
        <is>
          <t>Sí</t>
        </is>
      </c>
      <c r="R1231" s="9">
        <f>IF(N1231="","",IF(Q1231="Sí",ROUND(N1231/1.18,2),N1231))</f>
        <v/>
      </c>
      <c r="S1231" s="7" t="inlineStr">
        <is>
          <t>2026-09-09</t>
        </is>
      </c>
      <c r="T1231" s="5" t="inlineStr">
        <is>
          <t>1 cotización de proveedores</t>
        </is>
      </c>
    </row>
    <row r="1232">
      <c r="A1232" s="7" t="inlineStr">
        <is>
          <t>MAT-28-079</t>
        </is>
      </c>
      <c r="B1232" s="7" t="inlineStr">
        <is>
          <t>Materiales</t>
        </is>
      </c>
      <c r="C1232" s="7" t="inlineStr">
        <is>
          <t>Alarmas y control de accesos</t>
        </is>
      </c>
      <c r="D1232" s="5" t="inlineStr">
        <is>
          <t>Aislador Templador Cuadrado con Perno</t>
        </is>
      </c>
      <c r="E1232" s="5" t="inlineStr">
        <is>
          <t>marca LINSEG · aisladores · referencia TC-1525262</t>
        </is>
      </c>
      <c r="F1232" s="5" t="inlineStr">
        <is>
          <t>Material retirado en almacén</t>
        </is>
      </c>
      <c r="G1232" s="5" t="inlineStr"/>
      <c r="H1232" s="7" t="inlineStr">
        <is>
          <t>unidad</t>
        </is>
      </c>
      <c r="I1232" s="7" t="inlineStr">
        <is>
          <t>Instalaciones</t>
        </is>
      </c>
      <c r="J1232" s="7" t="inlineStr">
        <is>
          <t>estandar</t>
        </is>
      </c>
      <c r="K1232" s="7" t="inlineStr">
        <is>
          <t>importado</t>
        </is>
      </c>
      <c r="L1232" s="7" t="inlineStr">
        <is>
          <t>Verificado</t>
        </is>
      </c>
      <c r="M1232" s="8" t="n">
        <v>1</v>
      </c>
      <c r="N1232" s="9" t="n">
        <v>24.13</v>
      </c>
      <c r="O1232" s="9" t="n">
        <v>24.13</v>
      </c>
      <c r="P1232" s="9" t="n">
        <v>24.13</v>
      </c>
      <c r="Q1232" s="7" t="inlineStr">
        <is>
          <t>Sí</t>
        </is>
      </c>
      <c r="R1232" s="9">
        <f>IF(N1232="","",IF(Q1232="Sí",ROUND(N1232/1.18,2),N1232))</f>
        <v/>
      </c>
      <c r="S1232" s="7" t="inlineStr">
        <is>
          <t>2026-09-09</t>
        </is>
      </c>
      <c r="T1232" s="5" t="inlineStr">
        <is>
          <t>1 cotización de proveedores</t>
        </is>
      </c>
    </row>
    <row r="1233">
      <c r="A1233" s="7" t="inlineStr">
        <is>
          <t>MAT-28-080</t>
        </is>
      </c>
      <c r="B1233" s="7" t="inlineStr">
        <is>
          <t>Materiales</t>
        </is>
      </c>
      <c r="C1233" s="7" t="inlineStr">
        <is>
          <t>Alarmas y control de accesos</t>
        </is>
      </c>
      <c r="D1233" s="5" t="inlineStr">
        <is>
          <t>Aislador Intermedio con Perno</t>
        </is>
      </c>
      <c r="E1233" s="5" t="inlineStr">
        <is>
          <t>marca LINSEG · aisladores · referencia IG-1525264</t>
        </is>
      </c>
      <c r="F1233" s="5" t="inlineStr">
        <is>
          <t>Material retirado en almacén</t>
        </is>
      </c>
      <c r="G1233" s="5" t="inlineStr"/>
      <c r="H1233" s="7" t="inlineStr">
        <is>
          <t>unidad</t>
        </is>
      </c>
      <c r="I1233" s="7" t="inlineStr">
        <is>
          <t>Instalaciones</t>
        </is>
      </c>
      <c r="J1233" s="7" t="inlineStr">
        <is>
          <t>estandar</t>
        </is>
      </c>
      <c r="K1233" s="7" t="inlineStr">
        <is>
          <t>importado</t>
        </is>
      </c>
      <c r="L1233" s="7" t="inlineStr">
        <is>
          <t>Verificado</t>
        </is>
      </c>
      <c r="M1233" s="8" t="n">
        <v>1</v>
      </c>
      <c r="N1233" s="9" t="n">
        <v>32.37</v>
      </c>
      <c r="O1233" s="9" t="n">
        <v>32.37</v>
      </c>
      <c r="P1233" s="9" t="n">
        <v>32.37</v>
      </c>
      <c r="Q1233" s="7" t="inlineStr">
        <is>
          <t>Sí</t>
        </is>
      </c>
      <c r="R1233" s="9">
        <f>IF(N1233="","",IF(Q1233="Sí",ROUND(N1233/1.18,2),N1233))</f>
        <v/>
      </c>
      <c r="S1233" s="7" t="inlineStr">
        <is>
          <t>2026-09-09</t>
        </is>
      </c>
      <c r="T1233" s="5" t="inlineStr">
        <is>
          <t>1 cotización de proveedores</t>
        </is>
      </c>
    </row>
    <row r="1234">
      <c r="A1234" s="7" t="inlineStr">
        <is>
          <t>MAT-28-081</t>
        </is>
      </c>
      <c r="B1234" s="7" t="inlineStr">
        <is>
          <t>Materiales</t>
        </is>
      </c>
      <c r="C1234" s="7" t="inlineStr">
        <is>
          <t>Alarmas y control de accesos</t>
        </is>
      </c>
      <c r="D1234" s="5" t="inlineStr">
        <is>
          <t>Anillo Negro</t>
        </is>
      </c>
      <c r="E1234" s="5" t="inlineStr">
        <is>
          <t>marca TUTONDO · accesorios para bocinas · referencia SX34ABK</t>
        </is>
      </c>
      <c r="F1234" s="5" t="inlineStr">
        <is>
          <t>Material retirado en almacén</t>
        </is>
      </c>
      <c r="G1234" s="5" t="inlineStr"/>
      <c r="H1234" s="7" t="inlineStr">
        <is>
          <t>unidad</t>
        </is>
      </c>
      <c r="I1234" s="7" t="inlineStr">
        <is>
          <t>Instalaciones</t>
        </is>
      </c>
      <c r="J1234" s="7" t="inlineStr">
        <is>
          <t>estandar</t>
        </is>
      </c>
      <c r="K1234" s="7" t="inlineStr">
        <is>
          <t>importado</t>
        </is>
      </c>
      <c r="L1234" s="7" t="inlineStr">
        <is>
          <t>Verificado</t>
        </is>
      </c>
      <c r="M1234" s="8" t="n">
        <v>1</v>
      </c>
      <c r="N1234" s="9" t="n">
        <v>104.5</v>
      </c>
      <c r="O1234" s="9" t="n">
        <v>104.5</v>
      </c>
      <c r="P1234" s="9" t="n">
        <v>104.5</v>
      </c>
      <c r="Q1234" s="7" t="inlineStr">
        <is>
          <t>Sí</t>
        </is>
      </c>
      <c r="R1234" s="9">
        <f>IF(N1234="","",IF(Q1234="Sí",ROUND(N1234/1.18,2),N1234))</f>
        <v/>
      </c>
      <c r="S1234" s="7" t="inlineStr">
        <is>
          <t>2026-09-09</t>
        </is>
      </c>
      <c r="T1234" s="5" t="inlineStr">
        <is>
          <t>1 cotización de proveedores</t>
        </is>
      </c>
    </row>
    <row r="1235">
      <c r="A1235" s="7" t="inlineStr">
        <is>
          <t>MAT-28-082</t>
        </is>
      </c>
      <c r="B1235" s="7" t="inlineStr">
        <is>
          <t>Materiales</t>
        </is>
      </c>
      <c r="C1235" s="7" t="inlineStr">
        <is>
          <t>Alarmas y control de accesos</t>
        </is>
      </c>
      <c r="D1235" s="5" t="inlineStr">
        <is>
          <t>Anillo Blanco</t>
        </is>
      </c>
      <c r="E1235" s="5" t="inlineStr">
        <is>
          <t>marca TUTONDO · accesorios para bocinas · referencia SX34AWH</t>
        </is>
      </c>
      <c r="F1235" s="5" t="inlineStr">
        <is>
          <t>Material retirado en almacén</t>
        </is>
      </c>
      <c r="G1235" s="5" t="inlineStr"/>
      <c r="H1235" s="7" t="inlineStr">
        <is>
          <t>unidad</t>
        </is>
      </c>
      <c r="I1235" s="7" t="inlineStr">
        <is>
          <t>Instalaciones</t>
        </is>
      </c>
      <c r="J1235" s="7" t="inlineStr">
        <is>
          <t>estandar</t>
        </is>
      </c>
      <c r="K1235" s="7" t="inlineStr">
        <is>
          <t>importado</t>
        </is>
      </c>
      <c r="L1235" s="7" t="inlineStr">
        <is>
          <t>Verificado</t>
        </is>
      </c>
      <c r="M1235" s="8" t="n">
        <v>1</v>
      </c>
      <c r="N1235" s="9" t="n">
        <v>287.39</v>
      </c>
      <c r="O1235" s="9" t="n">
        <v>287.39</v>
      </c>
      <c r="P1235" s="9" t="n">
        <v>287.39</v>
      </c>
      <c r="Q1235" s="7" t="inlineStr">
        <is>
          <t>Sí</t>
        </is>
      </c>
      <c r="R1235" s="9">
        <f>IF(N1235="","",IF(Q1235="Sí",ROUND(N1235/1.18,2),N1235))</f>
        <v/>
      </c>
      <c r="S1235" s="7" t="inlineStr">
        <is>
          <t>2026-09-09</t>
        </is>
      </c>
      <c r="T1235" s="5" t="inlineStr">
        <is>
          <t>1 cotización de proveedores</t>
        </is>
      </c>
    </row>
    <row r="1236">
      <c r="A1236" s="7" t="inlineStr">
        <is>
          <t>MAT-28-083</t>
        </is>
      </c>
      <c r="B1236" s="7" t="inlineStr">
        <is>
          <t>Materiales</t>
        </is>
      </c>
      <c r="C1236" s="7" t="inlineStr">
        <is>
          <t>Alarmas y control de accesos</t>
        </is>
      </c>
      <c r="D1236" s="5" t="inlineStr">
        <is>
          <t>Anillo Gris</t>
        </is>
      </c>
      <c r="E1236" s="5" t="inlineStr">
        <is>
          <t>marca TUTONDO · accesorios para bocinas · referencia SX34AGR</t>
        </is>
      </c>
      <c r="F1236" s="5" t="inlineStr">
        <is>
          <t>Material retirado en almacén</t>
        </is>
      </c>
      <c r="G1236" s="5" t="inlineStr"/>
      <c r="H1236" s="7" t="inlineStr">
        <is>
          <t>unidad</t>
        </is>
      </c>
      <c r="I1236" s="7" t="inlineStr">
        <is>
          <t>Instalaciones</t>
        </is>
      </c>
      <c r="J1236" s="7" t="inlineStr">
        <is>
          <t>estandar</t>
        </is>
      </c>
      <c r="K1236" s="7" t="inlineStr">
        <is>
          <t>importado</t>
        </is>
      </c>
      <c r="L1236" s="7" t="inlineStr">
        <is>
          <t>Verificado</t>
        </is>
      </c>
      <c r="M1236" s="8" t="n">
        <v>1</v>
      </c>
      <c r="N1236" s="9" t="n">
        <v>287.39</v>
      </c>
      <c r="O1236" s="9" t="n">
        <v>287.39</v>
      </c>
      <c r="P1236" s="9" t="n">
        <v>287.39</v>
      </c>
      <c r="Q1236" s="7" t="inlineStr">
        <is>
          <t>Sí</t>
        </is>
      </c>
      <c r="R1236" s="9">
        <f>IF(N1236="","",IF(Q1236="Sí",ROUND(N1236/1.18,2),N1236))</f>
        <v/>
      </c>
      <c r="S1236" s="7" t="inlineStr">
        <is>
          <t>2026-09-09</t>
        </is>
      </c>
      <c r="T1236" s="5" t="inlineStr">
        <is>
          <t>1 cotización de proveedores</t>
        </is>
      </c>
    </row>
    <row r="1237">
      <c r="A1237" s="7" t="inlineStr">
        <is>
          <t>MAT-28-084</t>
        </is>
      </c>
      <c r="B1237" s="7" t="inlineStr">
        <is>
          <t>Materiales</t>
        </is>
      </c>
      <c r="C1237" s="7" t="inlineStr">
        <is>
          <t>Alarmas y control de accesos</t>
        </is>
      </c>
      <c r="D1237" s="5" t="inlineStr">
        <is>
          <t>Carcasa Con 1 Rail Din</t>
        </is>
      </c>
      <c r="E1237" s="5" t="inlineStr">
        <is>
          <t>marca BOSCH · accesorios control de acceso · referencia AEC-AMC2-UL1</t>
        </is>
      </c>
      <c r="F1237" s="5" t="inlineStr">
        <is>
          <t>Material retirado en almacén</t>
        </is>
      </c>
      <c r="G1237" s="5" t="inlineStr"/>
      <c r="H1237" s="7" t="inlineStr">
        <is>
          <t>unidad</t>
        </is>
      </c>
      <c r="I1237" s="7" t="inlineStr">
        <is>
          <t>Instalaciones</t>
        </is>
      </c>
      <c r="J1237" s="7" t="inlineStr">
        <is>
          <t>estandar</t>
        </is>
      </c>
      <c r="K1237" s="7" t="inlineStr">
        <is>
          <t>importado</t>
        </is>
      </c>
      <c r="L1237" s="7" t="inlineStr">
        <is>
          <t>Verificado</t>
        </is>
      </c>
      <c r="M1237" s="8" t="n">
        <v>1</v>
      </c>
      <c r="N1237" s="9" t="n">
        <v>6614.35</v>
      </c>
      <c r="O1237" s="9" t="n">
        <v>6614.35</v>
      </c>
      <c r="P1237" s="9" t="n">
        <v>6614.35</v>
      </c>
      <c r="Q1237" s="7" t="inlineStr">
        <is>
          <t>Sí</t>
        </is>
      </c>
      <c r="R1237" s="9">
        <f>IF(N1237="","",IF(Q1237="Sí",ROUND(N1237/1.18,2),N1237))</f>
        <v/>
      </c>
      <c r="S1237" s="7" t="inlineStr">
        <is>
          <t>2026-09-09</t>
        </is>
      </c>
      <c r="T1237" s="5" t="inlineStr">
        <is>
          <t>1 cotización de proveedores</t>
        </is>
      </c>
    </row>
    <row r="1238">
      <c r="A1238" s="7" t="inlineStr">
        <is>
          <t>MAT-28-085</t>
        </is>
      </c>
      <c r="B1238" s="7" t="inlineStr">
        <is>
          <t>Materiales</t>
        </is>
      </c>
      <c r="C1238" s="7" t="inlineStr">
        <is>
          <t>Alarmas y control de accesos</t>
        </is>
      </c>
      <c r="D1238" s="5" t="inlineStr">
        <is>
          <t>Letrero De Advertencia Electricidad</t>
        </is>
      </c>
      <c r="E1238" s="5" t="inlineStr">
        <is>
          <t>marca LINSEG · letreros · referencia LTL13625267</t>
        </is>
      </c>
      <c r="F1238" s="5" t="inlineStr">
        <is>
          <t>Material retirado en almacén</t>
        </is>
      </c>
      <c r="G1238" s="5" t="inlineStr"/>
      <c r="H1238" s="7" t="inlineStr">
        <is>
          <t>unidad</t>
        </is>
      </c>
      <c r="I1238" s="7" t="inlineStr">
        <is>
          <t>Exteriores</t>
        </is>
      </c>
      <c r="J1238" s="7" t="inlineStr">
        <is>
          <t>estandar</t>
        </is>
      </c>
      <c r="K1238" s="7" t="inlineStr">
        <is>
          <t>importado</t>
        </is>
      </c>
      <c r="L1238" s="7" t="inlineStr">
        <is>
          <t>Verificado</t>
        </is>
      </c>
      <c r="M1238" s="8" t="n">
        <v>1</v>
      </c>
      <c r="N1238" s="9" t="n">
        <v>73.69</v>
      </c>
      <c r="O1238" s="9" t="n">
        <v>73.69</v>
      </c>
      <c r="P1238" s="9" t="n">
        <v>73.69</v>
      </c>
      <c r="Q1238" s="7" t="inlineStr">
        <is>
          <t>Sí</t>
        </is>
      </c>
      <c r="R1238" s="9">
        <f>IF(N1238="","",IF(Q1238="Sí",ROUND(N1238/1.18,2),N1238))</f>
        <v/>
      </c>
      <c r="S1238" s="7" t="inlineStr">
        <is>
          <t>2026-09-09</t>
        </is>
      </c>
      <c r="T1238" s="5" t="inlineStr">
        <is>
          <t>1 cotización de proveedores</t>
        </is>
      </c>
    </row>
    <row r="1239">
      <c r="A1239" s="7" t="inlineStr">
        <is>
          <t>MAT-28-086</t>
        </is>
      </c>
      <c r="B1239" s="7" t="inlineStr">
        <is>
          <t>Materiales</t>
        </is>
      </c>
      <c r="C1239" s="7" t="inlineStr">
        <is>
          <t>Alarmas y control de accesos</t>
        </is>
      </c>
      <c r="D1239" s="5" t="inlineStr">
        <is>
          <t>Electrificador para Cerco Electrico 1600M</t>
        </is>
      </c>
      <c r="E1239" s="5" t="inlineStr">
        <is>
          <t>marca LINSEG · electrificadores · referencia MAX1RF25246</t>
        </is>
      </c>
      <c r="F1239" s="5" t="inlineStr">
        <is>
          <t>Material retirado en almacén</t>
        </is>
      </c>
      <c r="G1239" s="5" t="inlineStr"/>
      <c r="H1239" s="7" t="inlineStr">
        <is>
          <t>unidad</t>
        </is>
      </c>
      <c r="I1239" s="7" t="inlineStr">
        <is>
          <t>Exteriores</t>
        </is>
      </c>
      <c r="J1239" s="7" t="inlineStr">
        <is>
          <t>estandar</t>
        </is>
      </c>
      <c r="K1239" s="7" t="inlineStr">
        <is>
          <t>importado</t>
        </is>
      </c>
      <c r="L1239" s="7" t="inlineStr">
        <is>
          <t>Verificado</t>
        </is>
      </c>
      <c r="M1239" s="8" t="n">
        <v>1</v>
      </c>
      <c r="N1239" s="9" t="n">
        <v>5176.15</v>
      </c>
      <c r="O1239" s="9" t="n">
        <v>5176.15</v>
      </c>
      <c r="P1239" s="9" t="n">
        <v>5176.15</v>
      </c>
      <c r="Q1239" s="7" t="inlineStr">
        <is>
          <t>Sí</t>
        </is>
      </c>
      <c r="R1239" s="9">
        <f>IF(N1239="","",IF(Q1239="Sí",ROUND(N1239/1.18,2),N1239))</f>
        <v/>
      </c>
      <c r="S1239" s="7" t="inlineStr">
        <is>
          <t>2026-09-09</t>
        </is>
      </c>
      <c r="T1239" s="5" t="inlineStr">
        <is>
          <t>1 cotización de proveedores</t>
        </is>
      </c>
    </row>
    <row r="1240">
      <c r="A1240" s="7" t="inlineStr">
        <is>
          <t>MAT-28-087</t>
        </is>
      </c>
      <c r="B1240" s="7" t="inlineStr">
        <is>
          <t>Materiales</t>
        </is>
      </c>
      <c r="C1240" s="7" t="inlineStr">
        <is>
          <t>Alarmas y control de accesos</t>
        </is>
      </c>
      <c r="D1240" s="5" t="inlineStr">
        <is>
          <t>Electrificador para Cerco Electrico 3600M</t>
        </is>
      </c>
      <c r="E1240" s="5" t="inlineStr">
        <is>
          <t>marca LINSEG · electrificadores · referencia MAX1225247</t>
        </is>
      </c>
      <c r="F1240" s="5" t="inlineStr">
        <is>
          <t>Material retirado en almacén</t>
        </is>
      </c>
      <c r="G1240" s="5" t="inlineStr"/>
      <c r="H1240" s="7" t="inlineStr">
        <is>
          <t>unidad</t>
        </is>
      </c>
      <c r="I1240" s="7" t="inlineStr">
        <is>
          <t>Exteriores</t>
        </is>
      </c>
      <c r="J1240" s="7" t="inlineStr">
        <is>
          <t>estandar</t>
        </is>
      </c>
      <c r="K1240" s="7" t="inlineStr">
        <is>
          <t>importado</t>
        </is>
      </c>
      <c r="L1240" s="7" t="inlineStr">
        <is>
          <t>Verificado</t>
        </is>
      </c>
      <c r="M1240" s="8" t="n">
        <v>1</v>
      </c>
      <c r="N1240" s="9" t="n">
        <v>6906.13</v>
      </c>
      <c r="O1240" s="9" t="n">
        <v>6906.13</v>
      </c>
      <c r="P1240" s="9" t="n">
        <v>6906.13</v>
      </c>
      <c r="Q1240" s="7" t="inlineStr">
        <is>
          <t>Sí</t>
        </is>
      </c>
      <c r="R1240" s="9">
        <f>IF(N1240="","",IF(Q1240="Sí",ROUND(N1240/1.18,2),N1240))</f>
        <v/>
      </c>
      <c r="S1240" s="7" t="inlineStr">
        <is>
          <t>2026-09-09</t>
        </is>
      </c>
      <c r="T1240" s="5" t="inlineStr">
        <is>
          <t>1 cotización de proveedores</t>
        </is>
      </c>
    </row>
    <row r="1241">
      <c r="A1241" s="7" t="inlineStr">
        <is>
          <t>MAT-28-088</t>
        </is>
      </c>
      <c r="B1241" s="7" t="inlineStr">
        <is>
          <t>Materiales</t>
        </is>
      </c>
      <c r="C1241" s="7" t="inlineStr">
        <is>
          <t>Alarmas y control de accesos</t>
        </is>
      </c>
      <c r="D1241" s="5" t="inlineStr">
        <is>
          <t>Electrificador para Cerco Electrico 8000M</t>
        </is>
      </c>
      <c r="E1241" s="5" t="inlineStr">
        <is>
          <t>marca LINSEG · electrificadores · referencia SUPERMAX25248</t>
        </is>
      </c>
      <c r="F1241" s="5" t="inlineStr">
        <is>
          <t>Material retirado en almacén</t>
        </is>
      </c>
      <c r="G1241" s="5" t="inlineStr"/>
      <c r="H1241" s="7" t="inlineStr">
        <is>
          <t>unidad</t>
        </is>
      </c>
      <c r="I1241" s="7" t="inlineStr">
        <is>
          <t>Exteriores</t>
        </is>
      </c>
      <c r="J1241" s="7" t="inlineStr">
        <is>
          <t>estandar</t>
        </is>
      </c>
      <c r="K1241" s="7" t="inlineStr">
        <is>
          <t>importado</t>
        </is>
      </c>
      <c r="L1241" s="7" t="inlineStr">
        <is>
          <t>Verificado</t>
        </is>
      </c>
      <c r="M1241" s="8" t="n">
        <v>1</v>
      </c>
      <c r="N1241" s="9" t="n">
        <v>11952.92</v>
      </c>
      <c r="O1241" s="9" t="n">
        <v>11952.92</v>
      </c>
      <c r="P1241" s="9" t="n">
        <v>11952.92</v>
      </c>
      <c r="Q1241" s="7" t="inlineStr">
        <is>
          <t>Sí</t>
        </is>
      </c>
      <c r="R1241" s="9">
        <f>IF(N1241="","",IF(Q1241="Sí",ROUND(N1241/1.18,2),N1241))</f>
        <v/>
      </c>
      <c r="S1241" s="7" t="inlineStr">
        <is>
          <t>2026-09-09</t>
        </is>
      </c>
      <c r="T1241" s="5" t="inlineStr">
        <is>
          <t>1 cotización de proveedores</t>
        </is>
      </c>
    </row>
    <row r="1242">
      <c r="A1242" s="7" t="inlineStr">
        <is>
          <t>MAT-28-089</t>
        </is>
      </c>
      <c r="B1242" s="7" t="inlineStr">
        <is>
          <t>Materiales</t>
        </is>
      </c>
      <c r="C1242" s="7" t="inlineStr">
        <is>
          <t>Alarmas y control de accesos</t>
        </is>
      </c>
      <c r="D1242" s="5" t="inlineStr">
        <is>
          <t>Control Remoto para Alarma</t>
        </is>
      </c>
      <c r="E1242" s="5" t="inlineStr">
        <is>
          <t>marca AMC · accesorios para alarmas · referencia TR-400</t>
        </is>
      </c>
      <c r="F1242" s="5" t="inlineStr">
        <is>
          <t>Material retirado en almacén</t>
        </is>
      </c>
      <c r="G1242" s="5" t="inlineStr"/>
      <c r="H1242" s="7" t="inlineStr">
        <is>
          <t>unidad</t>
        </is>
      </c>
      <c r="I1242" s="7" t="inlineStr">
        <is>
          <t>Instalaciones</t>
        </is>
      </c>
      <c r="J1242" s="7" t="inlineStr">
        <is>
          <t>estandar</t>
        </is>
      </c>
      <c r="K1242" s="7" t="inlineStr">
        <is>
          <t>importado</t>
        </is>
      </c>
      <c r="L1242" s="7" t="inlineStr">
        <is>
          <t>Verificado</t>
        </is>
      </c>
      <c r="M1242" s="8" t="n">
        <v>1</v>
      </c>
      <c r="N1242" s="9" t="n">
        <v>676.5599999999999</v>
      </c>
      <c r="O1242" s="9" t="n">
        <v>676.5599999999999</v>
      </c>
      <c r="P1242" s="9" t="n">
        <v>676.5599999999999</v>
      </c>
      <c r="Q1242" s="7" t="inlineStr">
        <is>
          <t>Sí</t>
        </is>
      </c>
      <c r="R1242" s="9">
        <f>IF(N1242="","",IF(Q1242="Sí",ROUND(N1242/1.18,2),N1242))</f>
        <v/>
      </c>
      <c r="S1242" s="7" t="inlineStr">
        <is>
          <t>2026-09-09</t>
        </is>
      </c>
      <c r="T1242" s="5" t="inlineStr">
        <is>
          <t>1 cotización de proveedores</t>
        </is>
      </c>
    </row>
    <row r="1243">
      <c r="A1243" s="7" t="inlineStr">
        <is>
          <t>MAT-28-090</t>
        </is>
      </c>
      <c r="B1243" s="7" t="inlineStr">
        <is>
          <t>Materiales</t>
        </is>
      </c>
      <c r="C1243" s="7" t="inlineStr">
        <is>
          <t>Alarmas y control de accesos</t>
        </is>
      </c>
      <c r="D1243" s="5" t="inlineStr">
        <is>
          <t>Conversor de Zonas Cableadas inalámbrico</t>
        </is>
      </c>
      <c r="E1243" s="5" t="inlineStr">
        <is>
          <t>marca VESTA · accesorios para alarmas · referencia V027-433</t>
        </is>
      </c>
      <c r="F1243" s="5" t="inlineStr">
        <is>
          <t>Material retirado en almacén</t>
        </is>
      </c>
      <c r="G1243" s="5" t="inlineStr"/>
      <c r="H1243" s="7" t="inlineStr">
        <is>
          <t>unidad</t>
        </is>
      </c>
      <c r="I1243" s="7" t="inlineStr">
        <is>
          <t>Instalaciones</t>
        </is>
      </c>
      <c r="J1243" s="7" t="inlineStr">
        <is>
          <t>estandar</t>
        </is>
      </c>
      <c r="K1243" s="7" t="inlineStr">
        <is>
          <t>importado</t>
        </is>
      </c>
      <c r="L1243" s="7" t="inlineStr">
        <is>
          <t>Verificado</t>
        </is>
      </c>
      <c r="M1243" s="8" t="n">
        <v>1</v>
      </c>
      <c r="N1243" s="9" t="n">
        <v>4902.12</v>
      </c>
      <c r="O1243" s="9" t="n">
        <v>4838.56</v>
      </c>
      <c r="P1243" s="9" t="n">
        <v>4965.67</v>
      </c>
      <c r="Q1243" s="7" t="inlineStr">
        <is>
          <t>Sí</t>
        </is>
      </c>
      <c r="R1243" s="9">
        <f>IF(N1243="","",IF(Q1243="Sí",ROUND(N1243/1.18,2),N1243))</f>
        <v/>
      </c>
      <c r="S1243" s="7" t="inlineStr">
        <is>
          <t>2026-09-09</t>
        </is>
      </c>
      <c r="T1243" s="5" t="inlineStr">
        <is>
          <t>2 cotizaciones de proveedores</t>
        </is>
      </c>
    </row>
    <row r="1244">
      <c r="A1244" s="7" t="inlineStr">
        <is>
          <t>MAT-28-091</t>
        </is>
      </c>
      <c r="B1244" s="7" t="inlineStr">
        <is>
          <t>Materiales</t>
        </is>
      </c>
      <c r="C1244" s="7" t="inlineStr">
        <is>
          <t>Alarmas y control de accesos</t>
        </is>
      </c>
      <c r="D1244" s="5" t="inlineStr">
        <is>
          <t>Sensor Hd25 Ref 65943 (1000024601)</t>
        </is>
      </c>
      <c r="E1244" s="5" t="inlineStr">
        <is>
          <t>sensores · referencia 123207</t>
        </is>
      </c>
      <c r="F1244" s="5" t="inlineStr">
        <is>
          <t>Material retirado en almacén</t>
        </is>
      </c>
      <c r="G1244" s="5" t="inlineStr"/>
      <c r="H1244" s="7" t="inlineStr">
        <is>
          <t>unidad</t>
        </is>
      </c>
      <c r="I1244" s="7" t="inlineStr">
        <is>
          <t>Instalaciones</t>
        </is>
      </c>
      <c r="J1244" s="7" t="inlineStr">
        <is>
          <t>estandar</t>
        </is>
      </c>
      <c r="K1244" s="7" t="inlineStr">
        <is>
          <t>importado</t>
        </is>
      </c>
      <c r="L1244" s="7" t="inlineStr">
        <is>
          <t>Verificado</t>
        </is>
      </c>
      <c r="M1244" s="8" t="n">
        <v>1</v>
      </c>
      <c r="N1244" s="9" t="n">
        <v>321.39</v>
      </c>
      <c r="O1244" s="9" t="n">
        <v>321.39</v>
      </c>
      <c r="P1244" s="9" t="n">
        <v>321.39</v>
      </c>
      <c r="Q1244" s="7" t="inlineStr">
        <is>
          <t>Sí</t>
        </is>
      </c>
      <c r="R1244" s="9">
        <f>IF(N1244="","",IF(Q1244="Sí",ROUND(N1244/1.18,2),N1244))</f>
        <v/>
      </c>
      <c r="S1244" s="7" t="inlineStr">
        <is>
          <t>2026-09-09</t>
        </is>
      </c>
      <c r="T1244" s="5" t="inlineStr">
        <is>
          <t>1 cotización de proveedores</t>
        </is>
      </c>
    </row>
    <row r="1245">
      <c r="A1245" s="7" t="inlineStr">
        <is>
          <t>MAT-28-092</t>
        </is>
      </c>
      <c r="B1245" s="7" t="inlineStr">
        <is>
          <t>Materiales</t>
        </is>
      </c>
      <c r="C1245" s="7" t="inlineStr">
        <is>
          <t>Alarmas y control de accesos</t>
        </is>
      </c>
      <c r="D1245" s="5" t="inlineStr">
        <is>
          <t>Sensor Hd35 Ref 65944 (1000024673)</t>
        </is>
      </c>
      <c r="E1245" s="5" t="inlineStr">
        <is>
          <t>sensores · referencia 123209</t>
        </is>
      </c>
      <c r="F1245" s="5" t="inlineStr">
        <is>
          <t>Material retirado en almacén</t>
        </is>
      </c>
      <c r="G1245" s="5" t="inlineStr"/>
      <c r="H1245" s="7" t="inlineStr">
        <is>
          <t>unidad</t>
        </is>
      </c>
      <c r="I1245" s="7" t="inlineStr">
        <is>
          <t>Instalaciones</t>
        </is>
      </c>
      <c r="J1245" s="7" t="inlineStr">
        <is>
          <t>estandar</t>
        </is>
      </c>
      <c r="K1245" s="7" t="inlineStr">
        <is>
          <t>importado</t>
        </is>
      </c>
      <c r="L1245" s="7" t="inlineStr">
        <is>
          <t>Verificado</t>
        </is>
      </c>
      <c r="M1245" s="8" t="n">
        <v>1</v>
      </c>
      <c r="N1245" s="9" t="n">
        <v>487.69</v>
      </c>
      <c r="O1245" s="9" t="n">
        <v>487.69</v>
      </c>
      <c r="P1245" s="9" t="n">
        <v>487.69</v>
      </c>
      <c r="Q1245" s="7" t="inlineStr">
        <is>
          <t>Sí</t>
        </is>
      </c>
      <c r="R1245" s="9">
        <f>IF(N1245="","",IF(Q1245="Sí",ROUND(N1245/1.18,2),N1245))</f>
        <v/>
      </c>
      <c r="S1245" s="7" t="inlineStr">
        <is>
          <t>2026-09-09</t>
        </is>
      </c>
      <c r="T1245" s="5" t="inlineStr">
        <is>
          <t>1 cotización de proveedores</t>
        </is>
      </c>
    </row>
    <row r="1246">
      <c r="A1246" s="7" t="inlineStr">
        <is>
          <t>MAT-28-093</t>
        </is>
      </c>
      <c r="B1246" s="7" t="inlineStr">
        <is>
          <t>Materiales</t>
        </is>
      </c>
      <c r="C1246" s="7" t="inlineStr">
        <is>
          <t>Alarmas y control de accesos</t>
        </is>
      </c>
      <c r="D1246" s="5" t="inlineStr">
        <is>
          <t>Sensor Hd55 Ref. 66089 (1000055372)</t>
        </is>
      </c>
      <c r="E1246" s="5" t="inlineStr">
        <is>
          <t>sensores · referencia 135134</t>
        </is>
      </c>
      <c r="F1246" s="5" t="inlineStr">
        <is>
          <t>Material retirado en almacén</t>
        </is>
      </c>
      <c r="G1246" s="5" t="inlineStr"/>
      <c r="H1246" s="7" t="inlineStr">
        <is>
          <t>unidad</t>
        </is>
      </c>
      <c r="I1246" s="7" t="inlineStr">
        <is>
          <t>Instalaciones</t>
        </is>
      </c>
      <c r="J1246" s="7" t="inlineStr">
        <is>
          <t>estandar</t>
        </is>
      </c>
      <c r="K1246" s="7" t="inlineStr">
        <is>
          <t>importado</t>
        </is>
      </c>
      <c r="L1246" s="7" t="inlineStr">
        <is>
          <t>Verificado</t>
        </is>
      </c>
      <c r="M1246" s="8" t="n">
        <v>1</v>
      </c>
      <c r="N1246" s="9" t="n">
        <v>959.39</v>
      </c>
      <c r="O1246" s="9" t="n">
        <v>959.39</v>
      </c>
      <c r="P1246" s="9" t="n">
        <v>959.39</v>
      </c>
      <c r="Q1246" s="7" t="inlineStr">
        <is>
          <t>Sí</t>
        </is>
      </c>
      <c r="R1246" s="9">
        <f>IF(N1246="","",IF(Q1246="Sí",ROUND(N1246/1.18,2),N1246))</f>
        <v/>
      </c>
      <c r="S1246" s="7" t="inlineStr">
        <is>
          <t>2026-09-09</t>
        </is>
      </c>
      <c r="T1246" s="5" t="inlineStr">
        <is>
          <t>1 cotización de proveedores</t>
        </is>
      </c>
    </row>
    <row r="1247">
      <c r="A1247" s="7" t="inlineStr">
        <is>
          <t>MAT-28-094</t>
        </is>
      </c>
      <c r="B1247" s="7" t="inlineStr">
        <is>
          <t>Materiales</t>
        </is>
      </c>
      <c r="C1247" s="7" t="inlineStr">
        <is>
          <t>Alarmas y control de accesos</t>
        </is>
      </c>
      <c r="D1247" s="5" t="inlineStr">
        <is>
          <t>Sello</t>
        </is>
      </c>
      <c r="E1247" s="5" t="inlineStr">
        <is>
          <t>marca FAAC · motores · referencia A12025P5008</t>
        </is>
      </c>
      <c r="F1247" s="5" t="inlineStr">
        <is>
          <t>Material retirado en almacén</t>
        </is>
      </c>
      <c r="G1247" s="5" t="inlineStr"/>
      <c r="H1247" s="7" t="inlineStr">
        <is>
          <t>unidad</t>
        </is>
      </c>
      <c r="I1247" s="7" t="inlineStr">
        <is>
          <t>Instalaciones</t>
        </is>
      </c>
      <c r="J1247" s="7" t="inlineStr">
        <is>
          <t>estandar</t>
        </is>
      </c>
      <c r="K1247" s="7" t="inlineStr">
        <is>
          <t>importado</t>
        </is>
      </c>
      <c r="L1247" s="7" t="inlineStr">
        <is>
          <t>Verificado</t>
        </is>
      </c>
      <c r="M1247" s="8" t="n">
        <v>1</v>
      </c>
      <c r="N1247" s="9" t="n">
        <v>1910.93</v>
      </c>
      <c r="O1247" s="9" t="n">
        <v>1910.93</v>
      </c>
      <c r="P1247" s="9" t="n">
        <v>1910.93</v>
      </c>
      <c r="Q1247" s="7" t="inlineStr">
        <is>
          <t>Sí</t>
        </is>
      </c>
      <c r="R1247" s="9">
        <f>IF(N1247="","",IF(Q1247="Sí",ROUND(N1247/1.18,2),N1247))</f>
        <v/>
      </c>
      <c r="S1247" s="7" t="inlineStr">
        <is>
          <t>2026-09-09</t>
        </is>
      </c>
      <c r="T1247" s="5" t="inlineStr">
        <is>
          <t>1 cotización de proveedores</t>
        </is>
      </c>
    </row>
    <row r="1248">
      <c r="A1248" s="7" t="inlineStr">
        <is>
          <t>MAT-28-095</t>
        </is>
      </c>
      <c r="B1248" s="7" t="inlineStr">
        <is>
          <t>Materiales</t>
        </is>
      </c>
      <c r="C1248" s="7" t="inlineStr">
        <is>
          <t>Alarmas y control de accesos</t>
        </is>
      </c>
      <c r="D1248" s="5" t="inlineStr">
        <is>
          <t>Extensor / Repetidor inalámbrico</t>
        </is>
      </c>
      <c r="E1248" s="5" t="inlineStr">
        <is>
          <t>marca VESTA · accesorios para alarmas · referencia 030-433</t>
        </is>
      </c>
      <c r="F1248" s="5" t="inlineStr">
        <is>
          <t>Material retirado en almacén</t>
        </is>
      </c>
      <c r="G1248" s="5" t="inlineStr"/>
      <c r="H1248" s="7" t="inlineStr">
        <is>
          <t>unidad</t>
        </is>
      </c>
      <c r="I1248" s="7" t="inlineStr">
        <is>
          <t>Instalaciones</t>
        </is>
      </c>
      <c r="J1248" s="7" t="inlineStr">
        <is>
          <t>estandar</t>
        </is>
      </c>
      <c r="K1248" s="7" t="inlineStr">
        <is>
          <t>importado</t>
        </is>
      </c>
      <c r="L1248" s="7" t="inlineStr">
        <is>
          <t>Verificado</t>
        </is>
      </c>
      <c r="M1248" s="8" t="n">
        <v>1</v>
      </c>
      <c r="N1248" s="9" t="n">
        <v>5208.08</v>
      </c>
      <c r="O1248" s="9" t="n">
        <v>5208.08</v>
      </c>
      <c r="P1248" s="9" t="n">
        <v>5208.08</v>
      </c>
      <c r="Q1248" s="7" t="inlineStr">
        <is>
          <t>Sí</t>
        </is>
      </c>
      <c r="R1248" s="9">
        <f>IF(N1248="","",IF(Q1248="Sí",ROUND(N1248/1.18,2),N1248))</f>
        <v/>
      </c>
      <c r="S1248" s="7" t="inlineStr">
        <is>
          <t>2026-09-09</t>
        </is>
      </c>
      <c r="T1248" s="5" t="inlineStr">
        <is>
          <t>1 cotización de proveedores</t>
        </is>
      </c>
    </row>
    <row r="1249">
      <c r="A1249" s="7" t="inlineStr">
        <is>
          <t>MAT-28-096</t>
        </is>
      </c>
      <c r="B1249" s="7" t="inlineStr">
        <is>
          <t>Materiales</t>
        </is>
      </c>
      <c r="C1249" s="7" t="inlineStr">
        <is>
          <t>Alarmas y control de accesos</t>
        </is>
      </c>
      <c r="D1249" s="5" t="inlineStr">
        <is>
          <t>G Series Panel De Control IP 8 Areas</t>
        </is>
      </c>
      <c r="E1249" s="5" t="inlineStr">
        <is>
          <t>marca BOSCH · panel · referencia B8512G</t>
        </is>
      </c>
      <c r="F1249" s="5" t="inlineStr">
        <is>
          <t>Material retirado en almacén</t>
        </is>
      </c>
      <c r="G1249" s="5" t="inlineStr"/>
      <c r="H1249" s="7" t="inlineStr">
        <is>
          <t>unidad</t>
        </is>
      </c>
      <c r="I1249" s="7" t="inlineStr">
        <is>
          <t>Instalaciones</t>
        </is>
      </c>
      <c r="J1249" s="7" t="inlineStr">
        <is>
          <t>estandar</t>
        </is>
      </c>
      <c r="K1249" s="7" t="inlineStr">
        <is>
          <t>importado</t>
        </is>
      </c>
      <c r="L1249" s="7" t="inlineStr">
        <is>
          <t>Verificado</t>
        </is>
      </c>
      <c r="M1249" s="8" t="n">
        <v>1</v>
      </c>
      <c r="N1249" s="9" t="n">
        <v>11668.57</v>
      </c>
      <c r="O1249" s="9" t="n">
        <v>11668.57</v>
      </c>
      <c r="P1249" s="9" t="n">
        <v>11668.57</v>
      </c>
      <c r="Q1249" s="7" t="inlineStr">
        <is>
          <t>Sí</t>
        </is>
      </c>
      <c r="R1249" s="9">
        <f>IF(N1249="","",IF(Q1249="Sí",ROUND(N1249/1.18,2),N1249))</f>
        <v/>
      </c>
      <c r="S1249" s="7" t="inlineStr">
        <is>
          <t>2026-09-09</t>
        </is>
      </c>
      <c r="T1249" s="5" t="inlineStr">
        <is>
          <t>1 cotización de proveedores</t>
        </is>
      </c>
    </row>
    <row r="1250">
      <c r="A1250" s="7" t="inlineStr">
        <is>
          <t>MAT-29-003</t>
        </is>
      </c>
      <c r="B1250" s="7" t="inlineStr">
        <is>
          <t>Materiales</t>
        </is>
      </c>
      <c r="C1250" s="7" t="inlineStr">
        <is>
          <t>Detección de incendios</t>
        </is>
      </c>
      <c r="D1250" s="5" t="inlineStr">
        <is>
          <t>Central Control Incendio 4 Zonas 24V</t>
        </is>
      </c>
      <c r="E1250" s="5" t="inlineStr">
        <is>
          <t>marca BOSCH · control de incendios notificacion &amp; dentencion · referencia FPD-7024</t>
        </is>
      </c>
      <c r="F1250" s="5" t="inlineStr">
        <is>
          <t>Material retirado en almacén</t>
        </is>
      </c>
      <c r="G1250" s="5" t="inlineStr"/>
      <c r="H1250" s="7" t="inlineStr">
        <is>
          <t>unidad</t>
        </is>
      </c>
      <c r="I1250" s="7" t="inlineStr">
        <is>
          <t>Instalaciones</t>
        </is>
      </c>
      <c r="J1250" s="7" t="inlineStr">
        <is>
          <t>estandar</t>
        </is>
      </c>
      <c r="K1250" s="7" t="inlineStr">
        <is>
          <t>importado</t>
        </is>
      </c>
      <c r="L1250" s="7" t="inlineStr">
        <is>
          <t>Verificado</t>
        </is>
      </c>
      <c r="M1250" s="8" t="n">
        <v>1</v>
      </c>
      <c r="N1250" s="9" t="n">
        <v>18682.71</v>
      </c>
      <c r="O1250" s="9" t="n">
        <v>18682.71</v>
      </c>
      <c r="P1250" s="9" t="n">
        <v>18682.71</v>
      </c>
      <c r="Q1250" s="7" t="inlineStr">
        <is>
          <t>Sí</t>
        </is>
      </c>
      <c r="R1250" s="9">
        <f>IF(N1250="","",IF(Q1250="Sí",ROUND(N1250/1.18,2),N1250))</f>
        <v/>
      </c>
      <c r="S1250" s="7" t="inlineStr">
        <is>
          <t>2026-09-09</t>
        </is>
      </c>
      <c r="T1250" s="5" t="inlineStr">
        <is>
          <t>1 cotización de proveedores</t>
        </is>
      </c>
    </row>
    <row r="1251">
      <c r="A1251" s="7" t="inlineStr">
        <is>
          <t>MAT-29-004</t>
        </is>
      </c>
      <c r="B1251" s="7" t="inlineStr">
        <is>
          <t>Materiales</t>
        </is>
      </c>
      <c r="C1251" s="7" t="inlineStr">
        <is>
          <t>Detección de incendios</t>
        </is>
      </c>
      <c r="D1251" s="5" t="inlineStr">
        <is>
          <t>Detector De Rotura De Cristal Cruadrado</t>
        </is>
      </c>
      <c r="E1251" s="5" t="inlineStr">
        <is>
          <t>marca BOSCH · accesorios control de incendios &amp; supresion · referencia DS1102I</t>
        </is>
      </c>
      <c r="F1251" s="5" t="inlineStr">
        <is>
          <t>Material retirado en almacén</t>
        </is>
      </c>
      <c r="G1251" s="5" t="inlineStr"/>
      <c r="H1251" s="7" t="inlineStr">
        <is>
          <t>unidad</t>
        </is>
      </c>
      <c r="I1251" s="7" t="inlineStr">
        <is>
          <t>Instalaciones</t>
        </is>
      </c>
      <c r="J1251" s="7" t="inlineStr">
        <is>
          <t>estandar</t>
        </is>
      </c>
      <c r="K1251" s="7" t="inlineStr">
        <is>
          <t>importado</t>
        </is>
      </c>
      <c r="L1251" s="7" t="inlineStr">
        <is>
          <t>Verificado</t>
        </is>
      </c>
      <c r="M1251" s="8" t="n">
        <v>1</v>
      </c>
      <c r="N1251" s="9" t="n">
        <v>1369.45</v>
      </c>
      <c r="O1251" s="9" t="n">
        <v>1369.45</v>
      </c>
      <c r="P1251" s="9" t="n">
        <v>1369.45</v>
      </c>
      <c r="Q1251" s="7" t="inlineStr">
        <is>
          <t>Sí</t>
        </is>
      </c>
      <c r="R1251" s="9">
        <f>IF(N1251="","",IF(Q1251="Sí",ROUND(N1251/1.18,2),N1251))</f>
        <v/>
      </c>
      <c r="S1251" s="7" t="inlineStr">
        <is>
          <t>2026-09-09</t>
        </is>
      </c>
      <c r="T1251" s="5" t="inlineStr">
        <is>
          <t>1 cotización de proveedores</t>
        </is>
      </c>
    </row>
    <row r="1252">
      <c r="A1252" s="7" t="inlineStr">
        <is>
          <t>MAT-29-005</t>
        </is>
      </c>
      <c r="B1252" s="7" t="inlineStr">
        <is>
          <t>Materiales</t>
        </is>
      </c>
      <c r="C1252" s="7" t="inlineStr">
        <is>
          <t>Detección de incendios</t>
        </is>
      </c>
      <c r="D1252" s="5" t="inlineStr">
        <is>
          <t>Detector Termico</t>
        </is>
      </c>
      <c r="E1252" s="5" t="inlineStr">
        <is>
          <t>marca BOSCH · accesorios control de incendios notificacion &amp; deten · referencia F220-P</t>
        </is>
      </c>
      <c r="F1252" s="5" t="inlineStr">
        <is>
          <t>Material retirado en almacén</t>
        </is>
      </c>
      <c r="G1252" s="5" t="inlineStr"/>
      <c r="H1252" s="7" t="inlineStr">
        <is>
          <t>unidad</t>
        </is>
      </c>
      <c r="I1252" s="7" t="inlineStr">
        <is>
          <t>Instalaciones</t>
        </is>
      </c>
      <c r="J1252" s="7" t="inlineStr">
        <is>
          <t>estandar</t>
        </is>
      </c>
      <c r="K1252" s="7" t="inlineStr">
        <is>
          <t>importado</t>
        </is>
      </c>
      <c r="L1252" s="7" t="inlineStr">
        <is>
          <t>Verificado</t>
        </is>
      </c>
      <c r="M1252" s="8" t="n">
        <v>1</v>
      </c>
      <c r="N1252" s="9" t="n">
        <v>1508.54</v>
      </c>
      <c r="O1252" s="9" t="n">
        <v>1508.54</v>
      </c>
      <c r="P1252" s="9" t="n">
        <v>1508.54</v>
      </c>
      <c r="Q1252" s="7" t="inlineStr">
        <is>
          <t>Sí</t>
        </is>
      </c>
      <c r="R1252" s="9">
        <f>IF(N1252="","",IF(Q1252="Sí",ROUND(N1252/1.18,2),N1252))</f>
        <v/>
      </c>
      <c r="S1252" s="7" t="inlineStr">
        <is>
          <t>2026-09-09</t>
        </is>
      </c>
      <c r="T1252" s="5" t="inlineStr">
        <is>
          <t>1 cotización de proveedores</t>
        </is>
      </c>
    </row>
    <row r="1253">
      <c r="A1253" s="7" t="inlineStr">
        <is>
          <t>MAT-29-006</t>
        </is>
      </c>
      <c r="B1253" s="7" t="inlineStr">
        <is>
          <t>Materiales</t>
        </is>
      </c>
      <c r="C1253" s="7" t="inlineStr">
        <is>
          <t>Detección de incendios</t>
        </is>
      </c>
      <c r="D1253" s="5" t="inlineStr">
        <is>
          <t>Detector Humo, Calor Fijo</t>
        </is>
      </c>
      <c r="E1253" s="5" t="inlineStr">
        <is>
          <t>marca BOSCH · control de incendios notificacion &amp; dentencion · referencia D263TH</t>
        </is>
      </c>
      <c r="F1253" s="5" t="inlineStr">
        <is>
          <t>Material retirado en almacén</t>
        </is>
      </c>
      <c r="G1253" s="5" t="inlineStr"/>
      <c r="H1253" s="7" t="inlineStr">
        <is>
          <t>unidad</t>
        </is>
      </c>
      <c r="I1253" s="7" t="inlineStr">
        <is>
          <t>Instalaciones</t>
        </is>
      </c>
      <c r="J1253" s="7" t="inlineStr">
        <is>
          <t>estandar</t>
        </is>
      </c>
      <c r="K1253" s="7" t="inlineStr">
        <is>
          <t>importado</t>
        </is>
      </c>
      <c r="L1253" s="7" t="inlineStr">
        <is>
          <t>Verificado</t>
        </is>
      </c>
      <c r="M1253" s="8" t="n">
        <v>1</v>
      </c>
      <c r="N1253" s="9" t="n">
        <v>1657.72</v>
      </c>
      <c r="O1253" s="9" t="n">
        <v>1657.72</v>
      </c>
      <c r="P1253" s="9" t="n">
        <v>1657.72</v>
      </c>
      <c r="Q1253" s="7" t="inlineStr">
        <is>
          <t>Sí</t>
        </is>
      </c>
      <c r="R1253" s="9">
        <f>IF(N1253="","",IF(Q1253="Sí",ROUND(N1253/1.18,2),N1253))</f>
        <v/>
      </c>
      <c r="S1253" s="7" t="inlineStr">
        <is>
          <t>2026-09-09</t>
        </is>
      </c>
      <c r="T1253" s="5" t="inlineStr">
        <is>
          <t>1 cotización de proveedores</t>
        </is>
      </c>
    </row>
    <row r="1254">
      <c r="A1254" s="7" t="inlineStr">
        <is>
          <t>MAT-29-007</t>
        </is>
      </c>
      <c r="B1254" s="7" t="inlineStr">
        <is>
          <t>Materiales</t>
        </is>
      </c>
      <c r="C1254" s="7" t="inlineStr">
        <is>
          <t>Detección de incendios</t>
        </is>
      </c>
      <c r="D1254" s="5" t="inlineStr">
        <is>
          <t>Detector De Calor Analogico</t>
        </is>
      </c>
      <c r="E1254" s="5" t="inlineStr">
        <is>
          <t>marca BOSCH · control de incendios &amp; supresion · referencia FAH-440</t>
        </is>
      </c>
      <c r="F1254" s="5" t="inlineStr">
        <is>
          <t>Material retirado en almacén</t>
        </is>
      </c>
      <c r="G1254" s="5" t="inlineStr"/>
      <c r="H1254" s="7" t="inlineStr">
        <is>
          <t>unidad</t>
        </is>
      </c>
      <c r="I1254" s="7" t="inlineStr">
        <is>
          <t>Instalaciones</t>
        </is>
      </c>
      <c r="J1254" s="7" t="inlineStr">
        <is>
          <t>estandar</t>
        </is>
      </c>
      <c r="K1254" s="7" t="inlineStr">
        <is>
          <t>importado</t>
        </is>
      </c>
      <c r="L1254" s="7" t="inlineStr">
        <is>
          <t>Verificado</t>
        </is>
      </c>
      <c r="M1254" s="8" t="n">
        <v>1</v>
      </c>
      <c r="N1254" s="9" t="n">
        <v>2053.24</v>
      </c>
      <c r="O1254" s="9" t="n">
        <v>2053.24</v>
      </c>
      <c r="P1254" s="9" t="n">
        <v>2053.24</v>
      </c>
      <c r="Q1254" s="7" t="inlineStr">
        <is>
          <t>Sí</t>
        </is>
      </c>
      <c r="R1254" s="9">
        <f>IF(N1254="","",IF(Q1254="Sí",ROUND(N1254/1.18,2),N1254))</f>
        <v/>
      </c>
      <c r="S1254" s="7" t="inlineStr">
        <is>
          <t>2026-09-09</t>
        </is>
      </c>
      <c r="T1254" s="5" t="inlineStr">
        <is>
          <t>1 cotización de proveedores</t>
        </is>
      </c>
    </row>
    <row r="1255">
      <c r="A1255" s="7" t="inlineStr">
        <is>
          <t>MAT-29-008</t>
        </is>
      </c>
      <c r="B1255" s="7" t="inlineStr">
        <is>
          <t>Materiales</t>
        </is>
      </c>
      <c r="C1255" s="7" t="inlineStr">
        <is>
          <t>Detección de incendios</t>
        </is>
      </c>
      <c r="D1255" s="5" t="inlineStr">
        <is>
          <t>Detector De Humo con Alarma Multiplex</t>
        </is>
      </c>
      <c r="E1255" s="5" t="inlineStr">
        <is>
          <t>marca BOSCH · accesorios control de incendios notificacion &amp; deten · referencia D7050TH</t>
        </is>
      </c>
      <c r="F1255" s="5" t="inlineStr">
        <is>
          <t>Material retirado en almacén</t>
        </is>
      </c>
      <c r="G1255" s="5" t="inlineStr"/>
      <c r="H1255" s="7" t="inlineStr">
        <is>
          <t>unidad</t>
        </is>
      </c>
      <c r="I1255" s="7" t="inlineStr">
        <is>
          <t>Instalaciones</t>
        </is>
      </c>
      <c r="J1255" s="7" t="inlineStr">
        <is>
          <t>estandar</t>
        </is>
      </c>
      <c r="K1255" s="7" t="inlineStr">
        <is>
          <t>importado</t>
        </is>
      </c>
      <c r="L1255" s="7" t="inlineStr">
        <is>
          <t>Verificado</t>
        </is>
      </c>
      <c r="M1255" s="8" t="n">
        <v>1</v>
      </c>
      <c r="N1255" s="9" t="n">
        <v>2030.74</v>
      </c>
      <c r="O1255" s="9" t="n">
        <v>1934.03</v>
      </c>
      <c r="P1255" s="9" t="n">
        <v>2127.44</v>
      </c>
      <c r="Q1255" s="7" t="inlineStr">
        <is>
          <t>Sí</t>
        </is>
      </c>
      <c r="R1255" s="9">
        <f>IF(N1255="","",IF(Q1255="Sí",ROUND(N1255/1.18,2),N1255))</f>
        <v/>
      </c>
      <c r="S1255" s="7" t="inlineStr">
        <is>
          <t>2026-09-09</t>
        </is>
      </c>
      <c r="T1255" s="5" t="inlineStr">
        <is>
          <t>2 cotizaciones de proveedores</t>
        </is>
      </c>
    </row>
    <row r="1256">
      <c r="A1256" s="7" t="inlineStr">
        <is>
          <t>MAT-29-009</t>
        </is>
      </c>
      <c r="B1256" s="7" t="inlineStr">
        <is>
          <t>Materiales</t>
        </is>
      </c>
      <c r="C1256" s="7" t="inlineStr">
        <is>
          <t>Detección de incendios</t>
        </is>
      </c>
      <c r="D1256" s="5" t="inlineStr">
        <is>
          <t>Detector De Humo Analogico</t>
        </is>
      </c>
      <c r="E1256" s="5" t="inlineStr">
        <is>
          <t>marca BOSCH · accesorios control de incendios notificacion &amp; deten · referencia FAP-440</t>
        </is>
      </c>
      <c r="F1256" s="5" t="inlineStr">
        <is>
          <t>Material retirado en almacén</t>
        </is>
      </c>
      <c r="G1256" s="5" t="inlineStr"/>
      <c r="H1256" s="7" t="inlineStr">
        <is>
          <t>unidad</t>
        </is>
      </c>
      <c r="I1256" s="7" t="inlineStr">
        <is>
          <t>Instalaciones</t>
        </is>
      </c>
      <c r="J1256" s="7" t="inlineStr">
        <is>
          <t>estandar</t>
        </is>
      </c>
      <c r="K1256" s="7" t="inlineStr">
        <is>
          <t>importado</t>
        </is>
      </c>
      <c r="L1256" s="7" t="inlineStr">
        <is>
          <t>Verificado</t>
        </is>
      </c>
      <c r="M1256" s="8" t="n">
        <v>1</v>
      </c>
      <c r="N1256" s="9" t="n">
        <v>2135.37</v>
      </c>
      <c r="O1256" s="9" t="n">
        <v>2135.37</v>
      </c>
      <c r="P1256" s="9" t="n">
        <v>2135.37</v>
      </c>
      <c r="Q1256" s="7" t="inlineStr">
        <is>
          <t>Sí</t>
        </is>
      </c>
      <c r="R1256" s="9">
        <f>IF(N1256="","",IF(Q1256="Sí",ROUND(N1256/1.18,2),N1256))</f>
        <v/>
      </c>
      <c r="S1256" s="7" t="inlineStr">
        <is>
          <t>2026-09-09</t>
        </is>
      </c>
      <c r="T1256" s="5" t="inlineStr">
        <is>
          <t>1 cotización de proveedores</t>
        </is>
      </c>
    </row>
    <row r="1257">
      <c r="A1257" s="7" t="inlineStr">
        <is>
          <t>MAT-29-010</t>
        </is>
      </c>
      <c r="B1257" s="7" t="inlineStr">
        <is>
          <t>Materiales</t>
        </is>
      </c>
      <c r="C1257" s="7" t="inlineStr">
        <is>
          <t>Detección de incendios</t>
        </is>
      </c>
      <c r="D1257" s="5" t="inlineStr">
        <is>
          <t>Detector De Impacto</t>
        </is>
      </c>
      <c r="E1257" s="5" t="inlineStr">
        <is>
          <t>marca BOSCH · control de incendios notificacion &amp; dentencion · referencia ISC-SK10</t>
        </is>
      </c>
      <c r="F1257" s="5" t="inlineStr">
        <is>
          <t>Material retirado en almacén</t>
        </is>
      </c>
      <c r="G1257" s="5" t="inlineStr"/>
      <c r="H1257" s="7" t="inlineStr">
        <is>
          <t>unidad</t>
        </is>
      </c>
      <c r="I1257" s="7" t="inlineStr">
        <is>
          <t>Instalaciones</t>
        </is>
      </c>
      <c r="J1257" s="7" t="inlineStr">
        <is>
          <t>estandar</t>
        </is>
      </c>
      <c r="K1257" s="7" t="inlineStr">
        <is>
          <t>importado</t>
        </is>
      </c>
      <c r="L1257" s="7" t="inlineStr">
        <is>
          <t>Verificado</t>
        </is>
      </c>
      <c r="M1257" s="8" t="n">
        <v>1</v>
      </c>
      <c r="N1257" s="9" t="n">
        <v>3315.44</v>
      </c>
      <c r="O1257" s="9" t="n">
        <v>3315.44</v>
      </c>
      <c r="P1257" s="9" t="n">
        <v>3315.44</v>
      </c>
      <c r="Q1257" s="7" t="inlineStr">
        <is>
          <t>Sí</t>
        </is>
      </c>
      <c r="R1257" s="9">
        <f>IF(N1257="","",IF(Q1257="Sí",ROUND(N1257/1.18,2),N1257))</f>
        <v/>
      </c>
      <c r="S1257" s="7" t="inlineStr">
        <is>
          <t>2026-09-09</t>
        </is>
      </c>
      <c r="T1257" s="5" t="inlineStr">
        <is>
          <t>1 cotización de proveedores</t>
        </is>
      </c>
    </row>
    <row r="1258">
      <c r="A1258" s="7" t="inlineStr">
        <is>
          <t>MAT-29-011</t>
        </is>
      </c>
      <c r="B1258" s="7" t="inlineStr">
        <is>
          <t>Materiales</t>
        </is>
      </c>
      <c r="C1258" s="7" t="inlineStr">
        <is>
          <t>Detección de incendios</t>
        </is>
      </c>
      <c r="D1258" s="5" t="inlineStr">
        <is>
          <t>Detector Gas De Combustion 12 / 24V</t>
        </is>
      </c>
      <c r="E1258" s="5" t="inlineStr">
        <is>
          <t>marca BOSCH · accesorios control de incendios notificacion &amp; deten · referencia D382/GD2A</t>
        </is>
      </c>
      <c r="F1258" s="5" t="inlineStr">
        <is>
          <t>Material retirado en almacén</t>
        </is>
      </c>
      <c r="G1258" s="5" t="inlineStr"/>
      <c r="H1258" s="7" t="inlineStr">
        <is>
          <t>unidad</t>
        </is>
      </c>
      <c r="I1258" s="7" t="inlineStr">
        <is>
          <t>Instalaciones</t>
        </is>
      </c>
      <c r="J1258" s="7" t="inlineStr">
        <is>
          <t>estandar</t>
        </is>
      </c>
      <c r="K1258" s="7" t="inlineStr">
        <is>
          <t>importado</t>
        </is>
      </c>
      <c r="L1258" s="7" t="inlineStr">
        <is>
          <t>Verificado</t>
        </is>
      </c>
      <c r="M1258" s="8" t="n">
        <v>1</v>
      </c>
      <c r="N1258" s="9" t="n">
        <v>5647.37</v>
      </c>
      <c r="O1258" s="9" t="n">
        <v>5647.37</v>
      </c>
      <c r="P1258" s="9" t="n">
        <v>5647.37</v>
      </c>
      <c r="Q1258" s="7" t="inlineStr">
        <is>
          <t>Sí</t>
        </is>
      </c>
      <c r="R1258" s="9">
        <f>IF(N1258="","",IF(Q1258="Sí",ROUND(N1258/1.18,2),N1258))</f>
        <v/>
      </c>
      <c r="S1258" s="7" t="inlineStr">
        <is>
          <t>2026-09-09</t>
        </is>
      </c>
      <c r="T1258" s="5" t="inlineStr">
        <is>
          <t>1 cotización de proveedores</t>
        </is>
      </c>
    </row>
    <row r="1259">
      <c r="A1259" s="7" t="inlineStr">
        <is>
          <t>MAT-29-012</t>
        </is>
      </c>
      <c r="B1259" s="7" t="inlineStr">
        <is>
          <t>Materiales</t>
        </is>
      </c>
      <c r="C1259" s="7" t="inlineStr">
        <is>
          <t>Detección de incendios</t>
        </is>
      </c>
      <c r="D1259" s="5" t="inlineStr">
        <is>
          <t>Detector Humo Largo Alcance 24V</t>
        </is>
      </c>
      <c r="E1259" s="5" t="inlineStr">
        <is>
          <t>marca BOSCH · accesorios control de incendios notificacion &amp; deten · referencia D296</t>
        </is>
      </c>
      <c r="F1259" s="5" t="inlineStr">
        <is>
          <t>Material retirado en almacén</t>
        </is>
      </c>
      <c r="G1259" s="5" t="inlineStr"/>
      <c r="H1259" s="7" t="inlineStr">
        <is>
          <t>unidad</t>
        </is>
      </c>
      <c r="I1259" s="7" t="inlineStr">
        <is>
          <t>Instalaciones</t>
        </is>
      </c>
      <c r="J1259" s="7" t="inlineStr">
        <is>
          <t>estandar</t>
        </is>
      </c>
      <c r="K1259" s="7" t="inlineStr">
        <is>
          <t>importado</t>
        </is>
      </c>
      <c r="L1259" s="7" t="inlineStr">
        <is>
          <t>Verificado</t>
        </is>
      </c>
      <c r="M1259" s="8" t="n">
        <v>1</v>
      </c>
      <c r="N1259" s="9" t="n">
        <v>23981.94</v>
      </c>
      <c r="O1259" s="9" t="n">
        <v>23981.94</v>
      </c>
      <c r="P1259" s="9" t="n">
        <v>23981.94</v>
      </c>
      <c r="Q1259" s="7" t="inlineStr">
        <is>
          <t>Sí</t>
        </is>
      </c>
      <c r="R1259" s="9">
        <f>IF(N1259="","",IF(Q1259="Sí",ROUND(N1259/1.18,2),N1259))</f>
        <v/>
      </c>
      <c r="S1259" s="7" t="inlineStr">
        <is>
          <t>2026-09-09</t>
        </is>
      </c>
      <c r="T1259" s="5" t="inlineStr">
        <is>
          <t>1 cotización de proveedores</t>
        </is>
      </c>
    </row>
    <row r="1260">
      <c r="A1260" s="7" t="inlineStr">
        <is>
          <t>MAT-29-013</t>
        </is>
      </c>
      <c r="B1260" s="7" t="inlineStr">
        <is>
          <t>Materiales</t>
        </is>
      </c>
      <c r="C1260" s="7" t="inlineStr">
        <is>
          <t>Detección de incendios</t>
        </is>
      </c>
      <c r="D1260" s="5" t="inlineStr">
        <is>
          <t>Sirena Con Luz Estrobo 24V</t>
        </is>
      </c>
      <c r="E1260" s="5" t="inlineStr">
        <is>
          <t>marca BOSCH · accesorios control de incendios notificacion &amp; deten · referencia W-HSR</t>
        </is>
      </c>
      <c r="F1260" s="5" t="inlineStr">
        <is>
          <t>Material retirado en almacén</t>
        </is>
      </c>
      <c r="G1260" s="5" t="inlineStr"/>
      <c r="H1260" s="7" t="inlineStr">
        <is>
          <t>unidad</t>
        </is>
      </c>
      <c r="I1260" s="7" t="inlineStr">
        <is>
          <t>Instalaciones</t>
        </is>
      </c>
      <c r="J1260" s="7" t="inlineStr">
        <is>
          <t>estandar</t>
        </is>
      </c>
      <c r="K1260" s="7" t="inlineStr">
        <is>
          <t>importado</t>
        </is>
      </c>
      <c r="L1260" s="7" t="inlineStr">
        <is>
          <t>Verificado</t>
        </is>
      </c>
      <c r="M1260" s="8" t="n">
        <v>1</v>
      </c>
      <c r="N1260" s="9" t="n">
        <v>2764.66</v>
      </c>
      <c r="O1260" s="9" t="n">
        <v>2764.66</v>
      </c>
      <c r="P1260" s="9" t="n">
        <v>2764.66</v>
      </c>
      <c r="Q1260" s="7" t="inlineStr">
        <is>
          <t>Sí</t>
        </is>
      </c>
      <c r="R1260" s="9">
        <f>IF(N1260="","",IF(Q1260="Sí",ROUND(N1260/1.18,2),N1260))</f>
        <v/>
      </c>
      <c r="S1260" s="7" t="inlineStr">
        <is>
          <t>2026-09-09</t>
        </is>
      </c>
      <c r="T1260" s="5" t="inlineStr">
        <is>
          <t>1 cotización de proveedores</t>
        </is>
      </c>
    </row>
    <row r="1261">
      <c r="A1261" s="7" t="inlineStr">
        <is>
          <t>MAT-29-014</t>
        </is>
      </c>
      <c r="B1261" s="7" t="inlineStr">
        <is>
          <t>Materiales</t>
        </is>
      </c>
      <c r="C1261" s="7" t="inlineStr">
        <is>
          <t>Detección de incendios</t>
        </is>
      </c>
      <c r="D1261" s="5" t="inlineStr">
        <is>
          <t>Pulsador De Panico</t>
        </is>
      </c>
      <c r="E1261" s="5" t="inlineStr">
        <is>
          <t>marca BOSCH · control de incendios notificacion &amp; dentencion · referencia ISC-PB1-100</t>
        </is>
      </c>
      <c r="F1261" s="5" t="inlineStr">
        <is>
          <t>Material retirado en almacén</t>
        </is>
      </c>
      <c r="G1261" s="5" t="inlineStr"/>
      <c r="H1261" s="7" t="inlineStr">
        <is>
          <t>unidad</t>
        </is>
      </c>
      <c r="I1261" s="7" t="inlineStr">
        <is>
          <t>Instalaciones</t>
        </is>
      </c>
      <c r="J1261" s="7" t="inlineStr">
        <is>
          <t>estandar</t>
        </is>
      </c>
      <c r="K1261" s="7" t="inlineStr">
        <is>
          <t>importado</t>
        </is>
      </c>
      <c r="L1261" s="7" t="inlineStr">
        <is>
          <t>Verificado</t>
        </is>
      </c>
      <c r="M1261" s="8" t="n">
        <v>1</v>
      </c>
      <c r="N1261" s="9" t="n">
        <v>870.3</v>
      </c>
      <c r="O1261" s="9" t="n">
        <v>870.3</v>
      </c>
      <c r="P1261" s="9" t="n">
        <v>870.3</v>
      </c>
      <c r="Q1261" s="7" t="inlineStr">
        <is>
          <t>Sí</t>
        </is>
      </c>
      <c r="R1261" s="9">
        <f>IF(N1261="","",IF(Q1261="Sí",ROUND(N1261/1.18,2),N1261))</f>
        <v/>
      </c>
      <c r="S1261" s="7" t="inlineStr">
        <is>
          <t>2026-09-09</t>
        </is>
      </c>
      <c r="T1261" s="5" t="inlineStr">
        <is>
          <t>1 cotización de proveedores</t>
        </is>
      </c>
    </row>
    <row r="1262">
      <c r="A1262" s="7" t="inlineStr">
        <is>
          <t>MAT-29-015</t>
        </is>
      </c>
      <c r="B1262" s="7" t="inlineStr">
        <is>
          <t>Materiales</t>
        </is>
      </c>
      <c r="C1262" s="7" t="inlineStr">
        <is>
          <t>Detección de incendios</t>
        </is>
      </c>
      <c r="D1262" s="5" t="inlineStr">
        <is>
          <t>Estacion Manual Doble Accion Roja</t>
        </is>
      </c>
      <c r="E1262" s="5" t="inlineStr">
        <is>
          <t>marca BOSCH · control de incendios notificacion &amp; dentencion · referencia FMM-462-D</t>
        </is>
      </c>
      <c r="F1262" s="5" t="inlineStr">
        <is>
          <t>Material retirado en almacén</t>
        </is>
      </c>
      <c r="G1262" s="5" t="inlineStr"/>
      <c r="H1262" s="7" t="inlineStr">
        <is>
          <t>unidad</t>
        </is>
      </c>
      <c r="I1262" s="7" t="inlineStr">
        <is>
          <t>Instalaciones</t>
        </is>
      </c>
      <c r="J1262" s="7" t="inlineStr">
        <is>
          <t>estandar</t>
        </is>
      </c>
      <c r="K1262" s="7" t="inlineStr">
        <is>
          <t>importado</t>
        </is>
      </c>
      <c r="L1262" s="7" t="inlineStr">
        <is>
          <t>Verificado</t>
        </is>
      </c>
      <c r="M1262" s="8" t="n">
        <v>1</v>
      </c>
      <c r="N1262" s="9" t="n">
        <v>2693.8</v>
      </c>
      <c r="O1262" s="9" t="n">
        <v>2693.8</v>
      </c>
      <c r="P1262" s="9" t="n">
        <v>2693.8</v>
      </c>
      <c r="Q1262" s="7" t="inlineStr">
        <is>
          <t>Sí</t>
        </is>
      </c>
      <c r="R1262" s="9">
        <f>IF(N1262="","",IF(Q1262="Sí",ROUND(N1262/1.18,2),N1262))</f>
        <v/>
      </c>
      <c r="S1262" s="7" t="inlineStr">
        <is>
          <t>2026-09-09</t>
        </is>
      </c>
      <c r="T1262" s="5" t="inlineStr">
        <is>
          <t>1 cotización de proveedores</t>
        </is>
      </c>
    </row>
    <row r="1263">
      <c r="A1263" s="7" t="inlineStr">
        <is>
          <t>MAT-29-016</t>
        </is>
      </c>
      <c r="B1263" s="7" t="inlineStr">
        <is>
          <t>Materiales</t>
        </is>
      </c>
      <c r="C1263" s="7" t="inlineStr">
        <is>
          <t>Detección de incendios</t>
        </is>
      </c>
      <c r="D1263" s="5" t="inlineStr">
        <is>
          <t>Estacion Analogica Manual Roja</t>
        </is>
      </c>
      <c r="E1263" s="5" t="inlineStr">
        <is>
          <t>marca BOSCH · control de incendios &amp; supresion · referencia FMM-325A</t>
        </is>
      </c>
      <c r="F1263" s="5" t="inlineStr">
        <is>
          <t>Material retirado en almacén</t>
        </is>
      </c>
      <c r="G1263" s="5" t="inlineStr"/>
      <c r="H1263" s="7" t="inlineStr">
        <is>
          <t>unidad</t>
        </is>
      </c>
      <c r="I1263" s="7" t="inlineStr">
        <is>
          <t>Instalaciones</t>
        </is>
      </c>
      <c r="J1263" s="7" t="inlineStr">
        <is>
          <t>estandar</t>
        </is>
      </c>
      <c r="K1263" s="7" t="inlineStr">
        <is>
          <t>importado</t>
        </is>
      </c>
      <c r="L1263" s="7" t="inlineStr">
        <is>
          <t>Verificado</t>
        </is>
      </c>
      <c r="M1263" s="8" t="n">
        <v>1</v>
      </c>
      <c r="N1263" s="9" t="n">
        <v>3695.82</v>
      </c>
      <c r="O1263" s="9" t="n">
        <v>3695.82</v>
      </c>
      <c r="P1263" s="9" t="n">
        <v>3695.82</v>
      </c>
      <c r="Q1263" s="7" t="inlineStr">
        <is>
          <t>Sí</t>
        </is>
      </c>
      <c r="R1263" s="9">
        <f>IF(N1263="","",IF(Q1263="Sí",ROUND(N1263/1.18,2),N1263))</f>
        <v/>
      </c>
      <c r="S1263" s="7" t="inlineStr">
        <is>
          <t>2026-09-09</t>
        </is>
      </c>
      <c r="T1263" s="5" t="inlineStr">
        <is>
          <t>1 cotización de proveedores</t>
        </is>
      </c>
    </row>
    <row r="1264">
      <c r="A1264" s="7" t="inlineStr">
        <is>
          <t>MAT-29-017</t>
        </is>
      </c>
      <c r="B1264" s="7" t="inlineStr">
        <is>
          <t>Materiales</t>
        </is>
      </c>
      <c r="C1264" s="7" t="inlineStr">
        <is>
          <t>Detección de incendios</t>
        </is>
      </c>
      <c r="D1264" s="5" t="inlineStr">
        <is>
          <t>Estacion Analogica Manual Doble</t>
        </is>
      </c>
      <c r="E1264" s="5" t="inlineStr">
        <is>
          <t>marca BOSCH · control de incendios &amp; supresion · referencia FMM-325A-D</t>
        </is>
      </c>
      <c r="F1264" s="5" t="inlineStr">
        <is>
          <t>Material retirado en almacén</t>
        </is>
      </c>
      <c r="G1264" s="5" t="inlineStr"/>
      <c r="H1264" s="7" t="inlineStr">
        <is>
          <t>unidad</t>
        </is>
      </c>
      <c r="I1264" s="7" t="inlineStr">
        <is>
          <t>Instalaciones</t>
        </is>
      </c>
      <c r="J1264" s="7" t="inlineStr">
        <is>
          <t>estandar</t>
        </is>
      </c>
      <c r="K1264" s="7" t="inlineStr">
        <is>
          <t>importado</t>
        </is>
      </c>
      <c r="L1264" s="7" t="inlineStr">
        <is>
          <t>Verificado</t>
        </is>
      </c>
      <c r="M1264" s="8" t="n">
        <v>1</v>
      </c>
      <c r="N1264" s="9" t="n">
        <v>4065.41</v>
      </c>
      <c r="O1264" s="9" t="n">
        <v>4065.41</v>
      </c>
      <c r="P1264" s="9" t="n">
        <v>4065.41</v>
      </c>
      <c r="Q1264" s="7" t="inlineStr">
        <is>
          <t>Sí</t>
        </is>
      </c>
      <c r="R1264" s="9">
        <f>IF(N1264="","",IF(Q1264="Sí",ROUND(N1264/1.18,2),N1264))</f>
        <v/>
      </c>
      <c r="S1264" s="7" t="inlineStr">
        <is>
          <t>2026-09-09</t>
        </is>
      </c>
      <c r="T1264" s="5" t="inlineStr">
        <is>
          <t>1 cotización de proveedores</t>
        </is>
      </c>
    </row>
    <row r="1265">
      <c r="A1265" s="7" t="inlineStr">
        <is>
          <t>MAT-29-018</t>
        </is>
      </c>
      <c r="B1265" s="7" t="inlineStr">
        <is>
          <t>Materiales</t>
        </is>
      </c>
      <c r="C1265" s="7" t="inlineStr">
        <is>
          <t>Detección de incendios</t>
        </is>
      </c>
      <c r="D1265" s="5" t="inlineStr">
        <is>
          <t>Modulo Expansivo Popit</t>
        </is>
      </c>
      <c r="E1265" s="5" t="inlineStr">
        <is>
          <t>marca BOSCH · accesorios control de incendios &amp; supresion · referencia D9127U</t>
        </is>
      </c>
      <c r="F1265" s="5" t="inlineStr">
        <is>
          <t>Material retirado en almacén</t>
        </is>
      </c>
      <c r="G1265" s="5" t="inlineStr"/>
      <c r="H1265" s="7" t="inlineStr">
        <is>
          <t>unidad</t>
        </is>
      </c>
      <c r="I1265" s="7" t="inlineStr">
        <is>
          <t>Instalaciones</t>
        </is>
      </c>
      <c r="J1265" s="7" t="inlineStr">
        <is>
          <t>estandar</t>
        </is>
      </c>
      <c r="K1265" s="7" t="inlineStr">
        <is>
          <t>importado</t>
        </is>
      </c>
      <c r="L1265" s="7" t="inlineStr">
        <is>
          <t>Verificado</t>
        </is>
      </c>
      <c r="M1265" s="8" t="n">
        <v>1</v>
      </c>
      <c r="N1265" s="9" t="n">
        <v>574.9</v>
      </c>
      <c r="O1265" s="9" t="n">
        <v>574.9</v>
      </c>
      <c r="P1265" s="9" t="n">
        <v>574.9</v>
      </c>
      <c r="Q1265" s="7" t="inlineStr">
        <is>
          <t>Sí</t>
        </is>
      </c>
      <c r="R1265" s="9">
        <f>IF(N1265="","",IF(Q1265="Sí",ROUND(N1265/1.18,2),N1265))</f>
        <v/>
      </c>
      <c r="S1265" s="7" t="inlineStr">
        <is>
          <t>2026-09-09</t>
        </is>
      </c>
      <c r="T1265" s="5" t="inlineStr">
        <is>
          <t>1 cotización de proveedores</t>
        </is>
      </c>
    </row>
    <row r="1266">
      <c r="A1266" s="7" t="inlineStr">
        <is>
          <t>MAT-29-019</t>
        </is>
      </c>
      <c r="B1266" s="7" t="inlineStr">
        <is>
          <t>Materiales</t>
        </is>
      </c>
      <c r="C1266" s="7" t="inlineStr">
        <is>
          <t>Detección de incendios</t>
        </is>
      </c>
      <c r="D1266" s="5" t="inlineStr">
        <is>
          <t>Modulo Multiplex Mini 1 Entrada 12V</t>
        </is>
      </c>
      <c r="E1266" s="5" t="inlineStr">
        <is>
          <t>marca BOSCH · accesorios control de incendios notificacion &amp; deten · referencia D7044M</t>
        </is>
      </c>
      <c r="F1266" s="5" t="inlineStr">
        <is>
          <t>Material retirado en almacén</t>
        </is>
      </c>
      <c r="G1266" s="5" t="inlineStr"/>
      <c r="H1266" s="7" t="inlineStr">
        <is>
          <t>unidad</t>
        </is>
      </c>
      <c r="I1266" s="7" t="inlineStr">
        <is>
          <t>Instalaciones</t>
        </is>
      </c>
      <c r="J1266" s="7" t="inlineStr">
        <is>
          <t>estandar</t>
        </is>
      </c>
      <c r="K1266" s="7" t="inlineStr">
        <is>
          <t>importado</t>
        </is>
      </c>
      <c r="L1266" s="7" t="inlineStr">
        <is>
          <t>Verificado</t>
        </is>
      </c>
      <c r="M1266" s="8" t="n">
        <v>1</v>
      </c>
      <c r="N1266" s="9" t="n">
        <v>1199.1</v>
      </c>
      <c r="O1266" s="9" t="n">
        <v>1199.1</v>
      </c>
      <c r="P1266" s="9" t="n">
        <v>1199.1</v>
      </c>
      <c r="Q1266" s="7" t="inlineStr">
        <is>
          <t>Sí</t>
        </is>
      </c>
      <c r="R1266" s="9">
        <f>IF(N1266="","",IF(Q1266="Sí",ROUND(N1266/1.18,2),N1266))</f>
        <v/>
      </c>
      <c r="S1266" s="7" t="inlineStr">
        <is>
          <t>2026-09-09</t>
        </is>
      </c>
      <c r="T1266" s="5" t="inlineStr">
        <is>
          <t>1 cotización de proveedores</t>
        </is>
      </c>
    </row>
    <row r="1267">
      <c r="A1267" s="7" t="inlineStr">
        <is>
          <t>MAT-29-020</t>
        </is>
      </c>
      <c r="B1267" s="7" t="inlineStr">
        <is>
          <t>Materiales</t>
        </is>
      </c>
      <c r="C1267" s="7" t="inlineStr">
        <is>
          <t>Detección de incendios</t>
        </is>
      </c>
      <c r="D1267" s="5" t="inlineStr">
        <is>
          <t>Modulo Multiplex 1 Entrada 12V</t>
        </is>
      </c>
      <c r="E1267" s="5" t="inlineStr">
        <is>
          <t>marca BOSCH · accesorios control de incendios notificacion &amp; deten · referencia D7044</t>
        </is>
      </c>
      <c r="F1267" s="5" t="inlineStr">
        <is>
          <t>Material retirado en almacén</t>
        </is>
      </c>
      <c r="G1267" s="5" t="inlineStr"/>
      <c r="H1267" s="7" t="inlineStr">
        <is>
          <t>unidad</t>
        </is>
      </c>
      <c r="I1267" s="7" t="inlineStr">
        <is>
          <t>Instalaciones</t>
        </is>
      </c>
      <c r="J1267" s="7" t="inlineStr">
        <is>
          <t>estandar</t>
        </is>
      </c>
      <c r="K1267" s="7" t="inlineStr">
        <is>
          <t>importado</t>
        </is>
      </c>
      <c r="L1267" s="7" t="inlineStr">
        <is>
          <t>Verificado</t>
        </is>
      </c>
      <c r="M1267" s="8" t="n">
        <v>1</v>
      </c>
      <c r="N1267" s="9" t="n">
        <v>1276.45</v>
      </c>
      <c r="O1267" s="9" t="n">
        <v>1276.45</v>
      </c>
      <c r="P1267" s="9" t="n">
        <v>1276.45</v>
      </c>
      <c r="Q1267" s="7" t="inlineStr">
        <is>
          <t>Sí</t>
        </is>
      </c>
      <c r="R1267" s="9">
        <f>IF(N1267="","",IF(Q1267="Sí",ROUND(N1267/1.18,2),N1267))</f>
        <v/>
      </c>
      <c r="S1267" s="7" t="inlineStr">
        <is>
          <t>2026-09-09</t>
        </is>
      </c>
      <c r="T1267" s="5" t="inlineStr">
        <is>
          <t>1 cotización de proveedores</t>
        </is>
      </c>
    </row>
    <row r="1268">
      <c r="A1268" s="7" t="inlineStr">
        <is>
          <t>MAT-29-021</t>
        </is>
      </c>
      <c r="B1268" s="7" t="inlineStr">
        <is>
          <t>Materiales</t>
        </is>
      </c>
      <c r="C1268" s="7" t="inlineStr">
        <is>
          <t>Detección de incendios</t>
        </is>
      </c>
      <c r="D1268" s="5" t="inlineStr">
        <is>
          <t>Modulo De Expasion 8 Entradas</t>
        </is>
      </c>
      <c r="E1268" s="5" t="inlineStr">
        <is>
          <t>marca BOSCH · accesorios control de incendios &amp; supresion · referencia B208</t>
        </is>
      </c>
      <c r="F1268" s="5" t="inlineStr">
        <is>
          <t>Material retirado en almacén</t>
        </is>
      </c>
      <c r="G1268" s="5" t="inlineStr"/>
      <c r="H1268" s="7" t="inlineStr">
        <is>
          <t>unidad</t>
        </is>
      </c>
      <c r="I1268" s="7" t="inlineStr">
        <is>
          <t>Instalaciones</t>
        </is>
      </c>
      <c r="J1268" s="7" t="inlineStr">
        <is>
          <t>estandar</t>
        </is>
      </c>
      <c r="K1268" s="7" t="inlineStr">
        <is>
          <t>importado</t>
        </is>
      </c>
      <c r="L1268" s="7" t="inlineStr">
        <is>
          <t>Verificado</t>
        </is>
      </c>
      <c r="M1268" s="8" t="n">
        <v>1</v>
      </c>
      <c r="N1268" s="9" t="n">
        <v>1683.66</v>
      </c>
      <c r="O1268" s="9" t="n">
        <v>1683.66</v>
      </c>
      <c r="P1268" s="9" t="n">
        <v>1683.66</v>
      </c>
      <c r="Q1268" s="7" t="inlineStr">
        <is>
          <t>Sí</t>
        </is>
      </c>
      <c r="R1268" s="9">
        <f>IF(N1268="","",IF(Q1268="Sí",ROUND(N1268/1.18,2),N1268))</f>
        <v/>
      </c>
      <c r="S1268" s="7" t="inlineStr">
        <is>
          <t>2026-09-09</t>
        </is>
      </c>
      <c r="T1268" s="5" t="inlineStr">
        <is>
          <t>1 cotización de proveedores</t>
        </is>
      </c>
    </row>
    <row r="1269">
      <c r="A1269" s="7" t="inlineStr">
        <is>
          <t>MAT-29-022</t>
        </is>
      </c>
      <c r="B1269" s="7" t="inlineStr">
        <is>
          <t>Materiales</t>
        </is>
      </c>
      <c r="C1269" s="7" t="inlineStr">
        <is>
          <t>Detección de incendios</t>
        </is>
      </c>
      <c r="D1269" s="5" t="inlineStr">
        <is>
          <t>Modulo Multiplex Entrada / Salida 12V</t>
        </is>
      </c>
      <c r="E1269" s="5" t="inlineStr">
        <is>
          <t>marca BOSCH · accesorios control de incendios notificacion &amp; deten · referencia D7053</t>
        </is>
      </c>
      <c r="F1269" s="5" t="inlineStr">
        <is>
          <t>Material retirado en almacén</t>
        </is>
      </c>
      <c r="G1269" s="5" t="inlineStr"/>
      <c r="H1269" s="7" t="inlineStr">
        <is>
          <t>unidad</t>
        </is>
      </c>
      <c r="I1269" s="7" t="inlineStr">
        <is>
          <t>Instalaciones</t>
        </is>
      </c>
      <c r="J1269" s="7" t="inlineStr">
        <is>
          <t>estandar</t>
        </is>
      </c>
      <c r="K1269" s="7" t="inlineStr">
        <is>
          <t>importado</t>
        </is>
      </c>
      <c r="L1269" s="7" t="inlineStr">
        <is>
          <t>Verificado</t>
        </is>
      </c>
      <c r="M1269" s="8" t="n">
        <v>1</v>
      </c>
      <c r="N1269" s="9" t="n">
        <v>2217.5</v>
      </c>
      <c r="O1269" s="9" t="n">
        <v>2217.5</v>
      </c>
      <c r="P1269" s="9" t="n">
        <v>2217.5</v>
      </c>
      <c r="Q1269" s="7" t="inlineStr">
        <is>
          <t>Sí</t>
        </is>
      </c>
      <c r="R1269" s="9">
        <f>IF(N1269="","",IF(Q1269="Sí",ROUND(N1269/1.18,2),N1269))</f>
        <v/>
      </c>
      <c r="S1269" s="7" t="inlineStr">
        <is>
          <t>2026-09-09</t>
        </is>
      </c>
      <c r="T1269" s="5" t="inlineStr">
        <is>
          <t>1 cotización de proveedores</t>
        </is>
      </c>
    </row>
    <row r="1270">
      <c r="A1270" s="7" t="inlineStr">
        <is>
          <t>MAT-29-023</t>
        </is>
      </c>
      <c r="B1270" s="7" t="inlineStr">
        <is>
          <t>Materiales</t>
        </is>
      </c>
      <c r="C1270" s="7" t="inlineStr">
        <is>
          <t>Detección de incendios</t>
        </is>
      </c>
      <c r="D1270" s="5" t="inlineStr">
        <is>
          <t>Modulo Dispositivos De Notificacion</t>
        </is>
      </c>
      <c r="E1270" s="5" t="inlineStr">
        <is>
          <t>marca BOSCH · control de incendios notificacion &amp; dentencion · referencia D192G</t>
        </is>
      </c>
      <c r="F1270" s="5" t="inlineStr">
        <is>
          <t>Material retirado en almacén</t>
        </is>
      </c>
      <c r="G1270" s="5" t="inlineStr"/>
      <c r="H1270" s="7" t="inlineStr">
        <is>
          <t>unidad</t>
        </is>
      </c>
      <c r="I1270" s="7" t="inlineStr">
        <is>
          <t>Instalaciones</t>
        </is>
      </c>
      <c r="J1270" s="7" t="inlineStr">
        <is>
          <t>estandar</t>
        </is>
      </c>
      <c r="K1270" s="7" t="inlineStr">
        <is>
          <t>importado</t>
        </is>
      </c>
      <c r="L1270" s="7" t="inlineStr">
        <is>
          <t>Verificado</t>
        </is>
      </c>
      <c r="M1270" s="8" t="n">
        <v>1</v>
      </c>
      <c r="N1270" s="9" t="n">
        <v>3149.67</v>
      </c>
      <c r="O1270" s="9" t="n">
        <v>3149.67</v>
      </c>
      <c r="P1270" s="9" t="n">
        <v>3149.67</v>
      </c>
      <c r="Q1270" s="7" t="inlineStr">
        <is>
          <t>Sí</t>
        </is>
      </c>
      <c r="R1270" s="9">
        <f>IF(N1270="","",IF(Q1270="Sí",ROUND(N1270/1.18,2),N1270))</f>
        <v/>
      </c>
      <c r="S1270" s="7" t="inlineStr">
        <is>
          <t>2026-09-09</t>
        </is>
      </c>
      <c r="T1270" s="5" t="inlineStr">
        <is>
          <t>1 cotización de proveedores</t>
        </is>
      </c>
    </row>
    <row r="1271">
      <c r="A1271" s="7" t="inlineStr">
        <is>
          <t>MAT-29-024</t>
        </is>
      </c>
      <c r="B1271" s="7" t="inlineStr">
        <is>
          <t>Materiales</t>
        </is>
      </c>
      <c r="C1271" s="7" t="inlineStr">
        <is>
          <t>Detección de incendios</t>
        </is>
      </c>
      <c r="D1271" s="5" t="inlineStr">
        <is>
          <t>Modulo De Entrada Dual para Fpa-1000</t>
        </is>
      </c>
      <c r="E1271" s="5" t="inlineStr">
        <is>
          <t>marca BOSCH · accesorios control de incendios notificacion &amp; deten · referencia FLM-325-214</t>
        </is>
      </c>
      <c r="F1271" s="5" t="inlineStr">
        <is>
          <t>Material retirado en almacén</t>
        </is>
      </c>
      <c r="G1271" s="5" t="inlineStr"/>
      <c r="H1271" s="7" t="inlineStr">
        <is>
          <t>unidad</t>
        </is>
      </c>
      <c r="I1271" s="7" t="inlineStr">
        <is>
          <t>Instalaciones</t>
        </is>
      </c>
      <c r="J1271" s="7" t="inlineStr">
        <is>
          <t>estandar</t>
        </is>
      </c>
      <c r="K1271" s="7" t="inlineStr">
        <is>
          <t>importado</t>
        </is>
      </c>
      <c r="L1271" s="7" t="inlineStr">
        <is>
          <t>Verificado</t>
        </is>
      </c>
      <c r="M1271" s="8" t="n">
        <v>1</v>
      </c>
      <c r="N1271" s="9" t="n">
        <v>3442.57</v>
      </c>
      <c r="O1271" s="9" t="n">
        <v>3442.57</v>
      </c>
      <c r="P1271" s="9" t="n">
        <v>3442.57</v>
      </c>
      <c r="Q1271" s="7" t="inlineStr">
        <is>
          <t>Sí</t>
        </is>
      </c>
      <c r="R1271" s="9">
        <f>IF(N1271="","",IF(Q1271="Sí",ROUND(N1271/1.18,2),N1271))</f>
        <v/>
      </c>
      <c r="S1271" s="7" t="inlineStr">
        <is>
          <t>2026-09-09</t>
        </is>
      </c>
      <c r="T1271" s="5" t="inlineStr">
        <is>
          <t>1 cotización de proveedores</t>
        </is>
      </c>
    </row>
    <row r="1272">
      <c r="A1272" s="7" t="inlineStr">
        <is>
          <t>MAT-29-025</t>
        </is>
      </c>
      <c r="B1272" s="7" t="inlineStr">
        <is>
          <t>Materiales</t>
        </is>
      </c>
      <c r="C1272" s="7" t="inlineStr">
        <is>
          <t>Detección de incendios</t>
        </is>
      </c>
      <c r="D1272" s="5" t="inlineStr">
        <is>
          <t>Módulo De Relé Doble 2A</t>
        </is>
      </c>
      <c r="E1272" s="5" t="inlineStr">
        <is>
          <t>marca BOSCH · accesorios control de incendios notificacion &amp; deten · referencia FLM-325-2R4-2A</t>
        </is>
      </c>
      <c r="F1272" s="5" t="inlineStr">
        <is>
          <t>Material retirado en almacén</t>
        </is>
      </c>
      <c r="G1272" s="5" t="inlineStr"/>
      <c r="H1272" s="7" t="inlineStr">
        <is>
          <t>unidad</t>
        </is>
      </c>
      <c r="I1272" s="7" t="inlineStr">
        <is>
          <t>Instalaciones</t>
        </is>
      </c>
      <c r="J1272" s="7" t="inlineStr">
        <is>
          <t>estandar</t>
        </is>
      </c>
      <c r="K1272" s="7" t="inlineStr">
        <is>
          <t>importado</t>
        </is>
      </c>
      <c r="L1272" s="7" t="inlineStr">
        <is>
          <t>Verificado</t>
        </is>
      </c>
      <c r="M1272" s="8" t="n">
        <v>1</v>
      </c>
      <c r="N1272" s="9" t="n">
        <v>3449.44</v>
      </c>
      <c r="O1272" s="9" t="n">
        <v>3449.44</v>
      </c>
      <c r="P1272" s="9" t="n">
        <v>3449.44</v>
      </c>
      <c r="Q1272" s="7" t="inlineStr">
        <is>
          <t>Sí</t>
        </is>
      </c>
      <c r="R1272" s="9">
        <f>IF(N1272="","",IF(Q1272="Sí",ROUND(N1272/1.18,2),N1272))</f>
        <v/>
      </c>
      <c r="S1272" s="7" t="inlineStr">
        <is>
          <t>2026-09-09</t>
        </is>
      </c>
      <c r="T1272" s="5" t="inlineStr">
        <is>
          <t>1 cotización de proveedores</t>
        </is>
      </c>
    </row>
    <row r="1273">
      <c r="A1273" s="7" t="inlineStr">
        <is>
          <t>MAT-29-026</t>
        </is>
      </c>
      <c r="B1273" s="7" t="inlineStr">
        <is>
          <t>Materiales</t>
        </is>
      </c>
      <c r="C1273" s="7" t="inlineStr">
        <is>
          <t>Detección de incendios</t>
        </is>
      </c>
      <c r="D1273" s="5" t="inlineStr">
        <is>
          <t>Módulo De Zona Convencional</t>
        </is>
      </c>
      <c r="E1273" s="5" t="inlineStr">
        <is>
          <t>marca BOSCH · control de incendios notificacion &amp; dentencion · referencia FLM-325-CZM4</t>
        </is>
      </c>
      <c r="F1273" s="5" t="inlineStr">
        <is>
          <t>Material retirado en almacén</t>
        </is>
      </c>
      <c r="G1273" s="5" t="inlineStr"/>
      <c r="H1273" s="7" t="inlineStr">
        <is>
          <t>unidad</t>
        </is>
      </c>
      <c r="I1273" s="7" t="inlineStr">
        <is>
          <t>Instalaciones</t>
        </is>
      </c>
      <c r="J1273" s="7" t="inlineStr">
        <is>
          <t>estandar</t>
        </is>
      </c>
      <c r="K1273" s="7" t="inlineStr">
        <is>
          <t>importado</t>
        </is>
      </c>
      <c r="L1273" s="7" t="inlineStr">
        <is>
          <t>Verificado</t>
        </is>
      </c>
      <c r="M1273" s="8" t="n">
        <v>1</v>
      </c>
      <c r="N1273" s="9" t="n">
        <v>3564.1</v>
      </c>
      <c r="O1273" s="9" t="n">
        <v>3564.1</v>
      </c>
      <c r="P1273" s="9" t="n">
        <v>3564.1</v>
      </c>
      <c r="Q1273" s="7" t="inlineStr">
        <is>
          <t>Sí</t>
        </is>
      </c>
      <c r="R1273" s="9">
        <f>IF(N1273="","",IF(Q1273="Sí",ROUND(N1273/1.18,2),N1273))</f>
        <v/>
      </c>
      <c r="S1273" s="7" t="inlineStr">
        <is>
          <t>2026-09-09</t>
        </is>
      </c>
      <c r="T1273" s="5" t="inlineStr">
        <is>
          <t>1 cotización de proveedores</t>
        </is>
      </c>
    </row>
    <row r="1274">
      <c r="A1274" s="7" t="inlineStr">
        <is>
          <t>MAT-29-027</t>
        </is>
      </c>
      <c r="B1274" s="7" t="inlineStr">
        <is>
          <t>Materiales</t>
        </is>
      </c>
      <c r="C1274" s="7" t="inlineStr">
        <is>
          <t>Detección de incendios</t>
        </is>
      </c>
      <c r="D1274" s="5" t="inlineStr">
        <is>
          <t>Modulo Salida Supervisado Clase A / B</t>
        </is>
      </c>
      <c r="E1274" s="5" t="inlineStr">
        <is>
          <t>marca BOSCH · accesorios control de incendios notificacion &amp; deten · referencia FLM-325-NA4</t>
        </is>
      </c>
      <c r="F1274" s="5" t="inlineStr">
        <is>
          <t>Material retirado en almacén</t>
        </is>
      </c>
      <c r="G1274" s="5" t="inlineStr"/>
      <c r="H1274" s="7" t="inlineStr">
        <is>
          <t>unidad</t>
        </is>
      </c>
      <c r="I1274" s="7" t="inlineStr">
        <is>
          <t>Instalaciones</t>
        </is>
      </c>
      <c r="J1274" s="7" t="inlineStr">
        <is>
          <t>estandar</t>
        </is>
      </c>
      <c r="K1274" s="7" t="inlineStr">
        <is>
          <t>importado</t>
        </is>
      </c>
      <c r="L1274" s="7" t="inlineStr">
        <is>
          <t>Verificado</t>
        </is>
      </c>
      <c r="M1274" s="8" t="n">
        <v>1</v>
      </c>
      <c r="N1274" s="9" t="n">
        <v>3868.04</v>
      </c>
      <c r="O1274" s="9" t="n">
        <v>3868.04</v>
      </c>
      <c r="P1274" s="9" t="n">
        <v>3868.04</v>
      </c>
      <c r="Q1274" s="7" t="inlineStr">
        <is>
          <t>Sí</t>
        </is>
      </c>
      <c r="R1274" s="9">
        <f>IF(N1274="","",IF(Q1274="Sí",ROUND(N1274/1.18,2),N1274))</f>
        <v/>
      </c>
      <c r="S1274" s="7" t="inlineStr">
        <is>
          <t>2026-09-09</t>
        </is>
      </c>
      <c r="T1274" s="5" t="inlineStr">
        <is>
          <t>1 cotización de proveedores</t>
        </is>
      </c>
    </row>
    <row r="1275">
      <c r="A1275" s="7" t="inlineStr">
        <is>
          <t>MAT-29-028</t>
        </is>
      </c>
      <c r="B1275" s="7" t="inlineStr">
        <is>
          <t>Materiales</t>
        </is>
      </c>
      <c r="C1275" s="7" t="inlineStr">
        <is>
          <t>Detección de incendios</t>
        </is>
      </c>
      <c r="D1275" s="5" t="inlineStr">
        <is>
          <t>Modulo De Extension Multiplex para 7024</t>
        </is>
      </c>
      <c r="E1275" s="5" t="inlineStr">
        <is>
          <t>marca BOSCH · accesorios control de incendios notificacion &amp; deten · referencia FPE-7039</t>
        </is>
      </c>
      <c r="F1275" s="5" t="inlineStr">
        <is>
          <t>Material retirado en almacén</t>
        </is>
      </c>
      <c r="G1275" s="5" t="inlineStr"/>
      <c r="H1275" s="7" t="inlineStr">
        <is>
          <t>unidad</t>
        </is>
      </c>
      <c r="I1275" s="7" t="inlineStr">
        <is>
          <t>Instalaciones</t>
        </is>
      </c>
      <c r="J1275" s="7" t="inlineStr">
        <is>
          <t>estandar</t>
        </is>
      </c>
      <c r="K1275" s="7" t="inlineStr">
        <is>
          <t>importado</t>
        </is>
      </c>
      <c r="L1275" s="7" t="inlineStr">
        <is>
          <t>Verificado</t>
        </is>
      </c>
      <c r="M1275" s="8" t="n">
        <v>1</v>
      </c>
      <c r="N1275" s="9" t="n">
        <v>6150.21</v>
      </c>
      <c r="O1275" s="9" t="n">
        <v>6150.21</v>
      </c>
      <c r="P1275" s="9" t="n">
        <v>6150.21</v>
      </c>
      <c r="Q1275" s="7" t="inlineStr">
        <is>
          <t>Sí</t>
        </is>
      </c>
      <c r="R1275" s="9">
        <f>IF(N1275="","",IF(Q1275="Sí",ROUND(N1275/1.18,2),N1275))</f>
        <v/>
      </c>
      <c r="S1275" s="7" t="inlineStr">
        <is>
          <t>2026-09-09</t>
        </is>
      </c>
      <c r="T1275" s="5" t="inlineStr">
        <is>
          <t>1 cotización de proveedores</t>
        </is>
      </c>
    </row>
    <row r="1276">
      <c r="A1276" s="7" t="inlineStr">
        <is>
          <t>MAT-29-029</t>
        </is>
      </c>
      <c r="B1276" s="7" t="inlineStr">
        <is>
          <t>Materiales</t>
        </is>
      </c>
      <c r="C1276" s="7" t="inlineStr">
        <is>
          <t>Detección de incendios</t>
        </is>
      </c>
      <c r="D1276" s="5" t="inlineStr">
        <is>
          <t>Módulo Slc Conectable Para Fpa-1000</t>
        </is>
      </c>
      <c r="E1276" s="5" t="inlineStr">
        <is>
          <t>marca BOSCH · accesorios control de incendios notificacion &amp; deten · referencia FPE-1000-SLC</t>
        </is>
      </c>
      <c r="F1276" s="5" t="inlineStr">
        <is>
          <t>Material retirado en almacén</t>
        </is>
      </c>
      <c r="G1276" s="5" t="inlineStr"/>
      <c r="H1276" s="7" t="inlineStr">
        <is>
          <t>unidad</t>
        </is>
      </c>
      <c r="I1276" s="7" t="inlineStr">
        <is>
          <t>Instalaciones</t>
        </is>
      </c>
      <c r="J1276" s="7" t="inlineStr">
        <is>
          <t>estandar</t>
        </is>
      </c>
      <c r="K1276" s="7" t="inlineStr">
        <is>
          <t>importado</t>
        </is>
      </c>
      <c r="L1276" s="7" t="inlineStr">
        <is>
          <t>Verificado</t>
        </is>
      </c>
      <c r="M1276" s="8" t="n">
        <v>1</v>
      </c>
      <c r="N1276" s="9" t="n">
        <v>11977.01</v>
      </c>
      <c r="O1276" s="9" t="n">
        <v>11977.01</v>
      </c>
      <c r="P1276" s="9" t="n">
        <v>11977.01</v>
      </c>
      <c r="Q1276" s="7" t="inlineStr">
        <is>
          <t>Sí</t>
        </is>
      </c>
      <c r="R1276" s="9">
        <f>IF(N1276="","",IF(Q1276="Sí",ROUND(N1276/1.18,2),N1276))</f>
        <v/>
      </c>
      <c r="S1276" s="7" t="inlineStr">
        <is>
          <t>2026-09-09</t>
        </is>
      </c>
      <c r="T1276" s="5" t="inlineStr">
        <is>
          <t>1 cotización de proveedores</t>
        </is>
      </c>
    </row>
    <row r="1277">
      <c r="A1277" s="7" t="inlineStr">
        <is>
          <t>MAT-29-030</t>
        </is>
      </c>
      <c r="B1277" s="7" t="inlineStr">
        <is>
          <t>Materiales</t>
        </is>
      </c>
      <c r="C1277" s="7" t="inlineStr">
        <is>
          <t>Detección de incendios</t>
        </is>
      </c>
      <c r="D1277" s="5" t="inlineStr">
        <is>
          <t>Bisel para Pulsador De Alarma Mcp Rw, Rojo</t>
        </is>
      </c>
      <c r="E1277" s="5" t="inlineStr">
        <is>
          <t>marca BOSCH · control de incendios notificacion &amp; dentencion · referencia FMC-BEZEL-RD</t>
        </is>
      </c>
      <c r="F1277" s="5" t="inlineStr">
        <is>
          <t>Material retirado en almacén</t>
        </is>
      </c>
      <c r="G1277" s="5" t="inlineStr"/>
      <c r="H1277" s="7" t="inlineStr">
        <is>
          <t>unidad</t>
        </is>
      </c>
      <c r="I1277" s="7" t="inlineStr">
        <is>
          <t>Instalaciones</t>
        </is>
      </c>
      <c r="J1277" s="7" t="inlineStr">
        <is>
          <t>estandar</t>
        </is>
      </c>
      <c r="K1277" s="7" t="inlineStr">
        <is>
          <t>importado</t>
        </is>
      </c>
      <c r="L1277" s="7" t="inlineStr">
        <is>
          <t>Verificado</t>
        </is>
      </c>
      <c r="M1277" s="8" t="n">
        <v>1</v>
      </c>
      <c r="N1277" s="9" t="n">
        <v>781.46</v>
      </c>
      <c r="O1277" s="9" t="n">
        <v>781.46</v>
      </c>
      <c r="P1277" s="9" t="n">
        <v>781.46</v>
      </c>
      <c r="Q1277" s="7" t="inlineStr">
        <is>
          <t>Sí</t>
        </is>
      </c>
      <c r="R1277" s="9">
        <f>IF(N1277="","",IF(Q1277="Sí",ROUND(N1277/1.18,2),N1277))</f>
        <v/>
      </c>
      <c r="S1277" s="7" t="inlineStr">
        <is>
          <t>2026-09-09</t>
        </is>
      </c>
      <c r="T1277" s="5" t="inlineStr">
        <is>
          <t>1 cotización de proveedores</t>
        </is>
      </c>
    </row>
    <row r="1278">
      <c r="A1278" s="7" t="inlineStr">
        <is>
          <t>MAT-29-031</t>
        </is>
      </c>
      <c r="B1278" s="7" t="inlineStr">
        <is>
          <t>Materiales</t>
        </is>
      </c>
      <c r="C1278" s="7" t="inlineStr">
        <is>
          <t>Detección de incendios</t>
        </is>
      </c>
      <c r="D1278" s="5" t="inlineStr">
        <is>
          <t>Programador Punto Analogico De Mano</t>
        </is>
      </c>
      <c r="E1278" s="5" t="inlineStr">
        <is>
          <t>marca BOSCH · accesorios control de incendios notificacion &amp; deten · referencia D5070</t>
        </is>
      </c>
      <c r="F1278" s="5" t="inlineStr">
        <is>
          <t>Material retirado en almacén</t>
        </is>
      </c>
      <c r="G1278" s="5" t="inlineStr"/>
      <c r="H1278" s="7" t="inlineStr">
        <is>
          <t>unidad</t>
        </is>
      </c>
      <c r="I1278" s="7" t="inlineStr">
        <is>
          <t>Instalaciones</t>
        </is>
      </c>
      <c r="J1278" s="7" t="inlineStr">
        <is>
          <t>estandar</t>
        </is>
      </c>
      <c r="K1278" s="7" t="inlineStr">
        <is>
          <t>importado</t>
        </is>
      </c>
      <c r="L1278" s="7" t="inlineStr">
        <is>
          <t>Verificado</t>
        </is>
      </c>
      <c r="M1278" s="8" t="n">
        <v>1</v>
      </c>
      <c r="N1278" s="9" t="n">
        <v>11751.42</v>
      </c>
      <c r="O1278" s="9" t="n">
        <v>11751.42</v>
      </c>
      <c r="P1278" s="9" t="n">
        <v>11751.42</v>
      </c>
      <c r="Q1278" s="7" t="inlineStr">
        <is>
          <t>Sí</t>
        </is>
      </c>
      <c r="R1278" s="9">
        <f>IF(N1278="","",IF(Q1278="Sí",ROUND(N1278/1.18,2),N1278))</f>
        <v/>
      </c>
      <c r="S1278" s="7" t="inlineStr">
        <is>
          <t>2026-09-09</t>
        </is>
      </c>
      <c r="T1278" s="5" t="inlineStr">
        <is>
          <t>1 cotización de proveedores</t>
        </is>
      </c>
    </row>
    <row r="1279">
      <c r="A1279" s="7" t="inlineStr">
        <is>
          <t>MAT-29-032</t>
        </is>
      </c>
      <c r="B1279" s="7" t="inlineStr">
        <is>
          <t>Materiales</t>
        </is>
      </c>
      <c r="C1279" s="7" t="inlineStr">
        <is>
          <t>Detección de incendios</t>
        </is>
      </c>
      <c r="D1279" s="5" t="inlineStr">
        <is>
          <t>Display LCD Fpa-1000</t>
        </is>
      </c>
      <c r="E1279" s="5" t="inlineStr">
        <is>
          <t>marca BOSCH · accesorios control de incendios notificacion &amp; deten · referencia FMR-1000-RCMD</t>
        </is>
      </c>
      <c r="F1279" s="5" t="inlineStr">
        <is>
          <t>Material retirado en almacén</t>
        </is>
      </c>
      <c r="G1279" s="5" t="inlineStr"/>
      <c r="H1279" s="7" t="inlineStr">
        <is>
          <t>unidad</t>
        </is>
      </c>
      <c r="I1279" s="7" t="inlineStr">
        <is>
          <t>Instalaciones</t>
        </is>
      </c>
      <c r="J1279" s="7" t="inlineStr">
        <is>
          <t>estandar</t>
        </is>
      </c>
      <c r="K1279" s="7" t="inlineStr">
        <is>
          <t>importado</t>
        </is>
      </c>
      <c r="L1279" s="7" t="inlineStr">
        <is>
          <t>Verificado</t>
        </is>
      </c>
      <c r="M1279" s="8" t="n">
        <v>1</v>
      </c>
      <c r="N1279" s="9" t="n">
        <v>22010.69</v>
      </c>
      <c r="O1279" s="9" t="n">
        <v>22010.69</v>
      </c>
      <c r="P1279" s="9" t="n">
        <v>22010.69</v>
      </c>
      <c r="Q1279" s="7" t="inlineStr">
        <is>
          <t>Sí</t>
        </is>
      </c>
      <c r="R1279" s="9">
        <f>IF(N1279="","",IF(Q1279="Sí",ROUND(N1279/1.18,2),N1279))</f>
        <v/>
      </c>
      <c r="S1279" s="7" t="inlineStr">
        <is>
          <t>2026-09-09</t>
        </is>
      </c>
      <c r="T1279" s="5" t="inlineStr">
        <is>
          <t>1 cotización de proveedores</t>
        </is>
      </c>
    </row>
    <row r="1280">
      <c r="A1280" s="7" t="inlineStr">
        <is>
          <t>MAT-29-033</t>
        </is>
      </c>
      <c r="B1280" s="7" t="inlineStr">
        <is>
          <t>Materiales</t>
        </is>
      </c>
      <c r="C1280" s="7" t="inlineStr">
        <is>
          <t>Detección de incendios</t>
        </is>
      </c>
      <c r="D1280" s="5" t="inlineStr">
        <is>
          <t>Fuente De Alimentacion 120V 60 Hz</t>
        </is>
      </c>
      <c r="E1280" s="5" t="inlineStr">
        <is>
          <t>marca BOSCH · accesorios control de incendios notificacion &amp; deten · referencia UPA-1220-60</t>
        </is>
      </c>
      <c r="F1280" s="5" t="inlineStr">
        <is>
          <t>Material retirado en almacén</t>
        </is>
      </c>
      <c r="G1280" s="5" t="inlineStr"/>
      <c r="H1280" s="7" t="inlineStr">
        <is>
          <t>unidad</t>
        </is>
      </c>
      <c r="I1280" s="7" t="inlineStr">
        <is>
          <t>Instalaciones</t>
        </is>
      </c>
      <c r="J1280" s="7" t="inlineStr">
        <is>
          <t>estandar</t>
        </is>
      </c>
      <c r="K1280" s="7" t="inlineStr">
        <is>
          <t>importado</t>
        </is>
      </c>
      <c r="L1280" s="7" t="inlineStr">
        <is>
          <t>Verificado</t>
        </is>
      </c>
      <c r="M1280" s="8" t="n">
        <v>1</v>
      </c>
      <c r="N1280" s="9" t="n">
        <v>906.34</v>
      </c>
      <c r="O1280" s="9" t="n">
        <v>906.34</v>
      </c>
      <c r="P1280" s="9" t="n">
        <v>906.34</v>
      </c>
      <c r="Q1280" s="7" t="inlineStr">
        <is>
          <t>Sí</t>
        </is>
      </c>
      <c r="R1280" s="9">
        <f>IF(N1280="","",IF(Q1280="Sí",ROUND(N1280/1.18,2),N1280))</f>
        <v/>
      </c>
      <c r="S1280" s="7" t="inlineStr">
        <is>
          <t>2026-09-09</t>
        </is>
      </c>
      <c r="T1280" s="5" t="inlineStr">
        <is>
          <t>1 cotización de proveedores</t>
        </is>
      </c>
    </row>
    <row r="1281">
      <c r="A1281" s="7" t="inlineStr">
        <is>
          <t>MAT-29-034</t>
        </is>
      </c>
      <c r="B1281" s="7" t="inlineStr">
        <is>
          <t>Materiales</t>
        </is>
      </c>
      <c r="C1281" s="7" t="inlineStr">
        <is>
          <t>Detección de incendios</t>
        </is>
      </c>
      <c r="D1281" s="5" t="inlineStr">
        <is>
          <t>Fuente De Alimentacion 120 Vac 60 Hz</t>
        </is>
      </c>
      <c r="E1281" s="5" t="inlineStr">
        <is>
          <t>marca BOSCH · accesorios control de incendios notificacion &amp; deten · referencia UPA-2430-60</t>
        </is>
      </c>
      <c r="F1281" s="5" t="inlineStr">
        <is>
          <t>Material retirado en almacén</t>
        </is>
      </c>
      <c r="G1281" s="5" t="inlineStr"/>
      <c r="H1281" s="7" t="inlineStr">
        <is>
          <t>unidad</t>
        </is>
      </c>
      <c r="I1281" s="7" t="inlineStr">
        <is>
          <t>Instalaciones</t>
        </is>
      </c>
      <c r="J1281" s="7" t="inlineStr">
        <is>
          <t>estandar</t>
        </is>
      </c>
      <c r="K1281" s="7" t="inlineStr">
        <is>
          <t>importado</t>
        </is>
      </c>
      <c r="L1281" s="7" t="inlineStr">
        <is>
          <t>Verificado</t>
        </is>
      </c>
      <c r="M1281" s="8" t="n">
        <v>1</v>
      </c>
      <c r="N1281" s="9" t="n">
        <v>1157.38</v>
      </c>
      <c r="O1281" s="9" t="n">
        <v>1157.38</v>
      </c>
      <c r="P1281" s="9" t="n">
        <v>1157.38</v>
      </c>
      <c r="Q1281" s="7" t="inlineStr">
        <is>
          <t>Sí</t>
        </is>
      </c>
      <c r="R1281" s="9">
        <f>IF(N1281="","",IF(Q1281="Sí",ROUND(N1281/1.18,2),N1281))</f>
        <v/>
      </c>
      <c r="S1281" s="7" t="inlineStr">
        <is>
          <t>2026-09-09</t>
        </is>
      </c>
      <c r="T1281" s="5" t="inlineStr">
        <is>
          <t>1 cotización de proveedores</t>
        </is>
      </c>
    </row>
    <row r="1282">
      <c r="A1282" s="7" t="inlineStr">
        <is>
          <t>MAT-29-035</t>
        </is>
      </c>
      <c r="B1282" s="7" t="inlineStr">
        <is>
          <t>Materiales</t>
        </is>
      </c>
      <c r="C1282" s="7" t="inlineStr">
        <is>
          <t>Detección de incendios</t>
        </is>
      </c>
      <c r="D1282" s="5" t="inlineStr">
        <is>
          <t>Fuente De Alimentación 12 / 24 Vdc</t>
        </is>
      </c>
      <c r="E1282" s="5" t="inlineStr">
        <is>
          <t>marca BOSCH · accesorios control de incendios notificacion &amp; deten · referencia APS-PSU-60</t>
        </is>
      </c>
      <c r="F1282" s="5" t="inlineStr">
        <is>
          <t>Material retirado en almacén</t>
        </is>
      </c>
      <c r="G1282" s="5" t="inlineStr"/>
      <c r="H1282" s="7" t="inlineStr">
        <is>
          <t>unidad</t>
        </is>
      </c>
      <c r="I1282" s="7" t="inlineStr">
        <is>
          <t>Instalaciones</t>
        </is>
      </c>
      <c r="J1282" s="7" t="inlineStr">
        <is>
          <t>estandar</t>
        </is>
      </c>
      <c r="K1282" s="7" t="inlineStr">
        <is>
          <t>importado</t>
        </is>
      </c>
      <c r="L1282" s="7" t="inlineStr">
        <is>
          <t>Verificado</t>
        </is>
      </c>
      <c r="M1282" s="8" t="n">
        <v>1</v>
      </c>
      <c r="N1282" s="9" t="n">
        <v>11089.49</v>
      </c>
      <c r="O1282" s="9" t="n">
        <v>11089.49</v>
      </c>
      <c r="P1282" s="9" t="n">
        <v>11089.49</v>
      </c>
      <c r="Q1282" s="7" t="inlineStr">
        <is>
          <t>Sí</t>
        </is>
      </c>
      <c r="R1282" s="9">
        <f>IF(N1282="","",IF(Q1282="Sí",ROUND(N1282/1.18,2),N1282))</f>
        <v/>
      </c>
      <c r="S1282" s="7" t="inlineStr">
        <is>
          <t>2026-09-09</t>
        </is>
      </c>
      <c r="T1282" s="5" t="inlineStr">
        <is>
          <t>1 cotización de proveedores</t>
        </is>
      </c>
    </row>
    <row r="1283">
      <c r="A1283" s="7" t="inlineStr">
        <is>
          <t>MAT-29-036</t>
        </is>
      </c>
      <c r="B1283" s="7" t="inlineStr">
        <is>
          <t>Materiales</t>
        </is>
      </c>
      <c r="C1283" s="7" t="inlineStr">
        <is>
          <t>Detección de incendios</t>
        </is>
      </c>
      <c r="D1283" s="5" t="inlineStr">
        <is>
          <t>Fuente De Alimentacion Rnac 8A 24V</t>
        </is>
      </c>
      <c r="E1283" s="5" t="inlineStr">
        <is>
          <t>marca BOSCH · accesorios control de incendios notificacion &amp; deten · referencia FPP-RNAC-8A-4C</t>
        </is>
      </c>
      <c r="F1283" s="5" t="inlineStr">
        <is>
          <t>Material retirado en almacén</t>
        </is>
      </c>
      <c r="G1283" s="5" t="inlineStr"/>
      <c r="H1283" s="7" t="inlineStr">
        <is>
          <t>unidad</t>
        </is>
      </c>
      <c r="I1283" s="7" t="inlineStr">
        <is>
          <t>Instalaciones</t>
        </is>
      </c>
      <c r="J1283" s="7" t="inlineStr">
        <is>
          <t>estandar</t>
        </is>
      </c>
      <c r="K1283" s="7" t="inlineStr">
        <is>
          <t>importado</t>
        </is>
      </c>
      <c r="L1283" s="7" t="inlineStr">
        <is>
          <t>Verificado</t>
        </is>
      </c>
      <c r="M1283" s="8" t="n">
        <v>1</v>
      </c>
      <c r="N1283" s="9" t="n">
        <v>16632.64</v>
      </c>
      <c r="O1283" s="9" t="n">
        <v>16632.64</v>
      </c>
      <c r="P1283" s="9" t="n">
        <v>16632.64</v>
      </c>
      <c r="Q1283" s="7" t="inlineStr">
        <is>
          <t>Sí</t>
        </is>
      </c>
      <c r="R1283" s="9">
        <f>IF(N1283="","",IF(Q1283="Sí",ROUND(N1283/1.18,2),N1283))</f>
        <v/>
      </c>
      <c r="S1283" s="7" t="inlineStr">
        <is>
          <t>2026-09-09</t>
        </is>
      </c>
      <c r="T1283" s="5" t="inlineStr">
        <is>
          <t>1 cotización de proveedores</t>
        </is>
      </c>
    </row>
    <row r="1284">
      <c r="A1284" s="7" t="inlineStr">
        <is>
          <t>MAT-29-037</t>
        </is>
      </c>
      <c r="B1284" s="7" t="inlineStr">
        <is>
          <t>Materiales</t>
        </is>
      </c>
      <c r="C1284" s="7" t="inlineStr">
        <is>
          <t>Detección de incendios</t>
        </is>
      </c>
      <c r="D1284" s="5" t="inlineStr">
        <is>
          <t>Soporte De Montaje Lc1-Mmsb</t>
        </is>
      </c>
      <c r="E1284" s="5" t="inlineStr">
        <is>
          <t>marca BOSCH · accesorios control de incendios notificacion &amp; deten · referencia LC1-MMSB</t>
        </is>
      </c>
      <c r="F1284" s="5" t="inlineStr">
        <is>
          <t>Material retirado en almacén</t>
        </is>
      </c>
      <c r="G1284" s="5" t="inlineStr"/>
      <c r="H1284" s="7" t="inlineStr">
        <is>
          <t>unidad</t>
        </is>
      </c>
      <c r="I1284" s="7" t="inlineStr">
        <is>
          <t>Instalaciones</t>
        </is>
      </c>
      <c r="J1284" s="7" t="inlineStr">
        <is>
          <t>estandar</t>
        </is>
      </c>
      <c r="K1284" s="7" t="inlineStr">
        <is>
          <t>importado</t>
        </is>
      </c>
      <c r="L1284" s="7" t="inlineStr">
        <is>
          <t>Verificado</t>
        </is>
      </c>
      <c r="M1284" s="8" t="n">
        <v>1</v>
      </c>
      <c r="N1284" s="9" t="n">
        <v>165.78</v>
      </c>
      <c r="O1284" s="9" t="n">
        <v>165.78</v>
      </c>
      <c r="P1284" s="9" t="n">
        <v>165.78</v>
      </c>
      <c r="Q1284" s="7" t="inlineStr">
        <is>
          <t>Sí</t>
        </is>
      </c>
      <c r="R1284" s="9">
        <f>IF(N1284="","",IF(Q1284="Sí",ROUND(N1284/1.18,2),N1284))</f>
        <v/>
      </c>
      <c r="S1284" s="7" t="inlineStr">
        <is>
          <t>2026-09-09</t>
        </is>
      </c>
      <c r="T1284" s="5" t="inlineStr">
        <is>
          <t>1 cotización de proveedores</t>
        </is>
      </c>
    </row>
    <row r="1285">
      <c r="A1285" s="7" t="inlineStr">
        <is>
          <t>MAT-29-038</t>
        </is>
      </c>
      <c r="B1285" s="7" t="inlineStr">
        <is>
          <t>Materiales</t>
        </is>
      </c>
      <c r="C1285" s="7" t="inlineStr">
        <is>
          <t>Detección de incendios</t>
        </is>
      </c>
      <c r="D1285" s="5" t="inlineStr">
        <is>
          <t>Base Detector De Humo Multiplex</t>
        </is>
      </c>
      <c r="E1285" s="5" t="inlineStr">
        <is>
          <t>marca BOSCH · accesorios control de incendios notificacion &amp; deten · referencia D7050-B6</t>
        </is>
      </c>
      <c r="F1285" s="5" t="inlineStr">
        <is>
          <t>Material retirado en almacén</t>
        </is>
      </c>
      <c r="G1285" s="5" t="inlineStr"/>
      <c r="H1285" s="7" t="inlineStr">
        <is>
          <t>unidad</t>
        </is>
      </c>
      <c r="I1285" s="7" t="inlineStr">
        <is>
          <t>Instalaciones</t>
        </is>
      </c>
      <c r="J1285" s="7" t="inlineStr">
        <is>
          <t>estandar</t>
        </is>
      </c>
      <c r="K1285" s="7" t="inlineStr">
        <is>
          <t>importado</t>
        </is>
      </c>
      <c r="L1285" s="7" t="inlineStr">
        <is>
          <t>Verificado</t>
        </is>
      </c>
      <c r="M1285" s="8" t="n">
        <v>1</v>
      </c>
      <c r="N1285" s="9" t="n">
        <v>232.07</v>
      </c>
      <c r="O1285" s="9" t="n">
        <v>232.07</v>
      </c>
      <c r="P1285" s="9" t="n">
        <v>232.07</v>
      </c>
      <c r="Q1285" s="7" t="inlineStr">
        <is>
          <t>Sí</t>
        </is>
      </c>
      <c r="R1285" s="9">
        <f>IF(N1285="","",IF(Q1285="Sí",ROUND(N1285/1.18,2),N1285))</f>
        <v/>
      </c>
      <c r="S1285" s="7" t="inlineStr">
        <is>
          <t>2026-09-09</t>
        </is>
      </c>
      <c r="T1285" s="5" t="inlineStr">
        <is>
          <t>1 cotización de proveedores</t>
        </is>
      </c>
    </row>
    <row r="1286">
      <c r="A1286" s="7" t="inlineStr">
        <is>
          <t>MAT-29-039</t>
        </is>
      </c>
      <c r="B1286" s="7" t="inlineStr">
        <is>
          <t>Materiales</t>
        </is>
      </c>
      <c r="C1286" s="7" t="inlineStr">
        <is>
          <t>Detección de incendios</t>
        </is>
      </c>
      <c r="D1286" s="5" t="inlineStr">
        <is>
          <t>Base Detector De Calor</t>
        </is>
      </c>
      <c r="E1286" s="5" t="inlineStr">
        <is>
          <t>marca BOSCH · accesorios control de incendios notificacion &amp; deten · referencia F220-B6</t>
        </is>
      </c>
      <c r="F1286" s="5" t="inlineStr">
        <is>
          <t>Material retirado en almacén</t>
        </is>
      </c>
      <c r="G1286" s="5" t="inlineStr"/>
      <c r="H1286" s="7" t="inlineStr">
        <is>
          <t>unidad</t>
        </is>
      </c>
      <c r="I1286" s="7" t="inlineStr">
        <is>
          <t>Instalaciones</t>
        </is>
      </c>
      <c r="J1286" s="7" t="inlineStr">
        <is>
          <t>estandar</t>
        </is>
      </c>
      <c r="K1286" s="7" t="inlineStr">
        <is>
          <t>importado</t>
        </is>
      </c>
      <c r="L1286" s="7" t="inlineStr">
        <is>
          <t>Verificado</t>
        </is>
      </c>
      <c r="M1286" s="8" t="n">
        <v>1</v>
      </c>
      <c r="N1286" s="9" t="n">
        <v>270.76</v>
      </c>
      <c r="O1286" s="9" t="n">
        <v>270.76</v>
      </c>
      <c r="P1286" s="9" t="n">
        <v>270.76</v>
      </c>
      <c r="Q1286" s="7" t="inlineStr">
        <is>
          <t>Sí</t>
        </is>
      </c>
      <c r="R1286" s="9">
        <f>IF(N1286="","",IF(Q1286="Sí",ROUND(N1286/1.18,2),N1286))</f>
        <v/>
      </c>
      <c r="S1286" s="7" t="inlineStr">
        <is>
          <t>2026-09-09</t>
        </is>
      </c>
      <c r="T1286" s="5" t="inlineStr">
        <is>
          <t>1 cotización de proveedores</t>
        </is>
      </c>
    </row>
    <row r="1287">
      <c r="A1287" s="7" t="inlineStr">
        <is>
          <t>MAT-29-040</t>
        </is>
      </c>
      <c r="B1287" s="7" t="inlineStr">
        <is>
          <t>Materiales</t>
        </is>
      </c>
      <c r="C1287" s="7" t="inlineStr">
        <is>
          <t>Detección de incendios</t>
        </is>
      </c>
      <c r="D1287" s="5" t="inlineStr">
        <is>
          <t>Base Estándar Analógica 4 Pulg</t>
        </is>
      </c>
      <c r="E1287" s="5" t="inlineStr">
        <is>
          <t>marca BOSCH · accesorios control de incendios notificacion &amp; deten · referencia FAA-440-B4</t>
        </is>
      </c>
      <c r="F1287" s="5" t="inlineStr">
        <is>
          <t>Material retirado en almacén</t>
        </is>
      </c>
      <c r="G1287" s="5" t="inlineStr"/>
      <c r="H1287" s="7" t="inlineStr">
        <is>
          <t>unidad</t>
        </is>
      </c>
      <c r="I1287" s="7" t="inlineStr">
        <is>
          <t>Instalaciones</t>
        </is>
      </c>
      <c r="J1287" s="7" t="inlineStr">
        <is>
          <t>estandar</t>
        </is>
      </c>
      <c r="K1287" s="7" t="inlineStr">
        <is>
          <t>importado</t>
        </is>
      </c>
      <c r="L1287" s="7" t="inlineStr">
        <is>
          <t>Verificado</t>
        </is>
      </c>
      <c r="M1287" s="8" t="n">
        <v>1</v>
      </c>
      <c r="N1287" s="9" t="n">
        <v>309.44</v>
      </c>
      <c r="O1287" s="9" t="n">
        <v>309.44</v>
      </c>
      <c r="P1287" s="9" t="n">
        <v>309.44</v>
      </c>
      <c r="Q1287" s="7" t="inlineStr">
        <is>
          <t>Sí</t>
        </is>
      </c>
      <c r="R1287" s="9">
        <f>IF(N1287="","",IF(Q1287="Sí",ROUND(N1287/1.18,2),N1287))</f>
        <v/>
      </c>
      <c r="S1287" s="7" t="inlineStr">
        <is>
          <t>2026-09-09</t>
        </is>
      </c>
      <c r="T1287" s="5" t="inlineStr">
        <is>
          <t>1 cotización de proveedores</t>
        </is>
      </c>
    </row>
    <row r="1288">
      <c r="A1288" s="7" t="inlineStr">
        <is>
          <t>MAT-29-041</t>
        </is>
      </c>
      <c r="B1288" s="7" t="inlineStr">
        <is>
          <t>Materiales</t>
        </is>
      </c>
      <c r="C1288" s="7" t="inlineStr">
        <is>
          <t>Detección de incendios</t>
        </is>
      </c>
      <c r="D1288" s="5" t="inlineStr">
        <is>
          <t>Cubierta, Transparente.</t>
        </is>
      </c>
      <c r="E1288" s="5" t="inlineStr">
        <is>
          <t>marca BOSCH · accesorios control de incendios notificacion &amp; deten · referencia FMC-FLAP-RW</t>
        </is>
      </c>
      <c r="F1288" s="5" t="inlineStr">
        <is>
          <t>Material retirado en almacén</t>
        </is>
      </c>
      <c r="G1288" s="5" t="inlineStr"/>
      <c r="H1288" s="7" t="inlineStr">
        <is>
          <t>unidad</t>
        </is>
      </c>
      <c r="I1288" s="7" t="inlineStr">
        <is>
          <t>Instalaciones</t>
        </is>
      </c>
      <c r="J1288" s="7" t="inlineStr">
        <is>
          <t>estandar</t>
        </is>
      </c>
      <c r="K1288" s="7" t="inlineStr">
        <is>
          <t>importado</t>
        </is>
      </c>
      <c r="L1288" s="7" t="inlineStr">
        <is>
          <t>Verificado</t>
        </is>
      </c>
      <c r="M1288" s="8" t="n">
        <v>1</v>
      </c>
      <c r="N1288" s="9" t="n">
        <v>452.89</v>
      </c>
      <c r="O1288" s="9" t="n">
        <v>452.89</v>
      </c>
      <c r="P1288" s="9" t="n">
        <v>452.89</v>
      </c>
      <c r="Q1288" s="7" t="inlineStr">
        <is>
          <t>Sí</t>
        </is>
      </c>
      <c r="R1288" s="9">
        <f>IF(N1288="","",IF(Q1288="Sí",ROUND(N1288/1.18,2),N1288))</f>
        <v/>
      </c>
      <c r="S1288" s="7" t="inlineStr">
        <is>
          <t>2026-09-09</t>
        </is>
      </c>
      <c r="T1288" s="5" t="inlineStr">
        <is>
          <t>1 cotización de proveedores</t>
        </is>
      </c>
    </row>
    <row r="1289">
      <c r="A1289" s="7" t="inlineStr">
        <is>
          <t>MAT-29-042</t>
        </is>
      </c>
      <c r="B1289" s="7" t="inlineStr">
        <is>
          <t>Materiales</t>
        </is>
      </c>
      <c r="C1289" s="7" t="inlineStr">
        <is>
          <t>Detección de incendios</t>
        </is>
      </c>
      <c r="D1289" s="5" t="inlineStr">
        <is>
          <t>Base Detector Calor con Rele 12 / 24V</t>
        </is>
      </c>
      <c r="E1289" s="5" t="inlineStr">
        <is>
          <t>marca BOSCH · accesorios control de incendios notificacion &amp; deten · referencia F220-B6R</t>
        </is>
      </c>
      <c r="F1289" s="5" t="inlineStr">
        <is>
          <t>Material retirado en almacén</t>
        </is>
      </c>
      <c r="G1289" s="5" t="inlineStr"/>
      <c r="H1289" s="7" t="inlineStr">
        <is>
          <t>unidad</t>
        </is>
      </c>
      <c r="I1289" s="7" t="inlineStr">
        <is>
          <t>Instalaciones</t>
        </is>
      </c>
      <c r="J1289" s="7" t="inlineStr">
        <is>
          <t>estandar</t>
        </is>
      </c>
      <c r="K1289" s="7" t="inlineStr">
        <is>
          <t>importado</t>
        </is>
      </c>
      <c r="L1289" s="7" t="inlineStr">
        <is>
          <t>Verificado</t>
        </is>
      </c>
      <c r="M1289" s="8" t="n">
        <v>1</v>
      </c>
      <c r="N1289" s="9" t="n">
        <v>615.97</v>
      </c>
      <c r="O1289" s="9" t="n">
        <v>615.97</v>
      </c>
      <c r="P1289" s="9" t="n">
        <v>615.97</v>
      </c>
      <c r="Q1289" s="7" t="inlineStr">
        <is>
          <t>Sí</t>
        </is>
      </c>
      <c r="R1289" s="9">
        <f>IF(N1289="","",IF(Q1289="Sí",ROUND(N1289/1.18,2),N1289))</f>
        <v/>
      </c>
      <c r="S1289" s="7" t="inlineStr">
        <is>
          <t>2026-09-09</t>
        </is>
      </c>
      <c r="T1289" s="5" t="inlineStr">
        <is>
          <t>1 cotización de proveedores</t>
        </is>
      </c>
    </row>
    <row r="1290">
      <c r="A1290" s="7" t="inlineStr">
        <is>
          <t>MAT-29-043</t>
        </is>
      </c>
      <c r="B1290" s="7" t="inlineStr">
        <is>
          <t>Materiales</t>
        </is>
      </c>
      <c r="C1290" s="7" t="inlineStr">
        <is>
          <t>Detección de incendios</t>
        </is>
      </c>
      <c r="D1290" s="5" t="inlineStr">
        <is>
          <t>Caja Post. superficie, 4,75 x 3,25 x 2,25", Roja</t>
        </is>
      </c>
      <c r="E1290" s="5" t="inlineStr">
        <is>
          <t>marca BOSCH · accesorios control de incendios notificacion &amp; deten · referencia FMM-100WPBB-R</t>
        </is>
      </c>
      <c r="F1290" s="5" t="inlineStr">
        <is>
          <t>Material retirado en almacén</t>
        </is>
      </c>
      <c r="G1290" s="5" t="inlineStr"/>
      <c r="H1290" s="7" t="inlineStr">
        <is>
          <t>unidad</t>
        </is>
      </c>
      <c r="I1290" s="7" t="inlineStr">
        <is>
          <t>Instalaciones</t>
        </is>
      </c>
      <c r="J1290" s="7" t="inlineStr">
        <is>
          <t>estandar</t>
        </is>
      </c>
      <c r="K1290" s="7" t="inlineStr">
        <is>
          <t>importado</t>
        </is>
      </c>
      <c r="L1290" s="7" t="inlineStr">
        <is>
          <t>Verificado</t>
        </is>
      </c>
      <c r="M1290" s="8" t="n">
        <v>1</v>
      </c>
      <c r="N1290" s="9" t="n">
        <v>1091.73</v>
      </c>
      <c r="O1290" s="9" t="n">
        <v>1091.73</v>
      </c>
      <c r="P1290" s="9" t="n">
        <v>1091.73</v>
      </c>
      <c r="Q1290" s="7" t="inlineStr">
        <is>
          <t>Sí</t>
        </is>
      </c>
      <c r="R1290" s="9">
        <f>IF(N1290="","",IF(Q1290="Sí",ROUND(N1290/1.18,2),N1290))</f>
        <v/>
      </c>
      <c r="S1290" s="7" t="inlineStr">
        <is>
          <t>2026-09-09</t>
        </is>
      </c>
      <c r="T1290" s="5" t="inlineStr">
        <is>
          <t>1 cotización de proveedores</t>
        </is>
      </c>
    </row>
    <row r="1291">
      <c r="A1291" s="7" t="inlineStr">
        <is>
          <t>MAT-29-044</t>
        </is>
      </c>
      <c r="B1291" s="7" t="inlineStr">
        <is>
          <t>Materiales</t>
        </is>
      </c>
      <c r="C1291" s="7" t="inlineStr">
        <is>
          <t>Detección de incendios</t>
        </is>
      </c>
      <c r="D1291" s="5" t="inlineStr">
        <is>
          <t>Aislador De Cortocirc. para Fpa-1000</t>
        </is>
      </c>
      <c r="E1291" s="5" t="inlineStr">
        <is>
          <t>marca BOSCH · accesorios control de incendios notificacion &amp; deten · referencia FLM-325-ISO</t>
        </is>
      </c>
      <c r="F1291" s="5" t="inlineStr">
        <is>
          <t>Material retirado en almacén</t>
        </is>
      </c>
      <c r="G1291" s="5" t="inlineStr"/>
      <c r="H1291" s="7" t="inlineStr">
        <is>
          <t>unidad</t>
        </is>
      </c>
      <c r="I1291" s="7" t="inlineStr">
        <is>
          <t>Instalaciones</t>
        </is>
      </c>
      <c r="J1291" s="7" t="inlineStr">
        <is>
          <t>estandar</t>
        </is>
      </c>
      <c r="K1291" s="7" t="inlineStr">
        <is>
          <t>importado</t>
        </is>
      </c>
      <c r="L1291" s="7" t="inlineStr">
        <is>
          <t>Verificado</t>
        </is>
      </c>
      <c r="M1291" s="8" t="n">
        <v>1</v>
      </c>
      <c r="N1291" s="9" t="n">
        <v>2340.69</v>
      </c>
      <c r="O1291" s="9" t="n">
        <v>2340.69</v>
      </c>
      <c r="P1291" s="9" t="n">
        <v>2340.69</v>
      </c>
      <c r="Q1291" s="7" t="inlineStr">
        <is>
          <t>Sí</t>
        </is>
      </c>
      <c r="R1291" s="9">
        <f>IF(N1291="","",IF(Q1291="Sí",ROUND(N1291/1.18,2),N1291))</f>
        <v/>
      </c>
      <c r="S1291" s="7" t="inlineStr">
        <is>
          <t>2026-09-09</t>
        </is>
      </c>
      <c r="T1291" s="5" t="inlineStr">
        <is>
          <t>1 cotización de proveedores</t>
        </is>
      </c>
    </row>
    <row r="1292">
      <c r="A1292" s="7" t="inlineStr">
        <is>
          <t>MAT-29-045</t>
        </is>
      </c>
      <c r="B1292" s="7" t="inlineStr">
        <is>
          <t>Materiales</t>
        </is>
      </c>
      <c r="C1292" s="7" t="inlineStr">
        <is>
          <t>Detección de incendios</t>
        </is>
      </c>
      <c r="D1292" s="5" t="inlineStr">
        <is>
          <t>Carcasa Para Detector De Humo</t>
        </is>
      </c>
      <c r="E1292" s="5" t="inlineStr">
        <is>
          <t>marca BOSCH · accesorios control de incendios notificacion &amp; deten · referencia D341</t>
        </is>
      </c>
      <c r="F1292" s="5" t="inlineStr">
        <is>
          <t>Material retirado en almacén</t>
        </is>
      </c>
      <c r="G1292" s="5" t="inlineStr"/>
      <c r="H1292" s="7" t="inlineStr">
        <is>
          <t>unidad</t>
        </is>
      </c>
      <c r="I1292" s="7" t="inlineStr">
        <is>
          <t>Instalaciones</t>
        </is>
      </c>
      <c r="J1292" s="7" t="inlineStr">
        <is>
          <t>estandar</t>
        </is>
      </c>
      <c r="K1292" s="7" t="inlineStr">
        <is>
          <t>importado</t>
        </is>
      </c>
      <c r="L1292" s="7" t="inlineStr">
        <is>
          <t>Verificado</t>
        </is>
      </c>
      <c r="M1292" s="8" t="n">
        <v>1</v>
      </c>
      <c r="N1292" s="9" t="n">
        <v>3906.74</v>
      </c>
      <c r="O1292" s="9" t="n">
        <v>3906.74</v>
      </c>
      <c r="P1292" s="9" t="n">
        <v>3906.74</v>
      </c>
      <c r="Q1292" s="7" t="inlineStr">
        <is>
          <t>Sí</t>
        </is>
      </c>
      <c r="R1292" s="9">
        <f>IF(N1292="","",IF(Q1292="Sí",ROUND(N1292/1.18,2),N1292))</f>
        <v/>
      </c>
      <c r="S1292" s="7" t="inlineStr">
        <is>
          <t>2026-09-09</t>
        </is>
      </c>
      <c r="T1292" s="5" t="inlineStr">
        <is>
          <t>1 cotización de proveedores</t>
        </is>
      </c>
    </row>
    <row r="1293">
      <c r="A1293" s="7" t="inlineStr">
        <is>
          <t>MAT-29-046</t>
        </is>
      </c>
      <c r="B1293" s="7" t="inlineStr">
        <is>
          <t>Materiales</t>
        </is>
      </c>
      <c r="C1293" s="7" t="inlineStr">
        <is>
          <t>Detección de incendios</t>
        </is>
      </c>
      <c r="D1293" s="5" t="inlineStr">
        <is>
          <t>Luz Estroboscópica Roja para Base De Sirena</t>
        </is>
      </c>
      <c r="E1293" s="5" t="inlineStr">
        <is>
          <t>marca BOSCH · control de incendios notificacion &amp; dentencion · referencia FNS-420-R</t>
        </is>
      </c>
      <c r="F1293" s="5" t="inlineStr">
        <is>
          <t>Material retirado en almacén</t>
        </is>
      </c>
      <c r="G1293" s="5" t="inlineStr"/>
      <c r="H1293" s="7" t="inlineStr">
        <is>
          <t>unidad</t>
        </is>
      </c>
      <c r="I1293" s="7" t="inlineStr">
        <is>
          <t>Instalaciones</t>
        </is>
      </c>
      <c r="J1293" s="7" t="inlineStr">
        <is>
          <t>estandar</t>
        </is>
      </c>
      <c r="K1293" s="7" t="inlineStr">
        <is>
          <t>importado</t>
        </is>
      </c>
      <c r="L1293" s="7" t="inlineStr">
        <is>
          <t>Verificado</t>
        </is>
      </c>
      <c r="M1293" s="8" t="n">
        <v>1</v>
      </c>
      <c r="N1293" s="9" t="n">
        <v>3502.55</v>
      </c>
      <c r="O1293" s="9" t="n">
        <v>3502.55</v>
      </c>
      <c r="P1293" s="9" t="n">
        <v>3502.55</v>
      </c>
      <c r="Q1293" s="7" t="inlineStr">
        <is>
          <t>Sí</t>
        </is>
      </c>
      <c r="R1293" s="9">
        <f>IF(N1293="","",IF(Q1293="Sí",ROUND(N1293/1.18,2),N1293))</f>
        <v/>
      </c>
      <c r="S1293" s="7" t="inlineStr">
        <is>
          <t>2026-09-09</t>
        </is>
      </c>
      <c r="T1293" s="5" t="inlineStr">
        <is>
          <t>1 cotización de proveedores</t>
        </is>
      </c>
    </row>
    <row r="1294">
      <c r="A1294" s="7" t="inlineStr">
        <is>
          <t>MAT-30-002</t>
        </is>
      </c>
      <c r="B1294" s="7" t="inlineStr">
        <is>
          <t>Materiales</t>
        </is>
      </c>
      <c r="C1294" s="7" t="inlineStr">
        <is>
          <t>Cableado estructurado y redes</t>
        </is>
      </c>
      <c r="D1294" s="5" t="inlineStr">
        <is>
          <t>Panel De Conexión Fija</t>
        </is>
      </c>
      <c r="E1294" s="5" t="inlineStr">
        <is>
          <t>marca SIEMON · fibra optica · referencia FCP3-RACK</t>
        </is>
      </c>
      <c r="F1294" s="5" t="inlineStr">
        <is>
          <t>Material retirado en almacén</t>
        </is>
      </c>
      <c r="G1294" s="5" t="inlineStr"/>
      <c r="H1294" s="7" t="inlineStr">
        <is>
          <t>unidad</t>
        </is>
      </c>
      <c r="I1294" s="7" t="inlineStr">
        <is>
          <t>Instalaciones</t>
        </is>
      </c>
      <c r="J1294" s="7" t="inlineStr">
        <is>
          <t>estandar</t>
        </is>
      </c>
      <c r="K1294" s="7" t="inlineStr">
        <is>
          <t>importado</t>
        </is>
      </c>
      <c r="L1294" s="7" t="inlineStr">
        <is>
          <t>Verificado</t>
        </is>
      </c>
      <c r="M1294" s="8" t="n">
        <v>1</v>
      </c>
      <c r="N1294" s="9" t="n">
        <v>3536.16</v>
      </c>
      <c r="O1294" s="9" t="n">
        <v>3536.16</v>
      </c>
      <c r="P1294" s="9" t="n">
        <v>3536.16</v>
      </c>
      <c r="Q1294" s="7" t="inlineStr">
        <is>
          <t>Sí</t>
        </is>
      </c>
      <c r="R1294" s="9">
        <f>IF(N1294="","",IF(Q1294="Sí",ROUND(N1294/1.18,2),N1294))</f>
        <v/>
      </c>
      <c r="S1294" s="7" t="inlineStr">
        <is>
          <t>2026-09-09</t>
        </is>
      </c>
      <c r="T1294" s="5" t="inlineStr">
        <is>
          <t>1 cotización de proveedores</t>
        </is>
      </c>
    </row>
    <row r="1295">
      <c r="A1295" s="7" t="inlineStr">
        <is>
          <t>MAT-30-003</t>
        </is>
      </c>
      <c r="B1295" s="7" t="inlineStr">
        <is>
          <t>Materiales</t>
        </is>
      </c>
      <c r="C1295" s="7" t="inlineStr">
        <is>
          <t>Cableado estructurado y redes</t>
        </is>
      </c>
      <c r="D1295" s="5" t="inlineStr">
        <is>
          <t>Panel De Conexión Mapit G2</t>
        </is>
      </c>
      <c r="E1295" s="5" t="inlineStr">
        <is>
          <t>marca SIEMON · componentes cables y conectividad · referencia M-SPPA-T24K</t>
        </is>
      </c>
      <c r="F1295" s="5" t="inlineStr">
        <is>
          <t>Material retirado en almacén</t>
        </is>
      </c>
      <c r="G1295" s="5" t="inlineStr"/>
      <c r="H1295" s="7" t="inlineStr">
        <is>
          <t>unidad</t>
        </is>
      </c>
      <c r="I1295" s="7" t="inlineStr">
        <is>
          <t>Instalaciones</t>
        </is>
      </c>
      <c r="J1295" s="7" t="inlineStr">
        <is>
          <t>estandar</t>
        </is>
      </c>
      <c r="K1295" s="7" t="inlineStr">
        <is>
          <t>importado</t>
        </is>
      </c>
      <c r="L1295" s="7" t="inlineStr">
        <is>
          <t>Verificado</t>
        </is>
      </c>
      <c r="M1295" s="8" t="n">
        <v>1</v>
      </c>
      <c r="N1295" s="9" t="n">
        <v>27633.55</v>
      </c>
      <c r="O1295" s="9" t="n">
        <v>27633.55</v>
      </c>
      <c r="P1295" s="9" t="n">
        <v>27633.55</v>
      </c>
      <c r="Q1295" s="7" t="inlineStr">
        <is>
          <t>Sí</t>
        </is>
      </c>
      <c r="R1295" s="9">
        <f>IF(N1295="","",IF(Q1295="Sí",ROUND(N1295/1.18,2),N1295))</f>
        <v/>
      </c>
      <c r="S1295" s="7" t="inlineStr">
        <is>
          <t>2026-09-09</t>
        </is>
      </c>
      <c r="T1295" s="5" t="inlineStr">
        <is>
          <t>1 cotización de proveedores</t>
        </is>
      </c>
    </row>
    <row r="1296">
      <c r="A1296" s="7" t="inlineStr">
        <is>
          <t>MAT-30-004</t>
        </is>
      </c>
      <c r="B1296" s="7" t="inlineStr">
        <is>
          <t>Materiales</t>
        </is>
      </c>
      <c r="C1296" s="7" t="inlineStr">
        <is>
          <t>Cableado estructurado y redes</t>
        </is>
      </c>
      <c r="D1296" s="5" t="inlineStr">
        <is>
          <t>Monitor Cristal A Color Libre Manos</t>
        </is>
      </c>
      <c r="E1296" s="5" t="inlineStr">
        <is>
          <t>marca MASTER · planos · referencia VXKRV76-WBLANCO</t>
        </is>
      </c>
      <c r="F1296" s="5" t="inlineStr">
        <is>
          <t>Material retirado en almacén</t>
        </is>
      </c>
      <c r="G1296" s="5" t="inlineStr"/>
      <c r="H1296" s="7" t="inlineStr">
        <is>
          <t>unidad</t>
        </is>
      </c>
      <c r="I1296" s="7" t="inlineStr">
        <is>
          <t>Instalaciones</t>
        </is>
      </c>
      <c r="J1296" s="7" t="inlineStr">
        <is>
          <t>estandar</t>
        </is>
      </c>
      <c r="K1296" s="7" t="inlineStr">
        <is>
          <t>importado</t>
        </is>
      </c>
      <c r="L1296" s="7" t="inlineStr">
        <is>
          <t>Verificado</t>
        </is>
      </c>
      <c r="M1296" s="8" t="n">
        <v>1</v>
      </c>
      <c r="N1296" s="9" t="n">
        <v>5019.51</v>
      </c>
      <c r="O1296" s="9" t="n">
        <v>5019.51</v>
      </c>
      <c r="P1296" s="9" t="n">
        <v>5019.51</v>
      </c>
      <c r="Q1296" s="7" t="inlineStr">
        <is>
          <t>Sí</t>
        </is>
      </c>
      <c r="R1296" s="9">
        <f>IF(N1296="","",IF(Q1296="Sí",ROUND(N1296/1.18,2),N1296))</f>
        <v/>
      </c>
      <c r="S1296" s="7" t="inlineStr">
        <is>
          <t>2026-09-09</t>
        </is>
      </c>
      <c r="T1296" s="5" t="inlineStr">
        <is>
          <t>2 cotizaciones de proveedores</t>
        </is>
      </c>
    </row>
    <row r="1297">
      <c r="A1297" s="7" t="inlineStr">
        <is>
          <t>MAT-30-005</t>
        </is>
      </c>
      <c r="B1297" s="7" t="inlineStr">
        <is>
          <t>Materiales</t>
        </is>
      </c>
      <c r="C1297" s="7" t="inlineStr">
        <is>
          <t>Cableado estructurado y redes</t>
        </is>
      </c>
      <c r="D1297" s="5" t="inlineStr">
        <is>
          <t>Cable UTP Cat 5 8 Cca 305M Azul</t>
        </is>
      </c>
      <c r="E1297" s="5" t="inlineStr">
        <is>
          <t>marca NETCOMLAB · utp (redes) · referencia CAB-10105</t>
        </is>
      </c>
      <c r="F1297" s="5" t="inlineStr">
        <is>
          <t>Material retirado en almacén</t>
        </is>
      </c>
      <c r="G1297" s="5" t="inlineStr"/>
      <c r="H1297" s="7" t="inlineStr">
        <is>
          <t>unidad</t>
        </is>
      </c>
      <c r="I1297" s="7" t="inlineStr">
        <is>
          <t>Instalaciones</t>
        </is>
      </c>
      <c r="J1297" s="7" t="inlineStr">
        <is>
          <t>estandar</t>
        </is>
      </c>
      <c r="K1297" s="7" t="inlineStr">
        <is>
          <t>importado</t>
        </is>
      </c>
      <c r="L1297" s="7" t="inlineStr">
        <is>
          <t>Verificado</t>
        </is>
      </c>
      <c r="M1297" s="8" t="n">
        <v>1</v>
      </c>
      <c r="N1297" s="9" t="n">
        <v>79.8</v>
      </c>
      <c r="O1297" s="9" t="n">
        <v>79.8</v>
      </c>
      <c r="P1297" s="9" t="n">
        <v>79.8</v>
      </c>
      <c r="Q1297" s="7" t="inlineStr">
        <is>
          <t>Sí</t>
        </is>
      </c>
      <c r="R1297" s="9">
        <f>IF(N1297="","",IF(Q1297="Sí",ROUND(N1297/1.18,2),N1297))</f>
        <v/>
      </c>
      <c r="S1297" s="7" t="inlineStr">
        <is>
          <t>2026-09-09</t>
        </is>
      </c>
      <c r="T1297" s="5" t="inlineStr">
        <is>
          <t>1 cotización de proveedores</t>
        </is>
      </c>
    </row>
    <row r="1298">
      <c r="A1298" s="7" t="inlineStr">
        <is>
          <t>MAT-30-006</t>
        </is>
      </c>
      <c r="B1298" s="7" t="inlineStr">
        <is>
          <t>Materiales</t>
        </is>
      </c>
      <c r="C1298" s="7" t="inlineStr">
        <is>
          <t>Cableado estructurado y redes</t>
        </is>
      </c>
      <c r="D1298" s="5" t="inlineStr">
        <is>
          <t>Cable UTP Cat 5E Gris</t>
        </is>
      </c>
      <c r="E1298" s="5" t="inlineStr">
        <is>
          <t>marca NETCOMLAB · utp (redes) · referencia CAB-10100/10495</t>
        </is>
      </c>
      <c r="F1298" s="5" t="inlineStr">
        <is>
          <t>Material retirado en almacén</t>
        </is>
      </c>
      <c r="G1298" s="5" t="inlineStr"/>
      <c r="H1298" s="7" t="inlineStr">
        <is>
          <t>unidad</t>
        </is>
      </c>
      <c r="I1298" s="7" t="inlineStr">
        <is>
          <t>Instalaciones</t>
        </is>
      </c>
      <c r="J1298" s="7" t="inlineStr">
        <is>
          <t>estandar</t>
        </is>
      </c>
      <c r="K1298" s="7" t="inlineStr">
        <is>
          <t>importado</t>
        </is>
      </c>
      <c r="L1298" s="7" t="inlineStr">
        <is>
          <t>Verificado</t>
        </is>
      </c>
      <c r="M1298" s="8" t="n">
        <v>1</v>
      </c>
      <c r="N1298" s="9" t="n">
        <v>72.59999999999999</v>
      </c>
      <c r="O1298" s="9" t="n">
        <v>72.59999999999999</v>
      </c>
      <c r="P1298" s="9" t="n">
        <v>72.59999999999999</v>
      </c>
      <c r="Q1298" s="7" t="inlineStr">
        <is>
          <t>Sí</t>
        </is>
      </c>
      <c r="R1298" s="9">
        <f>IF(N1298="","",IF(Q1298="Sí",ROUND(N1298/1.18,2),N1298))</f>
        <v/>
      </c>
      <c r="S1298" s="7" t="inlineStr">
        <is>
          <t>2026-09-09</t>
        </is>
      </c>
      <c r="T1298" s="5" t="inlineStr">
        <is>
          <t>1 cotización de proveedores</t>
        </is>
      </c>
    </row>
    <row r="1299">
      <c r="A1299" s="7" t="inlineStr">
        <is>
          <t>MAT-30-007</t>
        </is>
      </c>
      <c r="B1299" s="7" t="inlineStr">
        <is>
          <t>Materiales</t>
        </is>
      </c>
      <c r="C1299" s="7" t="inlineStr">
        <is>
          <t>Cableado estructurado y redes</t>
        </is>
      </c>
      <c r="D1299" s="5" t="inlineStr">
        <is>
          <t>Cable Retract. Dock A 3.5 Mm para Iphone</t>
        </is>
      </c>
      <c r="E1299" s="5" t="inlineStr">
        <is>
          <t>marca STEREN · de alimentacion · referencia POD-077</t>
        </is>
      </c>
      <c r="F1299" s="5" t="inlineStr">
        <is>
          <t>Material retirado en almacén</t>
        </is>
      </c>
      <c r="G1299" s="5" t="inlineStr"/>
      <c r="H1299" s="7" t="inlineStr">
        <is>
          <t>unidad</t>
        </is>
      </c>
      <c r="I1299" s="7" t="inlineStr">
        <is>
          <t>Instalaciones</t>
        </is>
      </c>
      <c r="J1299" s="7" t="inlineStr">
        <is>
          <t>estandar</t>
        </is>
      </c>
      <c r="K1299" s="7" t="inlineStr">
        <is>
          <t>importado</t>
        </is>
      </c>
      <c r="L1299" s="7" t="inlineStr">
        <is>
          <t>Verificado</t>
        </is>
      </c>
      <c r="M1299" s="8" t="n">
        <v>1</v>
      </c>
      <c r="N1299" s="9" t="n">
        <v>5.11</v>
      </c>
      <c r="O1299" s="9" t="n">
        <v>5.11</v>
      </c>
      <c r="P1299" s="9" t="n">
        <v>5.11</v>
      </c>
      <c r="Q1299" s="7" t="inlineStr">
        <is>
          <t>Sí</t>
        </is>
      </c>
      <c r="R1299" s="9">
        <f>IF(N1299="","",IF(Q1299="Sí",ROUND(N1299/1.18,2),N1299))</f>
        <v/>
      </c>
      <c r="S1299" s="7" t="inlineStr">
        <is>
          <t>2026-09-09</t>
        </is>
      </c>
      <c r="T1299" s="5" t="inlineStr">
        <is>
          <t>1 cotización de proveedores</t>
        </is>
      </c>
    </row>
    <row r="1300">
      <c r="A1300" s="7" t="inlineStr">
        <is>
          <t>MAT-30-008</t>
        </is>
      </c>
      <c r="B1300" s="7" t="inlineStr">
        <is>
          <t>Materiales</t>
        </is>
      </c>
      <c r="C1300" s="7" t="inlineStr">
        <is>
          <t>Cableado estructurado y redes</t>
        </is>
      </c>
      <c r="D1300" s="5" t="inlineStr">
        <is>
          <t>Cable UTP Cat 5E Azul R / 1000'</t>
        </is>
      </c>
      <c r="E1300" s="5" t="inlineStr">
        <is>
          <t>marca PHELPS DODGE · utp (redes) · referencia CAT5E</t>
        </is>
      </c>
      <c r="F1300" s="5" t="inlineStr">
        <is>
          <t>Material retirado en almacén</t>
        </is>
      </c>
      <c r="G1300" s="5" t="inlineStr"/>
      <c r="H1300" s="7" t="inlineStr">
        <is>
          <t>unidad</t>
        </is>
      </c>
      <c r="I1300" s="7" t="inlineStr">
        <is>
          <t>Instalaciones</t>
        </is>
      </c>
      <c r="J1300" s="7" t="inlineStr">
        <is>
          <t>estandar</t>
        </is>
      </c>
      <c r="K1300" s="7" t="inlineStr">
        <is>
          <t>importado</t>
        </is>
      </c>
      <c r="L1300" s="7" t="inlineStr">
        <is>
          <t>Verificado</t>
        </is>
      </c>
      <c r="M1300" s="8" t="n">
        <v>1</v>
      </c>
      <c r="N1300" s="9" t="n">
        <v>106.6</v>
      </c>
      <c r="O1300" s="9" t="n">
        <v>106.6</v>
      </c>
      <c r="P1300" s="9" t="n">
        <v>106.6</v>
      </c>
      <c r="Q1300" s="7" t="inlineStr">
        <is>
          <t>Sí</t>
        </is>
      </c>
      <c r="R1300" s="9">
        <f>IF(N1300="","",IF(Q1300="Sí",ROUND(N1300/1.18,2),N1300))</f>
        <v/>
      </c>
      <c r="S1300" s="7" t="inlineStr">
        <is>
          <t>2026-09-09</t>
        </is>
      </c>
      <c r="T1300" s="5" t="inlineStr">
        <is>
          <t>1 cotización de proveedores</t>
        </is>
      </c>
    </row>
    <row r="1301">
      <c r="A1301" s="7" t="inlineStr">
        <is>
          <t>MAT-30-009</t>
        </is>
      </c>
      <c r="B1301" s="7" t="inlineStr">
        <is>
          <t>Materiales</t>
        </is>
      </c>
      <c r="C1301" s="7" t="inlineStr">
        <is>
          <t>Cableado estructurado y redes</t>
        </is>
      </c>
      <c r="D1301" s="5" t="inlineStr">
        <is>
          <t>Cable UTP Cat 6 305M Gris interior</t>
        </is>
      </c>
      <c r="E1301" s="5" t="inlineStr">
        <is>
          <t>marca NETCOMLAB · utp (redes) · referencia CAB-10106</t>
        </is>
      </c>
      <c r="F1301" s="5" t="inlineStr">
        <is>
          <t>Material retirado en almacén</t>
        </is>
      </c>
      <c r="G1301" s="5" t="inlineStr"/>
      <c r="H1301" s="7" t="inlineStr">
        <is>
          <t>unidad</t>
        </is>
      </c>
      <c r="I1301" s="7" t="inlineStr">
        <is>
          <t>Instalaciones</t>
        </is>
      </c>
      <c r="J1301" s="7" t="inlineStr">
        <is>
          <t>estandar</t>
        </is>
      </c>
      <c r="K1301" s="7" t="inlineStr">
        <is>
          <t>importado</t>
        </is>
      </c>
      <c r="L1301" s="7" t="inlineStr">
        <is>
          <t>Verificado</t>
        </is>
      </c>
      <c r="M1301" s="8" t="n">
        <v>1</v>
      </c>
      <c r="N1301" s="9" t="n">
        <v>97.2</v>
      </c>
      <c r="O1301" s="9" t="n">
        <v>97.2</v>
      </c>
      <c r="P1301" s="9" t="n">
        <v>97.2</v>
      </c>
      <c r="Q1301" s="7" t="inlineStr">
        <is>
          <t>Sí</t>
        </is>
      </c>
      <c r="R1301" s="9">
        <f>IF(N1301="","",IF(Q1301="Sí",ROUND(N1301/1.18,2),N1301))</f>
        <v/>
      </c>
      <c r="S1301" s="7" t="inlineStr">
        <is>
          <t>2026-09-09</t>
        </is>
      </c>
      <c r="T1301" s="5" t="inlineStr">
        <is>
          <t>1 cotización de proveedores</t>
        </is>
      </c>
    </row>
    <row r="1302">
      <c r="A1302" s="7" t="inlineStr">
        <is>
          <t>MAT-30-010</t>
        </is>
      </c>
      <c r="B1302" s="7" t="inlineStr">
        <is>
          <t>Materiales</t>
        </is>
      </c>
      <c r="C1302" s="7" t="inlineStr">
        <is>
          <t>Cableado estructurado y redes</t>
        </is>
      </c>
      <c r="D1302" s="5" t="inlineStr">
        <is>
          <t>Cable UTP Cat 5E 305M Negro</t>
        </is>
      </c>
      <c r="E1302" s="5" t="inlineStr">
        <is>
          <t>marca NETCOMLAB · utp (redes) · referencia CAB-10560</t>
        </is>
      </c>
      <c r="F1302" s="5" t="inlineStr">
        <is>
          <t>Material retirado en almacén</t>
        </is>
      </c>
      <c r="G1302" s="5" t="inlineStr"/>
      <c r="H1302" s="7" t="inlineStr">
        <is>
          <t>unidad</t>
        </is>
      </c>
      <c r="I1302" s="7" t="inlineStr">
        <is>
          <t>Instalaciones</t>
        </is>
      </c>
      <c r="J1302" s="7" t="inlineStr">
        <is>
          <t>estandar</t>
        </is>
      </c>
      <c r="K1302" s="7" t="inlineStr">
        <is>
          <t>importado</t>
        </is>
      </c>
      <c r="L1302" s="7" t="inlineStr">
        <is>
          <t>Verificado</t>
        </is>
      </c>
      <c r="M1302" s="8" t="n">
        <v>1</v>
      </c>
      <c r="N1302" s="9" t="n">
        <v>115.6</v>
      </c>
      <c r="O1302" s="9" t="n">
        <v>115.6</v>
      </c>
      <c r="P1302" s="9" t="n">
        <v>115.6</v>
      </c>
      <c r="Q1302" s="7" t="inlineStr">
        <is>
          <t>Sí</t>
        </is>
      </c>
      <c r="R1302" s="9">
        <f>IF(N1302="","",IF(Q1302="Sí",ROUND(N1302/1.18,2),N1302))</f>
        <v/>
      </c>
      <c r="S1302" s="7" t="inlineStr">
        <is>
          <t>2026-09-09</t>
        </is>
      </c>
      <c r="T1302" s="5" t="inlineStr">
        <is>
          <t>1 cotización de proveedores</t>
        </is>
      </c>
    </row>
    <row r="1303">
      <c r="A1303" s="7" t="inlineStr">
        <is>
          <t>MAT-30-011</t>
        </is>
      </c>
      <c r="B1303" s="7" t="inlineStr">
        <is>
          <t>Materiales</t>
        </is>
      </c>
      <c r="C1303" s="7" t="inlineStr">
        <is>
          <t>Cableado estructurado y redes</t>
        </is>
      </c>
      <c r="D1303" s="5" t="inlineStr">
        <is>
          <t>Cable UTP Cat 6 305M Negro Exter.</t>
        </is>
      </c>
      <c r="E1303" s="5" t="inlineStr">
        <is>
          <t>marca NETCOMLAB · utp (redes) · referencia CAB-10565</t>
        </is>
      </c>
      <c r="F1303" s="5" t="inlineStr">
        <is>
          <t>Material retirado en almacén</t>
        </is>
      </c>
      <c r="G1303" s="5" t="inlineStr"/>
      <c r="H1303" s="7" t="inlineStr">
        <is>
          <t>unidad</t>
        </is>
      </c>
      <c r="I1303" s="7" t="inlineStr">
        <is>
          <t>Instalaciones</t>
        </is>
      </c>
      <c r="J1303" s="7" t="inlineStr">
        <is>
          <t>estandar</t>
        </is>
      </c>
      <c r="K1303" s="7" t="inlineStr">
        <is>
          <t>importado</t>
        </is>
      </c>
      <c r="L1303" s="7" t="inlineStr">
        <is>
          <t>Verificado</t>
        </is>
      </c>
      <c r="M1303" s="8" t="n">
        <v>1</v>
      </c>
      <c r="N1303" s="9" t="n">
        <v>135</v>
      </c>
      <c r="O1303" s="9" t="n">
        <v>135</v>
      </c>
      <c r="P1303" s="9" t="n">
        <v>135</v>
      </c>
      <c r="Q1303" s="7" t="inlineStr">
        <is>
          <t>Sí</t>
        </is>
      </c>
      <c r="R1303" s="9">
        <f>IF(N1303="","",IF(Q1303="Sí",ROUND(N1303/1.18,2),N1303))</f>
        <v/>
      </c>
      <c r="S1303" s="7" t="inlineStr">
        <is>
          <t>2026-09-09</t>
        </is>
      </c>
      <c r="T1303" s="5" t="inlineStr">
        <is>
          <t>1 cotización de proveedores</t>
        </is>
      </c>
    </row>
    <row r="1304">
      <c r="A1304" s="7" t="inlineStr">
        <is>
          <t>MAT-30-012</t>
        </is>
      </c>
      <c r="B1304" s="7" t="inlineStr">
        <is>
          <t>Materiales</t>
        </is>
      </c>
      <c r="C1304" s="7" t="inlineStr">
        <is>
          <t>Cableado estructurado y redes</t>
        </is>
      </c>
      <c r="D1304" s="5" t="inlineStr">
        <is>
          <t>Cable Firewire 4P A 4P De 1.8M</t>
        </is>
      </c>
      <c r="E1304" s="5" t="inlineStr">
        <is>
          <t>marca STEREN · firewire · referencia 506-642</t>
        </is>
      </c>
      <c r="F1304" s="5" t="inlineStr">
        <is>
          <t>Material retirado en almacén</t>
        </is>
      </c>
      <c r="G1304" s="5" t="inlineStr"/>
      <c r="H1304" s="7" t="inlineStr">
        <is>
          <t>unidad</t>
        </is>
      </c>
      <c r="I1304" s="7" t="inlineStr">
        <is>
          <t>Instalaciones</t>
        </is>
      </c>
      <c r="J1304" s="7" t="inlineStr">
        <is>
          <t>estandar</t>
        </is>
      </c>
      <c r="K1304" s="7" t="inlineStr">
        <is>
          <t>importado</t>
        </is>
      </c>
      <c r="L1304" s="7" t="inlineStr">
        <is>
          <t>Verificado</t>
        </is>
      </c>
      <c r="M1304" s="8" t="n">
        <v>1</v>
      </c>
      <c r="N1304" s="9" t="n">
        <v>7.89</v>
      </c>
      <c r="O1304" s="9" t="n">
        <v>7.89</v>
      </c>
      <c r="P1304" s="9" t="n">
        <v>7.89</v>
      </c>
      <c r="Q1304" s="7" t="inlineStr">
        <is>
          <t>Sí</t>
        </is>
      </c>
      <c r="R1304" s="9">
        <f>IF(N1304="","",IF(Q1304="Sí",ROUND(N1304/1.18,2),N1304))</f>
        <v/>
      </c>
      <c r="S1304" s="7" t="inlineStr">
        <is>
          <t>2026-09-09</t>
        </is>
      </c>
      <c r="T1304" s="5" t="inlineStr">
        <is>
          <t>1 cotización de proveedores</t>
        </is>
      </c>
    </row>
    <row r="1305">
      <c r="A1305" s="7" t="inlineStr">
        <is>
          <t>MAT-30-013</t>
        </is>
      </c>
      <c r="B1305" s="7" t="inlineStr">
        <is>
          <t>Materiales</t>
        </is>
      </c>
      <c r="C1305" s="7" t="inlineStr">
        <is>
          <t>Cableado estructurado y redes</t>
        </is>
      </c>
      <c r="D1305" s="5" t="inlineStr">
        <is>
          <t>Cable telefónico 6 Hilos Awg28 Marfil R / 1000</t>
        </is>
      </c>
      <c r="E1305" s="5" t="inlineStr">
        <is>
          <t>marca STEREN · cable de telefono · referencia MO6T-305</t>
        </is>
      </c>
      <c r="F1305" s="5" t="inlineStr">
        <is>
          <t>Material retirado en almacén</t>
        </is>
      </c>
      <c r="G1305" s="5" t="inlineStr"/>
      <c r="H1305" s="7" t="inlineStr">
        <is>
          <t>unidad</t>
        </is>
      </c>
      <c r="I1305" s="7" t="inlineStr">
        <is>
          <t>Instalaciones</t>
        </is>
      </c>
      <c r="J1305" s="7" t="inlineStr">
        <is>
          <t>estandar</t>
        </is>
      </c>
      <c r="K1305" s="7" t="inlineStr">
        <is>
          <t>importado</t>
        </is>
      </c>
      <c r="L1305" s="7" t="inlineStr">
        <is>
          <t>Verificado</t>
        </is>
      </c>
      <c r="M1305" s="8" t="n">
        <v>1</v>
      </c>
      <c r="N1305" s="9" t="n">
        <v>187.6</v>
      </c>
      <c r="O1305" s="9" t="n">
        <v>187.6</v>
      </c>
      <c r="P1305" s="9" t="n">
        <v>187.6</v>
      </c>
      <c r="Q1305" s="7" t="inlineStr">
        <is>
          <t>Sí</t>
        </is>
      </c>
      <c r="R1305" s="9">
        <f>IF(N1305="","",IF(Q1305="Sí",ROUND(N1305/1.18,2),N1305))</f>
        <v/>
      </c>
      <c r="S1305" s="7" t="inlineStr">
        <is>
          <t>2026-09-09</t>
        </is>
      </c>
      <c r="T1305" s="5" t="inlineStr">
        <is>
          <t>1 cotización de proveedores</t>
        </is>
      </c>
    </row>
    <row r="1306">
      <c r="A1306" s="7" t="inlineStr">
        <is>
          <t>MAT-30-014</t>
        </is>
      </c>
      <c r="B1306" s="7" t="inlineStr">
        <is>
          <t>Materiales</t>
        </is>
      </c>
      <c r="C1306" s="7" t="inlineStr">
        <is>
          <t>Cableado estructurado y redes</t>
        </is>
      </c>
      <c r="D1306" s="5" t="inlineStr">
        <is>
          <t>Cable UTP Cat 6 24 / 4 Azul R / 1000'</t>
        </is>
      </c>
      <c r="E1306" s="5" t="inlineStr">
        <is>
          <t>marca SIEMON · utp (redes) · referencia 9C6M4-E2-06</t>
        </is>
      </c>
      <c r="F1306" s="5" t="inlineStr">
        <is>
          <t>Material retirado en almacén</t>
        </is>
      </c>
      <c r="G1306" s="5" t="inlineStr"/>
      <c r="H1306" s="7" t="inlineStr">
        <is>
          <t>unidad</t>
        </is>
      </c>
      <c r="I1306" s="7" t="inlineStr">
        <is>
          <t>Instalaciones</t>
        </is>
      </c>
      <c r="J1306" s="7" t="inlineStr">
        <is>
          <t>estandar</t>
        </is>
      </c>
      <c r="K1306" s="7" t="inlineStr">
        <is>
          <t>importado</t>
        </is>
      </c>
      <c r="L1306" s="7" t="inlineStr">
        <is>
          <t>Verificado</t>
        </is>
      </c>
      <c r="M1306" s="8" t="n">
        <v>1</v>
      </c>
      <c r="N1306" s="9" t="n">
        <v>222.6</v>
      </c>
      <c r="O1306" s="9" t="n">
        <v>222.6</v>
      </c>
      <c r="P1306" s="9" t="n">
        <v>222.6</v>
      </c>
      <c r="Q1306" s="7" t="inlineStr">
        <is>
          <t>Sí</t>
        </is>
      </c>
      <c r="R1306" s="9">
        <f>IF(N1306="","",IF(Q1306="Sí",ROUND(N1306/1.18,2),N1306))</f>
        <v/>
      </c>
      <c r="S1306" s="7" t="inlineStr">
        <is>
          <t>2026-09-09</t>
        </is>
      </c>
      <c r="T1306" s="5" t="inlineStr">
        <is>
          <t>1 cotización de proveedores</t>
        </is>
      </c>
    </row>
    <row r="1307">
      <c r="A1307" s="7" t="inlineStr">
        <is>
          <t>MAT-30-015</t>
        </is>
      </c>
      <c r="B1307" s="7" t="inlineStr">
        <is>
          <t>Materiales</t>
        </is>
      </c>
      <c r="C1307" s="7" t="inlineStr">
        <is>
          <t>Cableado estructurado y redes</t>
        </is>
      </c>
      <c r="D1307" s="5" t="inlineStr">
        <is>
          <t>Cable UTP Cat 6E 24 / 4 Negro R / 1000'</t>
        </is>
      </c>
      <c r="E1307" s="5" t="inlineStr">
        <is>
          <t>marca SIEMON · utp (redes) · referencia 9C6M4-E2-01</t>
        </is>
      </c>
      <c r="F1307" s="5" t="inlineStr">
        <is>
          <t>Material retirado en almacén</t>
        </is>
      </c>
      <c r="G1307" s="5" t="inlineStr"/>
      <c r="H1307" s="7" t="inlineStr">
        <is>
          <t>unidad</t>
        </is>
      </c>
      <c r="I1307" s="7" t="inlineStr">
        <is>
          <t>Instalaciones</t>
        </is>
      </c>
      <c r="J1307" s="7" t="inlineStr">
        <is>
          <t>estandar</t>
        </is>
      </c>
      <c r="K1307" s="7" t="inlineStr">
        <is>
          <t>importado</t>
        </is>
      </c>
      <c r="L1307" s="7" t="inlineStr">
        <is>
          <t>Verificado</t>
        </is>
      </c>
      <c r="M1307" s="8" t="n">
        <v>1</v>
      </c>
      <c r="N1307" s="9" t="n">
        <v>222.6</v>
      </c>
      <c r="O1307" s="9" t="n">
        <v>222.6</v>
      </c>
      <c r="P1307" s="9" t="n">
        <v>222.6</v>
      </c>
      <c r="Q1307" s="7" t="inlineStr">
        <is>
          <t>Sí</t>
        </is>
      </c>
      <c r="R1307" s="9">
        <f>IF(N1307="","",IF(Q1307="Sí",ROUND(N1307/1.18,2),N1307))</f>
        <v/>
      </c>
      <c r="S1307" s="7" t="inlineStr">
        <is>
          <t>2026-09-09</t>
        </is>
      </c>
      <c r="T1307" s="5" t="inlineStr">
        <is>
          <t>1 cotización de proveedores</t>
        </is>
      </c>
    </row>
    <row r="1308">
      <c r="A1308" s="7" t="inlineStr">
        <is>
          <t>MAT-30-016</t>
        </is>
      </c>
      <c r="B1308" s="7" t="inlineStr">
        <is>
          <t>Materiales</t>
        </is>
      </c>
      <c r="C1308" s="7" t="inlineStr">
        <is>
          <t>Cableado estructurado y redes</t>
        </is>
      </c>
      <c r="D1308" s="5" t="inlineStr">
        <is>
          <t>Cable UTP Cat 6E 24 / 4 Gris R / 1640'</t>
        </is>
      </c>
      <c r="E1308" s="5" t="inlineStr">
        <is>
          <t>marca SIEMON · utp (redes) · referencia 9C6M4-E2-5CR</t>
        </is>
      </c>
      <c r="F1308" s="5" t="inlineStr">
        <is>
          <t>Material retirado en almacén</t>
        </is>
      </c>
      <c r="G1308" s="5" t="inlineStr"/>
      <c r="H1308" s="7" t="inlineStr">
        <is>
          <t>unidad</t>
        </is>
      </c>
      <c r="I1308" s="7" t="inlineStr">
        <is>
          <t>Instalaciones</t>
        </is>
      </c>
      <c r="J1308" s="7" t="inlineStr">
        <is>
          <t>estandar</t>
        </is>
      </c>
      <c r="K1308" s="7" t="inlineStr">
        <is>
          <t>importado</t>
        </is>
      </c>
      <c r="L1308" s="7" t="inlineStr">
        <is>
          <t>Verificado</t>
        </is>
      </c>
      <c r="M1308" s="8" t="n">
        <v>1</v>
      </c>
      <c r="N1308" s="9" t="n">
        <v>242.2</v>
      </c>
      <c r="O1308" s="9" t="n">
        <v>242.2</v>
      </c>
      <c r="P1308" s="9" t="n">
        <v>242.2</v>
      </c>
      <c r="Q1308" s="7" t="inlineStr">
        <is>
          <t>Sí</t>
        </is>
      </c>
      <c r="R1308" s="9">
        <f>IF(N1308="","",IF(Q1308="Sí",ROUND(N1308/1.18,2),N1308))</f>
        <v/>
      </c>
      <c r="S1308" s="7" t="inlineStr">
        <is>
          <t>2026-09-09</t>
        </is>
      </c>
      <c r="T1308" s="5" t="inlineStr">
        <is>
          <t>1 cotización de proveedores</t>
        </is>
      </c>
    </row>
    <row r="1309">
      <c r="A1309" s="7" t="inlineStr">
        <is>
          <t>MAT-30-017</t>
        </is>
      </c>
      <c r="B1309" s="7" t="inlineStr">
        <is>
          <t>Materiales</t>
        </is>
      </c>
      <c r="C1309" s="7" t="inlineStr">
        <is>
          <t>Cableado estructurado y redes</t>
        </is>
      </c>
      <c r="D1309" s="5" t="inlineStr">
        <is>
          <t>Cable Firewire 9P A 9P De 1.8M</t>
        </is>
      </c>
      <c r="E1309" s="5" t="inlineStr">
        <is>
          <t>marca STEREN · firewire · referencia 506-650</t>
        </is>
      </c>
      <c r="F1309" s="5" t="inlineStr">
        <is>
          <t>Material retirado en almacén</t>
        </is>
      </c>
      <c r="G1309" s="5" t="inlineStr"/>
      <c r="H1309" s="7" t="inlineStr">
        <is>
          <t>unidad</t>
        </is>
      </c>
      <c r="I1309" s="7" t="inlineStr">
        <is>
          <t>Instalaciones</t>
        </is>
      </c>
      <c r="J1309" s="7" t="inlineStr">
        <is>
          <t>estandar</t>
        </is>
      </c>
      <c r="K1309" s="7" t="inlineStr">
        <is>
          <t>importado</t>
        </is>
      </c>
      <c r="L1309" s="7" t="inlineStr">
        <is>
          <t>Verificado</t>
        </is>
      </c>
      <c r="M1309" s="8" t="n">
        <v>1</v>
      </c>
      <c r="N1309" s="9" t="n">
        <v>15.72</v>
      </c>
      <c r="O1309" s="9" t="n">
        <v>15.72</v>
      </c>
      <c r="P1309" s="9" t="n">
        <v>15.72</v>
      </c>
      <c r="Q1309" s="7" t="inlineStr">
        <is>
          <t>Sí</t>
        </is>
      </c>
      <c r="R1309" s="9">
        <f>IF(N1309="","",IF(Q1309="Sí",ROUND(N1309/1.18,2),N1309))</f>
        <v/>
      </c>
      <c r="S1309" s="7" t="inlineStr">
        <is>
          <t>2026-09-09</t>
        </is>
      </c>
      <c r="T1309" s="5" t="inlineStr">
        <is>
          <t>1 cotización de proveedores</t>
        </is>
      </c>
    </row>
    <row r="1310">
      <c r="A1310" s="7" t="inlineStr">
        <is>
          <t>MAT-30-018</t>
        </is>
      </c>
      <c r="B1310" s="7" t="inlineStr">
        <is>
          <t>Materiales</t>
        </is>
      </c>
      <c r="C1310" s="7" t="inlineStr">
        <is>
          <t>Cableado estructurado y redes</t>
        </is>
      </c>
      <c r="D1310" s="5" t="inlineStr">
        <is>
          <t>Cable, 6 Fiber, Xglo, Singlemode</t>
        </is>
      </c>
      <c r="E1310" s="5" t="inlineStr">
        <is>
          <t>marca SIEMON · fibra optica · referencia 9GD8P006D-E201A</t>
        </is>
      </c>
      <c r="F1310" s="5" t="inlineStr">
        <is>
          <t>Material retirado en almacén</t>
        </is>
      </c>
      <c r="G1310" s="5" t="inlineStr"/>
      <c r="H1310" s="7" t="inlineStr">
        <is>
          <t>unidad</t>
        </is>
      </c>
      <c r="I1310" s="7" t="inlineStr">
        <is>
          <t>Instalaciones</t>
        </is>
      </c>
      <c r="J1310" s="7" t="inlineStr">
        <is>
          <t>estandar</t>
        </is>
      </c>
      <c r="K1310" s="7" t="inlineStr">
        <is>
          <t>importado</t>
        </is>
      </c>
      <c r="L1310" s="7" t="inlineStr">
        <is>
          <t>Verificado</t>
        </is>
      </c>
      <c r="M1310" s="8" t="n">
        <v>1</v>
      </c>
      <c r="N1310" s="9" t="n">
        <v>437</v>
      </c>
      <c r="O1310" s="9" t="n">
        <v>437</v>
      </c>
      <c r="P1310" s="9" t="n">
        <v>437</v>
      </c>
      <c r="Q1310" s="7" t="inlineStr">
        <is>
          <t>Sí</t>
        </is>
      </c>
      <c r="R1310" s="9">
        <f>IF(N1310="","",IF(Q1310="Sí",ROUND(N1310/1.18,2),N1310))</f>
        <v/>
      </c>
      <c r="S1310" s="7" t="inlineStr">
        <is>
          <t>2026-09-09</t>
        </is>
      </c>
      <c r="T1310" s="5" t="inlineStr">
        <is>
          <t>1 cotización de proveedores</t>
        </is>
      </c>
    </row>
    <row r="1311">
      <c r="A1311" s="7" t="inlineStr">
        <is>
          <t>MAT-30-019</t>
        </is>
      </c>
      <c r="B1311" s="7" t="inlineStr">
        <is>
          <t>Materiales</t>
        </is>
      </c>
      <c r="C1311" s="7" t="inlineStr">
        <is>
          <t>Cableado estructurado y redes</t>
        </is>
      </c>
      <c r="D1311" s="5" t="inlineStr">
        <is>
          <t>Cable Audio 2 x 0.75+4 x 2X0.22</t>
        </is>
      </c>
      <c r="E1311" s="5" t="inlineStr">
        <is>
          <t>marca TUTONDO · cable de audio · referencia TUC52TST</t>
        </is>
      </c>
      <c r="F1311" s="5" t="inlineStr">
        <is>
          <t>Material retirado en almacén</t>
        </is>
      </c>
      <c r="G1311" s="5" t="inlineStr"/>
      <c r="H1311" s="7" t="inlineStr">
        <is>
          <t>unidad</t>
        </is>
      </c>
      <c r="I1311" s="7" t="inlineStr">
        <is>
          <t>Instalaciones</t>
        </is>
      </c>
      <c r="J1311" s="7" t="inlineStr">
        <is>
          <t>estandar</t>
        </is>
      </c>
      <c r="K1311" s="7" t="inlineStr">
        <is>
          <t>importado</t>
        </is>
      </c>
      <c r="L1311" s="7" t="inlineStr">
        <is>
          <t>Verificado</t>
        </is>
      </c>
      <c r="M1311" s="8" t="n">
        <v>1</v>
      </c>
      <c r="N1311" s="9" t="n">
        <v>617.2</v>
      </c>
      <c r="O1311" s="9" t="n">
        <v>617.2</v>
      </c>
      <c r="P1311" s="9" t="n">
        <v>617.2</v>
      </c>
      <c r="Q1311" s="7" t="inlineStr">
        <is>
          <t>Sí</t>
        </is>
      </c>
      <c r="R1311" s="9">
        <f>IF(N1311="","",IF(Q1311="Sí",ROUND(N1311/1.18,2),N1311))</f>
        <v/>
      </c>
      <c r="S1311" s="7" t="inlineStr">
        <is>
          <t>2026-09-09</t>
        </is>
      </c>
      <c r="T1311" s="5" t="inlineStr">
        <is>
          <t>1 cotización de proveedores</t>
        </is>
      </c>
    </row>
    <row r="1312">
      <c r="A1312" s="7" t="inlineStr">
        <is>
          <t>MAT-30-020</t>
        </is>
      </c>
      <c r="B1312" s="7" t="inlineStr">
        <is>
          <t>Materiales</t>
        </is>
      </c>
      <c r="C1312" s="7" t="inlineStr">
        <is>
          <t>Cableado estructurado y redes</t>
        </is>
      </c>
      <c r="D1312" s="5" t="inlineStr">
        <is>
          <t>Cable UTP blanco Blindado Cat 5E 24 / 4</t>
        </is>
      </c>
      <c r="E1312" s="5" t="inlineStr">
        <is>
          <t>marca STEREN · utp (redes) · referencia FTP5E-305</t>
        </is>
      </c>
      <c r="F1312" s="5" t="inlineStr">
        <is>
          <t>Material retirado en almacén</t>
        </is>
      </c>
      <c r="G1312" s="5" t="inlineStr"/>
      <c r="H1312" s="7" t="inlineStr">
        <is>
          <t>unidad</t>
        </is>
      </c>
      <c r="I1312" s="7" t="inlineStr">
        <is>
          <t>Instalaciones</t>
        </is>
      </c>
      <c r="J1312" s="7" t="inlineStr">
        <is>
          <t>estandar</t>
        </is>
      </c>
      <c r="K1312" s="7" t="inlineStr">
        <is>
          <t>importado</t>
        </is>
      </c>
      <c r="L1312" s="7" t="inlineStr">
        <is>
          <t>Verificado</t>
        </is>
      </c>
      <c r="M1312" s="8" t="n">
        <v>1</v>
      </c>
      <c r="N1312" s="9" t="n">
        <v>813.6</v>
      </c>
      <c r="O1312" s="9" t="n">
        <v>813.6</v>
      </c>
      <c r="P1312" s="9" t="n">
        <v>813.6</v>
      </c>
      <c r="Q1312" s="7" t="inlineStr">
        <is>
          <t>Sí</t>
        </is>
      </c>
      <c r="R1312" s="9">
        <f>IF(N1312="","",IF(Q1312="Sí",ROUND(N1312/1.18,2),N1312))</f>
        <v/>
      </c>
      <c r="S1312" s="7" t="inlineStr">
        <is>
          <t>2026-09-09</t>
        </is>
      </c>
      <c r="T1312" s="5" t="inlineStr">
        <is>
          <t>1 cotización de proveedores</t>
        </is>
      </c>
    </row>
    <row r="1313">
      <c r="A1313" s="7" t="inlineStr">
        <is>
          <t>MAT-30-021</t>
        </is>
      </c>
      <c r="B1313" s="7" t="inlineStr">
        <is>
          <t>Materiales</t>
        </is>
      </c>
      <c r="C1313" s="7" t="inlineStr">
        <is>
          <t>Cableado estructurado y redes</t>
        </is>
      </c>
      <c r="D1313" s="5" t="inlineStr">
        <is>
          <t>Cable telefónico 2 x 18 AWG Gris Blindado</t>
        </is>
      </c>
      <c r="E1313" s="5" t="inlineStr">
        <is>
          <t>marca STEREN · cable de telefono · referencia M-02X18MM</t>
        </is>
      </c>
      <c r="F1313" s="5" t="inlineStr">
        <is>
          <t>Material retirado en almacén</t>
        </is>
      </c>
      <c r="G1313" s="5" t="inlineStr"/>
      <c r="H1313" s="7" t="inlineStr">
        <is>
          <t>unidad</t>
        </is>
      </c>
      <c r="I1313" s="7" t="inlineStr">
        <is>
          <t>Instalaciones</t>
        </is>
      </c>
      <c r="J1313" s="7" t="inlineStr">
        <is>
          <t>estandar</t>
        </is>
      </c>
      <c r="K1313" s="7" t="inlineStr">
        <is>
          <t>importado</t>
        </is>
      </c>
      <c r="L1313" s="7" t="inlineStr">
        <is>
          <t>Verificado</t>
        </is>
      </c>
      <c r="M1313" s="8" t="n">
        <v>1</v>
      </c>
      <c r="N1313" s="9" t="n">
        <v>1675.6</v>
      </c>
      <c r="O1313" s="9" t="n">
        <v>1675.6</v>
      </c>
      <c r="P1313" s="9" t="n">
        <v>1675.6</v>
      </c>
      <c r="Q1313" s="7" t="inlineStr">
        <is>
          <t>Sí</t>
        </is>
      </c>
      <c r="R1313" s="9">
        <f>IF(N1313="","",IF(Q1313="Sí",ROUND(N1313/1.18,2),N1313))</f>
        <v/>
      </c>
      <c r="S1313" s="7" t="inlineStr">
        <is>
          <t>2026-09-09</t>
        </is>
      </c>
      <c r="T1313" s="5" t="inlineStr">
        <is>
          <t>1 cotización de proveedores</t>
        </is>
      </c>
    </row>
    <row r="1314">
      <c r="A1314" s="7" t="inlineStr">
        <is>
          <t>MAT-30-022</t>
        </is>
      </c>
      <c r="B1314" s="7" t="inlineStr">
        <is>
          <t>Materiales</t>
        </is>
      </c>
      <c r="C1314" s="7" t="inlineStr">
        <is>
          <t>Cableado estructurado y redes</t>
        </is>
      </c>
      <c r="D1314" s="5" t="inlineStr">
        <is>
          <t>Cable UTP-Cat 5E 1 Ft Snagless</t>
        </is>
      </c>
      <c r="E1314" s="5" t="inlineStr">
        <is>
          <t>marca ORTRONICS · utp (redes) · referencia 24814</t>
        </is>
      </c>
      <c r="F1314" s="5" t="inlineStr">
        <is>
          <t>Material retirado en almacén</t>
        </is>
      </c>
      <c r="G1314" s="5" t="inlineStr"/>
      <c r="H1314" s="7" t="inlineStr">
        <is>
          <t>unidad</t>
        </is>
      </c>
      <c r="I1314" s="7" t="inlineStr">
        <is>
          <t>Instalaciones</t>
        </is>
      </c>
      <c r="J1314" s="7" t="inlineStr">
        <is>
          <t>estandar</t>
        </is>
      </c>
      <c r="K1314" s="7" t="inlineStr">
        <is>
          <t>importado</t>
        </is>
      </c>
      <c r="L1314" s="7" t="inlineStr">
        <is>
          <t>Verificado</t>
        </is>
      </c>
      <c r="M1314" s="8" t="n">
        <v>1</v>
      </c>
      <c r="N1314" s="9" t="n">
        <v>125.64</v>
      </c>
      <c r="O1314" s="9" t="n">
        <v>125.64</v>
      </c>
      <c r="P1314" s="9" t="n">
        <v>125.64</v>
      </c>
      <c r="Q1314" s="7" t="inlineStr">
        <is>
          <t>Sí</t>
        </is>
      </c>
      <c r="R1314" s="9">
        <f>IF(N1314="","",IF(Q1314="Sí",ROUND(N1314/1.18,2),N1314))</f>
        <v/>
      </c>
      <c r="S1314" s="7" t="inlineStr">
        <is>
          <t>2026-09-09</t>
        </is>
      </c>
      <c r="T1314" s="5" t="inlineStr">
        <is>
          <t>1 cotización de proveedores</t>
        </is>
      </c>
    </row>
    <row r="1315">
      <c r="A1315" s="7" t="inlineStr">
        <is>
          <t>MAT-30-023</t>
        </is>
      </c>
      <c r="B1315" s="7" t="inlineStr">
        <is>
          <t>Materiales</t>
        </is>
      </c>
      <c r="C1315" s="7" t="inlineStr">
        <is>
          <t>Cableado estructurado y redes</t>
        </is>
      </c>
      <c r="D1315" s="5" t="inlineStr">
        <is>
          <t>Cable Hdmi 15'</t>
        </is>
      </c>
      <c r="E1315" s="5" t="inlineStr">
        <is>
          <t>marca NETCOMLAB · hdmi · referencia CMP-10552</t>
        </is>
      </c>
      <c r="F1315" s="5" t="inlineStr">
        <is>
          <t>Material retirado en almacén</t>
        </is>
      </c>
      <c r="G1315" s="5" t="inlineStr"/>
      <c r="H1315" s="7" t="inlineStr">
        <is>
          <t>unidad</t>
        </is>
      </c>
      <c r="I1315" s="7" t="inlineStr">
        <is>
          <t>Instalaciones</t>
        </is>
      </c>
      <c r="J1315" s="7" t="inlineStr">
        <is>
          <t>estandar</t>
        </is>
      </c>
      <c r="K1315" s="7" t="inlineStr">
        <is>
          <t>importado</t>
        </is>
      </c>
      <c r="L1315" s="7" t="inlineStr">
        <is>
          <t>Verificado</t>
        </is>
      </c>
      <c r="M1315" s="8" t="n">
        <v>1</v>
      </c>
      <c r="N1315" s="9" t="n">
        <v>163.92</v>
      </c>
      <c r="O1315" s="9" t="n">
        <v>163.92</v>
      </c>
      <c r="P1315" s="9" t="n">
        <v>163.92</v>
      </c>
      <c r="Q1315" s="7" t="inlineStr">
        <is>
          <t>Sí</t>
        </is>
      </c>
      <c r="R1315" s="9">
        <f>IF(N1315="","",IF(Q1315="Sí",ROUND(N1315/1.18,2),N1315))</f>
        <v/>
      </c>
      <c r="S1315" s="7" t="inlineStr">
        <is>
          <t>2026-09-09</t>
        </is>
      </c>
      <c r="T1315" s="5" t="inlineStr">
        <is>
          <t>1 cotización de proveedores</t>
        </is>
      </c>
    </row>
    <row r="1316">
      <c r="A1316" s="7" t="inlineStr">
        <is>
          <t>MAT-30-024</t>
        </is>
      </c>
      <c r="B1316" s="7" t="inlineStr">
        <is>
          <t>Materiales</t>
        </is>
      </c>
      <c r="C1316" s="7" t="inlineStr">
        <is>
          <t>Cableado estructurado y redes</t>
        </is>
      </c>
      <c r="D1316" s="5" t="inlineStr">
        <is>
          <t>Cable Hdmi 10' 1.3 Mt 1002048</t>
        </is>
      </c>
      <c r="E1316" s="5" t="inlineStr">
        <is>
          <t>marca NETCOMLAB · hdmi · referencia CMP-10551</t>
        </is>
      </c>
      <c r="F1316" s="5" t="inlineStr">
        <is>
          <t>Material retirado en almacén</t>
        </is>
      </c>
      <c r="G1316" s="5" t="inlineStr"/>
      <c r="H1316" s="7" t="inlineStr">
        <is>
          <t>unidad</t>
        </is>
      </c>
      <c r="I1316" s="7" t="inlineStr">
        <is>
          <t>Instalaciones</t>
        </is>
      </c>
      <c r="J1316" s="7" t="inlineStr">
        <is>
          <t>estandar</t>
        </is>
      </c>
      <c r="K1316" s="7" t="inlineStr">
        <is>
          <t>importado</t>
        </is>
      </c>
      <c r="L1316" s="7" t="inlineStr">
        <is>
          <t>Verificado</t>
        </is>
      </c>
      <c r="M1316" s="8" t="n">
        <v>1</v>
      </c>
      <c r="N1316" s="9" t="n">
        <v>192.95</v>
      </c>
      <c r="O1316" s="9" t="n">
        <v>192.95</v>
      </c>
      <c r="P1316" s="9" t="n">
        <v>192.95</v>
      </c>
      <c r="Q1316" s="7" t="inlineStr">
        <is>
          <t>Sí</t>
        </is>
      </c>
      <c r="R1316" s="9">
        <f>IF(N1316="","",IF(Q1316="Sí",ROUND(N1316/1.18,2),N1316))</f>
        <v/>
      </c>
      <c r="S1316" s="7" t="inlineStr">
        <is>
          <t>2026-09-09</t>
        </is>
      </c>
      <c r="T1316" s="5" t="inlineStr">
        <is>
          <t>1 cotización de proveedores</t>
        </is>
      </c>
    </row>
    <row r="1317">
      <c r="A1317" s="7" t="inlineStr">
        <is>
          <t>MAT-30-025</t>
        </is>
      </c>
      <c r="B1317" s="7" t="inlineStr">
        <is>
          <t>Materiales</t>
        </is>
      </c>
      <c r="C1317" s="7" t="inlineStr">
        <is>
          <t>Cableado estructurado y redes</t>
        </is>
      </c>
      <c r="D1317" s="5" t="inlineStr">
        <is>
          <t>Cable Hdmi 1080P 6'</t>
        </is>
      </c>
      <c r="E1317" s="5" t="inlineStr">
        <is>
          <t>marca ROCKWELL · hdmi · referencia E40053</t>
        </is>
      </c>
      <c r="F1317" s="5" t="inlineStr">
        <is>
          <t>Material retirado en almacén</t>
        </is>
      </c>
      <c r="G1317" s="5" t="inlineStr"/>
      <c r="H1317" s="7" t="inlineStr">
        <is>
          <t>unidad</t>
        </is>
      </c>
      <c r="I1317" s="7" t="inlineStr">
        <is>
          <t>Instalaciones</t>
        </is>
      </c>
      <c r="J1317" s="7" t="inlineStr">
        <is>
          <t>estandar</t>
        </is>
      </c>
      <c r="K1317" s="7" t="inlineStr">
        <is>
          <t>importado</t>
        </is>
      </c>
      <c r="L1317" s="7" t="inlineStr">
        <is>
          <t>Verificado</t>
        </is>
      </c>
      <c r="M1317" s="8" t="n">
        <v>1</v>
      </c>
      <c r="N1317" s="9" t="n">
        <v>197.11</v>
      </c>
      <c r="O1317" s="9" t="n">
        <v>197.11</v>
      </c>
      <c r="P1317" s="9" t="n">
        <v>197.11</v>
      </c>
      <c r="Q1317" s="7" t="inlineStr">
        <is>
          <t>Sí</t>
        </is>
      </c>
      <c r="R1317" s="9">
        <f>IF(N1317="","",IF(Q1317="Sí",ROUND(N1317/1.18,2),N1317))</f>
        <v/>
      </c>
      <c r="S1317" s="7" t="inlineStr">
        <is>
          <t>2026-09-09</t>
        </is>
      </c>
      <c r="T1317" s="5" t="inlineStr">
        <is>
          <t>1 cotización de proveedores</t>
        </is>
      </c>
    </row>
    <row r="1318">
      <c r="A1318" s="7" t="inlineStr">
        <is>
          <t>MAT-30-026</t>
        </is>
      </c>
      <c r="B1318" s="7" t="inlineStr">
        <is>
          <t>Materiales</t>
        </is>
      </c>
      <c r="C1318" s="7" t="inlineStr">
        <is>
          <t>Cableado estructurado y redes</t>
        </is>
      </c>
      <c r="D1318" s="5" t="inlineStr">
        <is>
          <t>Cable Hdmi 1.8 Mts</t>
        </is>
      </c>
      <c r="E1318" s="5" t="inlineStr">
        <is>
          <t>marca UNNO · hdmi · referencia CB4106BK</t>
        </is>
      </c>
      <c r="F1318" s="5" t="inlineStr">
        <is>
          <t>Material retirado en almacén</t>
        </is>
      </c>
      <c r="G1318" s="5" t="inlineStr"/>
      <c r="H1318" s="7" t="inlineStr">
        <is>
          <t>unidad</t>
        </is>
      </c>
      <c r="I1318" s="7" t="inlineStr">
        <is>
          <t>Instalaciones</t>
        </is>
      </c>
      <c r="J1318" s="7" t="inlineStr">
        <is>
          <t>estandar</t>
        </is>
      </c>
      <c r="K1318" s="7" t="inlineStr">
        <is>
          <t>importado</t>
        </is>
      </c>
      <c r="L1318" s="7" t="inlineStr">
        <is>
          <t>Verificado</t>
        </is>
      </c>
      <c r="M1318" s="8" t="n">
        <v>1</v>
      </c>
      <c r="N1318" s="9" t="n">
        <v>201.04</v>
      </c>
      <c r="O1318" s="9" t="n">
        <v>201.04</v>
      </c>
      <c r="P1318" s="9" t="n">
        <v>201.04</v>
      </c>
      <c r="Q1318" s="7" t="inlineStr">
        <is>
          <t>Sí</t>
        </is>
      </c>
      <c r="R1318" s="9">
        <f>IF(N1318="","",IF(Q1318="Sí",ROUND(N1318/1.18,2),N1318))</f>
        <v/>
      </c>
      <c r="S1318" s="7" t="inlineStr">
        <is>
          <t>2026-09-09</t>
        </is>
      </c>
      <c r="T1318" s="5" t="inlineStr">
        <is>
          <t>1 cotización de proveedores</t>
        </is>
      </c>
    </row>
    <row r="1319">
      <c r="A1319" s="7" t="inlineStr">
        <is>
          <t>MAT-30-027</t>
        </is>
      </c>
      <c r="B1319" s="7" t="inlineStr">
        <is>
          <t>Materiales</t>
        </is>
      </c>
      <c r="C1319" s="7" t="inlineStr">
        <is>
          <t>Cableado estructurado y redes</t>
        </is>
      </c>
      <c r="D1319" s="5" t="inlineStr">
        <is>
          <t>Cordon De Parcheo 3' Cat 6 blanco</t>
        </is>
      </c>
      <c r="E1319" s="5" t="inlineStr">
        <is>
          <t>marca SIEMON · de red · referencia MC06-03-02</t>
        </is>
      </c>
      <c r="F1319" s="5" t="inlineStr">
        <is>
          <t>Material retirado en almacén</t>
        </is>
      </c>
      <c r="G1319" s="5" t="inlineStr"/>
      <c r="H1319" s="7" t="inlineStr">
        <is>
          <t>unidad</t>
        </is>
      </c>
      <c r="I1319" s="7" t="inlineStr">
        <is>
          <t>Instalaciones</t>
        </is>
      </c>
      <c r="J1319" s="7" t="inlineStr">
        <is>
          <t>estandar</t>
        </is>
      </c>
      <c r="K1319" s="7" t="inlineStr">
        <is>
          <t>importado</t>
        </is>
      </c>
      <c r="L1319" s="7" t="inlineStr">
        <is>
          <t>Verificado</t>
        </is>
      </c>
      <c r="M1319" s="8" t="n">
        <v>1</v>
      </c>
      <c r="N1319" s="9" t="n">
        <v>215.49</v>
      </c>
      <c r="O1319" s="9" t="n">
        <v>215.49</v>
      </c>
      <c r="P1319" s="9" t="n">
        <v>215.49</v>
      </c>
      <c r="Q1319" s="7" t="inlineStr">
        <is>
          <t>Sí</t>
        </is>
      </c>
      <c r="R1319" s="9">
        <f>IF(N1319="","",IF(Q1319="Sí",ROUND(N1319/1.18,2),N1319))</f>
        <v/>
      </c>
      <c r="S1319" s="7" t="inlineStr">
        <is>
          <t>2026-09-09</t>
        </is>
      </c>
      <c r="T1319" s="5" t="inlineStr">
        <is>
          <t>1 cotización de proveedores</t>
        </is>
      </c>
    </row>
    <row r="1320">
      <c r="A1320" s="7" t="inlineStr">
        <is>
          <t>MAT-30-028</t>
        </is>
      </c>
      <c r="B1320" s="7" t="inlineStr">
        <is>
          <t>Materiales</t>
        </is>
      </c>
      <c r="C1320" s="7" t="inlineStr">
        <is>
          <t>Cableado estructurado y redes</t>
        </is>
      </c>
      <c r="D1320" s="5" t="inlineStr">
        <is>
          <t>Cordon De Parcheo 3' Cat 6 Azul</t>
        </is>
      </c>
      <c r="E1320" s="5" t="inlineStr">
        <is>
          <t>marca SIEMON · de red · referencia MC06-03-06</t>
        </is>
      </c>
      <c r="F1320" s="5" t="inlineStr">
        <is>
          <t>Material retirado en almacén</t>
        </is>
      </c>
      <c r="G1320" s="5" t="inlineStr"/>
      <c r="H1320" s="7" t="inlineStr">
        <is>
          <t>unidad</t>
        </is>
      </c>
      <c r="I1320" s="7" t="inlineStr">
        <is>
          <t>Instalaciones</t>
        </is>
      </c>
      <c r="J1320" s="7" t="inlineStr">
        <is>
          <t>estandar</t>
        </is>
      </c>
      <c r="K1320" s="7" t="inlineStr">
        <is>
          <t>importado</t>
        </is>
      </c>
      <c r="L1320" s="7" t="inlineStr">
        <is>
          <t>Verificado</t>
        </is>
      </c>
      <c r="M1320" s="8" t="n">
        <v>1</v>
      </c>
      <c r="N1320" s="9" t="n">
        <v>215.59</v>
      </c>
      <c r="O1320" s="9" t="n">
        <v>215.59</v>
      </c>
      <c r="P1320" s="9" t="n">
        <v>215.59</v>
      </c>
      <c r="Q1320" s="7" t="inlineStr">
        <is>
          <t>Sí</t>
        </is>
      </c>
      <c r="R1320" s="9">
        <f>IF(N1320="","",IF(Q1320="Sí",ROUND(N1320/1.18,2),N1320))</f>
        <v/>
      </c>
      <c r="S1320" s="7" t="inlineStr">
        <is>
          <t>2026-09-09</t>
        </is>
      </c>
      <c r="T1320" s="5" t="inlineStr">
        <is>
          <t>1 cotización de proveedores</t>
        </is>
      </c>
    </row>
    <row r="1321">
      <c r="A1321" s="7" t="inlineStr">
        <is>
          <t>MAT-30-029</t>
        </is>
      </c>
      <c r="B1321" s="7" t="inlineStr">
        <is>
          <t>Materiales</t>
        </is>
      </c>
      <c r="C1321" s="7" t="inlineStr">
        <is>
          <t>Cableado estructurado y redes</t>
        </is>
      </c>
      <c r="D1321" s="5" t="inlineStr">
        <is>
          <t>Cordon De Parcheo 5' Cat 6 Azul</t>
        </is>
      </c>
      <c r="E1321" s="5" t="inlineStr">
        <is>
          <t>marca SIEMON · de red · referencia MC06-05-06</t>
        </is>
      </c>
      <c r="F1321" s="5" t="inlineStr">
        <is>
          <t>Material retirado en almacén</t>
        </is>
      </c>
      <c r="G1321" s="5" t="inlineStr"/>
      <c r="H1321" s="7" t="inlineStr">
        <is>
          <t>unidad</t>
        </is>
      </c>
      <c r="I1321" s="7" t="inlineStr">
        <is>
          <t>Instalaciones</t>
        </is>
      </c>
      <c r="J1321" s="7" t="inlineStr">
        <is>
          <t>estandar</t>
        </is>
      </c>
      <c r="K1321" s="7" t="inlineStr">
        <is>
          <t>importado</t>
        </is>
      </c>
      <c r="L1321" s="7" t="inlineStr">
        <is>
          <t>Verificado</t>
        </is>
      </c>
      <c r="M1321" s="8" t="n">
        <v>1</v>
      </c>
      <c r="N1321" s="9" t="n">
        <v>240.65</v>
      </c>
      <c r="O1321" s="9" t="n">
        <v>240.65</v>
      </c>
      <c r="P1321" s="9" t="n">
        <v>240.65</v>
      </c>
      <c r="Q1321" s="7" t="inlineStr">
        <is>
          <t>Sí</t>
        </is>
      </c>
      <c r="R1321" s="9">
        <f>IF(N1321="","",IF(Q1321="Sí",ROUND(N1321/1.18,2),N1321))</f>
        <v/>
      </c>
      <c r="S1321" s="7" t="inlineStr">
        <is>
          <t>2026-09-09</t>
        </is>
      </c>
      <c r="T1321" s="5" t="inlineStr">
        <is>
          <t>1 cotización de proveedores</t>
        </is>
      </c>
    </row>
    <row r="1322">
      <c r="A1322" s="7" t="inlineStr">
        <is>
          <t>MAT-30-030</t>
        </is>
      </c>
      <c r="B1322" s="7" t="inlineStr">
        <is>
          <t>Materiales</t>
        </is>
      </c>
      <c r="C1322" s="7" t="inlineStr">
        <is>
          <t>Cableado estructurado y redes</t>
        </is>
      </c>
      <c r="D1322" s="5" t="inlineStr">
        <is>
          <t>Cordon De Parcheo 5' Cat 6 blanco</t>
        </is>
      </c>
      <c r="E1322" s="5" t="inlineStr">
        <is>
          <t>marca SIEMON · de red · referencia MC06-05-02-28</t>
        </is>
      </c>
      <c r="F1322" s="5" t="inlineStr">
        <is>
          <t>Material retirado en almacén</t>
        </is>
      </c>
      <c r="G1322" s="5" t="inlineStr"/>
      <c r="H1322" s="7" t="inlineStr">
        <is>
          <t>unidad</t>
        </is>
      </c>
      <c r="I1322" s="7" t="inlineStr">
        <is>
          <t>Instalaciones</t>
        </is>
      </c>
      <c r="J1322" s="7" t="inlineStr">
        <is>
          <t>estandar</t>
        </is>
      </c>
      <c r="K1322" s="7" t="inlineStr">
        <is>
          <t>importado</t>
        </is>
      </c>
      <c r="L1322" s="7" t="inlineStr">
        <is>
          <t>Verificado</t>
        </is>
      </c>
      <c r="M1322" s="8" t="n">
        <v>1</v>
      </c>
      <c r="N1322" s="9" t="n">
        <v>241.04</v>
      </c>
      <c r="O1322" s="9" t="n">
        <v>240.65</v>
      </c>
      <c r="P1322" s="9" t="n">
        <v>241.43</v>
      </c>
      <c r="Q1322" s="7" t="inlineStr">
        <is>
          <t>Sí</t>
        </is>
      </c>
      <c r="R1322" s="9">
        <f>IF(N1322="","",IF(Q1322="Sí",ROUND(N1322/1.18,2),N1322))</f>
        <v/>
      </c>
      <c r="S1322" s="7" t="inlineStr">
        <is>
          <t>2026-09-09</t>
        </is>
      </c>
      <c r="T1322" s="5" t="inlineStr">
        <is>
          <t>2 cotizaciones de proveedores</t>
        </is>
      </c>
    </row>
    <row r="1323">
      <c r="A1323" s="7" t="inlineStr">
        <is>
          <t>MAT-30-031</t>
        </is>
      </c>
      <c r="B1323" s="7" t="inlineStr">
        <is>
          <t>Materiales</t>
        </is>
      </c>
      <c r="C1323" s="7" t="inlineStr">
        <is>
          <t>Cableado estructurado y redes</t>
        </is>
      </c>
      <c r="D1323" s="5" t="inlineStr">
        <is>
          <t>Cable Hdmi 10'</t>
        </is>
      </c>
      <c r="E1323" s="5" t="inlineStr">
        <is>
          <t>marca UNNO · hdmi · referencia CB4110BK</t>
        </is>
      </c>
      <c r="F1323" s="5" t="inlineStr">
        <is>
          <t>Material retirado en almacén</t>
        </is>
      </c>
      <c r="G1323" s="5" t="inlineStr"/>
      <c r="H1323" s="7" t="inlineStr">
        <is>
          <t>unidad</t>
        </is>
      </c>
      <c r="I1323" s="7" t="inlineStr">
        <is>
          <t>Instalaciones</t>
        </is>
      </c>
      <c r="J1323" s="7" t="inlineStr">
        <is>
          <t>estandar</t>
        </is>
      </c>
      <c r="K1323" s="7" t="inlineStr">
        <is>
          <t>importado</t>
        </is>
      </c>
      <c r="L1323" s="7" t="inlineStr">
        <is>
          <t>Verificado</t>
        </is>
      </c>
      <c r="M1323" s="8" t="n">
        <v>1</v>
      </c>
      <c r="N1323" s="9" t="n">
        <v>248.21</v>
      </c>
      <c r="O1323" s="9" t="n">
        <v>248.21</v>
      </c>
      <c r="P1323" s="9" t="n">
        <v>248.21</v>
      </c>
      <c r="Q1323" s="7" t="inlineStr">
        <is>
          <t>Sí</t>
        </is>
      </c>
      <c r="R1323" s="9">
        <f>IF(N1323="","",IF(Q1323="Sí",ROUND(N1323/1.18,2),N1323))</f>
        <v/>
      </c>
      <c r="S1323" s="7" t="inlineStr">
        <is>
          <t>2026-09-09</t>
        </is>
      </c>
      <c r="T1323" s="5" t="inlineStr">
        <is>
          <t>1 cotización de proveedores</t>
        </is>
      </c>
    </row>
    <row r="1324">
      <c r="A1324" s="7" t="inlineStr">
        <is>
          <t>MAT-30-032</t>
        </is>
      </c>
      <c r="B1324" s="7" t="inlineStr">
        <is>
          <t>Materiales</t>
        </is>
      </c>
      <c r="C1324" s="7" t="inlineStr">
        <is>
          <t>Cableado estructurado y redes</t>
        </is>
      </c>
      <c r="D1324" s="5" t="inlineStr">
        <is>
          <t>Cable Conexión Ethernet Cat 6 25' 7.5M</t>
        </is>
      </c>
      <c r="E1324" s="5" t="inlineStr">
        <is>
          <t>marca UNNO · etherne · referencia CB4325GY</t>
        </is>
      </c>
      <c r="F1324" s="5" t="inlineStr">
        <is>
          <t>Material retirado en almacén</t>
        </is>
      </c>
      <c r="G1324" s="5" t="inlineStr"/>
      <c r="H1324" s="7" t="inlineStr">
        <is>
          <t>unidad</t>
        </is>
      </c>
      <c r="I1324" s="7" t="inlineStr">
        <is>
          <t>Instalaciones</t>
        </is>
      </c>
      <c r="J1324" s="7" t="inlineStr">
        <is>
          <t>estandar</t>
        </is>
      </c>
      <c r="K1324" s="7" t="inlineStr">
        <is>
          <t>importado</t>
        </is>
      </c>
      <c r="L1324" s="7" t="inlineStr">
        <is>
          <t>Verificado</t>
        </is>
      </c>
      <c r="M1324" s="8" t="n">
        <v>1</v>
      </c>
      <c r="N1324" s="9" t="n">
        <v>255.45</v>
      </c>
      <c r="O1324" s="9" t="n">
        <v>255.45</v>
      </c>
      <c r="P1324" s="9" t="n">
        <v>255.45</v>
      </c>
      <c r="Q1324" s="7" t="inlineStr">
        <is>
          <t>Sí</t>
        </is>
      </c>
      <c r="R1324" s="9">
        <f>IF(N1324="","",IF(Q1324="Sí",ROUND(N1324/1.18,2),N1324))</f>
        <v/>
      </c>
      <c r="S1324" s="7" t="inlineStr">
        <is>
          <t>2026-09-09</t>
        </is>
      </c>
      <c r="T1324" s="5" t="inlineStr">
        <is>
          <t>1 cotización de proveedores</t>
        </is>
      </c>
    </row>
    <row r="1325">
      <c r="A1325" s="7" t="inlineStr">
        <is>
          <t>MAT-30-033</t>
        </is>
      </c>
      <c r="B1325" s="7" t="inlineStr">
        <is>
          <t>Materiales</t>
        </is>
      </c>
      <c r="C1325" s="7" t="inlineStr">
        <is>
          <t>Cableado estructurado y redes</t>
        </is>
      </c>
      <c r="D1325" s="5" t="inlineStr">
        <is>
          <t>Cordon De Parcheo 7' Cat 6 Azul</t>
        </is>
      </c>
      <c r="E1325" s="5" t="inlineStr">
        <is>
          <t>marca SIEMON · de red · referencia MC06-07-06</t>
        </is>
      </c>
      <c r="F1325" s="5" t="inlineStr">
        <is>
          <t>Material retirado en almacén</t>
        </is>
      </c>
      <c r="G1325" s="5" t="inlineStr"/>
      <c r="H1325" s="7" t="inlineStr">
        <is>
          <t>unidad</t>
        </is>
      </c>
      <c r="I1325" s="7" t="inlineStr">
        <is>
          <t>Instalaciones</t>
        </is>
      </c>
      <c r="J1325" s="7" t="inlineStr">
        <is>
          <t>estandar</t>
        </is>
      </c>
      <c r="K1325" s="7" t="inlineStr">
        <is>
          <t>importado</t>
        </is>
      </c>
      <c r="L1325" s="7" t="inlineStr">
        <is>
          <t>Verificado</t>
        </is>
      </c>
      <c r="M1325" s="8" t="n">
        <v>1</v>
      </c>
      <c r="N1325" s="9" t="n">
        <v>260.47</v>
      </c>
      <c r="O1325" s="9" t="n">
        <v>260.47</v>
      </c>
      <c r="P1325" s="9" t="n">
        <v>260.47</v>
      </c>
      <c r="Q1325" s="7" t="inlineStr">
        <is>
          <t>Sí</t>
        </is>
      </c>
      <c r="R1325" s="9">
        <f>IF(N1325="","",IF(Q1325="Sí",ROUND(N1325/1.18,2),N1325))</f>
        <v/>
      </c>
      <c r="S1325" s="7" t="inlineStr">
        <is>
          <t>2026-09-09</t>
        </is>
      </c>
      <c r="T1325" s="5" t="inlineStr">
        <is>
          <t>1 cotización de proveedores</t>
        </is>
      </c>
    </row>
    <row r="1326">
      <c r="A1326" s="7" t="inlineStr">
        <is>
          <t>MAT-30-034</t>
        </is>
      </c>
      <c r="B1326" s="7" t="inlineStr">
        <is>
          <t>Materiales</t>
        </is>
      </c>
      <c r="C1326" s="7" t="inlineStr">
        <is>
          <t>Cableado estructurado y redes</t>
        </is>
      </c>
      <c r="D1326" s="5" t="inlineStr">
        <is>
          <t>Cordon De Parcheo 7' Cat 6 blanco</t>
        </is>
      </c>
      <c r="E1326" s="5" t="inlineStr">
        <is>
          <t>marca SIEMON · de red · referencia MC06-07-02</t>
        </is>
      </c>
      <c r="F1326" s="5" t="inlineStr">
        <is>
          <t>Material retirado en almacén</t>
        </is>
      </c>
      <c r="G1326" s="5" t="inlineStr"/>
      <c r="H1326" s="7" t="inlineStr">
        <is>
          <t>unidad</t>
        </is>
      </c>
      <c r="I1326" s="7" t="inlineStr">
        <is>
          <t>Instalaciones</t>
        </is>
      </c>
      <c r="J1326" s="7" t="inlineStr">
        <is>
          <t>estandar</t>
        </is>
      </c>
      <c r="K1326" s="7" t="inlineStr">
        <is>
          <t>importado</t>
        </is>
      </c>
      <c r="L1326" s="7" t="inlineStr">
        <is>
          <t>Verificado</t>
        </is>
      </c>
      <c r="M1326" s="8" t="n">
        <v>1</v>
      </c>
      <c r="N1326" s="9" t="n">
        <v>260.47</v>
      </c>
      <c r="O1326" s="9" t="n">
        <v>260.47</v>
      </c>
      <c r="P1326" s="9" t="n">
        <v>260.47</v>
      </c>
      <c r="Q1326" s="7" t="inlineStr">
        <is>
          <t>Sí</t>
        </is>
      </c>
      <c r="R1326" s="9">
        <f>IF(N1326="","",IF(Q1326="Sí",ROUND(N1326/1.18,2),N1326))</f>
        <v/>
      </c>
      <c r="S1326" s="7" t="inlineStr">
        <is>
          <t>2026-09-09</t>
        </is>
      </c>
      <c r="T1326" s="5" t="inlineStr">
        <is>
          <t>1 cotización de proveedores</t>
        </is>
      </c>
    </row>
    <row r="1327">
      <c r="A1327" s="7" t="inlineStr">
        <is>
          <t>MAT-30-035</t>
        </is>
      </c>
      <c r="B1327" s="7" t="inlineStr">
        <is>
          <t>Materiales</t>
        </is>
      </c>
      <c r="C1327" s="7" t="inlineStr">
        <is>
          <t>Cableado estructurado y redes</t>
        </is>
      </c>
      <c r="D1327" s="5" t="inlineStr">
        <is>
          <t>Cable Audio 3.5 Mm 2 Ra 12'</t>
        </is>
      </c>
      <c r="E1327" s="5" t="inlineStr">
        <is>
          <t>marca NETCOMLAB · cable de audio · referencia EXT-20500</t>
        </is>
      </c>
      <c r="F1327" s="5" t="inlineStr">
        <is>
          <t>Material retirado en almacén</t>
        </is>
      </c>
      <c r="G1327" s="5" t="inlineStr"/>
      <c r="H1327" s="7" t="inlineStr">
        <is>
          <t>unidad</t>
        </is>
      </c>
      <c r="I1327" s="7" t="inlineStr">
        <is>
          <t>Instalaciones</t>
        </is>
      </c>
      <c r="J1327" s="7" t="inlineStr">
        <is>
          <t>estandar</t>
        </is>
      </c>
      <c r="K1327" s="7" t="inlineStr">
        <is>
          <t>importado</t>
        </is>
      </c>
      <c r="L1327" s="7" t="inlineStr">
        <is>
          <t>Verificado</t>
        </is>
      </c>
      <c r="M1327" s="8" t="n">
        <v>1</v>
      </c>
      <c r="N1327" s="9" t="n">
        <v>264.7</v>
      </c>
      <c r="O1327" s="9" t="n">
        <v>264.7</v>
      </c>
      <c r="P1327" s="9" t="n">
        <v>264.7</v>
      </c>
      <c r="Q1327" s="7" t="inlineStr">
        <is>
          <t>Sí</t>
        </is>
      </c>
      <c r="R1327" s="9">
        <f>IF(N1327="","",IF(Q1327="Sí",ROUND(N1327/1.18,2),N1327))</f>
        <v/>
      </c>
      <c r="S1327" s="7" t="inlineStr">
        <is>
          <t>2026-09-09</t>
        </is>
      </c>
      <c r="T1327" s="5" t="inlineStr">
        <is>
          <t>1 cotización de proveedores</t>
        </is>
      </c>
    </row>
    <row r="1328">
      <c r="A1328" s="7" t="inlineStr">
        <is>
          <t>MAT-30-036</t>
        </is>
      </c>
      <c r="B1328" s="7" t="inlineStr">
        <is>
          <t>Materiales</t>
        </is>
      </c>
      <c r="C1328" s="7" t="inlineStr">
        <is>
          <t>Cableado estructurado y redes</t>
        </is>
      </c>
      <c r="D1328" s="5" t="inlineStr">
        <is>
          <t>Cable UTP-Cat 6 7 Ft Snagless</t>
        </is>
      </c>
      <c r="E1328" s="5" t="inlineStr">
        <is>
          <t>marca ORTRONICS · utp (redes) · referencia 27132</t>
        </is>
      </c>
      <c r="F1328" s="5" t="inlineStr">
        <is>
          <t>Material retirado en almacén</t>
        </is>
      </c>
      <c r="G1328" s="5" t="inlineStr"/>
      <c r="H1328" s="7" t="inlineStr">
        <is>
          <t>unidad</t>
        </is>
      </c>
      <c r="I1328" s="7" t="inlineStr">
        <is>
          <t>Instalaciones</t>
        </is>
      </c>
      <c r="J1328" s="7" t="inlineStr">
        <is>
          <t>estandar</t>
        </is>
      </c>
      <c r="K1328" s="7" t="inlineStr">
        <is>
          <t>importado</t>
        </is>
      </c>
      <c r="L1328" s="7" t="inlineStr">
        <is>
          <t>Verificado</t>
        </is>
      </c>
      <c r="M1328" s="8" t="n">
        <v>1</v>
      </c>
      <c r="N1328" s="9" t="n">
        <v>292.86</v>
      </c>
      <c r="O1328" s="9" t="n">
        <v>292.86</v>
      </c>
      <c r="P1328" s="9" t="n">
        <v>292.86</v>
      </c>
      <c r="Q1328" s="7" t="inlineStr">
        <is>
          <t>Sí</t>
        </is>
      </c>
      <c r="R1328" s="9">
        <f>IF(N1328="","",IF(Q1328="Sí",ROUND(N1328/1.18,2),N1328))</f>
        <v/>
      </c>
      <c r="S1328" s="7" t="inlineStr">
        <is>
          <t>2026-09-09</t>
        </is>
      </c>
      <c r="T1328" s="5" t="inlineStr">
        <is>
          <t>1 cotización de proveedores</t>
        </is>
      </c>
    </row>
    <row r="1329">
      <c r="A1329" s="7" t="inlineStr">
        <is>
          <t>MAT-30-037</t>
        </is>
      </c>
      <c r="B1329" s="7" t="inlineStr">
        <is>
          <t>Materiales</t>
        </is>
      </c>
      <c r="C1329" s="7" t="inlineStr">
        <is>
          <t>Cableado estructurado y redes</t>
        </is>
      </c>
      <c r="D1329" s="5" t="inlineStr">
        <is>
          <t>Cordon De Parcheo 10' Cat 6 blanco</t>
        </is>
      </c>
      <c r="E1329" s="5" t="inlineStr">
        <is>
          <t>marca SIEMON · de red · referencia MC06-10-02</t>
        </is>
      </c>
      <c r="F1329" s="5" t="inlineStr">
        <is>
          <t>Material retirado en almacén</t>
        </is>
      </c>
      <c r="G1329" s="5" t="inlineStr"/>
      <c r="H1329" s="7" t="inlineStr">
        <is>
          <t>unidad</t>
        </is>
      </c>
      <c r="I1329" s="7" t="inlineStr">
        <is>
          <t>Instalaciones</t>
        </is>
      </c>
      <c r="J1329" s="7" t="inlineStr">
        <is>
          <t>estandar</t>
        </is>
      </c>
      <c r="K1329" s="7" t="inlineStr">
        <is>
          <t>importado</t>
        </is>
      </c>
      <c r="L1329" s="7" t="inlineStr">
        <is>
          <t>Verificado</t>
        </is>
      </c>
      <c r="M1329" s="8" t="n">
        <v>1</v>
      </c>
      <c r="N1329" s="9" t="n">
        <v>298.26</v>
      </c>
      <c r="O1329" s="9" t="n">
        <v>298.26</v>
      </c>
      <c r="P1329" s="9" t="n">
        <v>298.26</v>
      </c>
      <c r="Q1329" s="7" t="inlineStr">
        <is>
          <t>Sí</t>
        </is>
      </c>
      <c r="R1329" s="9">
        <f>IF(N1329="","",IF(Q1329="Sí",ROUND(N1329/1.18,2),N1329))</f>
        <v/>
      </c>
      <c r="S1329" s="7" t="inlineStr">
        <is>
          <t>2026-09-09</t>
        </is>
      </c>
      <c r="T1329" s="5" t="inlineStr">
        <is>
          <t>1 cotización de proveedores</t>
        </is>
      </c>
    </row>
    <row r="1330">
      <c r="A1330" s="7" t="inlineStr">
        <is>
          <t>MAT-30-038</t>
        </is>
      </c>
      <c r="B1330" s="7" t="inlineStr">
        <is>
          <t>Materiales</t>
        </is>
      </c>
      <c r="C1330" s="7" t="inlineStr">
        <is>
          <t>Cableado estructurado y redes</t>
        </is>
      </c>
      <c r="D1330" s="5" t="inlineStr">
        <is>
          <t>Cable Hdmi V1.4. 15'</t>
        </is>
      </c>
      <c r="E1330" s="5" t="inlineStr">
        <is>
          <t>marca UNNO · hdmi · referencia CB4115BK</t>
        </is>
      </c>
      <c r="F1330" s="5" t="inlineStr">
        <is>
          <t>Material retirado en almacén</t>
        </is>
      </c>
      <c r="G1330" s="5" t="inlineStr"/>
      <c r="H1330" s="7" t="inlineStr">
        <is>
          <t>unidad</t>
        </is>
      </c>
      <c r="I1330" s="7" t="inlineStr">
        <is>
          <t>Instalaciones</t>
        </is>
      </c>
      <c r="J1330" s="7" t="inlineStr">
        <is>
          <t>estandar</t>
        </is>
      </c>
      <c r="K1330" s="7" t="inlineStr">
        <is>
          <t>importado</t>
        </is>
      </c>
      <c r="L1330" s="7" t="inlineStr">
        <is>
          <t>Verificado</t>
        </is>
      </c>
      <c r="M1330" s="8" t="n">
        <v>1</v>
      </c>
      <c r="N1330" s="9" t="n">
        <v>325.13</v>
      </c>
      <c r="O1330" s="9" t="n">
        <v>325.13</v>
      </c>
      <c r="P1330" s="9" t="n">
        <v>325.13</v>
      </c>
      <c r="Q1330" s="7" t="inlineStr">
        <is>
          <t>Sí</t>
        </is>
      </c>
      <c r="R1330" s="9">
        <f>IF(N1330="","",IF(Q1330="Sí",ROUND(N1330/1.18,2),N1330))</f>
        <v/>
      </c>
      <c r="S1330" s="7" t="inlineStr">
        <is>
          <t>2026-09-09</t>
        </is>
      </c>
      <c r="T1330" s="5" t="inlineStr">
        <is>
          <t>1 cotización de proveedores</t>
        </is>
      </c>
    </row>
    <row r="1331">
      <c r="A1331" s="7" t="inlineStr">
        <is>
          <t>MAT-30-039</t>
        </is>
      </c>
      <c r="B1331" s="7" t="inlineStr">
        <is>
          <t>Materiales</t>
        </is>
      </c>
      <c r="C1331" s="7" t="inlineStr">
        <is>
          <t>Cableado estructurado y redes</t>
        </is>
      </c>
      <c r="D1331" s="5" t="inlineStr">
        <is>
          <t>Cable Hdmi High Speed Hdtv</t>
        </is>
      </c>
      <c r="E1331" s="5" t="inlineStr">
        <is>
          <t>marca G. ELECTRIC · hdmi · referencia 33574</t>
        </is>
      </c>
      <c r="F1331" s="5" t="inlineStr">
        <is>
          <t>Material retirado en almacén</t>
        </is>
      </c>
      <c r="G1331" s="5" t="inlineStr"/>
      <c r="H1331" s="7" t="inlineStr">
        <is>
          <t>unidad</t>
        </is>
      </c>
      <c r="I1331" s="7" t="inlineStr">
        <is>
          <t>Instalaciones</t>
        </is>
      </c>
      <c r="J1331" s="7" t="inlineStr">
        <is>
          <t>estandar</t>
        </is>
      </c>
      <c r="K1331" s="7" t="inlineStr">
        <is>
          <t>importado</t>
        </is>
      </c>
      <c r="L1331" s="7" t="inlineStr">
        <is>
          <t>Verificado</t>
        </is>
      </c>
      <c r="M1331" s="8" t="n">
        <v>1</v>
      </c>
      <c r="N1331" s="9" t="n">
        <v>351.76</v>
      </c>
      <c r="O1331" s="9" t="n">
        <v>351.76</v>
      </c>
      <c r="P1331" s="9" t="n">
        <v>351.76</v>
      </c>
      <c r="Q1331" s="7" t="inlineStr">
        <is>
          <t>Sí</t>
        </is>
      </c>
      <c r="R1331" s="9">
        <f>IF(N1331="","",IF(Q1331="Sí",ROUND(N1331/1.18,2),N1331))</f>
        <v/>
      </c>
      <c r="S1331" s="7" t="inlineStr">
        <is>
          <t>2026-09-09</t>
        </is>
      </c>
      <c r="T1331" s="5" t="inlineStr">
        <is>
          <t>1 cotización de proveedores</t>
        </is>
      </c>
    </row>
    <row r="1332">
      <c r="A1332" s="7" t="inlineStr">
        <is>
          <t>MAT-30-040</t>
        </is>
      </c>
      <c r="B1332" s="7" t="inlineStr">
        <is>
          <t>Materiales</t>
        </is>
      </c>
      <c r="C1332" s="7" t="inlineStr">
        <is>
          <t>Cableado estructurado y redes</t>
        </is>
      </c>
      <c r="D1332" s="5" t="inlineStr">
        <is>
          <t>Cordon De Parcheo 15' Cat 6 blanco</t>
        </is>
      </c>
      <c r="E1332" s="5" t="inlineStr">
        <is>
          <t>marca SIEMON · de red · referencia MC06-15-02</t>
        </is>
      </c>
      <c r="F1332" s="5" t="inlineStr">
        <is>
          <t>Material retirado en almacén</t>
        </is>
      </c>
      <c r="G1332" s="5" t="inlineStr"/>
      <c r="H1332" s="7" t="inlineStr">
        <is>
          <t>unidad</t>
        </is>
      </c>
      <c r="I1332" s="7" t="inlineStr">
        <is>
          <t>Instalaciones</t>
        </is>
      </c>
      <c r="J1332" s="7" t="inlineStr">
        <is>
          <t>estandar</t>
        </is>
      </c>
      <c r="K1332" s="7" t="inlineStr">
        <is>
          <t>importado</t>
        </is>
      </c>
      <c r="L1332" s="7" t="inlineStr">
        <is>
          <t>Verificado</t>
        </is>
      </c>
      <c r="M1332" s="8" t="n">
        <v>1</v>
      </c>
      <c r="N1332" s="9" t="n">
        <v>367.05</v>
      </c>
      <c r="O1332" s="9" t="n">
        <v>367.05</v>
      </c>
      <c r="P1332" s="9" t="n">
        <v>367.05</v>
      </c>
      <c r="Q1332" s="7" t="inlineStr">
        <is>
          <t>Sí</t>
        </is>
      </c>
      <c r="R1332" s="9">
        <f>IF(N1332="","",IF(Q1332="Sí",ROUND(N1332/1.18,2),N1332))</f>
        <v/>
      </c>
      <c r="S1332" s="7" t="inlineStr">
        <is>
          <t>2026-09-09</t>
        </is>
      </c>
      <c r="T1332" s="5" t="inlineStr">
        <is>
          <t>1 cotización de proveedores</t>
        </is>
      </c>
    </row>
    <row r="1333">
      <c r="A1333" s="7" t="inlineStr">
        <is>
          <t>MAT-30-041</t>
        </is>
      </c>
      <c r="B1333" s="7" t="inlineStr">
        <is>
          <t>Materiales</t>
        </is>
      </c>
      <c r="C1333" s="7" t="inlineStr">
        <is>
          <t>Cableado estructurado y redes</t>
        </is>
      </c>
      <c r="D1333" s="5" t="inlineStr">
        <is>
          <t>Cable Hdmi 1080P 25'</t>
        </is>
      </c>
      <c r="E1333" s="5" t="inlineStr">
        <is>
          <t>marca ROCKWELL · hdmi · referencia E40057</t>
        </is>
      </c>
      <c r="F1333" s="5" t="inlineStr">
        <is>
          <t>Material retirado en almacén</t>
        </is>
      </c>
      <c r="G1333" s="5" t="inlineStr"/>
      <c r="H1333" s="7" t="inlineStr">
        <is>
          <t>unidad</t>
        </is>
      </c>
      <c r="I1333" s="7" t="inlineStr">
        <is>
          <t>Instalaciones</t>
        </is>
      </c>
      <c r="J1333" s="7" t="inlineStr">
        <is>
          <t>estandar</t>
        </is>
      </c>
      <c r="K1333" s="7" t="inlineStr">
        <is>
          <t>importado</t>
        </is>
      </c>
      <c r="L1333" s="7" t="inlineStr">
        <is>
          <t>Verificado</t>
        </is>
      </c>
      <c r="M1333" s="8" t="n">
        <v>1</v>
      </c>
      <c r="N1333" s="9" t="n">
        <v>430.94</v>
      </c>
      <c r="O1333" s="9" t="n">
        <v>430.94</v>
      </c>
      <c r="P1333" s="9" t="n">
        <v>430.94</v>
      </c>
      <c r="Q1333" s="7" t="inlineStr">
        <is>
          <t>Sí</t>
        </is>
      </c>
      <c r="R1333" s="9">
        <f>IF(N1333="","",IF(Q1333="Sí",ROUND(N1333/1.18,2),N1333))</f>
        <v/>
      </c>
      <c r="S1333" s="7" t="inlineStr">
        <is>
          <t>2026-09-09</t>
        </is>
      </c>
      <c r="T1333" s="5" t="inlineStr">
        <is>
          <t>1 cotización de proveedores</t>
        </is>
      </c>
    </row>
    <row r="1334">
      <c r="A1334" s="7" t="inlineStr">
        <is>
          <t>MAT-30-042</t>
        </is>
      </c>
      <c r="B1334" s="7" t="inlineStr">
        <is>
          <t>Materiales</t>
        </is>
      </c>
      <c r="C1334" s="7" t="inlineStr">
        <is>
          <t>Cableado estructurado y redes</t>
        </is>
      </c>
      <c r="D1334" s="5" t="inlineStr">
        <is>
          <t>Cordon De Parcheo 3' RJ45 Cat 6A blanco</t>
        </is>
      </c>
      <c r="E1334" s="5" t="inlineStr">
        <is>
          <t>marca SIEMON · componentes cables y conectividad · referencia ZM6A-S03-02</t>
        </is>
      </c>
      <c r="F1334" s="5" t="inlineStr">
        <is>
          <t>Material retirado en almacén</t>
        </is>
      </c>
      <c r="G1334" s="5" t="inlineStr"/>
      <c r="H1334" s="7" t="inlineStr">
        <is>
          <t>unidad</t>
        </is>
      </c>
      <c r="I1334" s="7" t="inlineStr">
        <is>
          <t>Instalaciones</t>
        </is>
      </c>
      <c r="J1334" s="7" t="inlineStr">
        <is>
          <t>estandar</t>
        </is>
      </c>
      <c r="K1334" s="7" t="inlineStr">
        <is>
          <t>importado</t>
        </is>
      </c>
      <c r="L1334" s="7" t="inlineStr">
        <is>
          <t>Verificado</t>
        </is>
      </c>
      <c r="M1334" s="8" t="n">
        <v>1</v>
      </c>
      <c r="N1334" s="9" t="n">
        <v>466.67</v>
      </c>
      <c r="O1334" s="9" t="n">
        <v>466.67</v>
      </c>
      <c r="P1334" s="9" t="n">
        <v>466.67</v>
      </c>
      <c r="Q1334" s="7" t="inlineStr">
        <is>
          <t>Sí</t>
        </is>
      </c>
      <c r="R1334" s="9">
        <f>IF(N1334="","",IF(Q1334="Sí",ROUND(N1334/1.18,2),N1334))</f>
        <v/>
      </c>
      <c r="S1334" s="7" t="inlineStr">
        <is>
          <t>2026-09-09</t>
        </is>
      </c>
      <c r="T1334" s="5" t="inlineStr">
        <is>
          <t>1 cotización de proveedores</t>
        </is>
      </c>
    </row>
    <row r="1335">
      <c r="A1335" s="7" t="inlineStr">
        <is>
          <t>MAT-30-043</t>
        </is>
      </c>
      <c r="B1335" s="7" t="inlineStr">
        <is>
          <t>Materiales</t>
        </is>
      </c>
      <c r="C1335" s="7" t="inlineStr">
        <is>
          <t>Cableado estructurado y redes</t>
        </is>
      </c>
      <c r="D1335" s="5" t="inlineStr">
        <is>
          <t>Cable Conexión Ethernet Cat 6 50' 15M</t>
        </is>
      </c>
      <c r="E1335" s="5" t="inlineStr">
        <is>
          <t>marca UNNO · etherne · referencia CB4350GY</t>
        </is>
      </c>
      <c r="F1335" s="5" t="inlineStr">
        <is>
          <t>Material retirado en almacén</t>
        </is>
      </c>
      <c r="G1335" s="5" t="inlineStr"/>
      <c r="H1335" s="7" t="inlineStr">
        <is>
          <t>unidad</t>
        </is>
      </c>
      <c r="I1335" s="7" t="inlineStr">
        <is>
          <t>Instalaciones</t>
        </is>
      </c>
      <c r="J1335" s="7" t="inlineStr">
        <is>
          <t>estandar</t>
        </is>
      </c>
      <c r="K1335" s="7" t="inlineStr">
        <is>
          <t>importado</t>
        </is>
      </c>
      <c r="L1335" s="7" t="inlineStr">
        <is>
          <t>Verificado</t>
        </is>
      </c>
      <c r="M1335" s="8" t="n">
        <v>1</v>
      </c>
      <c r="N1335" s="9" t="n">
        <v>477.1</v>
      </c>
      <c r="O1335" s="9" t="n">
        <v>477.1</v>
      </c>
      <c r="P1335" s="9" t="n">
        <v>477.1</v>
      </c>
      <c r="Q1335" s="7" t="inlineStr">
        <is>
          <t>Sí</t>
        </is>
      </c>
      <c r="R1335" s="9">
        <f>IF(N1335="","",IF(Q1335="Sí",ROUND(N1335/1.18,2),N1335))</f>
        <v/>
      </c>
      <c r="S1335" s="7" t="inlineStr">
        <is>
          <t>2026-09-09</t>
        </is>
      </c>
      <c r="T1335" s="5" t="inlineStr">
        <is>
          <t>1 cotización de proveedores</t>
        </is>
      </c>
    </row>
    <row r="1336">
      <c r="A1336" s="7" t="inlineStr">
        <is>
          <t>MAT-30-044</t>
        </is>
      </c>
      <c r="B1336" s="7" t="inlineStr">
        <is>
          <t>Materiales</t>
        </is>
      </c>
      <c r="C1336" s="7" t="inlineStr">
        <is>
          <t>Cableado estructurado y redes</t>
        </is>
      </c>
      <c r="D1336" s="5" t="inlineStr">
        <is>
          <t>Cordon De Parcheo 5' RJ45 Cat 6A Azul</t>
        </is>
      </c>
      <c r="E1336" s="5" t="inlineStr">
        <is>
          <t>marca SIEMON · de red · referencia ZM6A-S05-06</t>
        </is>
      </c>
      <c r="F1336" s="5" t="inlineStr">
        <is>
          <t>Material retirado en almacén</t>
        </is>
      </c>
      <c r="G1336" s="5" t="inlineStr"/>
      <c r="H1336" s="7" t="inlineStr">
        <is>
          <t>unidad</t>
        </is>
      </c>
      <c r="I1336" s="7" t="inlineStr">
        <is>
          <t>Instalaciones</t>
        </is>
      </c>
      <c r="J1336" s="7" t="inlineStr">
        <is>
          <t>estandar</t>
        </is>
      </c>
      <c r="K1336" s="7" t="inlineStr">
        <is>
          <t>importado</t>
        </is>
      </c>
      <c r="L1336" s="7" t="inlineStr">
        <is>
          <t>Verificado</t>
        </is>
      </c>
      <c r="M1336" s="8" t="n">
        <v>1</v>
      </c>
      <c r="N1336" s="9" t="n">
        <v>503</v>
      </c>
      <c r="O1336" s="9" t="n">
        <v>503</v>
      </c>
      <c r="P1336" s="9" t="n">
        <v>503</v>
      </c>
      <c r="Q1336" s="7" t="inlineStr">
        <is>
          <t>Sí</t>
        </is>
      </c>
      <c r="R1336" s="9">
        <f>IF(N1336="","",IF(Q1336="Sí",ROUND(N1336/1.18,2),N1336))</f>
        <v/>
      </c>
      <c r="S1336" s="7" t="inlineStr">
        <is>
          <t>2026-09-09</t>
        </is>
      </c>
      <c r="T1336" s="5" t="inlineStr">
        <is>
          <t>1 cotización de proveedores</t>
        </is>
      </c>
    </row>
    <row r="1337">
      <c r="A1337" s="7" t="inlineStr">
        <is>
          <t>MAT-30-045</t>
        </is>
      </c>
      <c r="B1337" s="7" t="inlineStr">
        <is>
          <t>Materiales</t>
        </is>
      </c>
      <c r="C1337" s="7" t="inlineStr">
        <is>
          <t>Cableado estructurado y redes</t>
        </is>
      </c>
      <c r="D1337" s="5" t="inlineStr">
        <is>
          <t>Cordon De Parcheo 5' RJ45 Cat 6A blanco</t>
        </is>
      </c>
      <c r="E1337" s="5" t="inlineStr">
        <is>
          <t>marca SIEMON · de red · referencia ZM6A-S05-02</t>
        </is>
      </c>
      <c r="F1337" s="5" t="inlineStr">
        <is>
          <t>Material retirado en almacén</t>
        </is>
      </c>
      <c r="G1337" s="5" t="inlineStr"/>
      <c r="H1337" s="7" t="inlineStr">
        <is>
          <t>unidad</t>
        </is>
      </c>
      <c r="I1337" s="7" t="inlineStr">
        <is>
          <t>Instalaciones</t>
        </is>
      </c>
      <c r="J1337" s="7" t="inlineStr">
        <is>
          <t>estandar</t>
        </is>
      </c>
      <c r="K1337" s="7" t="inlineStr">
        <is>
          <t>importado</t>
        </is>
      </c>
      <c r="L1337" s="7" t="inlineStr">
        <is>
          <t>Verificado</t>
        </is>
      </c>
      <c r="M1337" s="8" t="n">
        <v>1</v>
      </c>
      <c r="N1337" s="9" t="n">
        <v>503</v>
      </c>
      <c r="O1337" s="9" t="n">
        <v>503</v>
      </c>
      <c r="P1337" s="9" t="n">
        <v>503</v>
      </c>
      <c r="Q1337" s="7" t="inlineStr">
        <is>
          <t>Sí</t>
        </is>
      </c>
      <c r="R1337" s="9">
        <f>IF(N1337="","",IF(Q1337="Sí",ROUND(N1337/1.18,2),N1337))</f>
        <v/>
      </c>
      <c r="S1337" s="7" t="inlineStr">
        <is>
          <t>2026-09-09</t>
        </is>
      </c>
      <c r="T1337" s="5" t="inlineStr">
        <is>
          <t>1 cotización de proveedores</t>
        </is>
      </c>
    </row>
    <row r="1338">
      <c r="A1338" s="7" t="inlineStr">
        <is>
          <t>MAT-30-046</t>
        </is>
      </c>
      <c r="B1338" s="7" t="inlineStr">
        <is>
          <t>Materiales</t>
        </is>
      </c>
      <c r="C1338" s="7" t="inlineStr">
        <is>
          <t>Cableado estructurado y redes</t>
        </is>
      </c>
      <c r="D1338" s="5" t="inlineStr">
        <is>
          <t>Cable Hdmi V2.1 5'</t>
        </is>
      </c>
      <c r="E1338" s="5" t="inlineStr">
        <is>
          <t>marca UNNO · hdmi · referencia CB4227BL</t>
        </is>
      </c>
      <c r="F1338" s="5" t="inlineStr">
        <is>
          <t>Material retirado en almacén</t>
        </is>
      </c>
      <c r="G1338" s="5" t="inlineStr"/>
      <c r="H1338" s="7" t="inlineStr">
        <is>
          <t>unidad</t>
        </is>
      </c>
      <c r="I1338" s="7" t="inlineStr">
        <is>
          <t>Instalaciones</t>
        </is>
      </c>
      <c r="J1338" s="7" t="inlineStr">
        <is>
          <t>estandar</t>
        </is>
      </c>
      <c r="K1338" s="7" t="inlineStr">
        <is>
          <t>importado</t>
        </is>
      </c>
      <c r="L1338" s="7" t="inlineStr">
        <is>
          <t>Verificado</t>
        </is>
      </c>
      <c r="M1338" s="8" t="n">
        <v>1</v>
      </c>
      <c r="N1338" s="9" t="n">
        <v>508.63</v>
      </c>
      <c r="O1338" s="9" t="n">
        <v>508.63</v>
      </c>
      <c r="P1338" s="9" t="n">
        <v>508.63</v>
      </c>
      <c r="Q1338" s="7" t="inlineStr">
        <is>
          <t>Sí</t>
        </is>
      </c>
      <c r="R1338" s="9">
        <f>IF(N1338="","",IF(Q1338="Sí",ROUND(N1338/1.18,2),N1338))</f>
        <v/>
      </c>
      <c r="S1338" s="7" t="inlineStr">
        <is>
          <t>2026-09-09</t>
        </is>
      </c>
      <c r="T1338" s="5" t="inlineStr">
        <is>
          <t>1 cotización de proveedores</t>
        </is>
      </c>
    </row>
    <row r="1339">
      <c r="A1339" s="7" t="inlineStr">
        <is>
          <t>MAT-30-047</t>
        </is>
      </c>
      <c r="B1339" s="7" t="inlineStr">
        <is>
          <t>Materiales</t>
        </is>
      </c>
      <c r="C1339" s="7" t="inlineStr">
        <is>
          <t>Cableado estructurado y redes</t>
        </is>
      </c>
      <c r="D1339" s="5" t="inlineStr">
        <is>
          <t>Cable Hdmi 10 Ft 4K High Speed Etherne</t>
        </is>
      </c>
      <c r="E1339" s="5" t="inlineStr">
        <is>
          <t>marca ORTRONICS · hdmi · referencia 56784</t>
        </is>
      </c>
      <c r="F1339" s="5" t="inlineStr">
        <is>
          <t>Material retirado en almacén</t>
        </is>
      </c>
      <c r="G1339" s="5" t="inlineStr"/>
      <c r="H1339" s="7" t="inlineStr">
        <is>
          <t>unidad</t>
        </is>
      </c>
      <c r="I1339" s="7" t="inlineStr">
        <is>
          <t>Instalaciones</t>
        </is>
      </c>
      <c r="J1339" s="7" t="inlineStr">
        <is>
          <t>estandar</t>
        </is>
      </c>
      <c r="K1339" s="7" t="inlineStr">
        <is>
          <t>importado</t>
        </is>
      </c>
      <c r="L1339" s="7" t="inlineStr">
        <is>
          <t>Verificado</t>
        </is>
      </c>
      <c r="M1339" s="8" t="n">
        <v>1</v>
      </c>
      <c r="N1339" s="9" t="n">
        <v>639.3</v>
      </c>
      <c r="O1339" s="9" t="n">
        <v>639.3</v>
      </c>
      <c r="P1339" s="9" t="n">
        <v>639.3</v>
      </c>
      <c r="Q1339" s="7" t="inlineStr">
        <is>
          <t>Sí</t>
        </is>
      </c>
      <c r="R1339" s="9">
        <f>IF(N1339="","",IF(Q1339="Sí",ROUND(N1339/1.18,2),N1339))</f>
        <v/>
      </c>
      <c r="S1339" s="7" t="inlineStr">
        <is>
          <t>2026-09-09</t>
        </is>
      </c>
      <c r="T1339" s="5" t="inlineStr">
        <is>
          <t>1 cotización de proveedores</t>
        </is>
      </c>
    </row>
    <row r="1340">
      <c r="A1340" s="7" t="inlineStr">
        <is>
          <t>MAT-30-048</t>
        </is>
      </c>
      <c r="B1340" s="7" t="inlineStr">
        <is>
          <t>Materiales</t>
        </is>
      </c>
      <c r="C1340" s="7" t="inlineStr">
        <is>
          <t>Cableado estructurado y redes</t>
        </is>
      </c>
      <c r="D1340" s="5" t="inlineStr">
        <is>
          <t>Cable Hdmi 1M (3.3')</t>
        </is>
      </c>
      <c r="E1340" s="5" t="inlineStr">
        <is>
          <t>marca ON Q · hdmi · referencia AC2M01BK</t>
        </is>
      </c>
      <c r="F1340" s="5" t="inlineStr">
        <is>
          <t>Material retirado en almacén</t>
        </is>
      </c>
      <c r="G1340" s="5" t="inlineStr"/>
      <c r="H1340" s="7" t="inlineStr">
        <is>
          <t>unidad</t>
        </is>
      </c>
      <c r="I1340" s="7" t="inlineStr">
        <is>
          <t>Instalaciones</t>
        </is>
      </c>
      <c r="J1340" s="7" t="inlineStr">
        <is>
          <t>estandar</t>
        </is>
      </c>
      <c r="K1340" s="7" t="inlineStr">
        <is>
          <t>importado</t>
        </is>
      </c>
      <c r="L1340" s="7" t="inlineStr">
        <is>
          <t>Verificado</t>
        </is>
      </c>
      <c r="M1340" s="8" t="n">
        <v>1</v>
      </c>
      <c r="N1340" s="9" t="n">
        <v>733.41</v>
      </c>
      <c r="O1340" s="9" t="n">
        <v>733.41</v>
      </c>
      <c r="P1340" s="9" t="n">
        <v>733.41</v>
      </c>
      <c r="Q1340" s="7" t="inlineStr">
        <is>
          <t>Sí</t>
        </is>
      </c>
      <c r="R1340" s="9">
        <f>IF(N1340="","",IF(Q1340="Sí",ROUND(N1340/1.18,2),N1340))</f>
        <v/>
      </c>
      <c r="S1340" s="7" t="inlineStr">
        <is>
          <t>2026-09-09</t>
        </is>
      </c>
      <c r="T1340" s="5" t="inlineStr">
        <is>
          <t>1 cotización de proveedores</t>
        </is>
      </c>
    </row>
    <row r="1341">
      <c r="A1341" s="7" t="inlineStr">
        <is>
          <t>MAT-30-049</t>
        </is>
      </c>
      <c r="B1341" s="7" t="inlineStr">
        <is>
          <t>Materiales</t>
        </is>
      </c>
      <c r="C1341" s="7" t="inlineStr">
        <is>
          <t>Cableado estructurado y redes</t>
        </is>
      </c>
      <c r="D1341" s="5" t="inlineStr">
        <is>
          <t>Cable De Conexión Tera Cat 6A 1 / 10G 2M</t>
        </is>
      </c>
      <c r="E1341" s="5" t="inlineStr">
        <is>
          <t>marca SIEMON · de red · referencia T4A-B02M-B02L</t>
        </is>
      </c>
      <c r="F1341" s="5" t="inlineStr">
        <is>
          <t>Material retirado en almacén</t>
        </is>
      </c>
      <c r="G1341" s="5" t="inlineStr"/>
      <c r="H1341" s="7" t="inlineStr">
        <is>
          <t>unidad</t>
        </is>
      </c>
      <c r="I1341" s="7" t="inlineStr">
        <is>
          <t>Instalaciones</t>
        </is>
      </c>
      <c r="J1341" s="7" t="inlineStr">
        <is>
          <t>estandar</t>
        </is>
      </c>
      <c r="K1341" s="7" t="inlineStr">
        <is>
          <t>importado</t>
        </is>
      </c>
      <c r="L1341" s="7" t="inlineStr">
        <is>
          <t>Verificado</t>
        </is>
      </c>
      <c r="M1341" s="8" t="n">
        <v>1</v>
      </c>
      <c r="N1341" s="9" t="n">
        <v>860.04</v>
      </c>
      <c r="O1341" s="9" t="n">
        <v>860.04</v>
      </c>
      <c r="P1341" s="9" t="n">
        <v>860.04</v>
      </c>
      <c r="Q1341" s="7" t="inlineStr">
        <is>
          <t>Sí</t>
        </is>
      </c>
      <c r="R1341" s="9">
        <f>IF(N1341="","",IF(Q1341="Sí",ROUND(N1341/1.18,2),N1341))</f>
        <v/>
      </c>
      <c r="S1341" s="7" t="inlineStr">
        <is>
          <t>2026-09-09</t>
        </is>
      </c>
      <c r="T1341" s="5" t="inlineStr">
        <is>
          <t>1 cotización de proveedores</t>
        </is>
      </c>
    </row>
    <row r="1342">
      <c r="A1342" s="7" t="inlineStr">
        <is>
          <t>MAT-30-050</t>
        </is>
      </c>
      <c r="B1342" s="7" t="inlineStr">
        <is>
          <t>Materiales</t>
        </is>
      </c>
      <c r="C1342" s="7" t="inlineStr">
        <is>
          <t>Cableado estructurado y redes</t>
        </is>
      </c>
      <c r="D1342" s="5" t="inlineStr">
        <is>
          <t>Cable Hdmi 50 Pies</t>
        </is>
      </c>
      <c r="E1342" s="5" t="inlineStr">
        <is>
          <t>marca UNNO · hdmi · referencia CB4150BK</t>
        </is>
      </c>
      <c r="F1342" s="5" t="inlineStr">
        <is>
          <t>Material retirado en almacén</t>
        </is>
      </c>
      <c r="G1342" s="5" t="inlineStr"/>
      <c r="H1342" s="7" t="inlineStr">
        <is>
          <t>unidad</t>
        </is>
      </c>
      <c r="I1342" s="7" t="inlineStr">
        <is>
          <t>Instalaciones</t>
        </is>
      </c>
      <c r="J1342" s="7" t="inlineStr">
        <is>
          <t>estandar</t>
        </is>
      </c>
      <c r="K1342" s="7" t="inlineStr">
        <is>
          <t>importado</t>
        </is>
      </c>
      <c r="L1342" s="7" t="inlineStr">
        <is>
          <t>Verificado</t>
        </is>
      </c>
      <c r="M1342" s="8" t="n">
        <v>1</v>
      </c>
      <c r="N1342" s="9" t="n">
        <v>1026.6</v>
      </c>
      <c r="O1342" s="9" t="n">
        <v>1026.6</v>
      </c>
      <c r="P1342" s="9" t="n">
        <v>1026.6</v>
      </c>
      <c r="Q1342" s="7" t="inlineStr">
        <is>
          <t>Sí</t>
        </is>
      </c>
      <c r="R1342" s="9">
        <f>IF(N1342="","",IF(Q1342="Sí",ROUND(N1342/1.18,2),N1342))</f>
        <v/>
      </c>
      <c r="S1342" s="7" t="inlineStr">
        <is>
          <t>2026-09-09</t>
        </is>
      </c>
      <c r="T1342" s="5" t="inlineStr">
        <is>
          <t>1 cotización de proveedores</t>
        </is>
      </c>
    </row>
    <row r="1343">
      <c r="A1343" s="7" t="inlineStr">
        <is>
          <t>MAT-30-051</t>
        </is>
      </c>
      <c r="B1343" s="7" t="inlineStr">
        <is>
          <t>Materiales</t>
        </is>
      </c>
      <c r="C1343" s="7" t="inlineStr">
        <is>
          <t>Cableado estructurado y redes</t>
        </is>
      </c>
      <c r="D1343" s="5" t="inlineStr">
        <is>
          <t>Cable Hdmi 1080P 50 Pies</t>
        </is>
      </c>
      <c r="E1343" s="5" t="inlineStr">
        <is>
          <t>marca ROCKWELL · hdmi · referencia E40059</t>
        </is>
      </c>
      <c r="F1343" s="5" t="inlineStr">
        <is>
          <t>Material retirado en almacén</t>
        </is>
      </c>
      <c r="G1343" s="5" t="inlineStr"/>
      <c r="H1343" s="7" t="inlineStr">
        <is>
          <t>unidad</t>
        </is>
      </c>
      <c r="I1343" s="7" t="inlineStr">
        <is>
          <t>Instalaciones</t>
        </is>
      </c>
      <c r="J1343" s="7" t="inlineStr">
        <is>
          <t>estandar</t>
        </is>
      </c>
      <c r="K1343" s="7" t="inlineStr">
        <is>
          <t>importado</t>
        </is>
      </c>
      <c r="L1343" s="7" t="inlineStr">
        <is>
          <t>Verificado</t>
        </is>
      </c>
      <c r="M1343" s="8" t="n">
        <v>1</v>
      </c>
      <c r="N1343" s="9" t="n">
        <v>1133.86</v>
      </c>
      <c r="O1343" s="9" t="n">
        <v>1133.86</v>
      </c>
      <c r="P1343" s="9" t="n">
        <v>1133.86</v>
      </c>
      <c r="Q1343" s="7" t="inlineStr">
        <is>
          <t>Sí</t>
        </is>
      </c>
      <c r="R1343" s="9">
        <f>IF(N1343="","",IF(Q1343="Sí",ROUND(N1343/1.18,2),N1343))</f>
        <v/>
      </c>
      <c r="S1343" s="7" t="inlineStr">
        <is>
          <t>2026-09-09</t>
        </is>
      </c>
      <c r="T1343" s="5" t="inlineStr">
        <is>
          <t>1 cotización de proveedores</t>
        </is>
      </c>
    </row>
    <row r="1344">
      <c r="A1344" s="7" t="inlineStr">
        <is>
          <t>MAT-30-052</t>
        </is>
      </c>
      <c r="B1344" s="7" t="inlineStr">
        <is>
          <t>Materiales</t>
        </is>
      </c>
      <c r="C1344" s="7" t="inlineStr">
        <is>
          <t>Cableado estructurado y redes</t>
        </is>
      </c>
      <c r="D1344" s="5" t="inlineStr">
        <is>
          <t>Cable Hdmi 4M (13.1')</t>
        </is>
      </c>
      <c r="E1344" s="5" t="inlineStr">
        <is>
          <t>marca ON Q · hdmi · referencia AC2M04BK</t>
        </is>
      </c>
      <c r="F1344" s="5" t="inlineStr">
        <is>
          <t>Material retirado en almacén</t>
        </is>
      </c>
      <c r="G1344" s="5" t="inlineStr"/>
      <c r="H1344" s="7" t="inlineStr">
        <is>
          <t>unidad</t>
        </is>
      </c>
      <c r="I1344" s="7" t="inlineStr">
        <is>
          <t>Instalaciones</t>
        </is>
      </c>
      <c r="J1344" s="7" t="inlineStr">
        <is>
          <t>estandar</t>
        </is>
      </c>
      <c r="K1344" s="7" t="inlineStr">
        <is>
          <t>importado</t>
        </is>
      </c>
      <c r="L1344" s="7" t="inlineStr">
        <is>
          <t>Verificado</t>
        </is>
      </c>
      <c r="M1344" s="8" t="n">
        <v>1</v>
      </c>
      <c r="N1344" s="9" t="n">
        <v>1494.2</v>
      </c>
      <c r="O1344" s="9" t="n">
        <v>1494.2</v>
      </c>
      <c r="P1344" s="9" t="n">
        <v>1494.2</v>
      </c>
      <c r="Q1344" s="7" t="inlineStr">
        <is>
          <t>Sí</t>
        </is>
      </c>
      <c r="R1344" s="9">
        <f>IF(N1344="","",IF(Q1344="Sí",ROUND(N1344/1.18,2),N1344))</f>
        <v/>
      </c>
      <c r="S1344" s="7" t="inlineStr">
        <is>
          <t>2026-09-09</t>
        </is>
      </c>
      <c r="T1344" s="5" t="inlineStr">
        <is>
          <t>1 cotización de proveedores</t>
        </is>
      </c>
    </row>
    <row r="1345">
      <c r="A1345" s="7" t="inlineStr">
        <is>
          <t>MAT-30-053</t>
        </is>
      </c>
      <c r="B1345" s="7" t="inlineStr">
        <is>
          <t>Materiales</t>
        </is>
      </c>
      <c r="C1345" s="7" t="inlineStr">
        <is>
          <t>Cableado estructurado y redes</t>
        </is>
      </c>
      <c r="D1345" s="5" t="inlineStr">
        <is>
          <t>Cable Cobre Direct Attach</t>
        </is>
      </c>
      <c r="E1345" s="5" t="inlineStr">
        <is>
          <t>marca SIEMON · de red · referencia QSFP30-00.5</t>
        </is>
      </c>
      <c r="F1345" s="5" t="inlineStr">
        <is>
          <t>Material retirado en almacén</t>
        </is>
      </c>
      <c r="G1345" s="5" t="inlineStr"/>
      <c r="H1345" s="7" t="inlineStr">
        <is>
          <t>unidad</t>
        </is>
      </c>
      <c r="I1345" s="7" t="inlineStr">
        <is>
          <t>Instalaciones</t>
        </is>
      </c>
      <c r="J1345" s="7" t="inlineStr">
        <is>
          <t>estandar</t>
        </is>
      </c>
      <c r="K1345" s="7" t="inlineStr">
        <is>
          <t>importado</t>
        </is>
      </c>
      <c r="L1345" s="7" t="inlineStr">
        <is>
          <t>Verificado</t>
        </is>
      </c>
      <c r="M1345" s="8" t="n">
        <v>1</v>
      </c>
      <c r="N1345" s="9" t="n">
        <v>1649.33</v>
      </c>
      <c r="O1345" s="9" t="n">
        <v>1649.33</v>
      </c>
      <c r="P1345" s="9" t="n">
        <v>1676.18</v>
      </c>
      <c r="Q1345" s="7" t="inlineStr">
        <is>
          <t>Sí</t>
        </is>
      </c>
      <c r="R1345" s="9">
        <f>IF(N1345="","",IF(Q1345="Sí",ROUND(N1345/1.18,2),N1345))</f>
        <v/>
      </c>
      <c r="S1345" s="7" t="inlineStr">
        <is>
          <t>2026-09-09</t>
        </is>
      </c>
      <c r="T1345" s="5" t="inlineStr">
        <is>
          <t>3 cotizaciones de proveedores</t>
        </is>
      </c>
    </row>
    <row r="1346">
      <c r="A1346" s="7" t="inlineStr">
        <is>
          <t>MAT-30-054</t>
        </is>
      </c>
      <c r="B1346" s="7" t="inlineStr">
        <is>
          <t>Materiales</t>
        </is>
      </c>
      <c r="C1346" s="7" t="inlineStr">
        <is>
          <t>Cableado estructurado y redes</t>
        </is>
      </c>
      <c r="D1346" s="5" t="inlineStr">
        <is>
          <t>Cable Hdmi 20 Ft 4K High Speed Etherne</t>
        </is>
      </c>
      <c r="E1346" s="5" t="inlineStr">
        <is>
          <t>marca ORTRONICS · hdmi · referencia 50188</t>
        </is>
      </c>
      <c r="F1346" s="5" t="inlineStr">
        <is>
          <t>Material retirado en almacén</t>
        </is>
      </c>
      <c r="G1346" s="5" t="inlineStr"/>
      <c r="H1346" s="7" t="inlineStr">
        <is>
          <t>unidad</t>
        </is>
      </c>
      <c r="I1346" s="7" t="inlineStr">
        <is>
          <t>Instalaciones</t>
        </is>
      </c>
      <c r="J1346" s="7" t="inlineStr">
        <is>
          <t>estandar</t>
        </is>
      </c>
      <c r="K1346" s="7" t="inlineStr">
        <is>
          <t>importado</t>
        </is>
      </c>
      <c r="L1346" s="7" t="inlineStr">
        <is>
          <t>Verificado</t>
        </is>
      </c>
      <c r="M1346" s="8" t="n">
        <v>1</v>
      </c>
      <c r="N1346" s="9" t="n">
        <v>3754.59</v>
      </c>
      <c r="O1346" s="9" t="n">
        <v>3754.59</v>
      </c>
      <c r="P1346" s="9" t="n">
        <v>3754.59</v>
      </c>
      <c r="Q1346" s="7" t="inlineStr">
        <is>
          <t>Sí</t>
        </is>
      </c>
      <c r="R1346" s="9">
        <f>IF(N1346="","",IF(Q1346="Sí",ROUND(N1346/1.18,2),N1346))</f>
        <v/>
      </c>
      <c r="S1346" s="7" t="inlineStr">
        <is>
          <t>2026-09-09</t>
        </is>
      </c>
      <c r="T1346" s="5" t="inlineStr">
        <is>
          <t>1 cotización de proveedores</t>
        </is>
      </c>
    </row>
    <row r="1347">
      <c r="A1347" s="7" t="inlineStr">
        <is>
          <t>MAT-30-055</t>
        </is>
      </c>
      <c r="B1347" s="7" t="inlineStr">
        <is>
          <t>Materiales</t>
        </is>
      </c>
      <c r="C1347" s="7" t="inlineStr">
        <is>
          <t>Cableado estructurado y redes</t>
        </is>
      </c>
      <c r="D1347" s="5" t="inlineStr">
        <is>
          <t>Cable UTP Cat. 6E 24 / 4 Gris R / 1000'</t>
        </is>
      </c>
      <c r="E1347" s="5" t="inlineStr">
        <is>
          <t>marca SIEMON · utp (redes) · referencia 9C6M4-E2-RXA</t>
        </is>
      </c>
      <c r="F1347" s="5" t="inlineStr">
        <is>
          <t>Material retirado en almacén</t>
        </is>
      </c>
      <c r="G1347" s="5" t="inlineStr"/>
      <c r="H1347" s="7" t="inlineStr">
        <is>
          <t>unidad</t>
        </is>
      </c>
      <c r="I1347" s="7" t="inlineStr">
        <is>
          <t>Instalaciones</t>
        </is>
      </c>
      <c r="J1347" s="7" t="inlineStr">
        <is>
          <t>estandar</t>
        </is>
      </c>
      <c r="K1347" s="7" t="inlineStr">
        <is>
          <t>importado</t>
        </is>
      </c>
      <c r="L1347" s="7" t="inlineStr">
        <is>
          <t>Verificado</t>
        </is>
      </c>
      <c r="M1347" s="8" t="n">
        <v>1</v>
      </c>
      <c r="N1347" s="9" t="n">
        <v>11979.27</v>
      </c>
      <c r="O1347" s="9" t="n">
        <v>11979.27</v>
      </c>
      <c r="P1347" s="9" t="n">
        <v>11979.27</v>
      </c>
      <c r="Q1347" s="7" t="inlineStr">
        <is>
          <t>Sí</t>
        </is>
      </c>
      <c r="R1347" s="9">
        <f>IF(N1347="","",IF(Q1347="Sí",ROUND(N1347/1.18,2),N1347))</f>
        <v/>
      </c>
      <c r="S1347" s="7" t="inlineStr">
        <is>
          <t>2026-09-09</t>
        </is>
      </c>
      <c r="T1347" s="5" t="inlineStr">
        <is>
          <t>1 cotización de proveedores</t>
        </is>
      </c>
    </row>
    <row r="1348">
      <c r="A1348" s="7" t="inlineStr">
        <is>
          <t>MAT-30-056</t>
        </is>
      </c>
      <c r="B1348" s="7" t="inlineStr">
        <is>
          <t>Materiales</t>
        </is>
      </c>
      <c r="C1348" s="7" t="inlineStr">
        <is>
          <t>Cableado estructurado y redes</t>
        </is>
      </c>
      <c r="D1348" s="5" t="inlineStr">
        <is>
          <t>Cable Manager, Vertical, Value, 7 Pies</t>
        </is>
      </c>
      <c r="E1348" s="5" t="inlineStr">
        <is>
          <t>marca SIEMON · de red · referencia VCM1A-10S-1-45</t>
        </is>
      </c>
      <c r="F1348" s="5" t="inlineStr">
        <is>
          <t>Material retirado en almacén</t>
        </is>
      </c>
      <c r="G1348" s="5" t="inlineStr"/>
      <c r="H1348" s="7" t="inlineStr">
        <is>
          <t>unidad</t>
        </is>
      </c>
      <c r="I1348" s="7" t="inlineStr">
        <is>
          <t>Instalaciones</t>
        </is>
      </c>
      <c r="J1348" s="7" t="inlineStr">
        <is>
          <t>estandar</t>
        </is>
      </c>
      <c r="K1348" s="7" t="inlineStr">
        <is>
          <t>importado</t>
        </is>
      </c>
      <c r="L1348" s="7" t="inlineStr">
        <is>
          <t>Verificado</t>
        </is>
      </c>
      <c r="M1348" s="8" t="n">
        <v>1</v>
      </c>
      <c r="N1348" s="9" t="n">
        <v>20292.59</v>
      </c>
      <c r="O1348" s="9" t="n">
        <v>20292.59</v>
      </c>
      <c r="P1348" s="9" t="n">
        <v>20292.59</v>
      </c>
      <c r="Q1348" s="7" t="inlineStr">
        <is>
          <t>Sí</t>
        </is>
      </c>
      <c r="R1348" s="9">
        <f>IF(N1348="","",IF(Q1348="Sí",ROUND(N1348/1.18,2),N1348))</f>
        <v/>
      </c>
      <c r="S1348" s="7" t="inlineStr">
        <is>
          <t>2026-09-09</t>
        </is>
      </c>
      <c r="T1348" s="5" t="inlineStr">
        <is>
          <t>1 cotización de proveedores</t>
        </is>
      </c>
    </row>
    <row r="1349">
      <c r="A1349" s="7" t="inlineStr">
        <is>
          <t>MAT-30-057</t>
        </is>
      </c>
      <c r="B1349" s="7" t="inlineStr">
        <is>
          <t>Materiales</t>
        </is>
      </c>
      <c r="C1349" s="7" t="inlineStr">
        <is>
          <t>Cableado estructurado y redes</t>
        </is>
      </c>
      <c r="D1349" s="5" t="inlineStr">
        <is>
          <t>Cable Copper Categoria 7A E10 R / 1000'</t>
        </is>
      </c>
      <c r="E1349" s="5" t="inlineStr">
        <is>
          <t>marca SIEMON · de red · referencia 9T7L4-E10</t>
        </is>
      </c>
      <c r="F1349" s="5" t="inlineStr">
        <is>
          <t>Material retirado en almacén</t>
        </is>
      </c>
      <c r="G1349" s="5" t="inlineStr"/>
      <c r="H1349" s="7" t="inlineStr">
        <is>
          <t>unidad</t>
        </is>
      </c>
      <c r="I1349" s="7" t="inlineStr">
        <is>
          <t>Instalaciones</t>
        </is>
      </c>
      <c r="J1349" s="7" t="inlineStr">
        <is>
          <t>estandar</t>
        </is>
      </c>
      <c r="K1349" s="7" t="inlineStr">
        <is>
          <t>importado</t>
        </is>
      </c>
      <c r="L1349" s="7" t="inlineStr">
        <is>
          <t>Verificado</t>
        </is>
      </c>
      <c r="M1349" s="8" t="n">
        <v>1</v>
      </c>
      <c r="N1349" s="9" t="n">
        <v>21280</v>
      </c>
      <c r="O1349" s="9" t="n">
        <v>21280</v>
      </c>
      <c r="P1349" s="9" t="n">
        <v>21280</v>
      </c>
      <c r="Q1349" s="7" t="inlineStr">
        <is>
          <t>Sí</t>
        </is>
      </c>
      <c r="R1349" s="9">
        <f>IF(N1349="","",IF(Q1349="Sí",ROUND(N1349/1.18,2),N1349))</f>
        <v/>
      </c>
      <c r="S1349" s="7" t="inlineStr">
        <is>
          <t>2026-09-09</t>
        </is>
      </c>
      <c r="T1349" s="5" t="inlineStr">
        <is>
          <t>1 cotización de proveedores</t>
        </is>
      </c>
    </row>
    <row r="1350">
      <c r="A1350" s="7" t="inlineStr">
        <is>
          <t>MAT-30-058</t>
        </is>
      </c>
      <c r="B1350" s="7" t="inlineStr">
        <is>
          <t>Materiales</t>
        </is>
      </c>
      <c r="C1350" s="7" t="inlineStr">
        <is>
          <t>Cableado estructurado y redes</t>
        </is>
      </c>
      <c r="D1350" s="5" t="inlineStr">
        <is>
          <t>Barril De Union Cople F Con Tuerca</t>
        </is>
      </c>
      <c r="E1350" s="5" t="inlineStr">
        <is>
          <t>marca STEREN · componentes cables y conectividad · referencia 200-053</t>
        </is>
      </c>
      <c r="F1350" s="5" t="inlineStr">
        <is>
          <t>Material retirado en almacén</t>
        </is>
      </c>
      <c r="G1350" s="5" t="inlineStr"/>
      <c r="H1350" s="7" t="inlineStr">
        <is>
          <t>unidad</t>
        </is>
      </c>
      <c r="I1350" s="7" t="inlineStr">
        <is>
          <t>Instalaciones</t>
        </is>
      </c>
      <c r="J1350" s="7" t="inlineStr">
        <is>
          <t>estandar</t>
        </is>
      </c>
      <c r="K1350" s="7" t="inlineStr">
        <is>
          <t>importado</t>
        </is>
      </c>
      <c r="L1350" s="7" t="inlineStr">
        <is>
          <t>Verificado</t>
        </is>
      </c>
      <c r="M1350" s="8" t="n">
        <v>1</v>
      </c>
      <c r="N1350" s="9" t="n">
        <v>0.41</v>
      </c>
      <c r="O1350" s="9" t="n">
        <v>0.41</v>
      </c>
      <c r="P1350" s="9" t="n">
        <v>0.41</v>
      </c>
      <c r="Q1350" s="7" t="inlineStr">
        <is>
          <t>Sí</t>
        </is>
      </c>
      <c r="R1350" s="9">
        <f>IF(N1350="","",IF(Q1350="Sí",ROUND(N1350/1.18,2),N1350))</f>
        <v/>
      </c>
      <c r="S1350" s="7" t="inlineStr">
        <is>
          <t>2026-09-09</t>
        </is>
      </c>
      <c r="T1350" s="5" t="inlineStr">
        <is>
          <t>1 cotización de proveedores</t>
        </is>
      </c>
    </row>
    <row r="1351">
      <c r="A1351" s="7" t="inlineStr">
        <is>
          <t>MAT-30-059</t>
        </is>
      </c>
      <c r="B1351" s="7" t="inlineStr">
        <is>
          <t>Materiales</t>
        </is>
      </c>
      <c r="C1351" s="7" t="inlineStr">
        <is>
          <t>Cableado estructurado y redes</t>
        </is>
      </c>
      <c r="D1351" s="5" t="inlineStr">
        <is>
          <t>Acoplador</t>
        </is>
      </c>
      <c r="E1351" s="5" t="inlineStr">
        <is>
          <t>marca STEREN · componentes cables y conectividad · referencia 200-515</t>
        </is>
      </c>
      <c r="F1351" s="5" t="inlineStr">
        <is>
          <t>Material retirado en almacén</t>
        </is>
      </c>
      <c r="G1351" s="5" t="inlineStr"/>
      <c r="H1351" s="7" t="inlineStr">
        <is>
          <t>unidad</t>
        </is>
      </c>
      <c r="I1351" s="7" t="inlineStr">
        <is>
          <t>Instalaciones</t>
        </is>
      </c>
      <c r="J1351" s="7" t="inlineStr">
        <is>
          <t>estandar</t>
        </is>
      </c>
      <c r="K1351" s="7" t="inlineStr">
        <is>
          <t>importado</t>
        </is>
      </c>
      <c r="L1351" s="7" t="inlineStr">
        <is>
          <t>Verificado</t>
        </is>
      </c>
      <c r="M1351" s="8" t="n">
        <v>1</v>
      </c>
      <c r="N1351" s="9" t="n">
        <v>0.58</v>
      </c>
      <c r="O1351" s="9" t="n">
        <v>0.58</v>
      </c>
      <c r="P1351" s="9" t="n">
        <v>0.58</v>
      </c>
      <c r="Q1351" s="7" t="inlineStr">
        <is>
          <t>Sí</t>
        </is>
      </c>
      <c r="R1351" s="9">
        <f>IF(N1351="","",IF(Q1351="Sí",ROUND(N1351/1.18,2),N1351))</f>
        <v/>
      </c>
      <c r="S1351" s="7" t="inlineStr">
        <is>
          <t>2026-09-09</t>
        </is>
      </c>
      <c r="T1351" s="5" t="inlineStr">
        <is>
          <t>1 cotización de proveedores</t>
        </is>
      </c>
    </row>
    <row r="1352">
      <c r="A1352" s="7" t="inlineStr">
        <is>
          <t>MAT-30-060</t>
        </is>
      </c>
      <c r="B1352" s="7" t="inlineStr">
        <is>
          <t>Materiales</t>
        </is>
      </c>
      <c r="C1352" s="7" t="inlineStr">
        <is>
          <t>Cableado estructurado y redes</t>
        </is>
      </c>
      <c r="D1352" s="5" t="inlineStr">
        <is>
          <t>Acoplador De 300 A 75 Ohms Interior</t>
        </is>
      </c>
      <c r="E1352" s="5" t="inlineStr">
        <is>
          <t>marca STEREN · componentes cables y conectividad · referencia 200-510</t>
        </is>
      </c>
      <c r="F1352" s="5" t="inlineStr">
        <is>
          <t>Material retirado en almacén</t>
        </is>
      </c>
      <c r="G1352" s="5" t="inlineStr"/>
      <c r="H1352" s="7" t="inlineStr">
        <is>
          <t>unidad</t>
        </is>
      </c>
      <c r="I1352" s="7" t="inlineStr">
        <is>
          <t>Instalaciones</t>
        </is>
      </c>
      <c r="J1352" s="7" t="inlineStr">
        <is>
          <t>estandar</t>
        </is>
      </c>
      <c r="K1352" s="7" t="inlineStr">
        <is>
          <t>importado</t>
        </is>
      </c>
      <c r="L1352" s="7" t="inlineStr">
        <is>
          <t>Verificado</t>
        </is>
      </c>
      <c r="M1352" s="8" t="n">
        <v>1</v>
      </c>
      <c r="N1352" s="9" t="n">
        <v>0.6</v>
      </c>
      <c r="O1352" s="9" t="n">
        <v>0.6</v>
      </c>
      <c r="P1352" s="9" t="n">
        <v>0.6</v>
      </c>
      <c r="Q1352" s="7" t="inlineStr">
        <is>
          <t>Sí</t>
        </is>
      </c>
      <c r="R1352" s="9">
        <f>IF(N1352="","",IF(Q1352="Sí",ROUND(N1352/1.18,2),N1352))</f>
        <v/>
      </c>
      <c r="S1352" s="7" t="inlineStr">
        <is>
          <t>2026-09-09</t>
        </is>
      </c>
      <c r="T1352" s="5" t="inlineStr">
        <is>
          <t>1 cotización de proveedores</t>
        </is>
      </c>
    </row>
    <row r="1353">
      <c r="A1353" s="7" t="inlineStr">
        <is>
          <t>MAT-30-061</t>
        </is>
      </c>
      <c r="B1353" s="7" t="inlineStr">
        <is>
          <t>Materiales</t>
        </is>
      </c>
      <c r="C1353" s="7" t="inlineStr">
        <is>
          <t>Cableado estructurado y redes</t>
        </is>
      </c>
      <c r="D1353" s="5" t="inlineStr">
        <is>
          <t>Acoplador De 75 A 300 Ohms Interior</t>
        </is>
      </c>
      <c r="E1353" s="5" t="inlineStr">
        <is>
          <t>marca STEREN · componentes cables y conectividad · referencia 200-500</t>
        </is>
      </c>
      <c r="F1353" s="5" t="inlineStr">
        <is>
          <t>Material retirado en almacén</t>
        </is>
      </c>
      <c r="G1353" s="5" t="inlineStr"/>
      <c r="H1353" s="7" t="inlineStr">
        <is>
          <t>unidad</t>
        </is>
      </c>
      <c r="I1353" s="7" t="inlineStr">
        <is>
          <t>Instalaciones</t>
        </is>
      </c>
      <c r="J1353" s="7" t="inlineStr">
        <is>
          <t>estandar</t>
        </is>
      </c>
      <c r="K1353" s="7" t="inlineStr">
        <is>
          <t>importado</t>
        </is>
      </c>
      <c r="L1353" s="7" t="inlineStr">
        <is>
          <t>Verificado</t>
        </is>
      </c>
      <c r="M1353" s="8" t="n">
        <v>1</v>
      </c>
      <c r="N1353" s="9" t="n">
        <v>0.77</v>
      </c>
      <c r="O1353" s="9" t="n">
        <v>0.77</v>
      </c>
      <c r="P1353" s="9" t="n">
        <v>0.77</v>
      </c>
      <c r="Q1353" s="7" t="inlineStr">
        <is>
          <t>Sí</t>
        </is>
      </c>
      <c r="R1353" s="9">
        <f>IF(N1353="","",IF(Q1353="Sí",ROUND(N1353/1.18,2),N1353))</f>
        <v/>
      </c>
      <c r="S1353" s="7" t="inlineStr">
        <is>
          <t>2026-09-09</t>
        </is>
      </c>
      <c r="T1353" s="5" t="inlineStr">
        <is>
          <t>1 cotización de proveedores</t>
        </is>
      </c>
    </row>
    <row r="1354">
      <c r="A1354" s="7" t="inlineStr">
        <is>
          <t>MAT-30-062</t>
        </is>
      </c>
      <c r="B1354" s="7" t="inlineStr">
        <is>
          <t>Materiales</t>
        </is>
      </c>
      <c r="C1354" s="7" t="inlineStr">
        <is>
          <t>Cableado estructurado y redes</t>
        </is>
      </c>
      <c r="D1354" s="5" t="inlineStr">
        <is>
          <t>Barril De Union Cople Dorado F</t>
        </is>
      </c>
      <c r="E1354" s="5" t="inlineStr">
        <is>
          <t>marca STEREN · componentes cables y conectividad · referencia 200-051</t>
        </is>
      </c>
      <c r="F1354" s="5" t="inlineStr">
        <is>
          <t>Material retirado en almacén</t>
        </is>
      </c>
      <c r="G1354" s="5" t="inlineStr"/>
      <c r="H1354" s="7" t="inlineStr">
        <is>
          <t>unidad</t>
        </is>
      </c>
      <c r="I1354" s="7" t="inlineStr">
        <is>
          <t>Instalaciones</t>
        </is>
      </c>
      <c r="J1354" s="7" t="inlineStr">
        <is>
          <t>estandar</t>
        </is>
      </c>
      <c r="K1354" s="7" t="inlineStr">
        <is>
          <t>importado</t>
        </is>
      </c>
      <c r="L1354" s="7" t="inlineStr">
        <is>
          <t>Verificado</t>
        </is>
      </c>
      <c r="M1354" s="8" t="n">
        <v>1</v>
      </c>
      <c r="N1354" s="9" t="n">
        <v>0.6</v>
      </c>
      <c r="O1354" s="9" t="n">
        <v>0.6</v>
      </c>
      <c r="P1354" s="9" t="n">
        <v>0.6</v>
      </c>
      <c r="Q1354" s="7" t="inlineStr">
        <is>
          <t>Sí</t>
        </is>
      </c>
      <c r="R1354" s="9">
        <f>IF(N1354="","",IF(Q1354="Sí",ROUND(N1354/1.18,2),N1354))</f>
        <v/>
      </c>
      <c r="S1354" s="7" t="inlineStr">
        <is>
          <t>2026-09-09</t>
        </is>
      </c>
      <c r="T1354" s="5" t="inlineStr">
        <is>
          <t>1 cotización de proveedores</t>
        </is>
      </c>
    </row>
    <row r="1355">
      <c r="A1355" s="7" t="inlineStr">
        <is>
          <t>MAT-30-063</t>
        </is>
      </c>
      <c r="B1355" s="7" t="inlineStr">
        <is>
          <t>Materiales</t>
        </is>
      </c>
      <c r="C1355" s="7" t="inlineStr">
        <is>
          <t>Cableado estructurado y redes</t>
        </is>
      </c>
      <c r="D1355" s="5" t="inlineStr">
        <is>
          <t>Barril Union Doble</t>
        </is>
      </c>
      <c r="E1355" s="5" t="inlineStr">
        <is>
          <t>marca STEREN · componentes cables y conectividad · referencia 200-272</t>
        </is>
      </c>
      <c r="F1355" s="5" t="inlineStr">
        <is>
          <t>Material retirado en almacén</t>
        </is>
      </c>
      <c r="G1355" s="5" t="inlineStr"/>
      <c r="H1355" s="7" t="inlineStr">
        <is>
          <t>unidad</t>
        </is>
      </c>
      <c r="I1355" s="7" t="inlineStr">
        <is>
          <t>Instalaciones</t>
        </is>
      </c>
      <c r="J1355" s="7" t="inlineStr">
        <is>
          <t>estandar</t>
        </is>
      </c>
      <c r="K1355" s="7" t="inlineStr">
        <is>
          <t>importado</t>
        </is>
      </c>
      <c r="L1355" s="7" t="inlineStr">
        <is>
          <t>Verificado</t>
        </is>
      </c>
      <c r="M1355" s="8" t="n">
        <v>1</v>
      </c>
      <c r="N1355" s="9" t="n">
        <v>1.43</v>
      </c>
      <c r="O1355" s="9" t="n">
        <v>1.43</v>
      </c>
      <c r="P1355" s="9" t="n">
        <v>1.43</v>
      </c>
      <c r="Q1355" s="7" t="inlineStr">
        <is>
          <t>Sí</t>
        </is>
      </c>
      <c r="R1355" s="9">
        <f>IF(N1355="","",IF(Q1355="Sí",ROUND(N1355/1.18,2),N1355))</f>
        <v/>
      </c>
      <c r="S1355" s="7" t="inlineStr">
        <is>
          <t>2026-09-09</t>
        </is>
      </c>
      <c r="T1355" s="5" t="inlineStr">
        <is>
          <t>1 cotización de proveedores</t>
        </is>
      </c>
    </row>
    <row r="1356">
      <c r="A1356" s="7" t="inlineStr">
        <is>
          <t>MAT-30-064</t>
        </is>
      </c>
      <c r="B1356" s="7" t="inlineStr">
        <is>
          <t>Materiales</t>
        </is>
      </c>
      <c r="C1356" s="7" t="inlineStr">
        <is>
          <t>Cableado estructurado y redes</t>
        </is>
      </c>
      <c r="D1356" s="5" t="inlineStr">
        <is>
          <t>Barril Union Sencillo</t>
        </is>
      </c>
      <c r="E1356" s="5" t="inlineStr">
        <is>
          <t>marca STEREN · componentes cables y conectividad · referencia 200-271</t>
        </is>
      </c>
      <c r="F1356" s="5" t="inlineStr">
        <is>
          <t>Material retirado en almacén</t>
        </is>
      </c>
      <c r="G1356" s="5" t="inlineStr"/>
      <c r="H1356" s="7" t="inlineStr">
        <is>
          <t>unidad</t>
        </is>
      </c>
      <c r="I1356" s="7" t="inlineStr">
        <is>
          <t>Instalaciones</t>
        </is>
      </c>
      <c r="J1356" s="7" t="inlineStr">
        <is>
          <t>estandar</t>
        </is>
      </c>
      <c r="K1356" s="7" t="inlineStr">
        <is>
          <t>importado</t>
        </is>
      </c>
      <c r="L1356" s="7" t="inlineStr">
        <is>
          <t>Verificado</t>
        </is>
      </c>
      <c r="M1356" s="8" t="n">
        <v>1</v>
      </c>
      <c r="N1356" s="9" t="n">
        <v>0.51</v>
      </c>
      <c r="O1356" s="9" t="n">
        <v>0.51</v>
      </c>
      <c r="P1356" s="9" t="n">
        <v>0.51</v>
      </c>
      <c r="Q1356" s="7" t="inlineStr">
        <is>
          <t>Sí</t>
        </is>
      </c>
      <c r="R1356" s="9">
        <f>IF(N1356="","",IF(Q1356="Sí",ROUND(N1356/1.18,2),N1356))</f>
        <v/>
      </c>
      <c r="S1356" s="7" t="inlineStr">
        <is>
          <t>2026-09-09</t>
        </is>
      </c>
      <c r="T1356" s="5" t="inlineStr">
        <is>
          <t>1 cotización de proveedores</t>
        </is>
      </c>
    </row>
    <row r="1357">
      <c r="A1357" s="7" t="inlineStr">
        <is>
          <t>MAT-30-065</t>
        </is>
      </c>
      <c r="B1357" s="7" t="inlineStr">
        <is>
          <t>Materiales</t>
        </is>
      </c>
      <c r="C1357" s="7" t="inlineStr">
        <is>
          <t>Cableado estructurado y redes</t>
        </is>
      </c>
      <c r="D1357" s="5" t="inlineStr">
        <is>
          <t>Jack para Circuito Impreso de 4 Contacto R11</t>
        </is>
      </c>
      <c r="E1357" s="5" t="inlineStr">
        <is>
          <t>marca STEREN · componentes cables y conectividad · referencia 300-086</t>
        </is>
      </c>
      <c r="F1357" s="5" t="inlineStr">
        <is>
          <t>Material retirado en almacén</t>
        </is>
      </c>
      <c r="G1357" s="5" t="inlineStr"/>
      <c r="H1357" s="7" t="inlineStr">
        <is>
          <t>unidad</t>
        </is>
      </c>
      <c r="I1357" s="7" t="inlineStr">
        <is>
          <t>Instalaciones</t>
        </is>
      </c>
      <c r="J1357" s="7" t="inlineStr">
        <is>
          <t>estandar</t>
        </is>
      </c>
      <c r="K1357" s="7" t="inlineStr">
        <is>
          <t>importado</t>
        </is>
      </c>
      <c r="L1357" s="7" t="inlineStr">
        <is>
          <t>Verificado</t>
        </is>
      </c>
      <c r="M1357" s="8" t="n">
        <v>1</v>
      </c>
      <c r="N1357" s="9" t="n">
        <v>1.31</v>
      </c>
      <c r="O1357" s="9" t="n">
        <v>1.31</v>
      </c>
      <c r="P1357" s="9" t="n">
        <v>1.31</v>
      </c>
      <c r="Q1357" s="7" t="inlineStr">
        <is>
          <t>Sí</t>
        </is>
      </c>
      <c r="R1357" s="9">
        <f>IF(N1357="","",IF(Q1357="Sí",ROUND(N1357/1.18,2),N1357))</f>
        <v/>
      </c>
      <c r="S1357" s="7" t="inlineStr">
        <is>
          <t>2026-09-09</t>
        </is>
      </c>
      <c r="T1357" s="5" t="inlineStr">
        <is>
          <t>1 cotización de proveedores</t>
        </is>
      </c>
    </row>
    <row r="1358">
      <c r="A1358" s="7" t="inlineStr">
        <is>
          <t>MAT-30-066</t>
        </is>
      </c>
      <c r="B1358" s="7" t="inlineStr">
        <is>
          <t>Materiales</t>
        </is>
      </c>
      <c r="C1358" s="7" t="inlineStr">
        <is>
          <t>Cableado estructurado y redes</t>
        </is>
      </c>
      <c r="D1358" s="5" t="inlineStr">
        <is>
          <t>Tira Sencillo 36 Pines</t>
        </is>
      </c>
      <c r="E1358" s="5" t="inlineStr">
        <is>
          <t>marca STEREN · componentes cables y conectividad · referencia F36-S</t>
        </is>
      </c>
      <c r="F1358" s="5" t="inlineStr">
        <is>
          <t>Material retirado en almacén</t>
        </is>
      </c>
      <c r="G1358" s="5" t="inlineStr"/>
      <c r="H1358" s="7" t="inlineStr">
        <is>
          <t>unidad</t>
        </is>
      </c>
      <c r="I1358" s="7" t="inlineStr">
        <is>
          <t>Instalaciones</t>
        </is>
      </c>
      <c r="J1358" s="7" t="inlineStr">
        <is>
          <t>estandar</t>
        </is>
      </c>
      <c r="K1358" s="7" t="inlineStr">
        <is>
          <t>importado</t>
        </is>
      </c>
      <c r="L1358" s="7" t="inlineStr">
        <is>
          <t>Verificado</t>
        </is>
      </c>
      <c r="M1358" s="8" t="n">
        <v>1</v>
      </c>
      <c r="N1358" s="9" t="n">
        <v>0.65</v>
      </c>
      <c r="O1358" s="9" t="n">
        <v>0.65</v>
      </c>
      <c r="P1358" s="9" t="n">
        <v>0.65</v>
      </c>
      <c r="Q1358" s="7" t="inlineStr">
        <is>
          <t>Sí</t>
        </is>
      </c>
      <c r="R1358" s="9">
        <f>IF(N1358="","",IF(Q1358="Sí",ROUND(N1358/1.18,2),N1358))</f>
        <v/>
      </c>
      <c r="S1358" s="7" t="inlineStr">
        <is>
          <t>2026-09-09</t>
        </is>
      </c>
      <c r="T1358" s="5" t="inlineStr">
        <is>
          <t>1 cotización de proveedores</t>
        </is>
      </c>
    </row>
    <row r="1359">
      <c r="A1359" s="7" t="inlineStr">
        <is>
          <t>MAT-30-067</t>
        </is>
      </c>
      <c r="B1359" s="7" t="inlineStr">
        <is>
          <t>Materiales</t>
        </is>
      </c>
      <c r="C1359" s="7" t="inlineStr">
        <is>
          <t>Cableado estructurado y redes</t>
        </is>
      </c>
      <c r="D1359" s="5" t="inlineStr">
        <is>
          <t>Cople con Cable para Tira Led Monocromatica</t>
        </is>
      </c>
      <c r="E1359" s="5" t="inlineStr">
        <is>
          <t>marca STEREN · componentes cables y conectividad · referencia MODLED-025</t>
        </is>
      </c>
      <c r="F1359" s="5" t="inlineStr">
        <is>
          <t>Material retirado en almacén</t>
        </is>
      </c>
      <c r="G1359" s="5" t="inlineStr"/>
      <c r="H1359" s="7" t="inlineStr">
        <is>
          <t>unidad</t>
        </is>
      </c>
      <c r="I1359" s="7" t="inlineStr">
        <is>
          <t>Instalaciones</t>
        </is>
      </c>
      <c r="J1359" s="7" t="inlineStr">
        <is>
          <t>estandar</t>
        </is>
      </c>
      <c r="K1359" s="7" t="inlineStr">
        <is>
          <t>importado</t>
        </is>
      </c>
      <c r="L1359" s="7" t="inlineStr">
        <is>
          <t>Verificado</t>
        </is>
      </c>
      <c r="M1359" s="8" t="n">
        <v>1</v>
      </c>
      <c r="N1359" s="9" t="n">
        <v>2.46</v>
      </c>
      <c r="O1359" s="9" t="n">
        <v>2.46</v>
      </c>
      <c r="P1359" s="9" t="n">
        <v>2.46</v>
      </c>
      <c r="Q1359" s="7" t="inlineStr">
        <is>
          <t>Sí</t>
        </is>
      </c>
      <c r="R1359" s="9">
        <f>IF(N1359="","",IF(Q1359="Sí",ROUND(N1359/1.18,2),N1359))</f>
        <v/>
      </c>
      <c r="S1359" s="7" t="inlineStr">
        <is>
          <t>2026-09-09</t>
        </is>
      </c>
      <c r="T1359" s="5" t="inlineStr">
        <is>
          <t>1 cotización de proveedores</t>
        </is>
      </c>
    </row>
    <row r="1360">
      <c r="A1360" s="7" t="inlineStr">
        <is>
          <t>MAT-30-068</t>
        </is>
      </c>
      <c r="B1360" s="7" t="inlineStr">
        <is>
          <t>Materiales</t>
        </is>
      </c>
      <c r="C1360" s="7" t="inlineStr">
        <is>
          <t>Cableado estructurado y redes</t>
        </is>
      </c>
      <c r="D1360" s="5" t="inlineStr">
        <is>
          <t>Jack Telf. Doble</t>
        </is>
      </c>
      <c r="E1360" s="5" t="inlineStr">
        <is>
          <t>marca STEREN · cable de telefono · referencia 300-104</t>
        </is>
      </c>
      <c r="F1360" s="5" t="inlineStr">
        <is>
          <t>Material retirado en almacén</t>
        </is>
      </c>
      <c r="G1360" s="5" t="inlineStr"/>
      <c r="H1360" s="7" t="inlineStr">
        <is>
          <t>unidad</t>
        </is>
      </c>
      <c r="I1360" s="7" t="inlineStr">
        <is>
          <t>Instalaciones</t>
        </is>
      </c>
      <c r="J1360" s="7" t="inlineStr">
        <is>
          <t>estandar</t>
        </is>
      </c>
      <c r="K1360" s="7" t="inlineStr">
        <is>
          <t>importado</t>
        </is>
      </c>
      <c r="L1360" s="7" t="inlineStr">
        <is>
          <t>Verificado</t>
        </is>
      </c>
      <c r="M1360" s="8" t="n">
        <v>1</v>
      </c>
      <c r="N1360" s="9" t="n">
        <v>2.11</v>
      </c>
      <c r="O1360" s="9" t="n">
        <v>2.11</v>
      </c>
      <c r="P1360" s="9" t="n">
        <v>2.11</v>
      </c>
      <c r="Q1360" s="7" t="inlineStr">
        <is>
          <t>Sí</t>
        </is>
      </c>
      <c r="R1360" s="9">
        <f>IF(N1360="","",IF(Q1360="Sí",ROUND(N1360/1.18,2),N1360))</f>
        <v/>
      </c>
      <c r="S1360" s="7" t="inlineStr">
        <is>
          <t>2026-09-09</t>
        </is>
      </c>
      <c r="T1360" s="5" t="inlineStr">
        <is>
          <t>1 cotización de proveedores</t>
        </is>
      </c>
    </row>
    <row r="1361">
      <c r="A1361" s="7" t="inlineStr">
        <is>
          <t>MAT-30-069</t>
        </is>
      </c>
      <c r="B1361" s="7" t="inlineStr">
        <is>
          <t>Materiales</t>
        </is>
      </c>
      <c r="C1361" s="7" t="inlineStr">
        <is>
          <t>Cableado estructurado y redes</t>
        </is>
      </c>
      <c r="D1361" s="5" t="inlineStr">
        <is>
          <t>Cople con Cable para Tira Led Rgb</t>
        </is>
      </c>
      <c r="E1361" s="5" t="inlineStr">
        <is>
          <t>marca STEREN · componentes cables y conectividad · referencia MODLED-026</t>
        </is>
      </c>
      <c r="F1361" s="5" t="inlineStr">
        <is>
          <t>Material retirado en almacén</t>
        </is>
      </c>
      <c r="G1361" s="5" t="inlineStr"/>
      <c r="H1361" s="7" t="inlineStr">
        <is>
          <t>unidad</t>
        </is>
      </c>
      <c r="I1361" s="7" t="inlineStr">
        <is>
          <t>Instalaciones</t>
        </is>
      </c>
      <c r="J1361" s="7" t="inlineStr">
        <is>
          <t>estandar</t>
        </is>
      </c>
      <c r="K1361" s="7" t="inlineStr">
        <is>
          <t>importado</t>
        </is>
      </c>
      <c r="L1361" s="7" t="inlineStr">
        <is>
          <t>Verificado</t>
        </is>
      </c>
      <c r="M1361" s="8" t="n">
        <v>1</v>
      </c>
      <c r="N1361" s="9" t="n">
        <v>3.01</v>
      </c>
      <c r="O1361" s="9" t="n">
        <v>3.01</v>
      </c>
      <c r="P1361" s="9" t="n">
        <v>3.01</v>
      </c>
      <c r="Q1361" s="7" t="inlineStr">
        <is>
          <t>Sí</t>
        </is>
      </c>
      <c r="R1361" s="9">
        <f>IF(N1361="","",IF(Q1361="Sí",ROUND(N1361/1.18,2),N1361))</f>
        <v/>
      </c>
      <c r="S1361" s="7" t="inlineStr">
        <is>
          <t>2026-09-09</t>
        </is>
      </c>
      <c r="T1361" s="5" t="inlineStr">
        <is>
          <t>1 cotización de proveedores</t>
        </is>
      </c>
    </row>
    <row r="1362">
      <c r="A1362" s="7" t="inlineStr">
        <is>
          <t>MAT-30-070</t>
        </is>
      </c>
      <c r="B1362" s="7" t="inlineStr">
        <is>
          <t>Materiales</t>
        </is>
      </c>
      <c r="C1362" s="7" t="inlineStr">
        <is>
          <t>Cableado estructurado y redes</t>
        </is>
      </c>
      <c r="D1362" s="5" t="inlineStr">
        <is>
          <t>Barriles De Union (Coples) Dorados F 24K</t>
        </is>
      </c>
      <c r="E1362" s="5" t="inlineStr">
        <is>
          <t>marca STEREN · componentes cables y conectividad · referencia 203-050</t>
        </is>
      </c>
      <c r="F1362" s="5" t="inlineStr">
        <is>
          <t>Material retirado en almacén</t>
        </is>
      </c>
      <c r="G1362" s="5" t="inlineStr"/>
      <c r="H1362" s="7" t="inlineStr">
        <is>
          <t>unidad</t>
        </is>
      </c>
      <c r="I1362" s="7" t="inlineStr">
        <is>
          <t>Instalaciones</t>
        </is>
      </c>
      <c r="J1362" s="7" t="inlineStr">
        <is>
          <t>estandar</t>
        </is>
      </c>
      <c r="K1362" s="7" t="inlineStr">
        <is>
          <t>importado</t>
        </is>
      </c>
      <c r="L1362" s="7" t="inlineStr">
        <is>
          <t>Verificado</t>
        </is>
      </c>
      <c r="M1362" s="8" t="n">
        <v>1</v>
      </c>
      <c r="N1362" s="9" t="n">
        <v>3.67</v>
      </c>
      <c r="O1362" s="9" t="n">
        <v>3.67</v>
      </c>
      <c r="P1362" s="9" t="n">
        <v>3.67</v>
      </c>
      <c r="Q1362" s="7" t="inlineStr">
        <is>
          <t>Sí</t>
        </is>
      </c>
      <c r="R1362" s="9">
        <f>IF(N1362="","",IF(Q1362="Sí",ROUND(N1362/1.18,2),N1362))</f>
        <v/>
      </c>
      <c r="S1362" s="7" t="inlineStr">
        <is>
          <t>2026-09-09</t>
        </is>
      </c>
      <c r="T1362" s="5" t="inlineStr">
        <is>
          <t>1 cotización de proveedores</t>
        </is>
      </c>
    </row>
    <row r="1363">
      <c r="A1363" s="7" t="inlineStr">
        <is>
          <t>MAT-30-071</t>
        </is>
      </c>
      <c r="B1363" s="7" t="inlineStr">
        <is>
          <t>Materiales</t>
        </is>
      </c>
      <c r="C1363" s="7" t="inlineStr">
        <is>
          <t>Cableado estructurado y redes</t>
        </is>
      </c>
      <c r="D1363" s="5" t="inlineStr">
        <is>
          <t>Conectores Dorados F De Enroscar para Rg-6</t>
        </is>
      </c>
      <c r="E1363" s="5" t="inlineStr">
        <is>
          <t>marca STEREN · componentes cables y conectividad · referencia 203-039</t>
        </is>
      </c>
      <c r="F1363" s="5" t="inlineStr">
        <is>
          <t>Material retirado en almacén</t>
        </is>
      </c>
      <c r="G1363" s="5" t="inlineStr"/>
      <c r="H1363" s="7" t="inlineStr">
        <is>
          <t>unidad</t>
        </is>
      </c>
      <c r="I1363" s="7" t="inlineStr">
        <is>
          <t>Instalaciones</t>
        </is>
      </c>
      <c r="J1363" s="7" t="inlineStr">
        <is>
          <t>estandar</t>
        </is>
      </c>
      <c r="K1363" s="7" t="inlineStr">
        <is>
          <t>importado</t>
        </is>
      </c>
      <c r="L1363" s="7" t="inlineStr">
        <is>
          <t>Verificado</t>
        </is>
      </c>
      <c r="M1363" s="8" t="n">
        <v>1</v>
      </c>
      <c r="N1363" s="9" t="n">
        <v>3.68</v>
      </c>
      <c r="O1363" s="9" t="n">
        <v>3.68</v>
      </c>
      <c r="P1363" s="9" t="n">
        <v>3.68</v>
      </c>
      <c r="Q1363" s="7" t="inlineStr">
        <is>
          <t>Sí</t>
        </is>
      </c>
      <c r="R1363" s="9">
        <f>IF(N1363="","",IF(Q1363="Sí",ROUND(N1363/1.18,2),N1363))</f>
        <v/>
      </c>
      <c r="S1363" s="7" t="inlineStr">
        <is>
          <t>2026-09-09</t>
        </is>
      </c>
      <c r="T1363" s="5" t="inlineStr">
        <is>
          <t>1 cotización de proveedores</t>
        </is>
      </c>
    </row>
    <row r="1364">
      <c r="A1364" s="7" t="inlineStr">
        <is>
          <t>MAT-30-072</t>
        </is>
      </c>
      <c r="B1364" s="7" t="inlineStr">
        <is>
          <t>Materiales</t>
        </is>
      </c>
      <c r="C1364" s="7" t="inlineStr">
        <is>
          <t>Cableado estructurado y redes</t>
        </is>
      </c>
      <c r="D1364" s="5" t="inlineStr">
        <is>
          <t>Mangas De Protección</t>
        </is>
      </c>
      <c r="E1364" s="5" t="inlineStr">
        <is>
          <t>marca SIEMON · de red · referencia HT-60</t>
        </is>
      </c>
      <c r="F1364" s="5" t="inlineStr">
        <is>
          <t>Material retirado en almacén</t>
        </is>
      </c>
      <c r="G1364" s="5" t="inlineStr"/>
      <c r="H1364" s="7" t="inlineStr">
        <is>
          <t>unidad</t>
        </is>
      </c>
      <c r="I1364" s="7" t="inlineStr">
        <is>
          <t>Instalaciones</t>
        </is>
      </c>
      <c r="J1364" s="7" t="inlineStr">
        <is>
          <t>estandar</t>
        </is>
      </c>
      <c r="K1364" s="7" t="inlineStr">
        <is>
          <t>importado</t>
        </is>
      </c>
      <c r="L1364" s="7" t="inlineStr">
        <is>
          <t>Verificado</t>
        </is>
      </c>
      <c r="M1364" s="8" t="n">
        <v>1</v>
      </c>
      <c r="N1364" s="9" t="n">
        <v>26.88</v>
      </c>
      <c r="O1364" s="9" t="n">
        <v>26.88</v>
      </c>
      <c r="P1364" s="9" t="n">
        <v>26.88</v>
      </c>
      <c r="Q1364" s="7" t="inlineStr">
        <is>
          <t>Sí</t>
        </is>
      </c>
      <c r="R1364" s="9">
        <f>IF(N1364="","",IF(Q1364="Sí",ROUND(N1364/1.18,2),N1364))</f>
        <v/>
      </c>
      <c r="S1364" s="7" t="inlineStr">
        <is>
          <t>2026-09-09</t>
        </is>
      </c>
      <c r="T1364" s="5" t="inlineStr">
        <is>
          <t>1 cotización de proveedores</t>
        </is>
      </c>
    </row>
    <row r="1365">
      <c r="A1365" s="7" t="inlineStr">
        <is>
          <t>MAT-30-073</t>
        </is>
      </c>
      <c r="B1365" s="7" t="inlineStr">
        <is>
          <t>Materiales</t>
        </is>
      </c>
      <c r="C1365" s="7" t="inlineStr">
        <is>
          <t>Cableado estructurado y redes</t>
        </is>
      </c>
      <c r="D1365" s="5" t="inlineStr">
        <is>
          <t>Casquillo Con Tuerca para Soldadores Wtcpt</t>
        </is>
      </c>
      <c r="E1365" s="5" t="inlineStr">
        <is>
          <t>marca STEREN · componentes cables y conectividad · referencia BA-60</t>
        </is>
      </c>
      <c r="F1365" s="5" t="inlineStr">
        <is>
          <t>Material retirado en almacén</t>
        </is>
      </c>
      <c r="G1365" s="5" t="inlineStr"/>
      <c r="H1365" s="7" t="inlineStr">
        <is>
          <t>unidad</t>
        </is>
      </c>
      <c r="I1365" s="7" t="inlineStr">
        <is>
          <t>Instalaciones</t>
        </is>
      </c>
      <c r="J1365" s="7" t="inlineStr">
        <is>
          <t>estandar</t>
        </is>
      </c>
      <c r="K1365" s="7" t="inlineStr">
        <is>
          <t>importado</t>
        </is>
      </c>
      <c r="L1365" s="7" t="inlineStr">
        <is>
          <t>Verificado</t>
        </is>
      </c>
      <c r="M1365" s="8" t="n">
        <v>1</v>
      </c>
      <c r="N1365" s="9" t="n">
        <v>30.46</v>
      </c>
      <c r="O1365" s="9" t="n">
        <v>30.46</v>
      </c>
      <c r="P1365" s="9" t="n">
        <v>30.46</v>
      </c>
      <c r="Q1365" s="7" t="inlineStr">
        <is>
          <t>Sí</t>
        </is>
      </c>
      <c r="R1365" s="9">
        <f>IF(N1365="","",IF(Q1365="Sí",ROUND(N1365/1.18,2),N1365))</f>
        <v/>
      </c>
      <c r="S1365" s="7" t="inlineStr">
        <is>
          <t>2026-09-09</t>
        </is>
      </c>
      <c r="T1365" s="5" t="inlineStr">
        <is>
          <t>1 cotización de proveedores</t>
        </is>
      </c>
    </row>
    <row r="1366">
      <c r="A1366" s="7" t="inlineStr">
        <is>
          <t>MAT-30-074</t>
        </is>
      </c>
      <c r="B1366" s="7" t="inlineStr">
        <is>
          <t>Materiales</t>
        </is>
      </c>
      <c r="C1366" s="7" t="inlineStr">
        <is>
          <t>Cableado estructurado y redes</t>
        </is>
      </c>
      <c r="D1366" s="5" t="inlineStr">
        <is>
          <t>Conector Plug Para Camara</t>
        </is>
      </c>
      <c r="E1366" s="5" t="inlineStr">
        <is>
          <t>marca SECTECH · componentes cables y conectividad · referencia ST-PLUG</t>
        </is>
      </c>
      <c r="F1366" s="5" t="inlineStr">
        <is>
          <t>Material retirado en almacén</t>
        </is>
      </c>
      <c r="G1366" s="5" t="inlineStr"/>
      <c r="H1366" s="7" t="inlineStr">
        <is>
          <t>unidad</t>
        </is>
      </c>
      <c r="I1366" s="7" t="inlineStr">
        <is>
          <t>Instalaciones</t>
        </is>
      </c>
      <c r="J1366" s="7" t="inlineStr">
        <is>
          <t>estandar</t>
        </is>
      </c>
      <c r="K1366" s="7" t="inlineStr">
        <is>
          <t>importado</t>
        </is>
      </c>
      <c r="L1366" s="7" t="inlineStr">
        <is>
          <t>Verificado</t>
        </is>
      </c>
      <c r="M1366" s="8" t="n">
        <v>1</v>
      </c>
      <c r="N1366" s="9" t="n">
        <v>33.77</v>
      </c>
      <c r="O1366" s="9" t="n">
        <v>33.77</v>
      </c>
      <c r="P1366" s="9" t="n">
        <v>33.77</v>
      </c>
      <c r="Q1366" s="7" t="inlineStr">
        <is>
          <t>Sí</t>
        </is>
      </c>
      <c r="R1366" s="9">
        <f>IF(N1366="","",IF(Q1366="Sí",ROUND(N1366/1.18,2),N1366))</f>
        <v/>
      </c>
      <c r="S1366" s="7" t="inlineStr">
        <is>
          <t>2026-09-09</t>
        </is>
      </c>
      <c r="T1366" s="5" t="inlineStr">
        <is>
          <t>1 cotización de proveedores</t>
        </is>
      </c>
    </row>
    <row r="1367">
      <c r="A1367" s="7" t="inlineStr">
        <is>
          <t>MAT-30-075</t>
        </is>
      </c>
      <c r="B1367" s="7" t="inlineStr">
        <is>
          <t>Materiales</t>
        </is>
      </c>
      <c r="C1367" s="7" t="inlineStr">
        <is>
          <t>Cableado estructurado y redes</t>
        </is>
      </c>
      <c r="D1367" s="5" t="inlineStr">
        <is>
          <t>Plug UTP Categoría 6</t>
        </is>
      </c>
      <c r="E1367" s="5" t="inlineStr">
        <is>
          <t>marca SIEMON · utp (redes) · referencia P6U-8-8</t>
        </is>
      </c>
      <c r="F1367" s="5" t="inlineStr">
        <is>
          <t>Material retirado en almacén</t>
        </is>
      </c>
      <c r="G1367" s="5" t="inlineStr"/>
      <c r="H1367" s="7" t="inlineStr">
        <is>
          <t>unidad</t>
        </is>
      </c>
      <c r="I1367" s="7" t="inlineStr">
        <is>
          <t>Instalaciones</t>
        </is>
      </c>
      <c r="J1367" s="7" t="inlineStr">
        <is>
          <t>estandar</t>
        </is>
      </c>
      <c r="K1367" s="7" t="inlineStr">
        <is>
          <t>importado</t>
        </is>
      </c>
      <c r="L1367" s="7" t="inlineStr">
        <is>
          <t>Verificado</t>
        </is>
      </c>
      <c r="M1367" s="8" t="n">
        <v>1</v>
      </c>
      <c r="N1367" s="9" t="n">
        <v>43.71</v>
      </c>
      <c r="O1367" s="9" t="n">
        <v>43.71</v>
      </c>
      <c r="P1367" s="9" t="n">
        <v>43.71</v>
      </c>
      <c r="Q1367" s="7" t="inlineStr">
        <is>
          <t>Sí</t>
        </is>
      </c>
      <c r="R1367" s="9">
        <f>IF(N1367="","",IF(Q1367="Sí",ROUND(N1367/1.18,2),N1367))</f>
        <v/>
      </c>
      <c r="S1367" s="7" t="inlineStr">
        <is>
          <t>2026-09-09</t>
        </is>
      </c>
      <c r="T1367" s="5" t="inlineStr">
        <is>
          <t>1 cotización de proveedores</t>
        </is>
      </c>
    </row>
    <row r="1368">
      <c r="A1368" s="7" t="inlineStr">
        <is>
          <t>MAT-30-076</t>
        </is>
      </c>
      <c r="B1368" s="7" t="inlineStr">
        <is>
          <t>Materiales</t>
        </is>
      </c>
      <c r="C1368" s="7" t="inlineStr">
        <is>
          <t>Cableado estructurado y redes</t>
        </is>
      </c>
      <c r="D1368" s="5" t="inlineStr">
        <is>
          <t>Decorator Strap, Bl3P</t>
        </is>
      </c>
      <c r="E1368" s="5" t="inlineStr">
        <is>
          <t>marca ON Q · componentes cables y conectividad · referencia WP3413WH</t>
        </is>
      </c>
      <c r="F1368" s="5" t="inlineStr">
        <is>
          <t>Material retirado en almacén</t>
        </is>
      </c>
      <c r="G1368" s="5" t="inlineStr"/>
      <c r="H1368" s="7" t="inlineStr">
        <is>
          <t>unidad</t>
        </is>
      </c>
      <c r="I1368" s="7" t="inlineStr">
        <is>
          <t>Instalaciones</t>
        </is>
      </c>
      <c r="J1368" s="7" t="inlineStr">
        <is>
          <t>estandar</t>
        </is>
      </c>
      <c r="K1368" s="7" t="inlineStr">
        <is>
          <t>importado</t>
        </is>
      </c>
      <c r="L1368" s="7" t="inlineStr">
        <is>
          <t>Verificado</t>
        </is>
      </c>
      <c r="M1368" s="8" t="n">
        <v>1</v>
      </c>
      <c r="N1368" s="9" t="n">
        <v>56.86</v>
      </c>
      <c r="O1368" s="9" t="n">
        <v>56.86</v>
      </c>
      <c r="P1368" s="9" t="n">
        <v>56.86</v>
      </c>
      <c r="Q1368" s="7" t="inlineStr">
        <is>
          <t>Sí</t>
        </is>
      </c>
      <c r="R1368" s="9">
        <f>IF(N1368="","",IF(Q1368="Sí",ROUND(N1368/1.18,2),N1368))</f>
        <v/>
      </c>
      <c r="S1368" s="7" t="inlineStr">
        <is>
          <t>2026-09-09</t>
        </is>
      </c>
      <c r="T1368" s="5" t="inlineStr">
        <is>
          <t>1 cotización de proveedores</t>
        </is>
      </c>
    </row>
    <row r="1369">
      <c r="A1369" s="7" t="inlineStr">
        <is>
          <t>MAT-30-077</t>
        </is>
      </c>
      <c r="B1369" s="7" t="inlineStr">
        <is>
          <t>Materiales</t>
        </is>
      </c>
      <c r="C1369" s="7" t="inlineStr">
        <is>
          <t>Cableado estructurado y redes</t>
        </is>
      </c>
      <c r="D1369" s="5" t="inlineStr">
        <is>
          <t>Decorator Strap, Bl4P</t>
        </is>
      </c>
      <c r="E1369" s="5" t="inlineStr">
        <is>
          <t>marca ON Q · componentes cables y conectividad · referencia WP3414WH</t>
        </is>
      </c>
      <c r="F1369" s="5" t="inlineStr">
        <is>
          <t>Material retirado en almacén</t>
        </is>
      </c>
      <c r="G1369" s="5" t="inlineStr"/>
      <c r="H1369" s="7" t="inlineStr">
        <is>
          <t>unidad</t>
        </is>
      </c>
      <c r="I1369" s="7" t="inlineStr">
        <is>
          <t>Instalaciones</t>
        </is>
      </c>
      <c r="J1369" s="7" t="inlineStr">
        <is>
          <t>estandar</t>
        </is>
      </c>
      <c r="K1369" s="7" t="inlineStr">
        <is>
          <t>importado</t>
        </is>
      </c>
      <c r="L1369" s="7" t="inlineStr">
        <is>
          <t>Verificado</t>
        </is>
      </c>
      <c r="M1369" s="8" t="n">
        <v>1</v>
      </c>
      <c r="N1369" s="9" t="n">
        <v>58</v>
      </c>
      <c r="O1369" s="9" t="n">
        <v>58</v>
      </c>
      <c r="P1369" s="9" t="n">
        <v>58</v>
      </c>
      <c r="Q1369" s="7" t="inlineStr">
        <is>
          <t>Sí</t>
        </is>
      </c>
      <c r="R1369" s="9">
        <f>IF(N1369="","",IF(Q1369="Sí",ROUND(N1369/1.18,2),N1369))</f>
        <v/>
      </c>
      <c r="S1369" s="7" t="inlineStr">
        <is>
          <t>2026-09-09</t>
        </is>
      </c>
      <c r="T1369" s="5" t="inlineStr">
        <is>
          <t>1 cotización de proveedores</t>
        </is>
      </c>
    </row>
    <row r="1370">
      <c r="A1370" s="7" t="inlineStr">
        <is>
          <t>MAT-30-078</t>
        </is>
      </c>
      <c r="B1370" s="7" t="inlineStr">
        <is>
          <t>Materiales</t>
        </is>
      </c>
      <c r="C1370" s="7" t="inlineStr">
        <is>
          <t>Cableado estructurado y redes</t>
        </is>
      </c>
      <c r="D1370" s="5" t="inlineStr">
        <is>
          <t>Keystone Jack Icon,Data / Voice Bag Of 25</t>
        </is>
      </c>
      <c r="E1370" s="5" t="inlineStr">
        <is>
          <t>marca ORTRONICS · componentes cables y conectividad · referencia KSICON</t>
        </is>
      </c>
      <c r="F1370" s="5" t="inlineStr">
        <is>
          <t>Material retirado en almacén</t>
        </is>
      </c>
      <c r="G1370" s="5" t="inlineStr"/>
      <c r="H1370" s="7" t="inlineStr">
        <is>
          <t>unidad</t>
        </is>
      </c>
      <c r="I1370" s="7" t="inlineStr">
        <is>
          <t>Instalaciones</t>
        </is>
      </c>
      <c r="J1370" s="7" t="inlineStr">
        <is>
          <t>estandar</t>
        </is>
      </c>
      <c r="K1370" s="7" t="inlineStr">
        <is>
          <t>importado</t>
        </is>
      </c>
      <c r="L1370" s="7" t="inlineStr">
        <is>
          <t>Verificado</t>
        </is>
      </c>
      <c r="M1370" s="8" t="n">
        <v>1</v>
      </c>
      <c r="N1370" s="9" t="n">
        <v>70.47</v>
      </c>
      <c r="O1370" s="9" t="n">
        <v>70.47</v>
      </c>
      <c r="P1370" s="9" t="n">
        <v>70.47</v>
      </c>
      <c r="Q1370" s="7" t="inlineStr">
        <is>
          <t>Sí</t>
        </is>
      </c>
      <c r="R1370" s="9">
        <f>IF(N1370="","",IF(Q1370="Sí",ROUND(N1370/1.18,2),N1370))</f>
        <v/>
      </c>
      <c r="S1370" s="7" t="inlineStr">
        <is>
          <t>2026-09-09</t>
        </is>
      </c>
      <c r="T1370" s="5" t="inlineStr">
        <is>
          <t>1 cotización de proveedores</t>
        </is>
      </c>
    </row>
    <row r="1371">
      <c r="A1371" s="7" t="inlineStr">
        <is>
          <t>MAT-30-079</t>
        </is>
      </c>
      <c r="B1371" s="7" t="inlineStr">
        <is>
          <t>Materiales</t>
        </is>
      </c>
      <c r="C1371" s="7" t="inlineStr">
        <is>
          <t>Cableado estructurado y redes</t>
        </is>
      </c>
      <c r="D1371" s="5" t="inlineStr">
        <is>
          <t>Conector RJ45 Blanco Cat 5E</t>
        </is>
      </c>
      <c r="E1371" s="5" t="inlineStr">
        <is>
          <t>marca ON Q · componentes cables y conectividad · referencia WP3450WH</t>
        </is>
      </c>
      <c r="F1371" s="5" t="inlineStr">
        <is>
          <t>Material retirado en almacén</t>
        </is>
      </c>
      <c r="G1371" s="5" t="inlineStr"/>
      <c r="H1371" s="7" t="inlineStr">
        <is>
          <t>unidad</t>
        </is>
      </c>
      <c r="I1371" s="7" t="inlineStr">
        <is>
          <t>Instalaciones</t>
        </is>
      </c>
      <c r="J1371" s="7" t="inlineStr">
        <is>
          <t>estandar</t>
        </is>
      </c>
      <c r="K1371" s="7" t="inlineStr">
        <is>
          <t>importado</t>
        </is>
      </c>
      <c r="L1371" s="7" t="inlineStr">
        <is>
          <t>Verificado</t>
        </is>
      </c>
      <c r="M1371" s="8" t="n">
        <v>1</v>
      </c>
      <c r="N1371" s="9" t="n">
        <v>76.15000000000001</v>
      </c>
      <c r="O1371" s="9" t="n">
        <v>76.15000000000001</v>
      </c>
      <c r="P1371" s="9" t="n">
        <v>76.15000000000001</v>
      </c>
      <c r="Q1371" s="7" t="inlineStr">
        <is>
          <t>Sí</t>
        </is>
      </c>
      <c r="R1371" s="9">
        <f>IF(N1371="","",IF(Q1371="Sí",ROUND(N1371/1.18,2),N1371))</f>
        <v/>
      </c>
      <c r="S1371" s="7" t="inlineStr">
        <is>
          <t>2026-09-09</t>
        </is>
      </c>
      <c r="T1371" s="5" t="inlineStr">
        <is>
          <t>1 cotización de proveedores</t>
        </is>
      </c>
    </row>
    <row r="1372">
      <c r="A1372" s="7" t="inlineStr">
        <is>
          <t>MAT-30-080</t>
        </is>
      </c>
      <c r="B1372" s="7" t="inlineStr">
        <is>
          <t>Materiales</t>
        </is>
      </c>
      <c r="C1372" s="7" t="inlineStr">
        <is>
          <t>Cableado estructurado y redes</t>
        </is>
      </c>
      <c r="D1372" s="5" t="inlineStr">
        <is>
          <t>Fp,Keystone,2 Hole,Sg,Pc Desig,Screw,Kit</t>
        </is>
      </c>
      <c r="E1372" s="5" t="inlineStr">
        <is>
          <t>marca ORTRONICS · componentes cables y conectividad · referencia KSFP2</t>
        </is>
      </c>
      <c r="F1372" s="5" t="inlineStr">
        <is>
          <t>Material retirado en almacén</t>
        </is>
      </c>
      <c r="G1372" s="5" t="inlineStr"/>
      <c r="H1372" s="7" t="inlineStr">
        <is>
          <t>unidad</t>
        </is>
      </c>
      <c r="I1372" s="7" t="inlineStr">
        <is>
          <t>Instalaciones</t>
        </is>
      </c>
      <c r="J1372" s="7" t="inlineStr">
        <is>
          <t>estandar</t>
        </is>
      </c>
      <c r="K1372" s="7" t="inlineStr">
        <is>
          <t>importado</t>
        </is>
      </c>
      <c r="L1372" s="7" t="inlineStr">
        <is>
          <t>Verificado</t>
        </is>
      </c>
      <c r="M1372" s="8" t="n">
        <v>1</v>
      </c>
      <c r="N1372" s="9" t="n">
        <v>77.06</v>
      </c>
      <c r="O1372" s="9" t="n">
        <v>77.06</v>
      </c>
      <c r="P1372" s="9" t="n">
        <v>77.06</v>
      </c>
      <c r="Q1372" s="7" t="inlineStr">
        <is>
          <t>Sí</t>
        </is>
      </c>
      <c r="R1372" s="9">
        <f>IF(N1372="","",IF(Q1372="Sí",ROUND(N1372/1.18,2),N1372))</f>
        <v/>
      </c>
      <c r="S1372" s="7" t="inlineStr">
        <is>
          <t>2026-09-09</t>
        </is>
      </c>
      <c r="T1372" s="5" t="inlineStr">
        <is>
          <t>1 cotización de proveedores</t>
        </is>
      </c>
    </row>
    <row r="1373">
      <c r="A1373" s="7" t="inlineStr">
        <is>
          <t>MAT-30-081</t>
        </is>
      </c>
      <c r="B1373" s="7" t="inlineStr">
        <is>
          <t>Materiales</t>
        </is>
      </c>
      <c r="C1373" s="7" t="inlineStr">
        <is>
          <t>Cableado estructurado y redes</t>
        </is>
      </c>
      <c r="D1373" s="5" t="inlineStr">
        <is>
          <t>Keystone,Blank,Qty10 Fogwhite</t>
        </is>
      </c>
      <c r="E1373" s="5" t="inlineStr">
        <is>
          <t>marca ORTRONICS · componentes cables y conectividad · referencia KSB10</t>
        </is>
      </c>
      <c r="F1373" s="5" t="inlineStr">
        <is>
          <t>Material retirado en almacén</t>
        </is>
      </c>
      <c r="G1373" s="5" t="inlineStr"/>
      <c r="H1373" s="7" t="inlineStr">
        <is>
          <t>unidad</t>
        </is>
      </c>
      <c r="I1373" s="7" t="inlineStr">
        <is>
          <t>Instalaciones</t>
        </is>
      </c>
      <c r="J1373" s="7" t="inlineStr">
        <is>
          <t>estandar</t>
        </is>
      </c>
      <c r="K1373" s="7" t="inlineStr">
        <is>
          <t>importado</t>
        </is>
      </c>
      <c r="L1373" s="7" t="inlineStr">
        <is>
          <t>Verificado</t>
        </is>
      </c>
      <c r="M1373" s="8" t="n">
        <v>1</v>
      </c>
      <c r="N1373" s="9" t="n">
        <v>96.98</v>
      </c>
      <c r="O1373" s="9" t="n">
        <v>96.98</v>
      </c>
      <c r="P1373" s="9" t="n">
        <v>96.98</v>
      </c>
      <c r="Q1373" s="7" t="inlineStr">
        <is>
          <t>Sí</t>
        </is>
      </c>
      <c r="R1373" s="9">
        <f>IF(N1373="","",IF(Q1373="Sí",ROUND(N1373/1.18,2),N1373))</f>
        <v/>
      </c>
      <c r="S1373" s="7" t="inlineStr">
        <is>
          <t>2026-09-09</t>
        </is>
      </c>
      <c r="T1373" s="5" t="inlineStr">
        <is>
          <t>1 cotización de proveedores</t>
        </is>
      </c>
    </row>
    <row r="1374">
      <c r="A1374" s="7" t="inlineStr">
        <is>
          <t>MAT-30-082</t>
        </is>
      </c>
      <c r="B1374" s="7" t="inlineStr">
        <is>
          <t>Materiales</t>
        </is>
      </c>
      <c r="C1374" s="7" t="inlineStr">
        <is>
          <t>Cableado estructurado y redes</t>
        </is>
      </c>
      <c r="D1374" s="5" t="inlineStr">
        <is>
          <t>Placa De Pared Modular 3S</t>
        </is>
      </c>
      <c r="E1374" s="5" t="inlineStr">
        <is>
          <t>marca SIEMON · accesorios cables y conectividad · referencia MX-FP-S-03-02</t>
        </is>
      </c>
      <c r="F1374" s="5" t="inlineStr">
        <is>
          <t>Material retirado en almacén</t>
        </is>
      </c>
      <c r="G1374" s="5" t="inlineStr"/>
      <c r="H1374" s="7" t="inlineStr">
        <is>
          <t>unidad</t>
        </is>
      </c>
      <c r="I1374" s="7" t="inlineStr">
        <is>
          <t>Instalaciones</t>
        </is>
      </c>
      <c r="J1374" s="7" t="inlineStr">
        <is>
          <t>estandar</t>
        </is>
      </c>
      <c r="K1374" s="7" t="inlineStr">
        <is>
          <t>importado</t>
        </is>
      </c>
      <c r="L1374" s="7" t="inlineStr">
        <is>
          <t>Verificado</t>
        </is>
      </c>
      <c r="M1374" s="8" t="n">
        <v>1</v>
      </c>
      <c r="N1374" s="9" t="n">
        <v>101.11</v>
      </c>
      <c r="O1374" s="9" t="n">
        <v>101.11</v>
      </c>
      <c r="P1374" s="9" t="n">
        <v>101.11</v>
      </c>
      <c r="Q1374" s="7" t="inlineStr">
        <is>
          <t>Sí</t>
        </is>
      </c>
      <c r="R1374" s="9">
        <f>IF(N1374="","",IF(Q1374="Sí",ROUND(N1374/1.18,2),N1374))</f>
        <v/>
      </c>
      <c r="S1374" s="7" t="inlineStr">
        <is>
          <t>2026-09-09</t>
        </is>
      </c>
      <c r="T1374" s="5" t="inlineStr">
        <is>
          <t>1 cotización de proveedores</t>
        </is>
      </c>
    </row>
    <row r="1375">
      <c r="A1375" s="7" t="inlineStr">
        <is>
          <t>MAT-30-083</t>
        </is>
      </c>
      <c r="B1375" s="7" t="inlineStr">
        <is>
          <t>Materiales</t>
        </is>
      </c>
      <c r="C1375" s="7" t="inlineStr">
        <is>
          <t>Cableado estructurado y redes</t>
        </is>
      </c>
      <c r="D1375" s="5" t="inlineStr">
        <is>
          <t>Placa Max 1 Puerto blanco</t>
        </is>
      </c>
      <c r="E1375" s="5" t="inlineStr">
        <is>
          <t>marca SIEMON · accesorios cables y conectividad · referencia MX-FP-S-01-02</t>
        </is>
      </c>
      <c r="F1375" s="5" t="inlineStr">
        <is>
          <t>Material retirado en almacén</t>
        </is>
      </c>
      <c r="G1375" s="5" t="inlineStr"/>
      <c r="H1375" s="7" t="inlineStr">
        <is>
          <t>unidad</t>
        </is>
      </c>
      <c r="I1375" s="7" t="inlineStr">
        <is>
          <t>Instalaciones</t>
        </is>
      </c>
      <c r="J1375" s="7" t="inlineStr">
        <is>
          <t>estandar</t>
        </is>
      </c>
      <c r="K1375" s="7" t="inlineStr">
        <is>
          <t>importado</t>
        </is>
      </c>
      <c r="L1375" s="7" t="inlineStr">
        <is>
          <t>Verificado</t>
        </is>
      </c>
      <c r="M1375" s="8" t="n">
        <v>1</v>
      </c>
      <c r="N1375" s="9" t="n">
        <v>101.21</v>
      </c>
      <c r="O1375" s="9" t="n">
        <v>101.21</v>
      </c>
      <c r="P1375" s="9" t="n">
        <v>101.21</v>
      </c>
      <c r="Q1375" s="7" t="inlineStr">
        <is>
          <t>Sí</t>
        </is>
      </c>
      <c r="R1375" s="9">
        <f>IF(N1375="","",IF(Q1375="Sí",ROUND(N1375/1.18,2),N1375))</f>
        <v/>
      </c>
      <c r="S1375" s="7" t="inlineStr">
        <is>
          <t>2026-09-09</t>
        </is>
      </c>
      <c r="T1375" s="5" t="inlineStr">
        <is>
          <t>1 cotización de proveedores</t>
        </is>
      </c>
    </row>
    <row r="1376">
      <c r="A1376" s="7" t="inlineStr">
        <is>
          <t>MAT-30-084</t>
        </is>
      </c>
      <c r="B1376" s="7" t="inlineStr">
        <is>
          <t>Materiales</t>
        </is>
      </c>
      <c r="C1376" s="7" t="inlineStr">
        <is>
          <t>Cableado estructurado y redes</t>
        </is>
      </c>
      <c r="D1376" s="5" t="inlineStr">
        <is>
          <t>Placa Max 2 Puerto blanco</t>
        </is>
      </c>
      <c r="E1376" s="5" t="inlineStr">
        <is>
          <t>marca SIEMON · accesorios cables y conectividad · referencia MX-FP-S-02-02</t>
        </is>
      </c>
      <c r="F1376" s="5" t="inlineStr">
        <is>
          <t>Material retirado en almacén</t>
        </is>
      </c>
      <c r="G1376" s="5" t="inlineStr"/>
      <c r="H1376" s="7" t="inlineStr">
        <is>
          <t>unidad</t>
        </is>
      </c>
      <c r="I1376" s="7" t="inlineStr">
        <is>
          <t>Instalaciones</t>
        </is>
      </c>
      <c r="J1376" s="7" t="inlineStr">
        <is>
          <t>estandar</t>
        </is>
      </c>
      <c r="K1376" s="7" t="inlineStr">
        <is>
          <t>importado</t>
        </is>
      </c>
      <c r="L1376" s="7" t="inlineStr">
        <is>
          <t>Verificado</t>
        </is>
      </c>
      <c r="M1376" s="8" t="n">
        <v>1</v>
      </c>
      <c r="N1376" s="9" t="n">
        <v>101.21</v>
      </c>
      <c r="O1376" s="9" t="n">
        <v>101.21</v>
      </c>
      <c r="P1376" s="9" t="n">
        <v>101.21</v>
      </c>
      <c r="Q1376" s="7" t="inlineStr">
        <is>
          <t>Sí</t>
        </is>
      </c>
      <c r="R1376" s="9">
        <f>IF(N1376="","",IF(Q1376="Sí",ROUND(N1376/1.18,2),N1376))</f>
        <v/>
      </c>
      <c r="S1376" s="7" t="inlineStr">
        <is>
          <t>2026-09-09</t>
        </is>
      </c>
      <c r="T1376" s="5" t="inlineStr">
        <is>
          <t>1 cotización de proveedores</t>
        </is>
      </c>
    </row>
    <row r="1377">
      <c r="A1377" s="7" t="inlineStr">
        <is>
          <t>MAT-30-085</t>
        </is>
      </c>
      <c r="B1377" s="7" t="inlineStr">
        <is>
          <t>Materiales</t>
        </is>
      </c>
      <c r="C1377" s="7" t="inlineStr">
        <is>
          <t>Cableado estructurado y redes</t>
        </is>
      </c>
      <c r="D1377" s="5" t="inlineStr">
        <is>
          <t>Faceplate, Single Gang, 4 Openings, Mx,</t>
        </is>
      </c>
      <c r="E1377" s="5" t="inlineStr">
        <is>
          <t>marca SIEMON · accesorios cables y conectividad · referencia MX-FP-S-04-02</t>
        </is>
      </c>
      <c r="F1377" s="5" t="inlineStr">
        <is>
          <t>Material retirado en almacén</t>
        </is>
      </c>
      <c r="G1377" s="5" t="inlineStr"/>
      <c r="H1377" s="7" t="inlineStr">
        <is>
          <t>unidad</t>
        </is>
      </c>
      <c r="I1377" s="7" t="inlineStr">
        <is>
          <t>Instalaciones</t>
        </is>
      </c>
      <c r="J1377" s="7" t="inlineStr">
        <is>
          <t>estandar</t>
        </is>
      </c>
      <c r="K1377" s="7" t="inlineStr">
        <is>
          <t>importado</t>
        </is>
      </c>
      <c r="L1377" s="7" t="inlineStr">
        <is>
          <t>Verificado</t>
        </is>
      </c>
      <c r="M1377" s="8" t="n">
        <v>1</v>
      </c>
      <c r="N1377" s="9" t="n">
        <v>102.17</v>
      </c>
      <c r="O1377" s="9" t="n">
        <v>102.17</v>
      </c>
      <c r="P1377" s="9" t="n">
        <v>102.17</v>
      </c>
      <c r="Q1377" s="7" t="inlineStr">
        <is>
          <t>Sí</t>
        </is>
      </c>
      <c r="R1377" s="9">
        <f>IF(N1377="","",IF(Q1377="Sí",ROUND(N1377/1.18,2),N1377))</f>
        <v/>
      </c>
      <c r="S1377" s="7" t="inlineStr">
        <is>
          <t>2026-09-09</t>
        </is>
      </c>
      <c r="T1377" s="5" t="inlineStr">
        <is>
          <t>1 cotización de proveedores</t>
        </is>
      </c>
    </row>
    <row r="1378">
      <c r="A1378" s="7" t="inlineStr">
        <is>
          <t>MAT-30-086</t>
        </is>
      </c>
      <c r="B1378" s="7" t="inlineStr">
        <is>
          <t>Materiales</t>
        </is>
      </c>
      <c r="C1378" s="7" t="inlineStr">
        <is>
          <t>Cableado estructurado y redes</t>
        </is>
      </c>
      <c r="D1378" s="5" t="inlineStr">
        <is>
          <t>Placa Serie Ct para 1 Acoplador blanco</t>
        </is>
      </c>
      <c r="E1378" s="5" t="inlineStr">
        <is>
          <t>marca SIEMON · componentes cables y conectividad · referencia CT2-FP-02</t>
        </is>
      </c>
      <c r="F1378" s="5" t="inlineStr">
        <is>
          <t>Material retirado en almacén</t>
        </is>
      </c>
      <c r="G1378" s="5" t="inlineStr"/>
      <c r="H1378" s="7" t="inlineStr">
        <is>
          <t>unidad</t>
        </is>
      </c>
      <c r="I1378" s="7" t="inlineStr">
        <is>
          <t>Instalaciones</t>
        </is>
      </c>
      <c r="J1378" s="7" t="inlineStr">
        <is>
          <t>estandar</t>
        </is>
      </c>
      <c r="K1378" s="7" t="inlineStr">
        <is>
          <t>importado</t>
        </is>
      </c>
      <c r="L1378" s="7" t="inlineStr">
        <is>
          <t>Verificado</t>
        </is>
      </c>
      <c r="M1378" s="8" t="n">
        <v>1</v>
      </c>
      <c r="N1378" s="9" t="n">
        <v>101.92</v>
      </c>
      <c r="O1378" s="9" t="n">
        <v>101.92</v>
      </c>
      <c r="P1378" s="9" t="n">
        <v>101.92</v>
      </c>
      <c r="Q1378" s="7" t="inlineStr">
        <is>
          <t>Sí</t>
        </is>
      </c>
      <c r="R1378" s="9">
        <f>IF(N1378="","",IF(Q1378="Sí",ROUND(N1378/1.18,2),N1378))</f>
        <v/>
      </c>
      <c r="S1378" s="7" t="inlineStr">
        <is>
          <t>2026-09-09</t>
        </is>
      </c>
      <c r="T1378" s="5" t="inlineStr">
        <is>
          <t>1 cotización de proveedores</t>
        </is>
      </c>
    </row>
    <row r="1379">
      <c r="A1379" s="7" t="inlineStr">
        <is>
          <t>MAT-30-087</t>
        </is>
      </c>
      <c r="B1379" s="7" t="inlineStr">
        <is>
          <t>Materiales</t>
        </is>
      </c>
      <c r="C1379" s="7" t="inlineStr">
        <is>
          <t>Cableado estructurado y redes</t>
        </is>
      </c>
      <c r="D1379" s="5" t="inlineStr">
        <is>
          <t>Cat 5E Keystone Jack Individual Bag,Fog</t>
        </is>
      </c>
      <c r="E1379" s="5" t="inlineStr">
        <is>
          <t>marca ORTRONICS · componentes cables y conectividad · referencia KS5EA</t>
        </is>
      </c>
      <c r="F1379" s="5" t="inlineStr">
        <is>
          <t>Material retirado en almacén</t>
        </is>
      </c>
      <c r="G1379" s="5" t="inlineStr"/>
      <c r="H1379" s="7" t="inlineStr">
        <is>
          <t>unidad</t>
        </is>
      </c>
      <c r="I1379" s="7" t="inlineStr">
        <is>
          <t>Instalaciones</t>
        </is>
      </c>
      <c r="J1379" s="7" t="inlineStr">
        <is>
          <t>estandar</t>
        </is>
      </c>
      <c r="K1379" s="7" t="inlineStr">
        <is>
          <t>importado</t>
        </is>
      </c>
      <c r="L1379" s="7" t="inlineStr">
        <is>
          <t>Verificado</t>
        </is>
      </c>
      <c r="M1379" s="8" t="n">
        <v>1</v>
      </c>
      <c r="N1379" s="9" t="n">
        <v>106.97</v>
      </c>
      <c r="O1379" s="9" t="n">
        <v>106.97</v>
      </c>
      <c r="P1379" s="9" t="n">
        <v>106.97</v>
      </c>
      <c r="Q1379" s="7" t="inlineStr">
        <is>
          <t>Sí</t>
        </is>
      </c>
      <c r="R1379" s="9">
        <f>IF(N1379="","",IF(Q1379="Sí",ROUND(N1379/1.18,2),N1379))</f>
        <v/>
      </c>
      <c r="S1379" s="7" t="inlineStr">
        <is>
          <t>2026-09-09</t>
        </is>
      </c>
      <c r="T1379" s="5" t="inlineStr">
        <is>
          <t>1 cotización de proveedores</t>
        </is>
      </c>
    </row>
    <row r="1380">
      <c r="A1380" s="7" t="inlineStr">
        <is>
          <t>MAT-30-088</t>
        </is>
      </c>
      <c r="B1380" s="7" t="inlineStr">
        <is>
          <t>Materiales</t>
        </is>
      </c>
      <c r="C1380" s="7" t="inlineStr">
        <is>
          <t>Cableado estructurado y redes</t>
        </is>
      </c>
      <c r="D1380" s="5" t="inlineStr">
        <is>
          <t>Inserto Ciego Max Paq.10 Negro</t>
        </is>
      </c>
      <c r="E1380" s="5" t="inlineStr">
        <is>
          <t>marca SIEMON · de red · referencia MX-BL-01</t>
        </is>
      </c>
      <c r="F1380" s="5" t="inlineStr">
        <is>
          <t>Material retirado en almacén</t>
        </is>
      </c>
      <c r="G1380" s="5" t="inlineStr"/>
      <c r="H1380" s="7" t="inlineStr">
        <is>
          <t>unidad</t>
        </is>
      </c>
      <c r="I1380" s="7" t="inlineStr">
        <is>
          <t>Instalaciones</t>
        </is>
      </c>
      <c r="J1380" s="7" t="inlineStr">
        <is>
          <t>estandar</t>
        </is>
      </c>
      <c r="K1380" s="7" t="inlineStr">
        <is>
          <t>importado</t>
        </is>
      </c>
      <c r="L1380" s="7" t="inlineStr">
        <is>
          <t>Verificado</t>
        </is>
      </c>
      <c r="M1380" s="8" t="n">
        <v>1</v>
      </c>
      <c r="N1380" s="9" t="n">
        <v>128.13</v>
      </c>
      <c r="O1380" s="9" t="n">
        <v>128.13</v>
      </c>
      <c r="P1380" s="9" t="n">
        <v>128.13</v>
      </c>
      <c r="Q1380" s="7" t="inlineStr">
        <is>
          <t>Sí</t>
        </is>
      </c>
      <c r="R1380" s="9">
        <f>IF(N1380="","",IF(Q1380="Sí",ROUND(N1380/1.18,2),N1380))</f>
        <v/>
      </c>
      <c r="S1380" s="7" t="inlineStr">
        <is>
          <t>2026-09-09</t>
        </is>
      </c>
      <c r="T1380" s="5" t="inlineStr">
        <is>
          <t>1 cotización de proveedores</t>
        </is>
      </c>
    </row>
    <row r="1381">
      <c r="A1381" s="7" t="inlineStr">
        <is>
          <t>MAT-30-089</t>
        </is>
      </c>
      <c r="B1381" s="7" t="inlineStr">
        <is>
          <t>Materiales</t>
        </is>
      </c>
      <c r="C1381" s="7" t="inlineStr">
        <is>
          <t>Cableado estructurado y redes</t>
        </is>
      </c>
      <c r="D1381" s="5" t="inlineStr">
        <is>
          <t>Placa Serie Ct para 2 Acoplador blanco</t>
        </is>
      </c>
      <c r="E1381" s="5" t="inlineStr">
        <is>
          <t>marca SIEMON · componentes cables y conectividad · referencia CT4-BOX-02</t>
        </is>
      </c>
      <c r="F1381" s="5" t="inlineStr">
        <is>
          <t>Material retirado en almacén</t>
        </is>
      </c>
      <c r="G1381" s="5" t="inlineStr"/>
      <c r="H1381" s="7" t="inlineStr">
        <is>
          <t>unidad</t>
        </is>
      </c>
      <c r="I1381" s="7" t="inlineStr">
        <is>
          <t>Instalaciones</t>
        </is>
      </c>
      <c r="J1381" s="7" t="inlineStr">
        <is>
          <t>estandar</t>
        </is>
      </c>
      <c r="K1381" s="7" t="inlineStr">
        <is>
          <t>importado</t>
        </is>
      </c>
      <c r="L1381" s="7" t="inlineStr">
        <is>
          <t>Verificado</t>
        </is>
      </c>
      <c r="M1381" s="8" t="n">
        <v>1</v>
      </c>
      <c r="N1381" s="9" t="n">
        <v>145.92</v>
      </c>
      <c r="O1381" s="9" t="n">
        <v>145.92</v>
      </c>
      <c r="P1381" s="9" t="n">
        <v>145.92</v>
      </c>
      <c r="Q1381" s="7" t="inlineStr">
        <is>
          <t>Sí</t>
        </is>
      </c>
      <c r="R1381" s="9">
        <f>IF(N1381="","",IF(Q1381="Sí",ROUND(N1381/1.18,2),N1381))</f>
        <v/>
      </c>
      <c r="S1381" s="7" t="inlineStr">
        <is>
          <t>2026-09-09</t>
        </is>
      </c>
      <c r="T1381" s="5" t="inlineStr">
        <is>
          <t>1 cotización de proveedores</t>
        </is>
      </c>
    </row>
    <row r="1382">
      <c r="A1382" s="7" t="inlineStr">
        <is>
          <t>MAT-30-090</t>
        </is>
      </c>
      <c r="B1382" s="7" t="inlineStr">
        <is>
          <t>Materiales</t>
        </is>
      </c>
      <c r="C1382" s="7" t="inlineStr">
        <is>
          <t>Cableado estructurado y redes</t>
        </is>
      </c>
      <c r="D1382" s="5" t="inlineStr">
        <is>
          <t>Módulo Ciego Wp3455 Wh</t>
        </is>
      </c>
      <c r="E1382" s="5" t="inlineStr">
        <is>
          <t>marca ON Q · componentes cables y conectividad · referencia WP3455WH</t>
        </is>
      </c>
      <c r="F1382" s="5" t="inlineStr">
        <is>
          <t>Material retirado en almacén</t>
        </is>
      </c>
      <c r="G1382" s="5" t="inlineStr"/>
      <c r="H1382" s="7" t="inlineStr">
        <is>
          <t>unidad</t>
        </is>
      </c>
      <c r="I1382" s="7" t="inlineStr">
        <is>
          <t>Instalaciones</t>
        </is>
      </c>
      <c r="J1382" s="7" t="inlineStr">
        <is>
          <t>estandar</t>
        </is>
      </c>
      <c r="K1382" s="7" t="inlineStr">
        <is>
          <t>importado</t>
        </is>
      </c>
      <c r="L1382" s="7" t="inlineStr">
        <is>
          <t>Verificado</t>
        </is>
      </c>
      <c r="M1382" s="8" t="n">
        <v>1</v>
      </c>
      <c r="N1382" s="9" t="n">
        <v>146.83</v>
      </c>
      <c r="O1382" s="9" t="n">
        <v>146.83</v>
      </c>
      <c r="P1382" s="9" t="n">
        <v>146.83</v>
      </c>
      <c r="Q1382" s="7" t="inlineStr">
        <is>
          <t>Sí</t>
        </is>
      </c>
      <c r="R1382" s="9">
        <f>IF(N1382="","",IF(Q1382="Sí",ROUND(N1382/1.18,2),N1382))</f>
        <v/>
      </c>
      <c r="S1382" s="7" t="inlineStr">
        <is>
          <t>2026-09-09</t>
        </is>
      </c>
      <c r="T1382" s="5" t="inlineStr">
        <is>
          <t>1 cotización de proveedores</t>
        </is>
      </c>
    </row>
    <row r="1383">
      <c r="A1383" s="7" t="inlineStr">
        <is>
          <t>MAT-30-091</t>
        </is>
      </c>
      <c r="B1383" s="7" t="inlineStr">
        <is>
          <t>Materiales</t>
        </is>
      </c>
      <c r="C1383" s="7" t="inlineStr">
        <is>
          <t>Cableado estructurado y redes</t>
        </is>
      </c>
      <c r="D1383" s="5" t="inlineStr">
        <is>
          <t>Conector Rca Rojo</t>
        </is>
      </c>
      <c r="E1383" s="5" t="inlineStr">
        <is>
          <t>marca ON Q · componentes cables y conectividad · referencia KSRCARW</t>
        </is>
      </c>
      <c r="F1383" s="5" t="inlineStr">
        <is>
          <t>Material retirado en almacén</t>
        </is>
      </c>
      <c r="G1383" s="5" t="inlineStr"/>
      <c r="H1383" s="7" t="inlineStr">
        <is>
          <t>unidad</t>
        </is>
      </c>
      <c r="I1383" s="7" t="inlineStr">
        <is>
          <t>Instalaciones</t>
        </is>
      </c>
      <c r="J1383" s="7" t="inlineStr">
        <is>
          <t>estandar</t>
        </is>
      </c>
      <c r="K1383" s="7" t="inlineStr">
        <is>
          <t>importado</t>
        </is>
      </c>
      <c r="L1383" s="7" t="inlineStr">
        <is>
          <t>Verificado</t>
        </is>
      </c>
      <c r="M1383" s="8" t="n">
        <v>1</v>
      </c>
      <c r="N1383" s="9" t="n">
        <v>181.66</v>
      </c>
      <c r="O1383" s="9" t="n">
        <v>181.66</v>
      </c>
      <c r="P1383" s="9" t="n">
        <v>181.66</v>
      </c>
      <c r="Q1383" s="7" t="inlineStr">
        <is>
          <t>Sí</t>
        </is>
      </c>
      <c r="R1383" s="9">
        <f>IF(N1383="","",IF(Q1383="Sí",ROUND(N1383/1.18,2),N1383))</f>
        <v/>
      </c>
      <c r="S1383" s="7" t="inlineStr">
        <is>
          <t>2026-09-09</t>
        </is>
      </c>
      <c r="T1383" s="5" t="inlineStr">
        <is>
          <t>1 cotización de proveedores</t>
        </is>
      </c>
    </row>
    <row r="1384">
      <c r="A1384" s="7" t="inlineStr">
        <is>
          <t>MAT-30-092</t>
        </is>
      </c>
      <c r="B1384" s="7" t="inlineStr">
        <is>
          <t>Materiales</t>
        </is>
      </c>
      <c r="C1384" s="7" t="inlineStr">
        <is>
          <t>Cableado estructurado y redes</t>
        </is>
      </c>
      <c r="D1384" s="5" t="inlineStr">
        <is>
          <t>Jack Max RJ45 Plano Cat 6 Negro</t>
        </is>
      </c>
      <c r="E1384" s="5" t="inlineStr">
        <is>
          <t>marca SIEMON · componentes cables y conectividad · referencia MX6-F01</t>
        </is>
      </c>
      <c r="F1384" s="5" t="inlineStr">
        <is>
          <t>Material retirado en almacén</t>
        </is>
      </c>
      <c r="G1384" s="5" t="inlineStr"/>
      <c r="H1384" s="7" t="inlineStr">
        <is>
          <t>unidad</t>
        </is>
      </c>
      <c r="I1384" s="7" t="inlineStr">
        <is>
          <t>Instalaciones</t>
        </is>
      </c>
      <c r="J1384" s="7" t="inlineStr">
        <is>
          <t>estandar</t>
        </is>
      </c>
      <c r="K1384" s="7" t="inlineStr">
        <is>
          <t>importado</t>
        </is>
      </c>
      <c r="L1384" s="7" t="inlineStr">
        <is>
          <t>Verificado</t>
        </is>
      </c>
      <c r="M1384" s="8" t="n">
        <v>1</v>
      </c>
      <c r="N1384" s="9" t="n">
        <v>189.16</v>
      </c>
      <c r="O1384" s="9" t="n">
        <v>189.16</v>
      </c>
      <c r="P1384" s="9" t="n">
        <v>189.16</v>
      </c>
      <c r="Q1384" s="7" t="inlineStr">
        <is>
          <t>Sí</t>
        </is>
      </c>
      <c r="R1384" s="9">
        <f>IF(N1384="","",IF(Q1384="Sí",ROUND(N1384/1.18,2),N1384))</f>
        <v/>
      </c>
      <c r="S1384" s="7" t="inlineStr">
        <is>
          <t>2026-09-09</t>
        </is>
      </c>
      <c r="T1384" s="5" t="inlineStr">
        <is>
          <t>1 cotización de proveedores</t>
        </is>
      </c>
    </row>
    <row r="1385">
      <c r="A1385" s="7" t="inlineStr">
        <is>
          <t>MAT-30-093</t>
        </is>
      </c>
      <c r="B1385" s="7" t="inlineStr">
        <is>
          <t>Materiales</t>
        </is>
      </c>
      <c r="C1385" s="7" t="inlineStr">
        <is>
          <t>Cableado estructurado y redes</t>
        </is>
      </c>
      <c r="D1385" s="5" t="inlineStr">
        <is>
          <t>Mc6 UTP Modular Cord, 1 Ft, White</t>
        </is>
      </c>
      <c r="E1385" s="5" t="inlineStr">
        <is>
          <t>marca SIEMON · utp (redes) · referencia MC6-01-02</t>
        </is>
      </c>
      <c r="F1385" s="5" t="inlineStr">
        <is>
          <t>Material retirado en almacén</t>
        </is>
      </c>
      <c r="G1385" s="5" t="inlineStr"/>
      <c r="H1385" s="7" t="inlineStr">
        <is>
          <t>unidad</t>
        </is>
      </c>
      <c r="I1385" s="7" t="inlineStr">
        <is>
          <t>Instalaciones</t>
        </is>
      </c>
      <c r="J1385" s="7" t="inlineStr">
        <is>
          <t>estandar</t>
        </is>
      </c>
      <c r="K1385" s="7" t="inlineStr">
        <is>
          <t>importado</t>
        </is>
      </c>
      <c r="L1385" s="7" t="inlineStr">
        <is>
          <t>Verificado</t>
        </is>
      </c>
      <c r="M1385" s="8" t="n">
        <v>1</v>
      </c>
      <c r="N1385" s="9" t="n">
        <v>190.83</v>
      </c>
      <c r="O1385" s="9" t="n">
        <v>190.83</v>
      </c>
      <c r="P1385" s="9" t="n">
        <v>190.83</v>
      </c>
      <c r="Q1385" s="7" t="inlineStr">
        <is>
          <t>Sí</t>
        </is>
      </c>
      <c r="R1385" s="9">
        <f>IF(N1385="","",IF(Q1385="Sí",ROUND(N1385/1.18,2),N1385))</f>
        <v/>
      </c>
      <c r="S1385" s="7" t="inlineStr">
        <is>
          <t>2026-09-09</t>
        </is>
      </c>
      <c r="T1385" s="5" t="inlineStr">
        <is>
          <t>1 cotización de proveedores</t>
        </is>
      </c>
    </row>
    <row r="1386">
      <c r="A1386" s="7" t="inlineStr">
        <is>
          <t>MAT-30-094</t>
        </is>
      </c>
      <c r="B1386" s="7" t="inlineStr">
        <is>
          <t>Materiales</t>
        </is>
      </c>
      <c r="C1386" s="7" t="inlineStr">
        <is>
          <t>Cableado estructurado y redes</t>
        </is>
      </c>
      <c r="D1386" s="5" t="inlineStr">
        <is>
          <t>UTP Modular Cord, 1 Ft, Blue</t>
        </is>
      </c>
      <c r="E1386" s="5" t="inlineStr">
        <is>
          <t>marca SIEMON · utp (redes) · referencia MC6-01-06</t>
        </is>
      </c>
      <c r="F1386" s="5" t="inlineStr">
        <is>
          <t>Material retirado en almacén</t>
        </is>
      </c>
      <c r="G1386" s="5" t="inlineStr"/>
      <c r="H1386" s="7" t="inlineStr">
        <is>
          <t>unidad</t>
        </is>
      </c>
      <c r="I1386" s="7" t="inlineStr">
        <is>
          <t>Instalaciones</t>
        </is>
      </c>
      <c r="J1386" s="7" t="inlineStr">
        <is>
          <t>estandar</t>
        </is>
      </c>
      <c r="K1386" s="7" t="inlineStr">
        <is>
          <t>importado</t>
        </is>
      </c>
      <c r="L1386" s="7" t="inlineStr">
        <is>
          <t>Verificado</t>
        </is>
      </c>
      <c r="M1386" s="8" t="n">
        <v>1</v>
      </c>
      <c r="N1386" s="9" t="n">
        <v>190.83</v>
      </c>
      <c r="O1386" s="9" t="n">
        <v>190.83</v>
      </c>
      <c r="P1386" s="9" t="n">
        <v>190.83</v>
      </c>
      <c r="Q1386" s="7" t="inlineStr">
        <is>
          <t>Sí</t>
        </is>
      </c>
      <c r="R1386" s="9">
        <f>IF(N1386="","",IF(Q1386="Sí",ROUND(N1386/1.18,2),N1386))</f>
        <v/>
      </c>
      <c r="S1386" s="7" t="inlineStr">
        <is>
          <t>2026-09-09</t>
        </is>
      </c>
      <c r="T1386" s="5" t="inlineStr">
        <is>
          <t>1 cotización de proveedores</t>
        </is>
      </c>
    </row>
    <row r="1387">
      <c r="A1387" s="7" t="inlineStr">
        <is>
          <t>MAT-30-095</t>
        </is>
      </c>
      <c r="B1387" s="7" t="inlineStr">
        <is>
          <t>Materiales</t>
        </is>
      </c>
      <c r="C1387" s="7" t="inlineStr">
        <is>
          <t>Cableado estructurado y redes</t>
        </is>
      </c>
      <c r="D1387" s="5" t="inlineStr">
        <is>
          <t>Patch Cord Cat 6 Blanco 3 Ft</t>
        </is>
      </c>
      <c r="E1387" s="5" t="inlineStr">
        <is>
          <t>marca UNIMAX · de red · referencia CB4303GY</t>
        </is>
      </c>
      <c r="F1387" s="5" t="inlineStr">
        <is>
          <t>Material retirado en almacén</t>
        </is>
      </c>
      <c r="G1387" s="5" t="inlineStr"/>
      <c r="H1387" s="7" t="inlineStr">
        <is>
          <t>unidad</t>
        </is>
      </c>
      <c r="I1387" s="7" t="inlineStr">
        <is>
          <t>Instalaciones</t>
        </is>
      </c>
      <c r="J1387" s="7" t="inlineStr">
        <is>
          <t>estandar</t>
        </is>
      </c>
      <c r="K1387" s="7" t="inlineStr">
        <is>
          <t>importado</t>
        </is>
      </c>
      <c r="L1387" s="7" t="inlineStr">
        <is>
          <t>Verificado</t>
        </is>
      </c>
      <c r="M1387" s="8" t="n">
        <v>1</v>
      </c>
      <c r="N1387" s="9" t="n">
        <v>192.87</v>
      </c>
      <c r="O1387" s="9" t="n">
        <v>192.87</v>
      </c>
      <c r="P1387" s="9" t="n">
        <v>192.87</v>
      </c>
      <c r="Q1387" s="7" t="inlineStr">
        <is>
          <t>Sí</t>
        </is>
      </c>
      <c r="R1387" s="9">
        <f>IF(N1387="","",IF(Q1387="Sí",ROUND(N1387/1.18,2),N1387))</f>
        <v/>
      </c>
      <c r="S1387" s="7" t="inlineStr">
        <is>
          <t>2026-09-09</t>
        </is>
      </c>
      <c r="T1387" s="5" t="inlineStr">
        <is>
          <t>1 cotización de proveedores</t>
        </is>
      </c>
    </row>
    <row r="1388">
      <c r="A1388" s="7" t="inlineStr">
        <is>
          <t>MAT-30-096</t>
        </is>
      </c>
      <c r="B1388" s="7" t="inlineStr">
        <is>
          <t>Materiales</t>
        </is>
      </c>
      <c r="C1388" s="7" t="inlineStr">
        <is>
          <t>Cableado estructurado y redes</t>
        </is>
      </c>
      <c r="D1388" s="5" t="inlineStr">
        <is>
          <t>Inserto Ciego Max Paq.10 blanco</t>
        </is>
      </c>
      <c r="E1388" s="5" t="inlineStr">
        <is>
          <t>marca SIEMON · de red · referencia MX-BL-02</t>
        </is>
      </c>
      <c r="F1388" s="5" t="inlineStr">
        <is>
          <t>Material retirado en almacén</t>
        </is>
      </c>
      <c r="G1388" s="5" t="inlineStr"/>
      <c r="H1388" s="7" t="inlineStr">
        <is>
          <t>unidad</t>
        </is>
      </c>
      <c r="I1388" s="7" t="inlineStr">
        <is>
          <t>Instalaciones</t>
        </is>
      </c>
      <c r="J1388" s="7" t="inlineStr">
        <is>
          <t>estandar</t>
        </is>
      </c>
      <c r="K1388" s="7" t="inlineStr">
        <is>
          <t>importado</t>
        </is>
      </c>
      <c r="L1388" s="7" t="inlineStr">
        <is>
          <t>Verificado</t>
        </is>
      </c>
      <c r="M1388" s="8" t="n">
        <v>1</v>
      </c>
      <c r="N1388" s="9" t="n">
        <v>200.21</v>
      </c>
      <c r="O1388" s="9" t="n">
        <v>200.21</v>
      </c>
      <c r="P1388" s="9" t="n">
        <v>200.21</v>
      </c>
      <c r="Q1388" s="7" t="inlineStr">
        <is>
          <t>Sí</t>
        </is>
      </c>
      <c r="R1388" s="9">
        <f>IF(N1388="","",IF(Q1388="Sí",ROUND(N1388/1.18,2),N1388))</f>
        <v/>
      </c>
      <c r="S1388" s="7" t="inlineStr">
        <is>
          <t>2026-09-09</t>
        </is>
      </c>
      <c r="T1388" s="5" t="inlineStr">
        <is>
          <t>1 cotización de proveedores</t>
        </is>
      </c>
    </row>
    <row r="1389">
      <c r="A1389" s="7" t="inlineStr">
        <is>
          <t>MAT-30-097</t>
        </is>
      </c>
      <c r="B1389" s="7" t="inlineStr">
        <is>
          <t>Materiales</t>
        </is>
      </c>
      <c r="C1389" s="7" t="inlineStr">
        <is>
          <t>Cableado estructurado y redes</t>
        </is>
      </c>
      <c r="D1389" s="5" t="inlineStr">
        <is>
          <t>Jack Zmax RJ45 Cat 6 Negro</t>
        </is>
      </c>
      <c r="E1389" s="5" t="inlineStr">
        <is>
          <t>marca SIEMON · componentes cables y conectividad · referencia Z6-01</t>
        </is>
      </c>
      <c r="F1389" s="5" t="inlineStr">
        <is>
          <t>Material retirado en almacén</t>
        </is>
      </c>
      <c r="G1389" s="5" t="inlineStr"/>
      <c r="H1389" s="7" t="inlineStr">
        <is>
          <t>unidad</t>
        </is>
      </c>
      <c r="I1389" s="7" t="inlineStr">
        <is>
          <t>Instalaciones</t>
        </is>
      </c>
      <c r="J1389" s="7" t="inlineStr">
        <is>
          <t>estandar</t>
        </is>
      </c>
      <c r="K1389" s="7" t="inlineStr">
        <is>
          <t>importado</t>
        </is>
      </c>
      <c r="L1389" s="7" t="inlineStr">
        <is>
          <t>Verificado</t>
        </is>
      </c>
      <c r="M1389" s="8" t="n">
        <v>1</v>
      </c>
      <c r="N1389" s="9" t="n">
        <v>251.93</v>
      </c>
      <c r="O1389" s="9" t="n">
        <v>251.93</v>
      </c>
      <c r="P1389" s="9" t="n">
        <v>251.93</v>
      </c>
      <c r="Q1389" s="7" t="inlineStr">
        <is>
          <t>Sí</t>
        </is>
      </c>
      <c r="R1389" s="9">
        <f>IF(N1389="","",IF(Q1389="Sí",ROUND(N1389/1.18,2),N1389))</f>
        <v/>
      </c>
      <c r="S1389" s="7" t="inlineStr">
        <is>
          <t>2026-09-09</t>
        </is>
      </c>
      <c r="T1389" s="5" t="inlineStr">
        <is>
          <t>1 cotización de proveedores</t>
        </is>
      </c>
    </row>
    <row r="1390">
      <c r="A1390" s="7" t="inlineStr">
        <is>
          <t>MAT-30-098</t>
        </is>
      </c>
      <c r="B1390" s="7" t="inlineStr">
        <is>
          <t>Materiales</t>
        </is>
      </c>
      <c r="C1390" s="7" t="inlineStr">
        <is>
          <t>Cableado estructurado y redes</t>
        </is>
      </c>
      <c r="D1390" s="5" t="inlineStr">
        <is>
          <t>Jack Max RJ45 Plano Cat 6 blanco</t>
        </is>
      </c>
      <c r="E1390" s="5" t="inlineStr">
        <is>
          <t>marca SIEMON · componentes cables y conectividad · referencia MX6-F02</t>
        </is>
      </c>
      <c r="F1390" s="5" t="inlineStr">
        <is>
          <t>Material retirado en almacén</t>
        </is>
      </c>
      <c r="G1390" s="5" t="inlineStr"/>
      <c r="H1390" s="7" t="inlineStr">
        <is>
          <t>unidad</t>
        </is>
      </c>
      <c r="I1390" s="7" t="inlineStr">
        <is>
          <t>Instalaciones</t>
        </is>
      </c>
      <c r="J1390" s="7" t="inlineStr">
        <is>
          <t>estandar</t>
        </is>
      </c>
      <c r="K1390" s="7" t="inlineStr">
        <is>
          <t>importado</t>
        </is>
      </c>
      <c r="L1390" s="7" t="inlineStr">
        <is>
          <t>Verificado</t>
        </is>
      </c>
      <c r="M1390" s="8" t="n">
        <v>1</v>
      </c>
      <c r="N1390" s="9" t="n">
        <v>254.97</v>
      </c>
      <c r="O1390" s="9" t="n">
        <v>254.97</v>
      </c>
      <c r="P1390" s="9" t="n">
        <v>254.97</v>
      </c>
      <c r="Q1390" s="7" t="inlineStr">
        <is>
          <t>Sí</t>
        </is>
      </c>
      <c r="R1390" s="9">
        <f>IF(N1390="","",IF(Q1390="Sí",ROUND(N1390/1.18,2),N1390))</f>
        <v/>
      </c>
      <c r="S1390" s="7" t="inlineStr">
        <is>
          <t>2026-09-09</t>
        </is>
      </c>
      <c r="T1390" s="5" t="inlineStr">
        <is>
          <t>1 cotización de proveedores</t>
        </is>
      </c>
    </row>
    <row r="1391">
      <c r="A1391" s="7" t="inlineStr">
        <is>
          <t>MAT-30-099</t>
        </is>
      </c>
      <c r="B1391" s="7" t="inlineStr">
        <is>
          <t>Materiales</t>
        </is>
      </c>
      <c r="C1391" s="7" t="inlineStr">
        <is>
          <t>Cableado estructurado y redes</t>
        </is>
      </c>
      <c r="D1391" s="5" t="inlineStr">
        <is>
          <t>Jack Zmax RJ45 Cat 6 Azul</t>
        </is>
      </c>
      <c r="E1391" s="5" t="inlineStr">
        <is>
          <t>marca SIEMON · componentes cables y conectividad · referencia Z6-06</t>
        </is>
      </c>
      <c r="F1391" s="5" t="inlineStr">
        <is>
          <t>Material retirado en almacén</t>
        </is>
      </c>
      <c r="G1391" s="5" t="inlineStr"/>
      <c r="H1391" s="7" t="inlineStr">
        <is>
          <t>unidad</t>
        </is>
      </c>
      <c r="I1391" s="7" t="inlineStr">
        <is>
          <t>Instalaciones</t>
        </is>
      </c>
      <c r="J1391" s="7" t="inlineStr">
        <is>
          <t>estandar</t>
        </is>
      </c>
      <c r="K1391" s="7" t="inlineStr">
        <is>
          <t>importado</t>
        </is>
      </c>
      <c r="L1391" s="7" t="inlineStr">
        <is>
          <t>Verificado</t>
        </is>
      </c>
      <c r="M1391" s="8" t="n">
        <v>1</v>
      </c>
      <c r="N1391" s="9" t="n">
        <v>256.97</v>
      </c>
      <c r="O1391" s="9" t="n">
        <v>256.97</v>
      </c>
      <c r="P1391" s="9" t="n">
        <v>256.97</v>
      </c>
      <c r="Q1391" s="7" t="inlineStr">
        <is>
          <t>Sí</t>
        </is>
      </c>
      <c r="R1391" s="9">
        <f>IF(N1391="","",IF(Q1391="Sí",ROUND(N1391/1.18,2),N1391))</f>
        <v/>
      </c>
      <c r="S1391" s="7" t="inlineStr">
        <is>
          <t>2026-09-09</t>
        </is>
      </c>
      <c r="T1391" s="5" t="inlineStr">
        <is>
          <t>1 cotización de proveedores</t>
        </is>
      </c>
    </row>
    <row r="1392">
      <c r="A1392" s="7" t="inlineStr">
        <is>
          <t>MAT-30-100</t>
        </is>
      </c>
      <c r="B1392" s="7" t="inlineStr">
        <is>
          <t>Materiales</t>
        </is>
      </c>
      <c r="C1392" s="7" t="inlineStr">
        <is>
          <t>Cableado estructurado y redes</t>
        </is>
      </c>
      <c r="D1392" s="5" t="inlineStr">
        <is>
          <t>Pasador De Cables</t>
        </is>
      </c>
      <c r="E1392" s="5" t="inlineStr">
        <is>
          <t>marca ON Q · componentes cables y conectividad · referencia WP1014WH</t>
        </is>
      </c>
      <c r="F1392" s="5" t="inlineStr">
        <is>
          <t>Material retirado en almacén</t>
        </is>
      </c>
      <c r="G1392" s="5" t="inlineStr"/>
      <c r="H1392" s="7" t="inlineStr">
        <is>
          <t>unidad</t>
        </is>
      </c>
      <c r="I1392" s="7" t="inlineStr">
        <is>
          <t>Instalaciones</t>
        </is>
      </c>
      <c r="J1392" s="7" t="inlineStr">
        <is>
          <t>estandar</t>
        </is>
      </c>
      <c r="K1392" s="7" t="inlineStr">
        <is>
          <t>importado</t>
        </is>
      </c>
      <c r="L1392" s="7" t="inlineStr">
        <is>
          <t>Verificado</t>
        </is>
      </c>
      <c r="M1392" s="8" t="n">
        <v>1</v>
      </c>
      <c r="N1392" s="9" t="n">
        <v>305.63</v>
      </c>
      <c r="O1392" s="9" t="n">
        <v>305.63</v>
      </c>
      <c r="P1392" s="9" t="n">
        <v>305.63</v>
      </c>
      <c r="Q1392" s="7" t="inlineStr">
        <is>
          <t>Sí</t>
        </is>
      </c>
      <c r="R1392" s="9">
        <f>IF(N1392="","",IF(Q1392="Sí",ROUND(N1392/1.18,2),N1392))</f>
        <v/>
      </c>
      <c r="S1392" s="7" t="inlineStr">
        <is>
          <t>2026-09-09</t>
        </is>
      </c>
      <c r="T1392" s="5" t="inlineStr">
        <is>
          <t>1 cotización de proveedores</t>
        </is>
      </c>
    </row>
    <row r="1393">
      <c r="A1393" s="7" t="inlineStr">
        <is>
          <t>MAT-30-101</t>
        </is>
      </c>
      <c r="B1393" s="7" t="inlineStr">
        <is>
          <t>Materiales</t>
        </is>
      </c>
      <c r="C1393" s="7" t="inlineStr">
        <is>
          <t>Cableado estructurado y redes</t>
        </is>
      </c>
      <c r="D1393" s="5" t="inlineStr">
        <is>
          <t>Keystone,Usb 2.0 A-A,F / F Fog White</t>
        </is>
      </c>
      <c r="E1393" s="5" t="inlineStr">
        <is>
          <t>marca ORTRONICS · componentes cables y conectividad · referencia KSUSBAA</t>
        </is>
      </c>
      <c r="F1393" s="5" t="inlineStr">
        <is>
          <t>Material retirado en almacén</t>
        </is>
      </c>
      <c r="G1393" s="5" t="inlineStr"/>
      <c r="H1393" s="7" t="inlineStr">
        <is>
          <t>unidad</t>
        </is>
      </c>
      <c r="I1393" s="7" t="inlineStr">
        <is>
          <t>Instalaciones</t>
        </is>
      </c>
      <c r="J1393" s="7" t="inlineStr">
        <is>
          <t>estandar</t>
        </is>
      </c>
      <c r="K1393" s="7" t="inlineStr">
        <is>
          <t>importado</t>
        </is>
      </c>
      <c r="L1393" s="7" t="inlineStr">
        <is>
          <t>Verificado</t>
        </is>
      </c>
      <c r="M1393" s="8" t="n">
        <v>1</v>
      </c>
      <c r="N1393" s="9" t="n">
        <v>316.63</v>
      </c>
      <c r="O1393" s="9" t="n">
        <v>316.63</v>
      </c>
      <c r="P1393" s="9" t="n">
        <v>316.63</v>
      </c>
      <c r="Q1393" s="7" t="inlineStr">
        <is>
          <t>Sí</t>
        </is>
      </c>
      <c r="R1393" s="9">
        <f>IF(N1393="","",IF(Q1393="Sí",ROUND(N1393/1.18,2),N1393))</f>
        <v/>
      </c>
      <c r="S1393" s="7" t="inlineStr">
        <is>
          <t>2026-09-09</t>
        </is>
      </c>
      <c r="T1393" s="5" t="inlineStr">
        <is>
          <t>1 cotización de proveedores</t>
        </is>
      </c>
    </row>
    <row r="1394">
      <c r="A1394" s="7" t="inlineStr">
        <is>
          <t>MAT-30-102</t>
        </is>
      </c>
      <c r="B1394" s="7" t="inlineStr">
        <is>
          <t>Materiales</t>
        </is>
      </c>
      <c r="C1394" s="7" t="inlineStr">
        <is>
          <t>Cableado estructurado y redes</t>
        </is>
      </c>
      <c r="D1394" s="5" t="inlineStr">
        <is>
          <t>Jack Zmax RJ45 Cat 6A Blindado Negro</t>
        </is>
      </c>
      <c r="E1394" s="5" t="inlineStr">
        <is>
          <t>marca SIEMON · componentes cables y conectividad · referencia Z6A-S01</t>
        </is>
      </c>
      <c r="F1394" s="5" t="inlineStr">
        <is>
          <t>Material retirado en almacén</t>
        </is>
      </c>
      <c r="G1394" s="5" t="inlineStr"/>
      <c r="H1394" s="7" t="inlineStr">
        <is>
          <t>unidad</t>
        </is>
      </c>
      <c r="I1394" s="7" t="inlineStr">
        <is>
          <t>Instalaciones</t>
        </is>
      </c>
      <c r="J1394" s="7" t="inlineStr">
        <is>
          <t>estandar</t>
        </is>
      </c>
      <c r="K1394" s="7" t="inlineStr">
        <is>
          <t>importado</t>
        </is>
      </c>
      <c r="L1394" s="7" t="inlineStr">
        <is>
          <t>Verificado</t>
        </is>
      </c>
      <c r="M1394" s="8" t="n">
        <v>1</v>
      </c>
      <c r="N1394" s="9" t="n">
        <v>317.84</v>
      </c>
      <c r="O1394" s="9" t="n">
        <v>275.76</v>
      </c>
      <c r="P1394" s="9" t="n">
        <v>439.42</v>
      </c>
      <c r="Q1394" s="7" t="inlineStr">
        <is>
          <t>Sí</t>
        </is>
      </c>
      <c r="R1394" s="9">
        <f>IF(N1394="","",IF(Q1394="Sí",ROUND(N1394/1.18,2),N1394))</f>
        <v/>
      </c>
      <c r="S1394" s="7" t="inlineStr">
        <is>
          <t>2026-09-09</t>
        </is>
      </c>
      <c r="T1394" s="5" t="inlineStr">
        <is>
          <t>6 cotizaciones de proveedores</t>
        </is>
      </c>
    </row>
    <row r="1395">
      <c r="A1395" s="7" t="inlineStr">
        <is>
          <t>MAT-30-103</t>
        </is>
      </c>
      <c r="B1395" s="7" t="inlineStr">
        <is>
          <t>Materiales</t>
        </is>
      </c>
      <c r="C1395" s="7" t="inlineStr">
        <is>
          <t>Cableado estructurado y redes</t>
        </is>
      </c>
      <c r="D1395" s="5" t="inlineStr">
        <is>
          <t>Jack Zmax RJ45 Cat 6A Blindado Azul</t>
        </is>
      </c>
      <c r="E1395" s="5" t="inlineStr">
        <is>
          <t>marca SIEMON · componentes cables y conectividad · referencia Z6A-S06</t>
        </is>
      </c>
      <c r="F1395" s="5" t="inlineStr">
        <is>
          <t>Material retirado en almacén</t>
        </is>
      </c>
      <c r="G1395" s="5" t="inlineStr"/>
      <c r="H1395" s="7" t="inlineStr">
        <is>
          <t>unidad</t>
        </is>
      </c>
      <c r="I1395" s="7" t="inlineStr">
        <is>
          <t>Instalaciones</t>
        </is>
      </c>
      <c r="J1395" s="7" t="inlineStr">
        <is>
          <t>estandar</t>
        </is>
      </c>
      <c r="K1395" s="7" t="inlineStr">
        <is>
          <t>importado</t>
        </is>
      </c>
      <c r="L1395" s="7" t="inlineStr">
        <is>
          <t>Verificado</t>
        </is>
      </c>
      <c r="M1395" s="8" t="n">
        <v>1</v>
      </c>
      <c r="N1395" s="9" t="n">
        <v>343.31</v>
      </c>
      <c r="O1395" s="9" t="n">
        <v>343.31</v>
      </c>
      <c r="P1395" s="9" t="n">
        <v>343.31</v>
      </c>
      <c r="Q1395" s="7" t="inlineStr">
        <is>
          <t>Sí</t>
        </is>
      </c>
      <c r="R1395" s="9">
        <f>IF(N1395="","",IF(Q1395="Sí",ROUND(N1395/1.18,2),N1395))</f>
        <v/>
      </c>
      <c r="S1395" s="7" t="inlineStr">
        <is>
          <t>2026-09-09</t>
        </is>
      </c>
      <c r="T1395" s="5" t="inlineStr">
        <is>
          <t>1 cotización de proveedores</t>
        </is>
      </c>
    </row>
    <row r="1396">
      <c r="A1396" s="7" t="inlineStr">
        <is>
          <t>MAT-30-104</t>
        </is>
      </c>
      <c r="B1396" s="7" t="inlineStr">
        <is>
          <t>Materiales</t>
        </is>
      </c>
      <c r="C1396" s="7" t="inlineStr">
        <is>
          <t>Cableado estructurado y redes</t>
        </is>
      </c>
      <c r="D1396" s="5" t="inlineStr">
        <is>
          <t>Jack Zmax RJ45 Cat 6A Blindado Blanco</t>
        </is>
      </c>
      <c r="E1396" s="5" t="inlineStr">
        <is>
          <t>marca SIEMON · componentes cables y conectividad · referencia Z6A-S02D</t>
        </is>
      </c>
      <c r="F1396" s="5" t="inlineStr">
        <is>
          <t>Material retirado en almacén</t>
        </is>
      </c>
      <c r="G1396" s="5" t="inlineStr"/>
      <c r="H1396" s="7" t="inlineStr">
        <is>
          <t>unidad</t>
        </is>
      </c>
      <c r="I1396" s="7" t="inlineStr">
        <is>
          <t>Instalaciones</t>
        </is>
      </c>
      <c r="J1396" s="7" t="inlineStr">
        <is>
          <t>estandar</t>
        </is>
      </c>
      <c r="K1396" s="7" t="inlineStr">
        <is>
          <t>importado</t>
        </is>
      </c>
      <c r="L1396" s="7" t="inlineStr">
        <is>
          <t>Verificado</t>
        </is>
      </c>
      <c r="M1396" s="8" t="n">
        <v>1</v>
      </c>
      <c r="N1396" s="9" t="n">
        <v>342.87</v>
      </c>
      <c r="O1396" s="9" t="n">
        <v>301.15</v>
      </c>
      <c r="P1396" s="9" t="n">
        <v>384.58</v>
      </c>
      <c r="Q1396" s="7" t="inlineStr">
        <is>
          <t>Sí</t>
        </is>
      </c>
      <c r="R1396" s="9">
        <f>IF(N1396="","",IF(Q1396="Sí",ROUND(N1396/1.18,2),N1396))</f>
        <v/>
      </c>
      <c r="S1396" s="7" t="inlineStr">
        <is>
          <t>2026-09-09</t>
        </is>
      </c>
      <c r="T1396" s="5" t="inlineStr">
        <is>
          <t>2 cotizaciones de proveedores</t>
        </is>
      </c>
    </row>
    <row r="1397">
      <c r="A1397" s="7" t="inlineStr">
        <is>
          <t>MAT-30-105</t>
        </is>
      </c>
      <c r="B1397" s="7" t="inlineStr">
        <is>
          <t>Materiales</t>
        </is>
      </c>
      <c r="C1397" s="7" t="inlineStr">
        <is>
          <t>Cableado estructurado y redes</t>
        </is>
      </c>
      <c r="D1397" s="5" t="inlineStr">
        <is>
          <t>Jack Zmax RJ45 Cat 6 blanco</t>
        </is>
      </c>
      <c r="E1397" s="5" t="inlineStr">
        <is>
          <t>marca SIEMON · componentes cables y conectividad · referencia Z6-02</t>
        </is>
      </c>
      <c r="F1397" s="5" t="inlineStr">
        <is>
          <t>Material retirado en almacén</t>
        </is>
      </c>
      <c r="G1397" s="5" t="inlineStr"/>
      <c r="H1397" s="7" t="inlineStr">
        <is>
          <t>unidad</t>
        </is>
      </c>
      <c r="I1397" s="7" t="inlineStr">
        <is>
          <t>Instalaciones</t>
        </is>
      </c>
      <c r="J1397" s="7" t="inlineStr">
        <is>
          <t>estandar</t>
        </is>
      </c>
      <c r="K1397" s="7" t="inlineStr">
        <is>
          <t>importado</t>
        </is>
      </c>
      <c r="L1397" s="7" t="inlineStr">
        <is>
          <t>Verificado</t>
        </is>
      </c>
      <c r="M1397" s="8" t="n">
        <v>1</v>
      </c>
      <c r="N1397" s="9" t="n">
        <v>431.95</v>
      </c>
      <c r="O1397" s="9" t="n">
        <v>431.95</v>
      </c>
      <c r="P1397" s="9" t="n">
        <v>431.95</v>
      </c>
      <c r="Q1397" s="7" t="inlineStr">
        <is>
          <t>Sí</t>
        </is>
      </c>
      <c r="R1397" s="9">
        <f>IF(N1397="","",IF(Q1397="Sí",ROUND(N1397/1.18,2),N1397))</f>
        <v/>
      </c>
      <c r="S1397" s="7" t="inlineStr">
        <is>
          <t>2026-09-09</t>
        </is>
      </c>
      <c r="T1397" s="5" t="inlineStr">
        <is>
          <t>1 cotización de proveedores</t>
        </is>
      </c>
    </row>
    <row r="1398">
      <c r="A1398" s="7" t="inlineStr">
        <is>
          <t>MAT-30-106</t>
        </is>
      </c>
      <c r="B1398" s="7" t="inlineStr">
        <is>
          <t>Materiales</t>
        </is>
      </c>
      <c r="C1398" s="7" t="inlineStr">
        <is>
          <t>Cableado estructurado y redes</t>
        </is>
      </c>
      <c r="D1398" s="5" t="inlineStr">
        <is>
          <t>Jack 7A Para Patch Panel</t>
        </is>
      </c>
      <c r="E1398" s="5" t="inlineStr">
        <is>
          <t>marca SIEMON · componentes cables y conectividad · referencia T7F-01-1</t>
        </is>
      </c>
      <c r="F1398" s="5" t="inlineStr">
        <is>
          <t>Material retirado en almacén</t>
        </is>
      </c>
      <c r="G1398" s="5" t="inlineStr"/>
      <c r="H1398" s="7" t="inlineStr">
        <is>
          <t>unidad</t>
        </is>
      </c>
      <c r="I1398" s="7" t="inlineStr">
        <is>
          <t>Instalaciones</t>
        </is>
      </c>
      <c r="J1398" s="7" t="inlineStr">
        <is>
          <t>estandar</t>
        </is>
      </c>
      <c r="K1398" s="7" t="inlineStr">
        <is>
          <t>importado</t>
        </is>
      </c>
      <c r="L1398" s="7" t="inlineStr">
        <is>
          <t>Verificado</t>
        </is>
      </c>
      <c r="M1398" s="8" t="n">
        <v>1</v>
      </c>
      <c r="N1398" s="9" t="n">
        <v>497.15</v>
      </c>
      <c r="O1398" s="9" t="n">
        <v>497.15</v>
      </c>
      <c r="P1398" s="9" t="n">
        <v>497.15</v>
      </c>
      <c r="Q1398" s="7" t="inlineStr">
        <is>
          <t>Sí</t>
        </is>
      </c>
      <c r="R1398" s="9">
        <f>IF(N1398="","",IF(Q1398="Sí",ROUND(N1398/1.18,2),N1398))</f>
        <v/>
      </c>
      <c r="S1398" s="7" t="inlineStr">
        <is>
          <t>2026-09-09</t>
        </is>
      </c>
      <c r="T1398" s="5" t="inlineStr">
        <is>
          <t>1 cotización de proveedores</t>
        </is>
      </c>
    </row>
    <row r="1399">
      <c r="A1399" s="7" t="inlineStr">
        <is>
          <t>MAT-30-107</t>
        </is>
      </c>
      <c r="B1399" s="7" t="inlineStr">
        <is>
          <t>Materiales</t>
        </is>
      </c>
      <c r="C1399" s="7" t="inlineStr">
        <is>
          <t>Cableado estructurado y redes</t>
        </is>
      </c>
      <c r="D1399" s="5" t="inlineStr">
        <is>
          <t>Conector De Fibra Óptica</t>
        </is>
      </c>
      <c r="E1399" s="5" t="inlineStr">
        <is>
          <t>marca SIEMON · fibra optica · referencia FC1-LB-LC5-9AQ</t>
        </is>
      </c>
      <c r="F1399" s="5" t="inlineStr">
        <is>
          <t>Material retirado en almacén</t>
        </is>
      </c>
      <c r="G1399" s="5" t="inlineStr"/>
      <c r="H1399" s="7" t="inlineStr">
        <is>
          <t>unidad</t>
        </is>
      </c>
      <c r="I1399" s="7" t="inlineStr">
        <is>
          <t>Instalaciones</t>
        </is>
      </c>
      <c r="J1399" s="7" t="inlineStr">
        <is>
          <t>estandar</t>
        </is>
      </c>
      <c r="K1399" s="7" t="inlineStr">
        <is>
          <t>importado</t>
        </is>
      </c>
      <c r="L1399" s="7" t="inlineStr">
        <is>
          <t>Verificado</t>
        </is>
      </c>
      <c r="M1399" s="8" t="n">
        <v>1</v>
      </c>
      <c r="N1399" s="9" t="n">
        <v>525.0700000000001</v>
      </c>
      <c r="O1399" s="9" t="n">
        <v>525.0700000000001</v>
      </c>
      <c r="P1399" s="9" t="n">
        <v>525.0700000000001</v>
      </c>
      <c r="Q1399" s="7" t="inlineStr">
        <is>
          <t>Sí</t>
        </is>
      </c>
      <c r="R1399" s="9">
        <f>IF(N1399="","",IF(Q1399="Sí",ROUND(N1399/1.18,2),N1399))</f>
        <v/>
      </c>
      <c r="S1399" s="7" t="inlineStr">
        <is>
          <t>2026-09-09</t>
        </is>
      </c>
      <c r="T1399" s="5" t="inlineStr">
        <is>
          <t>1 cotización de proveedores</t>
        </is>
      </c>
    </row>
    <row r="1400">
      <c r="A1400" s="7" t="inlineStr">
        <is>
          <t>MAT-30-108</t>
        </is>
      </c>
      <c r="B1400" s="7" t="inlineStr">
        <is>
          <t>Materiales</t>
        </is>
      </c>
      <c r="C1400" s="7" t="inlineStr">
        <is>
          <t>Cableado estructurado y redes</t>
        </is>
      </c>
      <c r="D1400" s="5" t="inlineStr">
        <is>
          <t>Conector De Fibra Os1 / Os4</t>
        </is>
      </c>
      <c r="E1400" s="5" t="inlineStr">
        <is>
          <t>marca SIEMON · fibra optica · referencia FC1-LB-LCU-9BL</t>
        </is>
      </c>
      <c r="F1400" s="5" t="inlineStr">
        <is>
          <t>Material retirado en almacén</t>
        </is>
      </c>
      <c r="G1400" s="5" t="inlineStr"/>
      <c r="H1400" s="7" t="inlineStr">
        <is>
          <t>unidad</t>
        </is>
      </c>
      <c r="I1400" s="7" t="inlineStr">
        <is>
          <t>Instalaciones</t>
        </is>
      </c>
      <c r="J1400" s="7" t="inlineStr">
        <is>
          <t>estandar</t>
        </is>
      </c>
      <c r="K1400" s="7" t="inlineStr">
        <is>
          <t>importado</t>
        </is>
      </c>
      <c r="L1400" s="7" t="inlineStr">
        <is>
          <t>Verificado</t>
        </is>
      </c>
      <c r="M1400" s="8" t="n">
        <v>1</v>
      </c>
      <c r="N1400" s="9" t="n">
        <v>652.25</v>
      </c>
      <c r="O1400" s="9" t="n">
        <v>652.25</v>
      </c>
      <c r="P1400" s="9" t="n">
        <v>652.25</v>
      </c>
      <c r="Q1400" s="7" t="inlineStr">
        <is>
          <t>Sí</t>
        </is>
      </c>
      <c r="R1400" s="9">
        <f>IF(N1400="","",IF(Q1400="Sí",ROUND(N1400/1.18,2),N1400))</f>
        <v/>
      </c>
      <c r="S1400" s="7" t="inlineStr">
        <is>
          <t>2026-09-09</t>
        </is>
      </c>
      <c r="T1400" s="5" t="inlineStr">
        <is>
          <t>1 cotización de proveedores</t>
        </is>
      </c>
    </row>
    <row r="1401">
      <c r="A1401" s="7" t="inlineStr">
        <is>
          <t>MAT-30-109</t>
        </is>
      </c>
      <c r="B1401" s="7" t="inlineStr">
        <is>
          <t>Materiales</t>
        </is>
      </c>
      <c r="C1401" s="7" t="inlineStr">
        <is>
          <t>Cableado estructurado y redes</t>
        </is>
      </c>
      <c r="D1401" s="5" t="inlineStr">
        <is>
          <t>Placa Sencilla Acero 1 Puerto</t>
        </is>
      </c>
      <c r="E1401" s="5" t="inlineStr">
        <is>
          <t>marca SIEMON · accesorios cables y conectividad · referencia XFP-S-01-SS</t>
        </is>
      </c>
      <c r="F1401" s="5" t="inlineStr">
        <is>
          <t>Material retirado en almacén</t>
        </is>
      </c>
      <c r="G1401" s="5" t="inlineStr"/>
      <c r="H1401" s="7" t="inlineStr">
        <is>
          <t>unidad</t>
        </is>
      </c>
      <c r="I1401" s="7" t="inlineStr">
        <is>
          <t>Instalaciones</t>
        </is>
      </c>
      <c r="J1401" s="7" t="inlineStr">
        <is>
          <t>estandar</t>
        </is>
      </c>
      <c r="K1401" s="7" t="inlineStr">
        <is>
          <t>importado</t>
        </is>
      </c>
      <c r="L1401" s="7" t="inlineStr">
        <is>
          <t>Verificado</t>
        </is>
      </c>
      <c r="M1401" s="8" t="n">
        <v>1</v>
      </c>
      <c r="N1401" s="9" t="n">
        <v>883.79</v>
      </c>
      <c r="O1401" s="9" t="n">
        <v>883.79</v>
      </c>
      <c r="P1401" s="9" t="n">
        <v>883.79</v>
      </c>
      <c r="Q1401" s="7" t="inlineStr">
        <is>
          <t>Sí</t>
        </is>
      </c>
      <c r="R1401" s="9">
        <f>IF(N1401="","",IF(Q1401="Sí",ROUND(N1401/1.18,2),N1401))</f>
        <v/>
      </c>
      <c r="S1401" s="7" t="inlineStr">
        <is>
          <t>2026-09-09</t>
        </is>
      </c>
      <c r="T1401" s="5" t="inlineStr">
        <is>
          <t>1 cotización de proveedores</t>
        </is>
      </c>
    </row>
    <row r="1402">
      <c r="A1402" s="7" t="inlineStr">
        <is>
          <t>MAT-30-110</t>
        </is>
      </c>
      <c r="B1402" s="7" t="inlineStr">
        <is>
          <t>Materiales</t>
        </is>
      </c>
      <c r="C1402" s="7" t="inlineStr">
        <is>
          <t>Cableado estructurado y redes</t>
        </is>
      </c>
      <c r="D1402" s="5" t="inlineStr">
        <is>
          <t>Placa Sencilla Acero 2 Puerto</t>
        </is>
      </c>
      <c r="E1402" s="5" t="inlineStr">
        <is>
          <t>marca SIEMON · accesorios cables y conectividad · referencia XFP-S-02-SS</t>
        </is>
      </c>
      <c r="F1402" s="5" t="inlineStr">
        <is>
          <t>Material retirado en almacén</t>
        </is>
      </c>
      <c r="G1402" s="5" t="inlineStr"/>
      <c r="H1402" s="7" t="inlineStr">
        <is>
          <t>unidad</t>
        </is>
      </c>
      <c r="I1402" s="7" t="inlineStr">
        <is>
          <t>Instalaciones</t>
        </is>
      </c>
      <c r="J1402" s="7" t="inlineStr">
        <is>
          <t>estandar</t>
        </is>
      </c>
      <c r="K1402" s="7" t="inlineStr">
        <is>
          <t>importado</t>
        </is>
      </c>
      <c r="L1402" s="7" t="inlineStr">
        <is>
          <t>Verificado</t>
        </is>
      </c>
      <c r="M1402" s="8" t="n">
        <v>1</v>
      </c>
      <c r="N1402" s="9" t="n">
        <v>883.79</v>
      </c>
      <c r="O1402" s="9" t="n">
        <v>883.79</v>
      </c>
      <c r="P1402" s="9" t="n">
        <v>883.79</v>
      </c>
      <c r="Q1402" s="7" t="inlineStr">
        <is>
          <t>Sí</t>
        </is>
      </c>
      <c r="R1402" s="9">
        <f>IF(N1402="","",IF(Q1402="Sí",ROUND(N1402/1.18,2),N1402))</f>
        <v/>
      </c>
      <c r="S1402" s="7" t="inlineStr">
        <is>
          <t>2026-09-09</t>
        </is>
      </c>
      <c r="T1402" s="5" t="inlineStr">
        <is>
          <t>1 cotización de proveedores</t>
        </is>
      </c>
    </row>
    <row r="1403">
      <c r="A1403" s="7" t="inlineStr">
        <is>
          <t>MAT-30-111</t>
        </is>
      </c>
      <c r="B1403" s="7" t="inlineStr">
        <is>
          <t>Materiales</t>
        </is>
      </c>
      <c r="C1403" s="7" t="inlineStr">
        <is>
          <t>Cableado estructurado y redes</t>
        </is>
      </c>
      <c r="D1403" s="5" t="inlineStr">
        <is>
          <t>Jumper Xglo 1 Mt</t>
        </is>
      </c>
      <c r="E1403" s="5" t="inlineStr">
        <is>
          <t>marca SIEMON · componentes cables y conectividad · referencia FJ2-LCLC5L-01AQ</t>
        </is>
      </c>
      <c r="F1403" s="5" t="inlineStr">
        <is>
          <t>Material retirado en almacén</t>
        </is>
      </c>
      <c r="G1403" s="5" t="inlineStr"/>
      <c r="H1403" s="7" t="inlineStr">
        <is>
          <t>unidad</t>
        </is>
      </c>
      <c r="I1403" s="7" t="inlineStr">
        <is>
          <t>Instalaciones</t>
        </is>
      </c>
      <c r="J1403" s="7" t="inlineStr">
        <is>
          <t>estandar</t>
        </is>
      </c>
      <c r="K1403" s="7" t="inlineStr">
        <is>
          <t>importado</t>
        </is>
      </c>
      <c r="L1403" s="7" t="inlineStr">
        <is>
          <t>Verificado</t>
        </is>
      </c>
      <c r="M1403" s="8" t="n">
        <v>1</v>
      </c>
      <c r="N1403" s="9" t="n">
        <v>720.5</v>
      </c>
      <c r="O1403" s="9" t="n">
        <v>359.05</v>
      </c>
      <c r="P1403" s="9" t="n">
        <v>1081.94</v>
      </c>
      <c r="Q1403" s="7" t="inlineStr">
        <is>
          <t>Sí</t>
        </is>
      </c>
      <c r="R1403" s="9">
        <f>IF(N1403="","",IF(Q1403="Sí",ROUND(N1403/1.18,2),N1403))</f>
        <v/>
      </c>
      <c r="S1403" s="7" t="inlineStr">
        <is>
          <t>2026-09-09</t>
        </is>
      </c>
      <c r="T1403" s="5" t="inlineStr">
        <is>
          <t>2 cotizaciones de proveedores</t>
        </is>
      </c>
    </row>
    <row r="1404">
      <c r="A1404" s="7" t="inlineStr">
        <is>
          <t>MAT-30-112</t>
        </is>
      </c>
      <c r="B1404" s="7" t="inlineStr">
        <is>
          <t>Materiales</t>
        </is>
      </c>
      <c r="C1404" s="7" t="inlineStr">
        <is>
          <t>Cableado estructurado y redes</t>
        </is>
      </c>
      <c r="D1404" s="5" t="inlineStr">
        <is>
          <t>Jumper De F. O Xglo 1 Mt</t>
        </is>
      </c>
      <c r="E1404" s="5" t="inlineStr">
        <is>
          <t>marca SIEMON · componentes cables y conectividad · referencia FJ2-LCUSCUL-01</t>
        </is>
      </c>
      <c r="F1404" s="5" t="inlineStr">
        <is>
          <t>Material retirado en almacén</t>
        </is>
      </c>
      <c r="G1404" s="5" t="inlineStr"/>
      <c r="H1404" s="7" t="inlineStr">
        <is>
          <t>unidad</t>
        </is>
      </c>
      <c r="I1404" s="7" t="inlineStr">
        <is>
          <t>Instalaciones</t>
        </is>
      </c>
      <c r="J1404" s="7" t="inlineStr">
        <is>
          <t>estandar</t>
        </is>
      </c>
      <c r="K1404" s="7" t="inlineStr">
        <is>
          <t>importado</t>
        </is>
      </c>
      <c r="L1404" s="7" t="inlineStr">
        <is>
          <t>Verificado</t>
        </is>
      </c>
      <c r="M1404" s="8" t="n">
        <v>1</v>
      </c>
      <c r="N1404" s="9" t="n">
        <v>1187.51</v>
      </c>
      <c r="O1404" s="9" t="n">
        <v>1187.51</v>
      </c>
      <c r="P1404" s="9" t="n">
        <v>1187.51</v>
      </c>
      <c r="Q1404" s="7" t="inlineStr">
        <is>
          <t>Sí</t>
        </is>
      </c>
      <c r="R1404" s="9">
        <f>IF(N1404="","",IF(Q1404="Sí",ROUND(N1404/1.18,2),N1404))</f>
        <v/>
      </c>
      <c r="S1404" s="7" t="inlineStr">
        <is>
          <t>2026-09-09</t>
        </is>
      </c>
      <c r="T1404" s="5" t="inlineStr">
        <is>
          <t>1 cotización de proveedores</t>
        </is>
      </c>
    </row>
    <row r="1405">
      <c r="A1405" s="7" t="inlineStr">
        <is>
          <t>MAT-30-113</t>
        </is>
      </c>
      <c r="B1405" s="7" t="inlineStr">
        <is>
          <t>Materiales</t>
        </is>
      </c>
      <c r="C1405" s="7" t="inlineStr">
        <is>
          <t>Cableado estructurado y redes</t>
        </is>
      </c>
      <c r="D1405" s="5" t="inlineStr">
        <is>
          <t>Placa Doble Acero 3 Puerto</t>
        </is>
      </c>
      <c r="E1405" s="5" t="inlineStr">
        <is>
          <t>marca SIEMON · accesorios cables y conectividad · referencia XFP-D-03-SS</t>
        </is>
      </c>
      <c r="F1405" s="5" t="inlineStr">
        <is>
          <t>Material retirado en almacén</t>
        </is>
      </c>
      <c r="G1405" s="5" t="inlineStr"/>
      <c r="H1405" s="7" t="inlineStr">
        <is>
          <t>unidad</t>
        </is>
      </c>
      <c r="I1405" s="7" t="inlineStr">
        <is>
          <t>Instalaciones</t>
        </is>
      </c>
      <c r="J1405" s="7" t="inlineStr">
        <is>
          <t>estandar</t>
        </is>
      </c>
      <c r="K1405" s="7" t="inlineStr">
        <is>
          <t>importado</t>
        </is>
      </c>
      <c r="L1405" s="7" t="inlineStr">
        <is>
          <t>Verificado</t>
        </is>
      </c>
      <c r="M1405" s="8" t="n">
        <v>1</v>
      </c>
      <c r="N1405" s="9" t="n">
        <v>1196.92</v>
      </c>
      <c r="O1405" s="9" t="n">
        <v>1196.92</v>
      </c>
      <c r="P1405" s="9" t="n">
        <v>1196.92</v>
      </c>
      <c r="Q1405" s="7" t="inlineStr">
        <is>
          <t>Sí</t>
        </is>
      </c>
      <c r="R1405" s="9">
        <f>IF(N1405="","",IF(Q1405="Sí",ROUND(N1405/1.18,2),N1405))</f>
        <v/>
      </c>
      <c r="S1405" s="7" t="inlineStr">
        <is>
          <t>2026-09-09</t>
        </is>
      </c>
      <c r="T1405" s="5" t="inlineStr">
        <is>
          <t>1 cotización de proveedores</t>
        </is>
      </c>
    </row>
    <row r="1406">
      <c r="A1406" s="7" t="inlineStr">
        <is>
          <t>MAT-30-114</t>
        </is>
      </c>
      <c r="B1406" s="7" t="inlineStr">
        <is>
          <t>Materiales</t>
        </is>
      </c>
      <c r="C1406" s="7" t="inlineStr">
        <is>
          <t>Cableado estructurado y redes</t>
        </is>
      </c>
      <c r="D1406" s="5" t="inlineStr">
        <is>
          <t>Jumper Xglo 3 Mt.</t>
        </is>
      </c>
      <c r="E1406" s="5" t="inlineStr">
        <is>
          <t>marca SIEMON · componentes cables y conectividad · referencia FJ2-LCLC5L-03AQ</t>
        </is>
      </c>
      <c r="F1406" s="5" t="inlineStr">
        <is>
          <t>Material retirado en almacén</t>
        </is>
      </c>
      <c r="G1406" s="5" t="inlineStr"/>
      <c r="H1406" s="7" t="inlineStr">
        <is>
          <t>unidad</t>
        </is>
      </c>
      <c r="I1406" s="7" t="inlineStr">
        <is>
          <t>Instalaciones</t>
        </is>
      </c>
      <c r="J1406" s="7" t="inlineStr">
        <is>
          <t>estandar</t>
        </is>
      </c>
      <c r="K1406" s="7" t="inlineStr">
        <is>
          <t>importado</t>
        </is>
      </c>
      <c r="L1406" s="7" t="inlineStr">
        <is>
          <t>Verificado</t>
        </is>
      </c>
      <c r="M1406" s="8" t="n">
        <v>1</v>
      </c>
      <c r="N1406" s="9" t="n">
        <v>1215.37</v>
      </c>
      <c r="O1406" s="9" t="n">
        <v>1215.37</v>
      </c>
      <c r="P1406" s="9" t="n">
        <v>1215.37</v>
      </c>
      <c r="Q1406" s="7" t="inlineStr">
        <is>
          <t>Sí</t>
        </is>
      </c>
      <c r="R1406" s="9">
        <f>IF(N1406="","",IF(Q1406="Sí",ROUND(N1406/1.18,2),N1406))</f>
        <v/>
      </c>
      <c r="S1406" s="7" t="inlineStr">
        <is>
          <t>2026-09-09</t>
        </is>
      </c>
      <c r="T1406" s="5" t="inlineStr">
        <is>
          <t>1 cotización de proveedores</t>
        </is>
      </c>
    </row>
    <row r="1407">
      <c r="A1407" s="7" t="inlineStr">
        <is>
          <t>MAT-30-115</t>
        </is>
      </c>
      <c r="B1407" s="7" t="inlineStr">
        <is>
          <t>Materiales</t>
        </is>
      </c>
      <c r="C1407" s="7" t="inlineStr">
        <is>
          <t>Cableado estructurado y redes</t>
        </is>
      </c>
      <c r="D1407" s="5" t="inlineStr">
        <is>
          <t>Patch Cord 7 Pies Cat 7</t>
        </is>
      </c>
      <c r="E1407" s="5" t="inlineStr">
        <is>
          <t>marca SIEMON · de red · referencia T4-02M-B02L</t>
        </is>
      </c>
      <c r="F1407" s="5" t="inlineStr">
        <is>
          <t>Material retirado en almacén</t>
        </is>
      </c>
      <c r="G1407" s="5" t="inlineStr"/>
      <c r="H1407" s="7" t="inlineStr">
        <is>
          <t>unidad</t>
        </is>
      </c>
      <c r="I1407" s="7" t="inlineStr">
        <is>
          <t>Instalaciones</t>
        </is>
      </c>
      <c r="J1407" s="7" t="inlineStr">
        <is>
          <t>estandar</t>
        </is>
      </c>
      <c r="K1407" s="7" t="inlineStr">
        <is>
          <t>importado</t>
        </is>
      </c>
      <c r="L1407" s="7" t="inlineStr">
        <is>
          <t>Verificado</t>
        </is>
      </c>
      <c r="M1407" s="8" t="n">
        <v>1</v>
      </c>
      <c r="N1407" s="9" t="n">
        <v>1305.12</v>
      </c>
      <c r="O1407" s="9" t="n">
        <v>1305.12</v>
      </c>
      <c r="P1407" s="9" t="n">
        <v>1305.12</v>
      </c>
      <c r="Q1407" s="7" t="inlineStr">
        <is>
          <t>Sí</t>
        </is>
      </c>
      <c r="R1407" s="9">
        <f>IF(N1407="","",IF(Q1407="Sí",ROUND(N1407/1.18,2),N1407))</f>
        <v/>
      </c>
      <c r="S1407" s="7" t="inlineStr">
        <is>
          <t>2026-09-09</t>
        </is>
      </c>
      <c r="T1407" s="5" t="inlineStr">
        <is>
          <t>1 cotización de proveedores</t>
        </is>
      </c>
    </row>
    <row r="1408">
      <c r="A1408" s="7" t="inlineStr">
        <is>
          <t>MAT-30-116</t>
        </is>
      </c>
      <c r="B1408" s="7" t="inlineStr">
        <is>
          <t>Materiales</t>
        </is>
      </c>
      <c r="C1408" s="7" t="inlineStr">
        <is>
          <t>Cableado estructurado y redes</t>
        </is>
      </c>
      <c r="D1408" s="5" t="inlineStr">
        <is>
          <t>Adaptador De Fibra Reforzado</t>
        </is>
      </c>
      <c r="E1408" s="5" t="inlineStr">
        <is>
          <t>marca SIEMON · fibra optica · referencia XG2-XLC-LC-MM</t>
        </is>
      </c>
      <c r="F1408" s="5" t="inlineStr">
        <is>
          <t>Material retirado en almacén</t>
        </is>
      </c>
      <c r="G1408" s="5" t="inlineStr"/>
      <c r="H1408" s="7" t="inlineStr">
        <is>
          <t>unidad</t>
        </is>
      </c>
      <c r="I1408" s="7" t="inlineStr">
        <is>
          <t>Instalaciones</t>
        </is>
      </c>
      <c r="J1408" s="7" t="inlineStr">
        <is>
          <t>estandar</t>
        </is>
      </c>
      <c r="K1408" s="7" t="inlineStr">
        <is>
          <t>importado</t>
        </is>
      </c>
      <c r="L1408" s="7" t="inlineStr">
        <is>
          <t>Verificado</t>
        </is>
      </c>
      <c r="M1408" s="8" t="n">
        <v>1</v>
      </c>
      <c r="N1408" s="9" t="n">
        <v>1315.91</v>
      </c>
      <c r="O1408" s="9" t="n">
        <v>1315.91</v>
      </c>
      <c r="P1408" s="9" t="n">
        <v>1315.91</v>
      </c>
      <c r="Q1408" s="7" t="inlineStr">
        <is>
          <t>Sí</t>
        </is>
      </c>
      <c r="R1408" s="9">
        <f>IF(N1408="","",IF(Q1408="Sí",ROUND(N1408/1.18,2),N1408))</f>
        <v/>
      </c>
      <c r="S1408" s="7" t="inlineStr">
        <is>
          <t>2026-09-09</t>
        </is>
      </c>
      <c r="T1408" s="5" t="inlineStr">
        <is>
          <t>1 cotización de proveedores</t>
        </is>
      </c>
    </row>
    <row r="1409">
      <c r="A1409" s="7" t="inlineStr">
        <is>
          <t>MAT-30-117</t>
        </is>
      </c>
      <c r="B1409" s="7" t="inlineStr">
        <is>
          <t>Materiales</t>
        </is>
      </c>
      <c r="C1409" s="7" t="inlineStr">
        <is>
          <t>Cableado estructurado y redes</t>
        </is>
      </c>
      <c r="D1409" s="5" t="inlineStr">
        <is>
          <t>Patch Cord 10 Pies Cat 7</t>
        </is>
      </c>
      <c r="E1409" s="5" t="inlineStr">
        <is>
          <t>marca SIEMON · de red · referencia T403MBO2L</t>
        </is>
      </c>
      <c r="F1409" s="5" t="inlineStr">
        <is>
          <t>Material retirado en almacén</t>
        </is>
      </c>
      <c r="G1409" s="5" t="inlineStr"/>
      <c r="H1409" s="7" t="inlineStr">
        <is>
          <t>unidad</t>
        </is>
      </c>
      <c r="I1409" s="7" t="inlineStr">
        <is>
          <t>Instalaciones</t>
        </is>
      </c>
      <c r="J1409" s="7" t="inlineStr">
        <is>
          <t>estandar</t>
        </is>
      </c>
      <c r="K1409" s="7" t="inlineStr">
        <is>
          <t>importado</t>
        </is>
      </c>
      <c r="L1409" s="7" t="inlineStr">
        <is>
          <t>Verificado</t>
        </is>
      </c>
      <c r="M1409" s="8" t="n">
        <v>1</v>
      </c>
      <c r="N1409" s="9" t="n">
        <v>1396.76</v>
      </c>
      <c r="O1409" s="9" t="n">
        <v>1396.76</v>
      </c>
      <c r="P1409" s="9" t="n">
        <v>1396.76</v>
      </c>
      <c r="Q1409" s="7" t="inlineStr">
        <is>
          <t>Sí</t>
        </is>
      </c>
      <c r="R1409" s="9">
        <f>IF(N1409="","",IF(Q1409="Sí",ROUND(N1409/1.18,2),N1409))</f>
        <v/>
      </c>
      <c r="S1409" s="7" t="inlineStr">
        <is>
          <t>2026-09-09</t>
        </is>
      </c>
      <c r="T1409" s="5" t="inlineStr">
        <is>
          <t>1 cotización de proveedores</t>
        </is>
      </c>
    </row>
    <row r="1410">
      <c r="A1410" s="7" t="inlineStr">
        <is>
          <t>MAT-30-118</t>
        </is>
      </c>
      <c r="B1410" s="7" t="inlineStr">
        <is>
          <t>Materiales</t>
        </is>
      </c>
      <c r="C1410" s="7" t="inlineStr">
        <is>
          <t>Cableado estructurado y redes</t>
        </is>
      </c>
      <c r="D1410" s="5" t="inlineStr">
        <is>
          <t>Jack RJ45 Cat 6 Negro</t>
        </is>
      </c>
      <c r="E1410" s="5" t="inlineStr">
        <is>
          <t>marca SIEMON · componentes cables y conectividad · referencia X6-F01</t>
        </is>
      </c>
      <c r="F1410" s="5" t="inlineStr">
        <is>
          <t>Material retirado en almacén</t>
        </is>
      </c>
      <c r="G1410" s="5" t="inlineStr"/>
      <c r="H1410" s="7" t="inlineStr">
        <is>
          <t>unidad</t>
        </is>
      </c>
      <c r="I1410" s="7" t="inlineStr">
        <is>
          <t>Instalaciones</t>
        </is>
      </c>
      <c r="J1410" s="7" t="inlineStr">
        <is>
          <t>estandar</t>
        </is>
      </c>
      <c r="K1410" s="7" t="inlineStr">
        <is>
          <t>importado</t>
        </is>
      </c>
      <c r="L1410" s="7" t="inlineStr">
        <is>
          <t>Verificado</t>
        </is>
      </c>
      <c r="M1410" s="8" t="n">
        <v>1</v>
      </c>
      <c r="N1410" s="9" t="n">
        <v>1513.22</v>
      </c>
      <c r="O1410" s="9" t="n">
        <v>1513.22</v>
      </c>
      <c r="P1410" s="9" t="n">
        <v>1513.22</v>
      </c>
      <c r="Q1410" s="7" t="inlineStr">
        <is>
          <t>Sí</t>
        </is>
      </c>
      <c r="R1410" s="9">
        <f>IF(N1410="","",IF(Q1410="Sí",ROUND(N1410/1.18,2),N1410))</f>
        <v/>
      </c>
      <c r="S1410" s="7" t="inlineStr">
        <is>
          <t>2026-09-09</t>
        </is>
      </c>
      <c r="T1410" s="5" t="inlineStr">
        <is>
          <t>1 cotización de proveedores</t>
        </is>
      </c>
    </row>
    <row r="1411">
      <c r="A1411" s="7" t="inlineStr">
        <is>
          <t>MAT-30-119</t>
        </is>
      </c>
      <c r="B1411" s="7" t="inlineStr">
        <is>
          <t>Materiales</t>
        </is>
      </c>
      <c r="C1411" s="7" t="inlineStr">
        <is>
          <t>Cableado estructurado y redes</t>
        </is>
      </c>
      <c r="D1411" s="5" t="inlineStr">
        <is>
          <t>Adaptador De Fibra Reforzados</t>
        </is>
      </c>
      <c r="E1411" s="5" t="inlineStr">
        <is>
          <t>marca SIEMON · fibra optica · referencia XG2-XLC-LC-SM</t>
        </is>
      </c>
      <c r="F1411" s="5" t="inlineStr">
        <is>
          <t>Material retirado en almacén</t>
        </is>
      </c>
      <c r="G1411" s="5" t="inlineStr"/>
      <c r="H1411" s="7" t="inlineStr">
        <is>
          <t>unidad</t>
        </is>
      </c>
      <c r="I1411" s="7" t="inlineStr">
        <is>
          <t>Instalaciones</t>
        </is>
      </c>
      <c r="J1411" s="7" t="inlineStr">
        <is>
          <t>estandar</t>
        </is>
      </c>
      <c r="K1411" s="7" t="inlineStr">
        <is>
          <t>importado</t>
        </is>
      </c>
      <c r="L1411" s="7" t="inlineStr">
        <is>
          <t>Verificado</t>
        </is>
      </c>
      <c r="M1411" s="8" t="n">
        <v>1</v>
      </c>
      <c r="N1411" s="9" t="n">
        <v>1646.92</v>
      </c>
      <c r="O1411" s="9" t="n">
        <v>1646.92</v>
      </c>
      <c r="P1411" s="9" t="n">
        <v>1646.92</v>
      </c>
      <c r="Q1411" s="7" t="inlineStr">
        <is>
          <t>Sí</t>
        </is>
      </c>
      <c r="R1411" s="9">
        <f>IF(N1411="","",IF(Q1411="Sí",ROUND(N1411/1.18,2),N1411))</f>
        <v/>
      </c>
      <c r="S1411" s="7" t="inlineStr">
        <is>
          <t>2026-09-09</t>
        </is>
      </c>
      <c r="T1411" s="5" t="inlineStr">
        <is>
          <t>1 cotización de proveedores</t>
        </is>
      </c>
    </row>
    <row r="1412">
      <c r="A1412" s="7" t="inlineStr">
        <is>
          <t>MAT-30-120</t>
        </is>
      </c>
      <c r="B1412" s="7" t="inlineStr">
        <is>
          <t>Materiales</t>
        </is>
      </c>
      <c r="C1412" s="7" t="inlineStr">
        <is>
          <t>Cableado estructurado y redes</t>
        </is>
      </c>
      <c r="D1412" s="5" t="inlineStr">
        <is>
          <t>Patch Panel Max Modular, De 48 Puertos,</t>
        </is>
      </c>
      <c r="E1412" s="5" t="inlineStr">
        <is>
          <t>marca SIEMON · de red · referencia MX-PNL-48</t>
        </is>
      </c>
      <c r="F1412" s="5" t="inlineStr">
        <is>
          <t>Material retirado en almacén</t>
        </is>
      </c>
      <c r="G1412" s="5" t="inlineStr"/>
      <c r="H1412" s="7" t="inlineStr">
        <is>
          <t>unidad</t>
        </is>
      </c>
      <c r="I1412" s="7" t="inlineStr">
        <is>
          <t>Instalaciones</t>
        </is>
      </c>
      <c r="J1412" s="7" t="inlineStr">
        <is>
          <t>estandar</t>
        </is>
      </c>
      <c r="K1412" s="7" t="inlineStr">
        <is>
          <t>importado</t>
        </is>
      </c>
      <c r="L1412" s="7" t="inlineStr">
        <is>
          <t>Verificado</t>
        </is>
      </c>
      <c r="M1412" s="8" t="n">
        <v>1</v>
      </c>
      <c r="N1412" s="9" t="n">
        <v>1782.28</v>
      </c>
      <c r="O1412" s="9" t="n">
        <v>1782.28</v>
      </c>
      <c r="P1412" s="9" t="n">
        <v>1782.28</v>
      </c>
      <c r="Q1412" s="7" t="inlineStr">
        <is>
          <t>Sí</t>
        </is>
      </c>
      <c r="R1412" s="9">
        <f>IF(N1412="","",IF(Q1412="Sí",ROUND(N1412/1.18,2),N1412))</f>
        <v/>
      </c>
      <c r="S1412" s="7" t="inlineStr">
        <is>
          <t>2026-09-09</t>
        </is>
      </c>
      <c r="T1412" s="5" t="inlineStr">
        <is>
          <t>1 cotización de proveedores</t>
        </is>
      </c>
    </row>
    <row r="1413">
      <c r="A1413" s="7" t="inlineStr">
        <is>
          <t>MAT-30-121</t>
        </is>
      </c>
      <c r="B1413" s="7" t="inlineStr">
        <is>
          <t>Materiales</t>
        </is>
      </c>
      <c r="C1413" s="7" t="inlineStr">
        <is>
          <t>Cableado estructurado y redes</t>
        </is>
      </c>
      <c r="D1413" s="5" t="inlineStr">
        <is>
          <t>Bandeja De Empalme</t>
        </is>
      </c>
      <c r="E1413" s="5" t="inlineStr">
        <is>
          <t>marca SIEMON · accesorios cables y conectividad · referencia TRAY-3</t>
        </is>
      </c>
      <c r="F1413" s="5" t="inlineStr">
        <is>
          <t>Material retirado en almacén</t>
        </is>
      </c>
      <c r="G1413" s="5" t="inlineStr"/>
      <c r="H1413" s="7" t="inlineStr">
        <is>
          <t>unidad</t>
        </is>
      </c>
      <c r="I1413" s="7" t="inlineStr">
        <is>
          <t>Instalaciones</t>
        </is>
      </c>
      <c r="J1413" s="7" t="inlineStr">
        <is>
          <t>estandar</t>
        </is>
      </c>
      <c r="K1413" s="7" t="inlineStr">
        <is>
          <t>importado</t>
        </is>
      </c>
      <c r="L1413" s="7" t="inlineStr">
        <is>
          <t>Verificado</t>
        </is>
      </c>
      <c r="M1413" s="8" t="n">
        <v>1</v>
      </c>
      <c r="N1413" s="9" t="n">
        <v>1803.27</v>
      </c>
      <c r="O1413" s="9" t="n">
        <v>1803.27</v>
      </c>
      <c r="P1413" s="9" t="n">
        <v>1803.27</v>
      </c>
      <c r="Q1413" s="7" t="inlineStr">
        <is>
          <t>Sí</t>
        </is>
      </c>
      <c r="R1413" s="9">
        <f>IF(N1413="","",IF(Q1413="Sí",ROUND(N1413/1.18,2),N1413))</f>
        <v/>
      </c>
      <c r="S1413" s="7" t="inlineStr">
        <is>
          <t>2026-09-09</t>
        </is>
      </c>
      <c r="T1413" s="5" t="inlineStr">
        <is>
          <t>1 cotización de proveedores</t>
        </is>
      </c>
    </row>
    <row r="1414">
      <c r="A1414" s="7" t="inlineStr">
        <is>
          <t>MAT-30-122</t>
        </is>
      </c>
      <c r="B1414" s="7" t="inlineStr">
        <is>
          <t>Materiales</t>
        </is>
      </c>
      <c r="C1414" s="7" t="inlineStr">
        <is>
          <t>Cableado estructurado y redes</t>
        </is>
      </c>
      <c r="D1414" s="5" t="inlineStr">
        <is>
          <t>Tapa Ciega Para Rack</t>
        </is>
      </c>
      <c r="E1414" s="5" t="inlineStr">
        <is>
          <t>marca SIEMON · accesorios cables y conectividad · referencia PNL-TBLNK010-1S</t>
        </is>
      </c>
      <c r="F1414" s="5" t="inlineStr">
        <is>
          <t>Material retirado en almacén</t>
        </is>
      </c>
      <c r="G1414" s="5" t="inlineStr"/>
      <c r="H1414" s="7" t="inlineStr">
        <is>
          <t>unidad</t>
        </is>
      </c>
      <c r="I1414" s="7" t="inlineStr">
        <is>
          <t>Instalaciones</t>
        </is>
      </c>
      <c r="J1414" s="7" t="inlineStr">
        <is>
          <t>estandar</t>
        </is>
      </c>
      <c r="K1414" s="7" t="inlineStr">
        <is>
          <t>importado</t>
        </is>
      </c>
      <c r="L1414" s="7" t="inlineStr">
        <is>
          <t>Verificado</t>
        </is>
      </c>
      <c r="M1414" s="8" t="n">
        <v>1</v>
      </c>
      <c r="N1414" s="9" t="n">
        <v>1866.53</v>
      </c>
      <c r="O1414" s="9" t="n">
        <v>1866.53</v>
      </c>
      <c r="P1414" s="9" t="n">
        <v>1866.53</v>
      </c>
      <c r="Q1414" s="7" t="inlineStr">
        <is>
          <t>Sí</t>
        </is>
      </c>
      <c r="R1414" s="9">
        <f>IF(N1414="","",IF(Q1414="Sí",ROUND(N1414/1.18,2),N1414))</f>
        <v/>
      </c>
      <c r="S1414" s="7" t="inlineStr">
        <is>
          <t>2026-09-09</t>
        </is>
      </c>
      <c r="T1414" s="5" t="inlineStr">
        <is>
          <t>1 cotización de proveedores</t>
        </is>
      </c>
    </row>
    <row r="1415">
      <c r="A1415" s="7" t="inlineStr">
        <is>
          <t>MAT-30-123</t>
        </is>
      </c>
      <c r="B1415" s="7" t="inlineStr">
        <is>
          <t>Materiales</t>
        </is>
      </c>
      <c r="C1415" s="7" t="inlineStr">
        <is>
          <t>Cableado estructurado y redes</t>
        </is>
      </c>
      <c r="D1415" s="5" t="inlineStr">
        <is>
          <t>Organizador De Cable Hor. 1 Ur</t>
        </is>
      </c>
      <c r="E1415" s="5" t="inlineStr">
        <is>
          <t>marca SIEMON · componentes cables y conectividad · referencia HCM-4-1U</t>
        </is>
      </c>
      <c r="F1415" s="5" t="inlineStr">
        <is>
          <t>Material retirado en almacén</t>
        </is>
      </c>
      <c r="G1415" s="5" t="inlineStr"/>
      <c r="H1415" s="7" t="inlineStr">
        <is>
          <t>unidad</t>
        </is>
      </c>
      <c r="I1415" s="7" t="inlineStr">
        <is>
          <t>Instalaciones</t>
        </is>
      </c>
      <c r="J1415" s="7" t="inlineStr">
        <is>
          <t>estandar</t>
        </is>
      </c>
      <c r="K1415" s="7" t="inlineStr">
        <is>
          <t>importado</t>
        </is>
      </c>
      <c r="L1415" s="7" t="inlineStr">
        <is>
          <t>Verificado</t>
        </is>
      </c>
      <c r="M1415" s="8" t="n">
        <v>1</v>
      </c>
      <c r="N1415" s="9" t="n">
        <v>2171.17</v>
      </c>
      <c r="O1415" s="9" t="n">
        <v>2171.17</v>
      </c>
      <c r="P1415" s="9" t="n">
        <v>2171.17</v>
      </c>
      <c r="Q1415" s="7" t="inlineStr">
        <is>
          <t>Sí</t>
        </is>
      </c>
      <c r="R1415" s="9">
        <f>IF(N1415="","",IF(Q1415="Sí",ROUND(N1415/1.18,2),N1415))</f>
        <v/>
      </c>
      <c r="S1415" s="7" t="inlineStr">
        <is>
          <t>2026-09-09</t>
        </is>
      </c>
      <c r="T1415" s="5" t="inlineStr">
        <is>
          <t>1 cotización de proveedores</t>
        </is>
      </c>
    </row>
    <row r="1416">
      <c r="A1416" s="7" t="inlineStr">
        <is>
          <t>MAT-30-124</t>
        </is>
      </c>
      <c r="B1416" s="7" t="inlineStr">
        <is>
          <t>Materiales</t>
        </is>
      </c>
      <c r="C1416" s="7" t="inlineStr">
        <is>
          <t>Cableado estructurado y redes</t>
        </is>
      </c>
      <c r="D1416" s="5" t="inlineStr">
        <is>
          <t>Organizador De Cable 2 Ur</t>
        </is>
      </c>
      <c r="E1416" s="5" t="inlineStr">
        <is>
          <t>marca SIEMON · componentes cables y conectividad · referencia HCM-4-2U</t>
        </is>
      </c>
      <c r="F1416" s="5" t="inlineStr">
        <is>
          <t>Material retirado en almacén</t>
        </is>
      </c>
      <c r="G1416" s="5" t="inlineStr"/>
      <c r="H1416" s="7" t="inlineStr">
        <is>
          <t>unidad</t>
        </is>
      </c>
      <c r="I1416" s="7" t="inlineStr">
        <is>
          <t>Instalaciones</t>
        </is>
      </c>
      <c r="J1416" s="7" t="inlineStr">
        <is>
          <t>estandar</t>
        </is>
      </c>
      <c r="K1416" s="7" t="inlineStr">
        <is>
          <t>importado</t>
        </is>
      </c>
      <c r="L1416" s="7" t="inlineStr">
        <is>
          <t>Verificado</t>
        </is>
      </c>
      <c r="M1416" s="8" t="n">
        <v>1</v>
      </c>
      <c r="N1416" s="9" t="n">
        <v>2740.76</v>
      </c>
      <c r="O1416" s="9" t="n">
        <v>2740.76</v>
      </c>
      <c r="P1416" s="9" t="n">
        <v>2740.76</v>
      </c>
      <c r="Q1416" s="7" t="inlineStr">
        <is>
          <t>Sí</t>
        </is>
      </c>
      <c r="R1416" s="9">
        <f>IF(N1416="","",IF(Q1416="Sí",ROUND(N1416/1.18,2),N1416))</f>
        <v/>
      </c>
      <c r="S1416" s="7" t="inlineStr">
        <is>
          <t>2026-09-09</t>
        </is>
      </c>
      <c r="T1416" s="5" t="inlineStr">
        <is>
          <t>1 cotización de proveedores</t>
        </is>
      </c>
    </row>
    <row r="1417">
      <c r="A1417" s="7" t="inlineStr">
        <is>
          <t>MAT-30-125</t>
        </is>
      </c>
      <c r="B1417" s="7" t="inlineStr">
        <is>
          <t>Materiales</t>
        </is>
      </c>
      <c r="C1417" s="7" t="inlineStr">
        <is>
          <t>Cableado estructurado y redes</t>
        </is>
      </c>
      <c r="D1417" s="5" t="inlineStr">
        <is>
          <t>Adaptador Fibra Optica</t>
        </is>
      </c>
      <c r="E1417" s="5" t="inlineStr">
        <is>
          <t>marca SIEMON · fibra optica · referencia LS-MP6-01CAQ</t>
        </is>
      </c>
      <c r="F1417" s="5" t="inlineStr">
        <is>
          <t>Material retirado en almacén</t>
        </is>
      </c>
      <c r="G1417" s="5" t="inlineStr"/>
      <c r="H1417" s="7" t="inlineStr">
        <is>
          <t>unidad</t>
        </is>
      </c>
      <c r="I1417" s="7" t="inlineStr">
        <is>
          <t>Instalaciones</t>
        </is>
      </c>
      <c r="J1417" s="7" t="inlineStr">
        <is>
          <t>estandar</t>
        </is>
      </c>
      <c r="K1417" s="7" t="inlineStr">
        <is>
          <t>importado</t>
        </is>
      </c>
      <c r="L1417" s="7" t="inlineStr">
        <is>
          <t>Verificado</t>
        </is>
      </c>
      <c r="M1417" s="8" t="n">
        <v>1</v>
      </c>
      <c r="N1417" s="9" t="n">
        <v>1446.73</v>
      </c>
      <c r="O1417" s="9" t="n">
        <v>83.44</v>
      </c>
      <c r="P1417" s="9" t="n">
        <v>2810.02</v>
      </c>
      <c r="Q1417" s="7" t="inlineStr">
        <is>
          <t>Sí</t>
        </is>
      </c>
      <c r="R1417" s="9">
        <f>IF(N1417="","",IF(Q1417="Sí",ROUND(N1417/1.18,2),N1417))</f>
        <v/>
      </c>
      <c r="S1417" s="7" t="inlineStr">
        <is>
          <t>2026-09-09</t>
        </is>
      </c>
      <c r="T1417" s="5" t="inlineStr">
        <is>
          <t>2 cotizaciones de proveedores</t>
        </is>
      </c>
    </row>
    <row r="1418">
      <c r="A1418" s="7" t="inlineStr">
        <is>
          <t>MAT-30-126</t>
        </is>
      </c>
      <c r="B1418" s="7" t="inlineStr">
        <is>
          <t>Materiales</t>
        </is>
      </c>
      <c r="C1418" s="7" t="inlineStr">
        <is>
          <t>Cableado estructurado y redes</t>
        </is>
      </c>
      <c r="D1418" s="5" t="inlineStr">
        <is>
          <t>Adaptador Quickpack Fibra Optica</t>
        </is>
      </c>
      <c r="E1418" s="5" t="inlineStr">
        <is>
          <t>marca SIEMON · fibra optica · referencia RIC-F-MP72-01</t>
        </is>
      </c>
      <c r="F1418" s="5" t="inlineStr">
        <is>
          <t>Material retirado en almacén</t>
        </is>
      </c>
      <c r="G1418" s="5" t="inlineStr"/>
      <c r="H1418" s="7" t="inlineStr">
        <is>
          <t>unidad</t>
        </is>
      </c>
      <c r="I1418" s="7" t="inlineStr">
        <is>
          <t>Instalaciones</t>
        </is>
      </c>
      <c r="J1418" s="7" t="inlineStr">
        <is>
          <t>estandar</t>
        </is>
      </c>
      <c r="K1418" s="7" t="inlineStr">
        <is>
          <t>importado</t>
        </is>
      </c>
      <c r="L1418" s="7" t="inlineStr">
        <is>
          <t>Verificado</t>
        </is>
      </c>
      <c r="M1418" s="8" t="n">
        <v>1</v>
      </c>
      <c r="N1418" s="9" t="n">
        <v>3491.49</v>
      </c>
      <c r="O1418" s="9" t="n">
        <v>3491.49</v>
      </c>
      <c r="P1418" s="9" t="n">
        <v>3491.49</v>
      </c>
      <c r="Q1418" s="7" t="inlineStr">
        <is>
          <t>Sí</t>
        </is>
      </c>
      <c r="R1418" s="9">
        <f>IF(N1418="","",IF(Q1418="Sí",ROUND(N1418/1.18,2),N1418))</f>
        <v/>
      </c>
      <c r="S1418" s="7" t="inlineStr">
        <is>
          <t>2026-09-09</t>
        </is>
      </c>
      <c r="T1418" s="5" t="inlineStr">
        <is>
          <t>1 cotización de proveedores</t>
        </is>
      </c>
    </row>
    <row r="1419">
      <c r="A1419" s="7" t="inlineStr">
        <is>
          <t>MAT-30-127</t>
        </is>
      </c>
      <c r="B1419" s="7" t="inlineStr">
        <is>
          <t>Materiales</t>
        </is>
      </c>
      <c r="C1419" s="7" t="inlineStr">
        <is>
          <t>Cableado estructurado y redes</t>
        </is>
      </c>
      <c r="D1419" s="5" t="inlineStr">
        <is>
          <t>Modulo 12-Port Cat 5E12-Po</t>
        </is>
      </c>
      <c r="E1419" s="5" t="inlineStr">
        <is>
          <t>marca ON Q · componentes cables y conectividad · referencia AC1014</t>
        </is>
      </c>
      <c r="F1419" s="5" t="inlineStr">
        <is>
          <t>Material retirado en almacén</t>
        </is>
      </c>
      <c r="G1419" s="5" t="inlineStr"/>
      <c r="H1419" s="7" t="inlineStr">
        <is>
          <t>unidad</t>
        </is>
      </c>
      <c r="I1419" s="7" t="inlineStr">
        <is>
          <t>Instalaciones</t>
        </is>
      </c>
      <c r="J1419" s="7" t="inlineStr">
        <is>
          <t>estandar</t>
        </is>
      </c>
      <c r="K1419" s="7" t="inlineStr">
        <is>
          <t>importado</t>
        </is>
      </c>
      <c r="L1419" s="7" t="inlineStr">
        <is>
          <t>Verificado</t>
        </is>
      </c>
      <c r="M1419" s="8" t="n">
        <v>1</v>
      </c>
      <c r="N1419" s="9" t="n">
        <v>4089.16</v>
      </c>
      <c r="O1419" s="9" t="n">
        <v>4089.16</v>
      </c>
      <c r="P1419" s="9" t="n">
        <v>4089.16</v>
      </c>
      <c r="Q1419" s="7" t="inlineStr">
        <is>
          <t>Sí</t>
        </is>
      </c>
      <c r="R1419" s="9">
        <f>IF(N1419="","",IF(Q1419="Sí",ROUND(N1419/1.18,2),N1419))</f>
        <v/>
      </c>
      <c r="S1419" s="7" t="inlineStr">
        <is>
          <t>2026-09-09</t>
        </is>
      </c>
      <c r="T1419" s="5" t="inlineStr">
        <is>
          <t>1 cotización de proveedores</t>
        </is>
      </c>
    </row>
    <row r="1420">
      <c r="A1420" s="7" t="inlineStr">
        <is>
          <t>MAT-30-128</t>
        </is>
      </c>
      <c r="B1420" s="7" t="inlineStr">
        <is>
          <t>Materiales</t>
        </is>
      </c>
      <c r="C1420" s="7" t="inlineStr">
        <is>
          <t>Cableado estructurado y redes</t>
        </is>
      </c>
      <c r="D1420" s="5" t="inlineStr">
        <is>
          <t>Modulo Ric con 12 Acopladores</t>
        </is>
      </c>
      <c r="E1420" s="5" t="inlineStr">
        <is>
          <t>marca SIEMON · componentes cables y conectividad · referencia RIC-F-LCQ24-01C</t>
        </is>
      </c>
      <c r="F1420" s="5" t="inlineStr">
        <is>
          <t>Material retirado en almacén</t>
        </is>
      </c>
      <c r="G1420" s="5" t="inlineStr"/>
      <c r="H1420" s="7" t="inlineStr">
        <is>
          <t>unidad</t>
        </is>
      </c>
      <c r="I1420" s="7" t="inlineStr">
        <is>
          <t>Instalaciones</t>
        </is>
      </c>
      <c r="J1420" s="7" t="inlineStr">
        <is>
          <t>estandar</t>
        </is>
      </c>
      <c r="K1420" s="7" t="inlineStr">
        <is>
          <t>importado</t>
        </is>
      </c>
      <c r="L1420" s="7" t="inlineStr">
        <is>
          <t>Verificado</t>
        </is>
      </c>
      <c r="M1420" s="8" t="n">
        <v>1</v>
      </c>
      <c r="N1420" s="9" t="n">
        <v>4491.54</v>
      </c>
      <c r="O1420" s="9" t="n">
        <v>4491.54</v>
      </c>
      <c r="P1420" s="9" t="n">
        <v>4491.54</v>
      </c>
      <c r="Q1420" s="7" t="inlineStr">
        <is>
          <t>Sí</t>
        </is>
      </c>
      <c r="R1420" s="9">
        <f>IF(N1420="","",IF(Q1420="Sí",ROUND(N1420/1.18,2),N1420))</f>
        <v/>
      </c>
      <c r="S1420" s="7" t="inlineStr">
        <is>
          <t>2026-09-09</t>
        </is>
      </c>
      <c r="T1420" s="5" t="inlineStr">
        <is>
          <t>1 cotización de proveedores</t>
        </is>
      </c>
    </row>
    <row r="1421">
      <c r="A1421" s="7" t="inlineStr">
        <is>
          <t>MAT-30-129</t>
        </is>
      </c>
      <c r="B1421" s="7" t="inlineStr">
        <is>
          <t>Materiales</t>
        </is>
      </c>
      <c r="C1421" s="7" t="inlineStr">
        <is>
          <t>Cableado estructurado y redes</t>
        </is>
      </c>
      <c r="D1421" s="5" t="inlineStr">
        <is>
          <t>Modulo 12-Port Cat 612-Po</t>
        </is>
      </c>
      <c r="E1421" s="5" t="inlineStr">
        <is>
          <t>marca ON Q · componentes cables y conectividad · referencia AC1015</t>
        </is>
      </c>
      <c r="F1421" s="5" t="inlineStr">
        <is>
          <t>Material retirado en almacén</t>
        </is>
      </c>
      <c r="G1421" s="5" t="inlineStr"/>
      <c r="H1421" s="7" t="inlineStr">
        <is>
          <t>unidad</t>
        </is>
      </c>
      <c r="I1421" s="7" t="inlineStr">
        <is>
          <t>Instalaciones</t>
        </is>
      </c>
      <c r="J1421" s="7" t="inlineStr">
        <is>
          <t>estandar</t>
        </is>
      </c>
      <c r="K1421" s="7" t="inlineStr">
        <is>
          <t>importado</t>
        </is>
      </c>
      <c r="L1421" s="7" t="inlineStr">
        <is>
          <t>Verificado</t>
        </is>
      </c>
      <c r="M1421" s="8" t="n">
        <v>1</v>
      </c>
      <c r="N1421" s="9" t="n">
        <v>5514.72</v>
      </c>
      <c r="O1421" s="9" t="n">
        <v>5514.72</v>
      </c>
      <c r="P1421" s="9" t="n">
        <v>5514.72</v>
      </c>
      <c r="Q1421" s="7" t="inlineStr">
        <is>
          <t>Sí</t>
        </is>
      </c>
      <c r="R1421" s="9">
        <f>IF(N1421="","",IF(Q1421="Sí",ROUND(N1421/1.18,2),N1421))</f>
        <v/>
      </c>
      <c r="S1421" s="7" t="inlineStr">
        <is>
          <t>2026-09-09</t>
        </is>
      </c>
      <c r="T1421" s="5" t="inlineStr">
        <is>
          <t>1 cotización de proveedores</t>
        </is>
      </c>
    </row>
    <row r="1422">
      <c r="A1422" s="7" t="inlineStr">
        <is>
          <t>MAT-30-130</t>
        </is>
      </c>
      <c r="B1422" s="7" t="inlineStr">
        <is>
          <t>Materiales</t>
        </is>
      </c>
      <c r="C1422" s="7" t="inlineStr">
        <is>
          <t>Cableado estructurado y redes</t>
        </is>
      </c>
      <c r="D1422" s="5" t="inlineStr">
        <is>
          <t>Patch Pannel Quest Cat 6 24 Puertos</t>
        </is>
      </c>
      <c r="E1422" s="5" t="inlineStr">
        <is>
          <t>marca TE CONNECTIVITY · componentes cables y conectividad · referencia ST-QC6-24</t>
        </is>
      </c>
      <c r="F1422" s="5" t="inlineStr">
        <is>
          <t>Material retirado en almacén</t>
        </is>
      </c>
      <c r="G1422" s="5" t="inlineStr"/>
      <c r="H1422" s="7" t="inlineStr">
        <is>
          <t>unidad</t>
        </is>
      </c>
      <c r="I1422" s="7" t="inlineStr">
        <is>
          <t>Instalaciones</t>
        </is>
      </c>
      <c r="J1422" s="7" t="inlineStr">
        <is>
          <t>estandar</t>
        </is>
      </c>
      <c r="K1422" s="7" t="inlineStr">
        <is>
          <t>importado</t>
        </is>
      </c>
      <c r="L1422" s="7" t="inlineStr">
        <is>
          <t>Verificado</t>
        </is>
      </c>
      <c r="M1422" s="8" t="n">
        <v>1</v>
      </c>
      <c r="N1422" s="9" t="n">
        <v>5568.67</v>
      </c>
      <c r="O1422" s="9" t="n">
        <v>5568.67</v>
      </c>
      <c r="P1422" s="9" t="n">
        <v>5568.67</v>
      </c>
      <c r="Q1422" s="7" t="inlineStr">
        <is>
          <t>Sí</t>
        </is>
      </c>
      <c r="R1422" s="9">
        <f>IF(N1422="","",IF(Q1422="Sí",ROUND(N1422/1.18,2),N1422))</f>
        <v/>
      </c>
      <c r="S1422" s="7" t="inlineStr">
        <is>
          <t>2026-09-09</t>
        </is>
      </c>
      <c r="T1422" s="5" t="inlineStr">
        <is>
          <t>1 cotización de proveedores</t>
        </is>
      </c>
    </row>
    <row r="1423">
      <c r="A1423" s="7" t="inlineStr">
        <is>
          <t>MAT-30-131</t>
        </is>
      </c>
      <c r="B1423" s="7" t="inlineStr">
        <is>
          <t>Materiales</t>
        </is>
      </c>
      <c r="C1423" s="7" t="inlineStr">
        <is>
          <t>Cableado estructurado y redes</t>
        </is>
      </c>
      <c r="D1423" s="5" t="inlineStr">
        <is>
          <t>Organizador Cable Vertical 42U</t>
        </is>
      </c>
      <c r="E1423" s="5" t="inlineStr">
        <is>
          <t>marca SIEMON · componentes cables y conectividad · referencia V8A-VPC6-1-42</t>
        </is>
      </c>
      <c r="F1423" s="5" t="inlineStr">
        <is>
          <t>Material retirado en almacén</t>
        </is>
      </c>
      <c r="G1423" s="5" t="inlineStr"/>
      <c r="H1423" s="7" t="inlineStr">
        <is>
          <t>unidad</t>
        </is>
      </c>
      <c r="I1423" s="7" t="inlineStr">
        <is>
          <t>Instalaciones</t>
        </is>
      </c>
      <c r="J1423" s="7" t="inlineStr">
        <is>
          <t>estandar</t>
        </is>
      </c>
      <c r="K1423" s="7" t="inlineStr">
        <is>
          <t>importado</t>
        </is>
      </c>
      <c r="L1423" s="7" t="inlineStr">
        <is>
          <t>Verificado</t>
        </is>
      </c>
      <c r="M1423" s="8" t="n">
        <v>1</v>
      </c>
      <c r="N1423" s="9" t="n">
        <v>6282.9</v>
      </c>
      <c r="O1423" s="9" t="n">
        <v>6282.9</v>
      </c>
      <c r="P1423" s="9" t="n">
        <v>6282.9</v>
      </c>
      <c r="Q1423" s="7" t="inlineStr">
        <is>
          <t>Sí</t>
        </is>
      </c>
      <c r="R1423" s="9">
        <f>IF(N1423="","",IF(Q1423="Sí",ROUND(N1423/1.18,2),N1423))</f>
        <v/>
      </c>
      <c r="S1423" s="7" t="inlineStr">
        <is>
          <t>2026-09-09</t>
        </is>
      </c>
      <c r="T1423" s="5" t="inlineStr">
        <is>
          <t>1 cotización de proveedores</t>
        </is>
      </c>
    </row>
    <row r="1424">
      <c r="A1424" s="7" t="inlineStr">
        <is>
          <t>MAT-30-132</t>
        </is>
      </c>
      <c r="B1424" s="7" t="inlineStr">
        <is>
          <t>Materiales</t>
        </is>
      </c>
      <c r="C1424" s="7" t="inlineStr">
        <is>
          <t>Cableado estructurado y redes</t>
        </is>
      </c>
      <c r="D1424" s="5" t="inlineStr">
        <is>
          <t>Distribuidor F. O Deslizable</t>
        </is>
      </c>
      <c r="E1424" s="5" t="inlineStr">
        <is>
          <t>marca SIEMON · fibra optica · referencia FCP3-DWR</t>
        </is>
      </c>
      <c r="F1424" s="5" t="inlineStr">
        <is>
          <t>Material retirado en almacén</t>
        </is>
      </c>
      <c r="G1424" s="5" t="inlineStr"/>
      <c r="H1424" s="7" t="inlineStr">
        <is>
          <t>unidad</t>
        </is>
      </c>
      <c r="I1424" s="7" t="inlineStr">
        <is>
          <t>Instalaciones</t>
        </is>
      </c>
      <c r="J1424" s="7" t="inlineStr">
        <is>
          <t>estandar</t>
        </is>
      </c>
      <c r="K1424" s="7" t="inlineStr">
        <is>
          <t>importado</t>
        </is>
      </c>
      <c r="L1424" s="7" t="inlineStr">
        <is>
          <t>Verificado</t>
        </is>
      </c>
      <c r="M1424" s="8" t="n">
        <v>1</v>
      </c>
      <c r="N1424" s="9" t="n">
        <v>7469.85</v>
      </c>
      <c r="O1424" s="9" t="n">
        <v>7469.85</v>
      </c>
      <c r="P1424" s="9" t="n">
        <v>7469.85</v>
      </c>
      <c r="Q1424" s="7" t="inlineStr">
        <is>
          <t>Sí</t>
        </is>
      </c>
      <c r="R1424" s="9">
        <f>IF(N1424="","",IF(Q1424="Sí",ROUND(N1424/1.18,2),N1424))</f>
        <v/>
      </c>
      <c r="S1424" s="7" t="inlineStr">
        <is>
          <t>2026-09-09</t>
        </is>
      </c>
      <c r="T1424" s="5" t="inlineStr">
        <is>
          <t>1 cotización de proveedores</t>
        </is>
      </c>
    </row>
    <row r="1425">
      <c r="A1425" s="7" t="inlineStr">
        <is>
          <t>MAT-30-133</t>
        </is>
      </c>
      <c r="B1425" s="7" t="inlineStr">
        <is>
          <t>Materiales</t>
        </is>
      </c>
      <c r="C1425" s="7" t="inlineStr">
        <is>
          <t>Cableado estructurado y redes</t>
        </is>
      </c>
      <c r="D1425" s="5" t="inlineStr">
        <is>
          <t>Rack 7 Pies</t>
        </is>
      </c>
      <c r="E1425" s="5" t="inlineStr">
        <is>
          <t>marca SIEMON · componentes cables y conectividad · referencia RS1-07-S</t>
        </is>
      </c>
      <c r="F1425" s="5" t="inlineStr">
        <is>
          <t>Material retirado en almacén</t>
        </is>
      </c>
      <c r="G1425" s="5" t="inlineStr"/>
      <c r="H1425" s="7" t="inlineStr">
        <is>
          <t>unidad</t>
        </is>
      </c>
      <c r="I1425" s="7" t="inlineStr">
        <is>
          <t>Instalaciones</t>
        </is>
      </c>
      <c r="J1425" s="7" t="inlineStr">
        <is>
          <t>estandar</t>
        </is>
      </c>
      <c r="K1425" s="7" t="inlineStr">
        <is>
          <t>importado</t>
        </is>
      </c>
      <c r="L1425" s="7" t="inlineStr">
        <is>
          <t>Verificado</t>
        </is>
      </c>
      <c r="M1425" s="8" t="n">
        <v>1</v>
      </c>
      <c r="N1425" s="9" t="n">
        <v>10078.03</v>
      </c>
      <c r="O1425" s="9" t="n">
        <v>10078.03</v>
      </c>
      <c r="P1425" s="9" t="n">
        <v>10078.03</v>
      </c>
      <c r="Q1425" s="7" t="inlineStr">
        <is>
          <t>Sí</t>
        </is>
      </c>
      <c r="R1425" s="9">
        <f>IF(N1425="","",IF(Q1425="Sí",ROUND(N1425/1.18,2),N1425))</f>
        <v/>
      </c>
      <c r="S1425" s="7" t="inlineStr">
        <is>
          <t>2026-09-09</t>
        </is>
      </c>
      <c r="T1425" s="5" t="inlineStr">
        <is>
          <t>1 cotización de proveedores</t>
        </is>
      </c>
    </row>
    <row r="1426">
      <c r="A1426" s="7" t="inlineStr">
        <is>
          <t>MAT-30-134</t>
        </is>
      </c>
      <c r="B1426" s="7" t="inlineStr">
        <is>
          <t>Materiales</t>
        </is>
      </c>
      <c r="C1426" s="7" t="inlineStr">
        <is>
          <t>Cableado estructurado y redes</t>
        </is>
      </c>
      <c r="D1426" s="5" t="inlineStr">
        <is>
          <t>Modulo Comunicacion Ethernet</t>
        </is>
      </c>
      <c r="E1426" s="5" t="inlineStr">
        <is>
          <t>marca BOSCH · etherne · referencia B426</t>
        </is>
      </c>
      <c r="F1426" s="5" t="inlineStr">
        <is>
          <t>Material retirado en almacén</t>
        </is>
      </c>
      <c r="G1426" s="5" t="inlineStr"/>
      <c r="H1426" s="7" t="inlineStr">
        <is>
          <t>unidad</t>
        </is>
      </c>
      <c r="I1426" s="7" t="inlineStr">
        <is>
          <t>Instalaciones</t>
        </is>
      </c>
      <c r="J1426" s="7" t="inlineStr">
        <is>
          <t>estandar</t>
        </is>
      </c>
      <c r="K1426" s="7" t="inlineStr">
        <is>
          <t>importado</t>
        </is>
      </c>
      <c r="L1426" s="7" t="inlineStr">
        <is>
          <t>Verificado</t>
        </is>
      </c>
      <c r="M1426" s="8" t="n">
        <v>1</v>
      </c>
      <c r="N1426" s="9" t="n">
        <v>10635.77</v>
      </c>
      <c r="O1426" s="9" t="n">
        <v>10635.77</v>
      </c>
      <c r="P1426" s="9" t="n">
        <v>10635.77</v>
      </c>
      <c r="Q1426" s="7" t="inlineStr">
        <is>
          <t>Sí</t>
        </is>
      </c>
      <c r="R1426" s="9">
        <f>IF(N1426="","",IF(Q1426="Sí",ROUND(N1426/1.18,2),N1426))</f>
        <v/>
      </c>
      <c r="S1426" s="7" t="inlineStr">
        <is>
          <t>2026-09-09</t>
        </is>
      </c>
      <c r="T1426" s="5" t="inlineStr">
        <is>
          <t>1 cotización de proveedores</t>
        </is>
      </c>
    </row>
    <row r="1427">
      <c r="A1427" s="7" t="inlineStr">
        <is>
          <t>MAT-30-135</t>
        </is>
      </c>
      <c r="B1427" s="7" t="inlineStr">
        <is>
          <t>Materiales</t>
        </is>
      </c>
      <c r="C1427" s="7" t="inlineStr">
        <is>
          <t>Cableado estructurado y redes</t>
        </is>
      </c>
      <c r="D1427" s="5" t="inlineStr">
        <is>
          <t>Organizador Routeit Vertical Doble De 45</t>
        </is>
      </c>
      <c r="E1427" s="5" t="inlineStr">
        <is>
          <t>marca SIEMON · componentes cables y conectividad · referencia VCM1A-10D-1-45</t>
        </is>
      </c>
      <c r="F1427" s="5" t="inlineStr">
        <is>
          <t>Material retirado en almacén</t>
        </is>
      </c>
      <c r="G1427" s="5" t="inlineStr"/>
      <c r="H1427" s="7" t="inlineStr">
        <is>
          <t>unidad</t>
        </is>
      </c>
      <c r="I1427" s="7" t="inlineStr">
        <is>
          <t>Instalaciones</t>
        </is>
      </c>
      <c r="J1427" s="7" t="inlineStr">
        <is>
          <t>estandar</t>
        </is>
      </c>
      <c r="K1427" s="7" t="inlineStr">
        <is>
          <t>importado</t>
        </is>
      </c>
      <c r="L1427" s="7" t="inlineStr">
        <is>
          <t>Verificado</t>
        </is>
      </c>
      <c r="M1427" s="8" t="n">
        <v>1</v>
      </c>
      <c r="N1427" s="9" t="n">
        <v>24364.91</v>
      </c>
      <c r="O1427" s="9" t="n">
        <v>24364.91</v>
      </c>
      <c r="P1427" s="9" t="n">
        <v>24364.91</v>
      </c>
      <c r="Q1427" s="7" t="inlineStr">
        <is>
          <t>Sí</t>
        </is>
      </c>
      <c r="R1427" s="9">
        <f>IF(N1427="","",IF(Q1427="Sí",ROUND(N1427/1.18,2),N1427))</f>
        <v/>
      </c>
      <c r="S1427" s="7" t="inlineStr">
        <is>
          <t>2026-09-09</t>
        </is>
      </c>
      <c r="T1427" s="5" t="inlineStr">
        <is>
          <t>1 cotización de proveedores</t>
        </is>
      </c>
    </row>
    <row r="1428">
      <c r="A1428" s="7" t="inlineStr">
        <is>
          <t>MAT-30-136</t>
        </is>
      </c>
      <c r="B1428" s="7" t="inlineStr">
        <is>
          <t>Materiales</t>
        </is>
      </c>
      <c r="C1428" s="7" t="inlineStr">
        <is>
          <t>Cableado estructurado y redes</t>
        </is>
      </c>
      <c r="D1428" s="5" t="inlineStr">
        <is>
          <t>Transf. exterior para Antena</t>
        </is>
      </c>
      <c r="E1428" s="5" t="inlineStr">
        <is>
          <t>marca STEREN · componentes cables y conectividad · referencia 200-490</t>
        </is>
      </c>
      <c r="F1428" s="5" t="inlineStr">
        <is>
          <t>Material retirado en almacén</t>
        </is>
      </c>
      <c r="G1428" s="5" t="inlineStr"/>
      <c r="H1428" s="7" t="inlineStr">
        <is>
          <t>unidad</t>
        </is>
      </c>
      <c r="I1428" s="7" t="inlineStr">
        <is>
          <t>Instalaciones</t>
        </is>
      </c>
      <c r="J1428" s="7" t="inlineStr">
        <is>
          <t>estandar</t>
        </is>
      </c>
      <c r="K1428" s="7" t="inlineStr">
        <is>
          <t>importado</t>
        </is>
      </c>
      <c r="L1428" s="7" t="inlineStr">
        <is>
          <t>Verificado</t>
        </is>
      </c>
      <c r="M1428" s="8" t="n">
        <v>1</v>
      </c>
      <c r="N1428" s="9" t="n">
        <v>1.21</v>
      </c>
      <c r="O1428" s="9" t="n">
        <v>1.21</v>
      </c>
      <c r="P1428" s="9" t="n">
        <v>1.21</v>
      </c>
      <c r="Q1428" s="7" t="inlineStr">
        <is>
          <t>Sí</t>
        </is>
      </c>
      <c r="R1428" s="9">
        <f>IF(N1428="","",IF(Q1428="Sí",ROUND(N1428/1.18,2),N1428))</f>
        <v/>
      </c>
      <c r="S1428" s="7" t="inlineStr">
        <is>
          <t>2026-09-09</t>
        </is>
      </c>
      <c r="T1428" s="5" t="inlineStr">
        <is>
          <t>1 cotización de proveedores</t>
        </is>
      </c>
    </row>
    <row r="1429">
      <c r="A1429" s="7" t="inlineStr">
        <is>
          <t>MAT-30-137</t>
        </is>
      </c>
      <c r="B1429" s="7" t="inlineStr">
        <is>
          <t>Materiales</t>
        </is>
      </c>
      <c r="C1429" s="7" t="inlineStr">
        <is>
          <t>Cableado estructurado y redes</t>
        </is>
      </c>
      <c r="D1429" s="5" t="inlineStr">
        <is>
          <t>Fuente Inalabrica On / Off</t>
        </is>
      </c>
      <c r="E1429" s="5" t="inlineStr">
        <is>
          <t>marca ADORNE · touch · referencia ARPS15RF2</t>
        </is>
      </c>
      <c r="F1429" s="5" t="inlineStr">
        <is>
          <t>Material retirado en almacén</t>
        </is>
      </c>
      <c r="G1429" s="5" t="inlineStr"/>
      <c r="H1429" s="7" t="inlineStr">
        <is>
          <t>unidad</t>
        </is>
      </c>
      <c r="I1429" s="7" t="inlineStr">
        <is>
          <t>Instalaciones</t>
        </is>
      </c>
      <c r="J1429" s="7" t="inlineStr">
        <is>
          <t>estandar</t>
        </is>
      </c>
      <c r="K1429" s="7" t="inlineStr">
        <is>
          <t>importado</t>
        </is>
      </c>
      <c r="L1429" s="7" t="inlineStr">
        <is>
          <t>Verificado</t>
        </is>
      </c>
      <c r="M1429" s="8" t="n">
        <v>1</v>
      </c>
      <c r="N1429" s="9" t="n">
        <v>2122.4</v>
      </c>
      <c r="O1429" s="9" t="n">
        <v>2122.4</v>
      </c>
      <c r="P1429" s="9" t="n">
        <v>2122.4</v>
      </c>
      <c r="Q1429" s="7" t="inlineStr">
        <is>
          <t>Sí</t>
        </is>
      </c>
      <c r="R1429" s="9">
        <f>IF(N1429="","",IF(Q1429="Sí",ROUND(N1429/1.18,2),N1429))</f>
        <v/>
      </c>
      <c r="S1429" s="7" t="inlineStr">
        <is>
          <t>2026-09-09</t>
        </is>
      </c>
      <c r="T1429" s="5" t="inlineStr">
        <is>
          <t>1 cotización de proveedores</t>
        </is>
      </c>
    </row>
    <row r="1430">
      <c r="A1430" s="7" t="inlineStr">
        <is>
          <t>MAT-30-138</t>
        </is>
      </c>
      <c r="B1430" s="7" t="inlineStr">
        <is>
          <t>Materiales</t>
        </is>
      </c>
      <c r="C1430" s="7" t="inlineStr">
        <is>
          <t>Cableado estructurado y redes</t>
        </is>
      </c>
      <c r="D1430" s="5" t="inlineStr">
        <is>
          <t>Injector PoE Injec</t>
        </is>
      </c>
      <c r="E1430" s="5" t="inlineStr">
        <is>
          <t>marca ON Q · componentes cables y conectividad · referencia DA2401</t>
        </is>
      </c>
      <c r="F1430" s="5" t="inlineStr">
        <is>
          <t>Material retirado en almacén</t>
        </is>
      </c>
      <c r="G1430" s="5" t="inlineStr"/>
      <c r="H1430" s="7" t="inlineStr">
        <is>
          <t>unidad</t>
        </is>
      </c>
      <c r="I1430" s="7" t="inlineStr">
        <is>
          <t>Instalaciones</t>
        </is>
      </c>
      <c r="J1430" s="7" t="inlineStr">
        <is>
          <t>estandar</t>
        </is>
      </c>
      <c r="K1430" s="7" t="inlineStr">
        <is>
          <t>importado</t>
        </is>
      </c>
      <c r="L1430" s="7" t="inlineStr">
        <is>
          <t>Verificado</t>
        </is>
      </c>
      <c r="M1430" s="8" t="n">
        <v>1</v>
      </c>
      <c r="N1430" s="9" t="n">
        <v>9810.73</v>
      </c>
      <c r="O1430" s="9" t="n">
        <v>9810.73</v>
      </c>
      <c r="P1430" s="9" t="n">
        <v>9810.73</v>
      </c>
      <c r="Q1430" s="7" t="inlineStr">
        <is>
          <t>Sí</t>
        </is>
      </c>
      <c r="R1430" s="9">
        <f>IF(N1430="","",IF(Q1430="Sí",ROUND(N1430/1.18,2),N1430))</f>
        <v/>
      </c>
      <c r="S1430" s="7" t="inlineStr">
        <is>
          <t>2026-09-09</t>
        </is>
      </c>
      <c r="T1430" s="5" t="inlineStr">
        <is>
          <t>1 cotización de proveedores</t>
        </is>
      </c>
    </row>
    <row r="1431">
      <c r="A1431" s="7" t="inlineStr">
        <is>
          <t>MAT-30-139</t>
        </is>
      </c>
      <c r="B1431" s="7" t="inlineStr">
        <is>
          <t>Materiales</t>
        </is>
      </c>
      <c r="C1431" s="7" t="inlineStr">
        <is>
          <t>Cableado estructurado y redes</t>
        </is>
      </c>
      <c r="D1431" s="5" t="inlineStr">
        <is>
          <t>Caja De Superficie Ip66 / Ip67</t>
        </is>
      </c>
      <c r="E1431" s="5" t="inlineStr">
        <is>
          <t>marca SIEMON · accesorios cables y conectividad · referencia X-IBOX-03</t>
        </is>
      </c>
      <c r="F1431" s="5" t="inlineStr">
        <is>
          <t>Material retirado en almacén</t>
        </is>
      </c>
      <c r="G1431" s="5" t="inlineStr"/>
      <c r="H1431" s="7" t="inlineStr">
        <is>
          <t>unidad</t>
        </is>
      </c>
      <c r="I1431" s="7" t="inlineStr">
        <is>
          <t>Instalaciones</t>
        </is>
      </c>
      <c r="J1431" s="7" t="inlineStr">
        <is>
          <t>estandar</t>
        </is>
      </c>
      <c r="K1431" s="7" t="inlineStr">
        <is>
          <t>importado</t>
        </is>
      </c>
      <c r="L1431" s="7" t="inlineStr">
        <is>
          <t>Verificado</t>
        </is>
      </c>
      <c r="M1431" s="8" t="n">
        <v>1</v>
      </c>
      <c r="N1431" s="9" t="n">
        <v>2153.87</v>
      </c>
      <c r="O1431" s="9" t="n">
        <v>2153.87</v>
      </c>
      <c r="P1431" s="9" t="n">
        <v>2153.87</v>
      </c>
      <c r="Q1431" s="7" t="inlineStr">
        <is>
          <t>Sí</t>
        </is>
      </c>
      <c r="R1431" s="9">
        <f>IF(N1431="","",IF(Q1431="Sí",ROUND(N1431/1.18,2),N1431))</f>
        <v/>
      </c>
      <c r="S1431" s="7" t="inlineStr">
        <is>
          <t>2026-09-09</t>
        </is>
      </c>
      <c r="T1431" s="5" t="inlineStr">
        <is>
          <t>1 cotización de proveedores</t>
        </is>
      </c>
    </row>
    <row r="1432">
      <c r="A1432" s="7" t="inlineStr">
        <is>
          <t>MAT-30-140</t>
        </is>
      </c>
      <c r="B1432" s="7" t="inlineStr">
        <is>
          <t>Materiales</t>
        </is>
      </c>
      <c r="C1432" s="7" t="inlineStr">
        <is>
          <t>Cableado estructurado y redes</t>
        </is>
      </c>
      <c r="D1432" s="5" t="inlineStr">
        <is>
          <t>Video Balun St-530135A</t>
        </is>
      </c>
      <c r="E1432" s="5" t="inlineStr">
        <is>
          <t>marca SECTECH · componentes cables y conectividad · referencia ST-530135A</t>
        </is>
      </c>
      <c r="F1432" s="5" t="inlineStr">
        <is>
          <t>Material retirado en almacén</t>
        </is>
      </c>
      <c r="G1432" s="5" t="inlineStr"/>
      <c r="H1432" s="7" t="inlineStr">
        <is>
          <t>unidad</t>
        </is>
      </c>
      <c r="I1432" s="7" t="inlineStr">
        <is>
          <t>Instalaciones</t>
        </is>
      </c>
      <c r="J1432" s="7" t="inlineStr">
        <is>
          <t>estandar</t>
        </is>
      </c>
      <c r="K1432" s="7" t="inlineStr">
        <is>
          <t>importado</t>
        </is>
      </c>
      <c r="L1432" s="7" t="inlineStr">
        <is>
          <t>Verificado</t>
        </is>
      </c>
      <c r="M1432" s="8" t="n">
        <v>1</v>
      </c>
      <c r="N1432" s="9" t="n">
        <v>251.58</v>
      </c>
      <c r="O1432" s="9" t="n">
        <v>251.58</v>
      </c>
      <c r="P1432" s="9" t="n">
        <v>251.58</v>
      </c>
      <c r="Q1432" s="7" t="inlineStr">
        <is>
          <t>Sí</t>
        </is>
      </c>
      <c r="R1432" s="9">
        <f>IF(N1432="","",IF(Q1432="Sí",ROUND(N1432/1.18,2),N1432))</f>
        <v/>
      </c>
      <c r="S1432" s="7" t="inlineStr">
        <is>
          <t>2026-09-09</t>
        </is>
      </c>
      <c r="T1432" s="5" t="inlineStr">
        <is>
          <t>1 cotización de proveedores</t>
        </is>
      </c>
    </row>
    <row r="1433">
      <c r="A1433" s="7" t="inlineStr">
        <is>
          <t>MAT-30-141</t>
        </is>
      </c>
      <c r="B1433" s="7" t="inlineStr">
        <is>
          <t>Materiales</t>
        </is>
      </c>
      <c r="C1433" s="7" t="inlineStr">
        <is>
          <t>Cableado estructurado y redes</t>
        </is>
      </c>
      <c r="D1433" s="5" t="inlineStr">
        <is>
          <t>Switch 8 Puertos 10 / 100 Mbps Plastico</t>
        </is>
      </c>
      <c r="E1433" s="5" t="inlineStr">
        <is>
          <t>marca DAHUA · accesorios cables y conectividad · referencia DH-PFS3008-8ET-L</t>
        </is>
      </c>
      <c r="F1433" s="5" t="inlineStr">
        <is>
          <t>Material retirado en almacén</t>
        </is>
      </c>
      <c r="G1433" s="5" t="inlineStr"/>
      <c r="H1433" s="7" t="inlineStr">
        <is>
          <t>unidad</t>
        </is>
      </c>
      <c r="I1433" s="7" t="inlineStr">
        <is>
          <t>Instalaciones</t>
        </is>
      </c>
      <c r="J1433" s="7" t="inlineStr">
        <is>
          <t>estandar</t>
        </is>
      </c>
      <c r="K1433" s="7" t="inlineStr">
        <is>
          <t>importado</t>
        </is>
      </c>
      <c r="L1433" s="7" t="inlineStr">
        <is>
          <t>Verificado</t>
        </is>
      </c>
      <c r="M1433" s="8" t="n">
        <v>1</v>
      </c>
      <c r="N1433" s="9" t="n">
        <v>500.98</v>
      </c>
      <c r="O1433" s="9" t="n">
        <v>500.98</v>
      </c>
      <c r="P1433" s="9" t="n">
        <v>500.98</v>
      </c>
      <c r="Q1433" s="7" t="inlineStr">
        <is>
          <t>Sí</t>
        </is>
      </c>
      <c r="R1433" s="9">
        <f>IF(N1433="","",IF(Q1433="Sí",ROUND(N1433/1.18,2),N1433))</f>
        <v/>
      </c>
      <c r="S1433" s="7" t="inlineStr">
        <is>
          <t>2026-09-09</t>
        </is>
      </c>
      <c r="T1433" s="5" t="inlineStr">
        <is>
          <t>1 cotización de proveedores</t>
        </is>
      </c>
    </row>
    <row r="1434">
      <c r="A1434" s="7" t="inlineStr">
        <is>
          <t>MAT-30-142</t>
        </is>
      </c>
      <c r="B1434" s="7" t="inlineStr">
        <is>
          <t>Materiales</t>
        </is>
      </c>
      <c r="C1434" s="7" t="inlineStr">
        <is>
          <t>Cableado estructurado y redes</t>
        </is>
      </c>
      <c r="D1434" s="5" t="inlineStr">
        <is>
          <t>Modulador Agil Uso Comercial para 3 Canales</t>
        </is>
      </c>
      <c r="E1434" s="5" t="inlineStr">
        <is>
          <t>marca STEREN · componentes cables y conectividad · referencia USM-20D3</t>
        </is>
      </c>
      <c r="F1434" s="5" t="inlineStr">
        <is>
          <t>Material retirado en almacén</t>
        </is>
      </c>
      <c r="G1434" s="5" t="inlineStr"/>
      <c r="H1434" s="7" t="inlineStr">
        <is>
          <t>unidad</t>
        </is>
      </c>
      <c r="I1434" s="7" t="inlineStr">
        <is>
          <t>Instalaciones</t>
        </is>
      </c>
      <c r="J1434" s="7" t="inlineStr">
        <is>
          <t>estandar</t>
        </is>
      </c>
      <c r="K1434" s="7" t="inlineStr">
        <is>
          <t>importado</t>
        </is>
      </c>
      <c r="L1434" s="7" t="inlineStr">
        <is>
          <t>Verificado</t>
        </is>
      </c>
      <c r="M1434" s="8" t="n">
        <v>1</v>
      </c>
      <c r="N1434" s="9" t="n">
        <v>670.0599999999999</v>
      </c>
      <c r="O1434" s="9" t="n">
        <v>670.0599999999999</v>
      </c>
      <c r="P1434" s="9" t="n">
        <v>670.0599999999999</v>
      </c>
      <c r="Q1434" s="7" t="inlineStr">
        <is>
          <t>Sí</t>
        </is>
      </c>
      <c r="R1434" s="9">
        <f>IF(N1434="","",IF(Q1434="Sí",ROUND(N1434/1.18,2),N1434))</f>
        <v/>
      </c>
      <c r="S1434" s="7" t="inlineStr">
        <is>
          <t>2026-09-09</t>
        </is>
      </c>
      <c r="T1434" s="5" t="inlineStr">
        <is>
          <t>1 cotización de proveedores</t>
        </is>
      </c>
    </row>
    <row r="1435">
      <c r="A1435" s="7" t="inlineStr">
        <is>
          <t>MAT-30-143</t>
        </is>
      </c>
      <c r="B1435" s="7" t="inlineStr">
        <is>
          <t>Materiales</t>
        </is>
      </c>
      <c r="C1435" s="7" t="inlineStr">
        <is>
          <t>Cableado estructurado y redes</t>
        </is>
      </c>
      <c r="D1435" s="5" t="inlineStr">
        <is>
          <t>Switch Remoto Rf 3-Way</t>
        </is>
      </c>
      <c r="E1435" s="5" t="inlineStr">
        <is>
          <t>marca ON Q · componentes cables y conectividad · referencia LC2203-WH</t>
        </is>
      </c>
      <c r="F1435" s="5" t="inlineStr">
        <is>
          <t>Material retirado en almacén</t>
        </is>
      </c>
      <c r="G1435" s="5" t="inlineStr"/>
      <c r="H1435" s="7" t="inlineStr">
        <is>
          <t>unidad</t>
        </is>
      </c>
      <c r="I1435" s="7" t="inlineStr">
        <is>
          <t>Instalaciones</t>
        </is>
      </c>
      <c r="J1435" s="7" t="inlineStr">
        <is>
          <t>estandar</t>
        </is>
      </c>
      <c r="K1435" s="7" t="inlineStr">
        <is>
          <t>importado</t>
        </is>
      </c>
      <c r="L1435" s="7" t="inlineStr">
        <is>
          <t>Verificado</t>
        </is>
      </c>
      <c r="M1435" s="8" t="n">
        <v>1</v>
      </c>
      <c r="N1435" s="9" t="n">
        <v>4799.38</v>
      </c>
      <c r="O1435" s="9" t="n">
        <v>4799.38</v>
      </c>
      <c r="P1435" s="9" t="n">
        <v>4799.38</v>
      </c>
      <c r="Q1435" s="7" t="inlineStr">
        <is>
          <t>Sí</t>
        </is>
      </c>
      <c r="R1435" s="9">
        <f>IF(N1435="","",IF(Q1435="Sí",ROUND(N1435/1.18,2),N1435))</f>
        <v/>
      </c>
      <c r="S1435" s="7" t="inlineStr">
        <is>
          <t>2026-09-09</t>
        </is>
      </c>
      <c r="T1435" s="5" t="inlineStr">
        <is>
          <t>1 cotización de proveedores</t>
        </is>
      </c>
    </row>
    <row r="1436">
      <c r="A1436" s="7" t="inlineStr">
        <is>
          <t>MAT-30-144</t>
        </is>
      </c>
      <c r="B1436" s="7" t="inlineStr">
        <is>
          <t>Materiales</t>
        </is>
      </c>
      <c r="C1436" s="7" t="inlineStr">
        <is>
          <t>Cableado estructurado y redes</t>
        </is>
      </c>
      <c r="D1436" s="5" t="inlineStr">
        <is>
          <t>Wireless Av / Receiver</t>
        </is>
      </c>
      <c r="E1436" s="5" t="inlineStr">
        <is>
          <t>marca ORTRONICS · componentes cables y conectividad · referencia 29358</t>
        </is>
      </c>
      <c r="F1436" s="5" t="inlineStr">
        <is>
          <t>Material retirado en almacén</t>
        </is>
      </c>
      <c r="G1436" s="5" t="inlineStr"/>
      <c r="H1436" s="7" t="inlineStr">
        <is>
          <t>unidad</t>
        </is>
      </c>
      <c r="I1436" s="7" t="inlineStr">
        <is>
          <t>Instalaciones</t>
        </is>
      </c>
      <c r="J1436" s="7" t="inlineStr">
        <is>
          <t>estandar</t>
        </is>
      </c>
      <c r="K1436" s="7" t="inlineStr">
        <is>
          <t>importado</t>
        </is>
      </c>
      <c r="L1436" s="7" t="inlineStr">
        <is>
          <t>Verificado</t>
        </is>
      </c>
      <c r="M1436" s="8" t="n">
        <v>1</v>
      </c>
      <c r="N1436" s="9" t="n">
        <v>11046.92</v>
      </c>
      <c r="O1436" s="9" t="n">
        <v>11046.92</v>
      </c>
      <c r="P1436" s="9" t="n">
        <v>11046.92</v>
      </c>
      <c r="Q1436" s="7" t="inlineStr">
        <is>
          <t>Sí</t>
        </is>
      </c>
      <c r="R1436" s="9">
        <f>IF(N1436="","",IF(Q1436="Sí",ROUND(N1436/1.18,2),N1436))</f>
        <v/>
      </c>
      <c r="S1436" s="7" t="inlineStr">
        <is>
          <t>2026-09-09</t>
        </is>
      </c>
      <c r="T1436" s="5" t="inlineStr">
        <is>
          <t>1 cotización de proveedores</t>
        </is>
      </c>
    </row>
    <row r="1437">
      <c r="A1437" s="7" t="inlineStr">
        <is>
          <t>MAT-30-145</t>
        </is>
      </c>
      <c r="B1437" s="7" t="inlineStr">
        <is>
          <t>Materiales</t>
        </is>
      </c>
      <c r="C1437" s="7" t="inlineStr">
        <is>
          <t>Cableado estructurado y redes</t>
        </is>
      </c>
      <c r="D1437" s="5" t="inlineStr">
        <is>
          <t>Wireless A / V For Hdmi Taa Com</t>
        </is>
      </c>
      <c r="E1437" s="5" t="inlineStr">
        <is>
          <t>marca ORTRONICS · de red · referencia 29329</t>
        </is>
      </c>
      <c r="F1437" s="5" t="inlineStr">
        <is>
          <t>Material retirado en almacén</t>
        </is>
      </c>
      <c r="G1437" s="5" t="inlineStr"/>
      <c r="H1437" s="7" t="inlineStr">
        <is>
          <t>unidad</t>
        </is>
      </c>
      <c r="I1437" s="7" t="inlineStr">
        <is>
          <t>Instalaciones</t>
        </is>
      </c>
      <c r="J1437" s="7" t="inlineStr">
        <is>
          <t>estandar</t>
        </is>
      </c>
      <c r="K1437" s="7" t="inlineStr">
        <is>
          <t>importado</t>
        </is>
      </c>
      <c r="L1437" s="7" t="inlineStr">
        <is>
          <t>Verificado</t>
        </is>
      </c>
      <c r="M1437" s="8" t="n">
        <v>1</v>
      </c>
      <c r="N1437" s="9" t="n">
        <v>16024.35</v>
      </c>
      <c r="O1437" s="9" t="n">
        <v>16024.35</v>
      </c>
      <c r="P1437" s="9" t="n">
        <v>16024.35</v>
      </c>
      <c r="Q1437" s="7" t="inlineStr">
        <is>
          <t>Sí</t>
        </is>
      </c>
      <c r="R1437" s="9">
        <f>IF(N1437="","",IF(Q1437="Sí",ROUND(N1437/1.18,2),N1437))</f>
        <v/>
      </c>
      <c r="S1437" s="7" t="inlineStr">
        <is>
          <t>2026-09-09</t>
        </is>
      </c>
      <c r="T1437" s="5" t="inlineStr">
        <is>
          <t>1 cotización de proveedores</t>
        </is>
      </c>
    </row>
    <row r="1438">
      <c r="A1438" s="7" t="inlineStr">
        <is>
          <t>MAT-30-146</t>
        </is>
      </c>
      <c r="B1438" s="7" t="inlineStr">
        <is>
          <t>Materiales</t>
        </is>
      </c>
      <c r="C1438" s="7" t="inlineStr">
        <is>
          <t>Cableado estructurado y redes</t>
        </is>
      </c>
      <c r="D1438" s="5" t="inlineStr">
        <is>
          <t>Unidad De Control Digital Pantalla Oled</t>
        </is>
      </c>
      <c r="E1438" s="5" t="inlineStr">
        <is>
          <t>marca TUTONDO · planos · referencia CZ830MC</t>
        </is>
      </c>
      <c r="F1438" s="5" t="inlineStr">
        <is>
          <t>Material retirado en almacén</t>
        </is>
      </c>
      <c r="G1438" s="5" t="inlineStr"/>
      <c r="H1438" s="7" t="inlineStr">
        <is>
          <t>unidad</t>
        </is>
      </c>
      <c r="I1438" s="7" t="inlineStr">
        <is>
          <t>Instalaciones</t>
        </is>
      </c>
      <c r="J1438" s="7" t="inlineStr">
        <is>
          <t>estandar</t>
        </is>
      </c>
      <c r="K1438" s="7" t="inlineStr">
        <is>
          <t>importado</t>
        </is>
      </c>
      <c r="L1438" s="7" t="inlineStr">
        <is>
          <t>Verificado</t>
        </is>
      </c>
      <c r="M1438" s="8" t="n">
        <v>1</v>
      </c>
      <c r="N1438" s="9" t="n">
        <v>5924.86</v>
      </c>
      <c r="O1438" s="9" t="n">
        <v>5924.86</v>
      </c>
      <c r="P1438" s="9" t="n">
        <v>5924.86</v>
      </c>
      <c r="Q1438" s="7" t="inlineStr">
        <is>
          <t>Sí</t>
        </is>
      </c>
      <c r="R1438" s="9">
        <f>IF(N1438="","",IF(Q1438="Sí",ROUND(N1438/1.18,2),N1438))</f>
        <v/>
      </c>
      <c r="S1438" s="7" t="inlineStr">
        <is>
          <t>2026-09-09</t>
        </is>
      </c>
      <c r="T1438" s="5" t="inlineStr">
        <is>
          <t>1 cotización de proveedores</t>
        </is>
      </c>
    </row>
    <row r="1439">
      <c r="A1439" s="7" t="inlineStr">
        <is>
          <t>MAT-31-002</t>
        </is>
      </c>
      <c r="B1439" s="7" t="inlineStr">
        <is>
          <t>Materiales</t>
        </is>
      </c>
      <c r="C1439" s="7" t="inlineStr">
        <is>
          <t>Domótica e intercomunicadores</t>
        </is>
      </c>
      <c r="D1439" s="5" t="inlineStr">
        <is>
          <t>Central Conserje 2H</t>
        </is>
      </c>
      <c r="E1439" s="5" t="inlineStr">
        <is>
          <t>marca BTICINO · componentes intercomunidores · referencia 346310</t>
        </is>
      </c>
      <c r="F1439" s="5" t="inlineStr">
        <is>
          <t>Material retirado en almacén</t>
        </is>
      </c>
      <c r="G1439" s="5" t="inlineStr"/>
      <c r="H1439" s="7" t="inlineStr">
        <is>
          <t>unidad</t>
        </is>
      </c>
      <c r="I1439" s="7" t="inlineStr">
        <is>
          <t>Instalaciones</t>
        </is>
      </c>
      <c r="J1439" s="7" t="inlineStr">
        <is>
          <t>estandar</t>
        </is>
      </c>
      <c r="K1439" s="7" t="inlineStr">
        <is>
          <t>importado</t>
        </is>
      </c>
      <c r="L1439" s="7" t="inlineStr">
        <is>
          <t>Verificado</t>
        </is>
      </c>
      <c r="M1439" s="8" t="n">
        <v>1</v>
      </c>
      <c r="N1439" s="9" t="n">
        <v>40009.07</v>
      </c>
      <c r="O1439" s="9" t="n">
        <v>40009.07</v>
      </c>
      <c r="P1439" s="9" t="n">
        <v>40009.07</v>
      </c>
      <c r="Q1439" s="7" t="inlineStr">
        <is>
          <t>Sí</t>
        </is>
      </c>
      <c r="R1439" s="9">
        <f>IF(N1439="","",IF(Q1439="Sí",ROUND(N1439/1.18,2),N1439))</f>
        <v/>
      </c>
      <c r="S1439" s="7" t="inlineStr">
        <is>
          <t>2026-09-09</t>
        </is>
      </c>
      <c r="T1439" s="5" t="inlineStr">
        <is>
          <t>1 cotización de proveedores</t>
        </is>
      </c>
    </row>
    <row r="1440">
      <c r="A1440" s="7" t="inlineStr">
        <is>
          <t>MAT-31-003</t>
        </is>
      </c>
      <c r="B1440" s="7" t="inlineStr">
        <is>
          <t>Materiales</t>
        </is>
      </c>
      <c r="C1440" s="7" t="inlineStr">
        <is>
          <t>Domótica e intercomunicadores</t>
        </is>
      </c>
      <c r="D1440" s="5" t="inlineStr">
        <is>
          <t>Teclado Modulo Conexion con Rs-485 para Inter</t>
        </is>
      </c>
      <c r="E1440" s="5" t="inlineStr">
        <is>
          <t>marca SECTECH · accesorios intercomunicadores · referencia OCB-LE-LQ</t>
        </is>
      </c>
      <c r="F1440" s="5" t="inlineStr">
        <is>
          <t>Material retirado en almacén</t>
        </is>
      </c>
      <c r="G1440" s="5" t="inlineStr"/>
      <c r="H1440" s="7" t="inlineStr">
        <is>
          <t>unidad</t>
        </is>
      </c>
      <c r="I1440" s="7" t="inlineStr">
        <is>
          <t>Instalaciones</t>
        </is>
      </c>
      <c r="J1440" s="7" t="inlineStr">
        <is>
          <t>estandar</t>
        </is>
      </c>
      <c r="K1440" s="7" t="inlineStr">
        <is>
          <t>importado</t>
        </is>
      </c>
      <c r="L1440" s="7" t="inlineStr">
        <is>
          <t>Verificado</t>
        </is>
      </c>
      <c r="M1440" s="8" t="n">
        <v>1</v>
      </c>
      <c r="N1440" s="9" t="n">
        <v>7887.13</v>
      </c>
      <c r="O1440" s="9" t="n">
        <v>7887.13</v>
      </c>
      <c r="P1440" s="9" t="n">
        <v>7887.13</v>
      </c>
      <c r="Q1440" s="7" t="inlineStr">
        <is>
          <t>Sí</t>
        </is>
      </c>
      <c r="R1440" s="9">
        <f>IF(N1440="","",IF(Q1440="Sí",ROUND(N1440/1.18,2),N1440))</f>
        <v/>
      </c>
      <c r="S1440" s="7" t="inlineStr">
        <is>
          <t>2026-09-09</t>
        </is>
      </c>
      <c r="T1440" s="5" t="inlineStr">
        <is>
          <t>1 cotización de proveedores</t>
        </is>
      </c>
    </row>
    <row r="1441">
      <c r="A1441" s="7" t="inlineStr">
        <is>
          <t>MAT-31-004</t>
        </is>
      </c>
      <c r="B1441" s="7" t="inlineStr">
        <is>
          <t>Materiales</t>
        </is>
      </c>
      <c r="C1441" s="7" t="inlineStr">
        <is>
          <t>Domótica e intercomunicadores</t>
        </is>
      </c>
      <c r="D1441" s="5" t="inlineStr">
        <is>
          <t>Sensor Temp. Humedad para Aire Acond.</t>
        </is>
      </c>
      <c r="E1441" s="5" t="inlineStr">
        <is>
          <t>marca SONOFF · accesorios intelegentes · referencia SI7021</t>
        </is>
      </c>
      <c r="F1441" s="5" t="inlineStr">
        <is>
          <t>Material retirado en almacén</t>
        </is>
      </c>
      <c r="G1441" s="5" t="inlineStr"/>
      <c r="H1441" s="7" t="inlineStr">
        <is>
          <t>unidad</t>
        </is>
      </c>
      <c r="I1441" s="7" t="inlineStr">
        <is>
          <t>Instalaciones</t>
        </is>
      </c>
      <c r="J1441" s="7" t="inlineStr">
        <is>
          <t>estandar</t>
        </is>
      </c>
      <c r="K1441" s="7" t="inlineStr">
        <is>
          <t>importado</t>
        </is>
      </c>
      <c r="L1441" s="7" t="inlineStr">
        <is>
          <t>Verificado</t>
        </is>
      </c>
      <c r="M1441" s="8" t="n">
        <v>1</v>
      </c>
      <c r="N1441" s="9" t="n">
        <v>331.49</v>
      </c>
      <c r="O1441" s="9" t="n">
        <v>331.49</v>
      </c>
      <c r="P1441" s="9" t="n">
        <v>331.49</v>
      </c>
      <c r="Q1441" s="7" t="inlineStr">
        <is>
          <t>Sí</t>
        </is>
      </c>
      <c r="R1441" s="9">
        <f>IF(N1441="","",IF(Q1441="Sí",ROUND(N1441/1.18,2),N1441))</f>
        <v/>
      </c>
      <c r="S1441" s="7" t="inlineStr">
        <is>
          <t>2026-09-09</t>
        </is>
      </c>
      <c r="T1441" s="5" t="inlineStr">
        <is>
          <t>1 cotización de proveedores</t>
        </is>
      </c>
    </row>
    <row r="1442">
      <c r="A1442" s="7" t="inlineStr">
        <is>
          <t>MAT-31-005</t>
        </is>
      </c>
      <c r="B1442" s="7" t="inlineStr">
        <is>
          <t>Materiales</t>
        </is>
      </c>
      <c r="C1442" s="7" t="inlineStr">
        <is>
          <t>Domótica e intercomunicadores</t>
        </is>
      </c>
      <c r="D1442" s="5" t="inlineStr">
        <is>
          <t>Contacto magnético inalámbrico</t>
        </is>
      </c>
      <c r="E1442" s="5" t="inlineStr">
        <is>
          <t>marca SONOFF · accesorios intelegentes · referencia DW2</t>
        </is>
      </c>
      <c r="F1442" s="5" t="inlineStr">
        <is>
          <t>Material retirado en almacén</t>
        </is>
      </c>
      <c r="G1442" s="5" t="inlineStr"/>
      <c r="H1442" s="7" t="inlineStr">
        <is>
          <t>unidad</t>
        </is>
      </c>
      <c r="I1442" s="7" t="inlineStr">
        <is>
          <t>Instalaciones</t>
        </is>
      </c>
      <c r="J1442" s="7" t="inlineStr">
        <is>
          <t>estandar</t>
        </is>
      </c>
      <c r="K1442" s="7" t="inlineStr">
        <is>
          <t>importado</t>
        </is>
      </c>
      <c r="L1442" s="7" t="inlineStr">
        <is>
          <t>Verificado</t>
        </is>
      </c>
      <c r="M1442" s="8" t="n">
        <v>1</v>
      </c>
      <c r="N1442" s="9" t="n">
        <v>506.24</v>
      </c>
      <c r="O1442" s="9" t="n">
        <v>506.24</v>
      </c>
      <c r="P1442" s="9" t="n">
        <v>506.24</v>
      </c>
      <c r="Q1442" s="7" t="inlineStr">
        <is>
          <t>Sí</t>
        </is>
      </c>
      <c r="R1442" s="9">
        <f>IF(N1442="","",IF(Q1442="Sí",ROUND(N1442/1.18,2),N1442))</f>
        <v/>
      </c>
      <c r="S1442" s="7" t="inlineStr">
        <is>
          <t>2026-09-09</t>
        </is>
      </c>
      <c r="T1442" s="5" t="inlineStr">
        <is>
          <t>1 cotización de proveedores</t>
        </is>
      </c>
    </row>
    <row r="1443">
      <c r="A1443" s="7" t="inlineStr">
        <is>
          <t>MAT-31-006</t>
        </is>
      </c>
      <c r="B1443" s="7" t="inlineStr">
        <is>
          <t>Materiales</t>
        </is>
      </c>
      <c r="C1443" s="7" t="inlineStr">
        <is>
          <t>Domótica e intercomunicadores</t>
        </is>
      </c>
      <c r="D1443" s="5" t="inlineStr">
        <is>
          <t>Sensor De Puerta Y Ventana Zigbee</t>
        </is>
      </c>
      <c r="E1443" s="5" t="inlineStr">
        <is>
          <t>marca AQARA · accesorios intelegentes · referencia MCCGQ11LM</t>
        </is>
      </c>
      <c r="F1443" s="5" t="inlineStr">
        <is>
          <t>Material retirado en almacén</t>
        </is>
      </c>
      <c r="G1443" s="5" t="inlineStr"/>
      <c r="H1443" s="7" t="inlineStr">
        <is>
          <t>unidad</t>
        </is>
      </c>
      <c r="I1443" s="7" t="inlineStr">
        <is>
          <t>Instalaciones</t>
        </is>
      </c>
      <c r="J1443" s="7" t="inlineStr">
        <is>
          <t>estandar</t>
        </is>
      </c>
      <c r="K1443" s="7" t="inlineStr">
        <is>
          <t>importado</t>
        </is>
      </c>
      <c r="L1443" s="7" t="inlineStr">
        <is>
          <t>Verificado</t>
        </is>
      </c>
      <c r="M1443" s="8" t="n">
        <v>1</v>
      </c>
      <c r="N1443" s="9" t="n">
        <v>1071.83</v>
      </c>
      <c r="O1443" s="9" t="n">
        <v>1071.83</v>
      </c>
      <c r="P1443" s="9" t="n">
        <v>1071.83</v>
      </c>
      <c r="Q1443" s="7" t="inlineStr">
        <is>
          <t>Sí</t>
        </is>
      </c>
      <c r="R1443" s="9">
        <f>IF(N1443="","",IF(Q1443="Sí",ROUND(N1443/1.18,2),N1443))</f>
        <v/>
      </c>
      <c r="S1443" s="7" t="inlineStr">
        <is>
          <t>2026-09-09</t>
        </is>
      </c>
      <c r="T1443" s="5" t="inlineStr">
        <is>
          <t>1 cotización de proveedores</t>
        </is>
      </c>
    </row>
    <row r="1444">
      <c r="A1444" s="7" t="inlineStr">
        <is>
          <t>MAT-31-007</t>
        </is>
      </c>
      <c r="B1444" s="7" t="inlineStr">
        <is>
          <t>Materiales</t>
        </is>
      </c>
      <c r="C1444" s="7" t="inlineStr">
        <is>
          <t>Domótica e intercomunicadores</t>
        </is>
      </c>
      <c r="D1444" s="5" t="inlineStr">
        <is>
          <t>Sensor De Temperatura Y Humedad</t>
        </is>
      </c>
      <c r="E1444" s="5" t="inlineStr">
        <is>
          <t>marca AQARA · accesorios intelegentes · referencia WSDCGQ11LM</t>
        </is>
      </c>
      <c r="F1444" s="5" t="inlineStr">
        <is>
          <t>Material retirado en almacén</t>
        </is>
      </c>
      <c r="G1444" s="5" t="inlineStr"/>
      <c r="H1444" s="7" t="inlineStr">
        <is>
          <t>unidad</t>
        </is>
      </c>
      <c r="I1444" s="7" t="inlineStr">
        <is>
          <t>Instalaciones</t>
        </is>
      </c>
      <c r="J1444" s="7" t="inlineStr">
        <is>
          <t>estandar</t>
        </is>
      </c>
      <c r="K1444" s="7" t="inlineStr">
        <is>
          <t>importado</t>
        </is>
      </c>
      <c r="L1444" s="7" t="inlineStr">
        <is>
          <t>Verificado</t>
        </is>
      </c>
      <c r="M1444" s="8" t="n">
        <v>1</v>
      </c>
      <c r="N1444" s="9" t="n">
        <v>773.13</v>
      </c>
      <c r="O1444" s="9" t="n">
        <v>266.05</v>
      </c>
      <c r="P1444" s="9" t="n">
        <v>1280.21</v>
      </c>
      <c r="Q1444" s="7" t="inlineStr">
        <is>
          <t>Sí</t>
        </is>
      </c>
      <c r="R1444" s="9">
        <f>IF(N1444="","",IF(Q1444="Sí",ROUND(N1444/1.18,2),N1444))</f>
        <v/>
      </c>
      <c r="S1444" s="7" t="inlineStr">
        <is>
          <t>2026-09-09</t>
        </is>
      </c>
      <c r="T1444" s="5" t="inlineStr">
        <is>
          <t>2 cotizaciones de proveedores</t>
        </is>
      </c>
    </row>
    <row r="1445">
      <c r="A1445" s="7" t="inlineStr">
        <is>
          <t>MAT-31-008</t>
        </is>
      </c>
      <c r="B1445" s="7" t="inlineStr">
        <is>
          <t>Materiales</t>
        </is>
      </c>
      <c r="C1445" s="7" t="inlineStr">
        <is>
          <t>Domótica e intercomunicadores</t>
        </is>
      </c>
      <c r="D1445" s="5" t="inlineStr">
        <is>
          <t>Sensor De Fugas De Agua Ip67 Zigbee</t>
        </is>
      </c>
      <c r="E1445" s="5" t="inlineStr">
        <is>
          <t>marca AQARA · accesorios intelegentes · referencia SJCGQ11LM</t>
        </is>
      </c>
      <c r="F1445" s="5" t="inlineStr">
        <is>
          <t>Material retirado en almacén</t>
        </is>
      </c>
      <c r="G1445" s="5" t="inlineStr"/>
      <c r="H1445" s="7" t="inlineStr">
        <is>
          <t>unidad</t>
        </is>
      </c>
      <c r="I1445" s="7" t="inlineStr">
        <is>
          <t>Instalaciones</t>
        </is>
      </c>
      <c r="J1445" s="7" t="inlineStr">
        <is>
          <t>estandar</t>
        </is>
      </c>
      <c r="K1445" s="7" t="inlineStr">
        <is>
          <t>importado</t>
        </is>
      </c>
      <c r="L1445" s="7" t="inlineStr">
        <is>
          <t>Verificado</t>
        </is>
      </c>
      <c r="M1445" s="8" t="n">
        <v>1</v>
      </c>
      <c r="N1445" s="9" t="n">
        <v>1361.17</v>
      </c>
      <c r="O1445" s="9" t="n">
        <v>1361.17</v>
      </c>
      <c r="P1445" s="9" t="n">
        <v>1361.17</v>
      </c>
      <c r="Q1445" s="7" t="inlineStr">
        <is>
          <t>Sí</t>
        </is>
      </c>
      <c r="R1445" s="9">
        <f>IF(N1445="","",IF(Q1445="Sí",ROUND(N1445/1.18,2),N1445))</f>
        <v/>
      </c>
      <c r="S1445" s="7" t="inlineStr">
        <is>
          <t>2026-09-09</t>
        </is>
      </c>
      <c r="T1445" s="5" t="inlineStr">
        <is>
          <t>1 cotización de proveedores</t>
        </is>
      </c>
    </row>
    <row r="1446">
      <c r="A1446" s="7" t="inlineStr">
        <is>
          <t>MAT-31-009</t>
        </is>
      </c>
      <c r="B1446" s="7" t="inlineStr">
        <is>
          <t>Materiales</t>
        </is>
      </c>
      <c r="C1446" s="7" t="inlineStr">
        <is>
          <t>Domótica e intercomunicadores</t>
        </is>
      </c>
      <c r="D1446" s="5" t="inlineStr">
        <is>
          <t>Sensor De Vibración</t>
        </is>
      </c>
      <c r="E1446" s="5" t="inlineStr">
        <is>
          <t>marca AQARA · accesorios intelegentes · referencia DJT11LM</t>
        </is>
      </c>
      <c r="F1446" s="5" t="inlineStr">
        <is>
          <t>Material retirado en almacén</t>
        </is>
      </c>
      <c r="G1446" s="5" t="inlineStr"/>
      <c r="H1446" s="7" t="inlineStr">
        <is>
          <t>unidad</t>
        </is>
      </c>
      <c r="I1446" s="7" t="inlineStr">
        <is>
          <t>Instalaciones</t>
        </is>
      </c>
      <c r="J1446" s="7" t="inlineStr">
        <is>
          <t>estandar</t>
        </is>
      </c>
      <c r="K1446" s="7" t="inlineStr">
        <is>
          <t>importado</t>
        </is>
      </c>
      <c r="L1446" s="7" t="inlineStr">
        <is>
          <t>Verificado</t>
        </is>
      </c>
      <c r="M1446" s="8" t="n">
        <v>1</v>
      </c>
      <c r="N1446" s="9" t="n">
        <v>1439.87</v>
      </c>
      <c r="O1446" s="9" t="n">
        <v>1439.87</v>
      </c>
      <c r="P1446" s="9" t="n">
        <v>1439.87</v>
      </c>
      <c r="Q1446" s="7" t="inlineStr">
        <is>
          <t>Sí</t>
        </is>
      </c>
      <c r="R1446" s="9">
        <f>IF(N1446="","",IF(Q1446="Sí",ROUND(N1446/1.18,2),N1446))</f>
        <v/>
      </c>
      <c r="S1446" s="7" t="inlineStr">
        <is>
          <t>2026-09-09</t>
        </is>
      </c>
      <c r="T1446" s="5" t="inlineStr">
        <is>
          <t>1 cotización de proveedores</t>
        </is>
      </c>
    </row>
    <row r="1447">
      <c r="A1447" s="7" t="inlineStr">
        <is>
          <t>MAT-31-010</t>
        </is>
      </c>
      <c r="B1447" s="7" t="inlineStr">
        <is>
          <t>Materiales</t>
        </is>
      </c>
      <c r="C1447" s="7" t="inlineStr">
        <is>
          <t>Domótica e intercomunicadores</t>
        </is>
      </c>
      <c r="D1447" s="5" t="inlineStr">
        <is>
          <t>Sensor De Movimiento 170 Grados Zigbee</t>
        </is>
      </c>
      <c r="E1447" s="5" t="inlineStr">
        <is>
          <t>marca AQARA · accesorios intelegentes · referencia RTCGQ11LM</t>
        </is>
      </c>
      <c r="F1447" s="5" t="inlineStr">
        <is>
          <t>Material retirado en almacén</t>
        </is>
      </c>
      <c r="G1447" s="5" t="inlineStr"/>
      <c r="H1447" s="7" t="inlineStr">
        <is>
          <t>unidad</t>
        </is>
      </c>
      <c r="I1447" s="7" t="inlineStr">
        <is>
          <t>Instalaciones</t>
        </is>
      </c>
      <c r="J1447" s="7" t="inlineStr">
        <is>
          <t>estandar</t>
        </is>
      </c>
      <c r="K1447" s="7" t="inlineStr">
        <is>
          <t>importado</t>
        </is>
      </c>
      <c r="L1447" s="7" t="inlineStr">
        <is>
          <t>Verificado</t>
        </is>
      </c>
      <c r="M1447" s="8" t="n">
        <v>1</v>
      </c>
      <c r="N1447" s="9" t="n">
        <v>1474.84</v>
      </c>
      <c r="O1447" s="9" t="n">
        <v>1474.84</v>
      </c>
      <c r="P1447" s="9" t="n">
        <v>1474.84</v>
      </c>
      <c r="Q1447" s="7" t="inlineStr">
        <is>
          <t>Sí</t>
        </is>
      </c>
      <c r="R1447" s="9">
        <f>IF(N1447="","",IF(Q1447="Sí",ROUND(N1447/1.18,2),N1447))</f>
        <v/>
      </c>
      <c r="S1447" s="7" t="inlineStr">
        <is>
          <t>2026-09-09</t>
        </is>
      </c>
      <c r="T1447" s="5" t="inlineStr">
        <is>
          <t>1 cotización de proveedores</t>
        </is>
      </c>
    </row>
    <row r="1448">
      <c r="A1448" s="7" t="inlineStr">
        <is>
          <t>MAT-31-011</t>
        </is>
      </c>
      <c r="B1448" s="7" t="inlineStr">
        <is>
          <t>Materiales</t>
        </is>
      </c>
      <c r="C1448" s="7" t="inlineStr">
        <is>
          <t>Domótica e intercomunicadores</t>
        </is>
      </c>
      <c r="D1448" s="5" t="inlineStr">
        <is>
          <t>Sensor De Movimiento P1</t>
        </is>
      </c>
      <c r="E1448" s="5" t="inlineStr">
        <is>
          <t>marca AQARA · accesorios intelegentes · referencia MS-S02</t>
        </is>
      </c>
      <c r="F1448" s="5" t="inlineStr">
        <is>
          <t>Material retirado en almacén</t>
        </is>
      </c>
      <c r="G1448" s="5" t="inlineStr"/>
      <c r="H1448" s="7" t="inlineStr">
        <is>
          <t>unidad</t>
        </is>
      </c>
      <c r="I1448" s="7" t="inlineStr">
        <is>
          <t>Instalaciones</t>
        </is>
      </c>
      <c r="J1448" s="7" t="inlineStr">
        <is>
          <t>estandar</t>
        </is>
      </c>
      <c r="K1448" s="7" t="inlineStr">
        <is>
          <t>importado</t>
        </is>
      </c>
      <c r="L1448" s="7" t="inlineStr">
        <is>
          <t>Verificado</t>
        </is>
      </c>
      <c r="M1448" s="8" t="n">
        <v>1</v>
      </c>
      <c r="N1448" s="9" t="n">
        <v>1600.26</v>
      </c>
      <c r="O1448" s="9" t="n">
        <v>1600.26</v>
      </c>
      <c r="P1448" s="9" t="n">
        <v>1600.26</v>
      </c>
      <c r="Q1448" s="7" t="inlineStr">
        <is>
          <t>Sí</t>
        </is>
      </c>
      <c r="R1448" s="9">
        <f>IF(N1448="","",IF(Q1448="Sí",ROUND(N1448/1.18,2),N1448))</f>
        <v/>
      </c>
      <c r="S1448" s="7" t="inlineStr">
        <is>
          <t>2026-09-09</t>
        </is>
      </c>
      <c r="T1448" s="5" t="inlineStr">
        <is>
          <t>1 cotización de proveedores</t>
        </is>
      </c>
    </row>
    <row r="1449">
      <c r="A1449" s="7" t="inlineStr">
        <is>
          <t>MAT-31-012</t>
        </is>
      </c>
      <c r="B1449" s="7" t="inlineStr">
        <is>
          <t>Materiales</t>
        </is>
      </c>
      <c r="C1449" s="7" t="inlineStr">
        <is>
          <t>Domótica e intercomunicadores</t>
        </is>
      </c>
      <c r="D1449" s="5" t="inlineStr">
        <is>
          <t>Contacto Radion Universal</t>
        </is>
      </c>
      <c r="E1449" s="5" t="inlineStr">
        <is>
          <t>marca BOSCH · intercom audio · referencia RFUN-A</t>
        </is>
      </c>
      <c r="F1449" s="5" t="inlineStr">
        <is>
          <t>Material retirado en almacén</t>
        </is>
      </c>
      <c r="G1449" s="5" t="inlineStr"/>
      <c r="H1449" s="7" t="inlineStr">
        <is>
          <t>unidad</t>
        </is>
      </c>
      <c r="I1449" s="7" t="inlineStr">
        <is>
          <t>Instalaciones</t>
        </is>
      </c>
      <c r="J1449" s="7" t="inlineStr">
        <is>
          <t>estandar</t>
        </is>
      </c>
      <c r="K1449" s="7" t="inlineStr">
        <is>
          <t>importado</t>
        </is>
      </c>
      <c r="L1449" s="7" t="inlineStr">
        <is>
          <t>Verificado</t>
        </is>
      </c>
      <c r="M1449" s="8" t="n">
        <v>1</v>
      </c>
      <c r="N1449" s="9" t="n">
        <v>1906.37</v>
      </c>
      <c r="O1449" s="9" t="n">
        <v>1906.37</v>
      </c>
      <c r="P1449" s="9" t="n">
        <v>1906.37</v>
      </c>
      <c r="Q1449" s="7" t="inlineStr">
        <is>
          <t>Sí</t>
        </is>
      </c>
      <c r="R1449" s="9">
        <f>IF(N1449="","",IF(Q1449="Sí",ROUND(N1449/1.18,2),N1449))</f>
        <v/>
      </c>
      <c r="S1449" s="7" t="inlineStr">
        <is>
          <t>2026-09-09</t>
        </is>
      </c>
      <c r="T1449" s="5" t="inlineStr">
        <is>
          <t>1 cotización de proveedores</t>
        </is>
      </c>
    </row>
    <row r="1450">
      <c r="A1450" s="7" t="inlineStr">
        <is>
          <t>MAT-31-013</t>
        </is>
      </c>
      <c r="B1450" s="7" t="inlineStr">
        <is>
          <t>Materiales</t>
        </is>
      </c>
      <c r="C1450" s="7" t="inlineStr">
        <is>
          <t>Domótica e intercomunicadores</t>
        </is>
      </c>
      <c r="D1450" s="5" t="inlineStr">
        <is>
          <t>Sensor De Presencia Fp2 Znms02 Es</t>
        </is>
      </c>
      <c r="E1450" s="5" t="inlineStr">
        <is>
          <t>marca AQARA · accesorios intelegentes · referencia PS-S02E</t>
        </is>
      </c>
      <c r="F1450" s="5" t="inlineStr">
        <is>
          <t>Material retirado en almacén</t>
        </is>
      </c>
      <c r="G1450" s="5" t="inlineStr"/>
      <c r="H1450" s="7" t="inlineStr">
        <is>
          <t>unidad</t>
        </is>
      </c>
      <c r="I1450" s="7" t="inlineStr">
        <is>
          <t>Instalaciones</t>
        </is>
      </c>
      <c r="J1450" s="7" t="inlineStr">
        <is>
          <t>estandar</t>
        </is>
      </c>
      <c r="K1450" s="7" t="inlineStr">
        <is>
          <t>importado</t>
        </is>
      </c>
      <c r="L1450" s="7" t="inlineStr">
        <is>
          <t>Verificado</t>
        </is>
      </c>
      <c r="M1450" s="8" t="n">
        <v>1</v>
      </c>
      <c r="N1450" s="9" t="n">
        <v>6967.3</v>
      </c>
      <c r="O1450" s="9" t="n">
        <v>6967.3</v>
      </c>
      <c r="P1450" s="9" t="n">
        <v>6967.3</v>
      </c>
      <c r="Q1450" s="7" t="inlineStr">
        <is>
          <t>Sí</t>
        </is>
      </c>
      <c r="R1450" s="9">
        <f>IF(N1450="","",IF(Q1450="Sí",ROUND(N1450/1.18,2),N1450))</f>
        <v/>
      </c>
      <c r="S1450" s="7" t="inlineStr">
        <is>
          <t>2026-09-09</t>
        </is>
      </c>
      <c r="T1450" s="5" t="inlineStr">
        <is>
          <t>1 cotización de proveedores</t>
        </is>
      </c>
    </row>
    <row r="1451">
      <c r="A1451" s="7" t="inlineStr">
        <is>
          <t>MAT-31-014</t>
        </is>
      </c>
      <c r="B1451" s="7" t="inlineStr">
        <is>
          <t>Materiales</t>
        </is>
      </c>
      <c r="C1451" s="7" t="inlineStr">
        <is>
          <t>Domótica e intercomunicadores</t>
        </is>
      </c>
      <c r="D1451" s="5" t="inlineStr">
        <is>
          <t>Pulsador para Telefono Sprint</t>
        </is>
      </c>
      <c r="E1451" s="5" t="inlineStr">
        <is>
          <t>marca BTICINO · componentes intercomunidores · referencia 337430</t>
        </is>
      </c>
      <c r="F1451" s="5" t="inlineStr">
        <is>
          <t>Material retirado en almacén</t>
        </is>
      </c>
      <c r="G1451" s="5" t="inlineStr"/>
      <c r="H1451" s="7" t="inlineStr">
        <is>
          <t>unidad</t>
        </is>
      </c>
      <c r="I1451" s="7" t="inlineStr">
        <is>
          <t>Instalaciones</t>
        </is>
      </c>
      <c r="J1451" s="7" t="inlineStr">
        <is>
          <t>estandar</t>
        </is>
      </c>
      <c r="K1451" s="7" t="inlineStr">
        <is>
          <t>importado</t>
        </is>
      </c>
      <c r="L1451" s="7" t="inlineStr">
        <is>
          <t>Verificado</t>
        </is>
      </c>
      <c r="M1451" s="8" t="n">
        <v>1</v>
      </c>
      <c r="N1451" s="9" t="n">
        <v>101.11</v>
      </c>
      <c r="O1451" s="9" t="n">
        <v>101.11</v>
      </c>
      <c r="P1451" s="9" t="n">
        <v>101.11</v>
      </c>
      <c r="Q1451" s="7" t="inlineStr">
        <is>
          <t>Sí</t>
        </is>
      </c>
      <c r="R1451" s="9">
        <f>IF(N1451="","",IF(Q1451="Sí",ROUND(N1451/1.18,2),N1451))</f>
        <v/>
      </c>
      <c r="S1451" s="7" t="inlineStr">
        <is>
          <t>2026-09-09</t>
        </is>
      </c>
      <c r="T1451" s="5" t="inlineStr">
        <is>
          <t>1 cotización de proveedores</t>
        </is>
      </c>
    </row>
    <row r="1452">
      <c r="A1452" s="7" t="inlineStr">
        <is>
          <t>MAT-31-015</t>
        </is>
      </c>
      <c r="B1452" s="7" t="inlineStr">
        <is>
          <t>Materiales</t>
        </is>
      </c>
      <c r="C1452" s="7" t="inlineStr">
        <is>
          <t>Domótica e intercomunicadores</t>
        </is>
      </c>
      <c r="D1452" s="5" t="inlineStr">
        <is>
          <t>Pulsador Int. Serie 3000 S. Vx2200</t>
        </is>
      </c>
      <c r="E1452" s="5" t="inlineStr">
        <is>
          <t>marca MASTER · accesorios intelegentes · referencia VX3171</t>
        </is>
      </c>
      <c r="F1452" s="5" t="inlineStr">
        <is>
          <t>Material retirado en almacén</t>
        </is>
      </c>
      <c r="G1452" s="5" t="inlineStr"/>
      <c r="H1452" s="7" t="inlineStr">
        <is>
          <t>unidad</t>
        </is>
      </c>
      <c r="I1452" s="7" t="inlineStr">
        <is>
          <t>Instalaciones</t>
        </is>
      </c>
      <c r="J1452" s="7" t="inlineStr">
        <is>
          <t>estandar</t>
        </is>
      </c>
      <c r="K1452" s="7" t="inlineStr">
        <is>
          <t>importado</t>
        </is>
      </c>
      <c r="L1452" s="7" t="inlineStr">
        <is>
          <t>Verificado</t>
        </is>
      </c>
      <c r="M1452" s="8" t="n">
        <v>1</v>
      </c>
      <c r="N1452" s="9" t="n">
        <v>1001.67</v>
      </c>
      <c r="O1452" s="9" t="n">
        <v>1001.67</v>
      </c>
      <c r="P1452" s="9" t="n">
        <v>1001.67</v>
      </c>
      <c r="Q1452" s="7" t="inlineStr">
        <is>
          <t>Sí</t>
        </is>
      </c>
      <c r="R1452" s="9">
        <f>IF(N1452="","",IF(Q1452="Sí",ROUND(N1452/1.18,2),N1452))</f>
        <v/>
      </c>
      <c r="S1452" s="7" t="inlineStr">
        <is>
          <t>2026-09-09</t>
        </is>
      </c>
      <c r="T1452" s="5" t="inlineStr">
        <is>
          <t>1 cotización de proveedores</t>
        </is>
      </c>
    </row>
    <row r="1453">
      <c r="A1453" s="7" t="inlineStr">
        <is>
          <t>MAT-31-016</t>
        </is>
      </c>
      <c r="B1453" s="7" t="inlineStr">
        <is>
          <t>Materiales</t>
        </is>
      </c>
      <c r="C1453" s="7" t="inlineStr">
        <is>
          <t>Domótica e intercomunicadores</t>
        </is>
      </c>
      <c r="D1453" s="5" t="inlineStr">
        <is>
          <t>Boton De Salida Mecanico</t>
        </is>
      </c>
      <c r="E1453" s="5" t="inlineStr">
        <is>
          <t>marca DAHUA · accesorios intelegentes · referencia ASF905</t>
        </is>
      </c>
      <c r="F1453" s="5" t="inlineStr">
        <is>
          <t>Material retirado en almacén</t>
        </is>
      </c>
      <c r="G1453" s="5" t="inlineStr"/>
      <c r="H1453" s="7" t="inlineStr">
        <is>
          <t>unidad</t>
        </is>
      </c>
      <c r="I1453" s="7" t="inlineStr">
        <is>
          <t>Instalaciones</t>
        </is>
      </c>
      <c r="J1453" s="7" t="inlineStr">
        <is>
          <t>estandar</t>
        </is>
      </c>
      <c r="K1453" s="7" t="inlineStr">
        <is>
          <t>importado</t>
        </is>
      </c>
      <c r="L1453" s="7" t="inlineStr">
        <is>
          <t>Verificado</t>
        </is>
      </c>
      <c r="M1453" s="8" t="n">
        <v>1</v>
      </c>
      <c r="N1453" s="9" t="n">
        <v>1091.22</v>
      </c>
      <c r="O1453" s="9" t="n">
        <v>1091.22</v>
      </c>
      <c r="P1453" s="9" t="n">
        <v>1091.22</v>
      </c>
      <c r="Q1453" s="7" t="inlineStr">
        <is>
          <t>Sí</t>
        </is>
      </c>
      <c r="R1453" s="9">
        <f>IF(N1453="","",IF(Q1453="Sí",ROUND(N1453/1.18,2),N1453))</f>
        <v/>
      </c>
      <c r="S1453" s="7" t="inlineStr">
        <is>
          <t>2026-09-09</t>
        </is>
      </c>
      <c r="T1453" s="5" t="inlineStr">
        <is>
          <t>1 cotización de proveedores</t>
        </is>
      </c>
    </row>
    <row r="1454">
      <c r="A1454" s="7" t="inlineStr">
        <is>
          <t>MAT-31-017</t>
        </is>
      </c>
      <c r="B1454" s="7" t="inlineStr">
        <is>
          <t>Materiales</t>
        </is>
      </c>
      <c r="C1454" s="7" t="inlineStr">
        <is>
          <t>Domótica e intercomunicadores</t>
        </is>
      </c>
      <c r="D1454" s="5" t="inlineStr">
        <is>
          <t>Pulsador inalámbrico Bidireccional 4 Bot</t>
        </is>
      </c>
      <c r="E1454" s="5" t="inlineStr">
        <is>
          <t>marca VESTA · timbres inteligentes · referencia V144-433</t>
        </is>
      </c>
      <c r="F1454" s="5" t="inlineStr">
        <is>
          <t>Material retirado en almacén</t>
        </is>
      </c>
      <c r="G1454" s="5" t="inlineStr"/>
      <c r="H1454" s="7" t="inlineStr">
        <is>
          <t>unidad</t>
        </is>
      </c>
      <c r="I1454" s="7" t="inlineStr">
        <is>
          <t>Instalaciones</t>
        </is>
      </c>
      <c r="J1454" s="7" t="inlineStr">
        <is>
          <t>estandar</t>
        </is>
      </c>
      <c r="K1454" s="7" t="inlineStr">
        <is>
          <t>importado</t>
        </is>
      </c>
      <c r="L1454" s="7" t="inlineStr">
        <is>
          <t>Verificado</t>
        </is>
      </c>
      <c r="M1454" s="8" t="n">
        <v>1</v>
      </c>
      <c r="N1454" s="9" t="n">
        <v>1437.93</v>
      </c>
      <c r="O1454" s="9" t="n">
        <v>1437.93</v>
      </c>
      <c r="P1454" s="9" t="n">
        <v>1437.93</v>
      </c>
      <c r="Q1454" s="7" t="inlineStr">
        <is>
          <t>Sí</t>
        </is>
      </c>
      <c r="R1454" s="9">
        <f>IF(N1454="","",IF(Q1454="Sí",ROUND(N1454/1.18,2),N1454))</f>
        <v/>
      </c>
      <c r="S1454" s="7" t="inlineStr">
        <is>
          <t>2026-09-09</t>
        </is>
      </c>
      <c r="T1454" s="5" t="inlineStr">
        <is>
          <t>1 cotización de proveedores</t>
        </is>
      </c>
    </row>
    <row r="1455">
      <c r="A1455" s="7" t="inlineStr">
        <is>
          <t>MAT-31-018</t>
        </is>
      </c>
      <c r="B1455" s="7" t="inlineStr">
        <is>
          <t>Materiales</t>
        </is>
      </c>
      <c r="C1455" s="7" t="inlineStr">
        <is>
          <t>Domótica e intercomunicadores</t>
        </is>
      </c>
      <c r="D1455" s="5" t="inlineStr">
        <is>
          <t>Pulsador inalámbrico Bidireccional</t>
        </is>
      </c>
      <c r="E1455" s="5" t="inlineStr">
        <is>
          <t>marca VESTA · timbres inteligentes · referencia VESTA-144-433</t>
        </is>
      </c>
      <c r="F1455" s="5" t="inlineStr">
        <is>
          <t>Material retirado en almacén</t>
        </is>
      </c>
      <c r="G1455" s="5" t="inlineStr"/>
      <c r="H1455" s="7" t="inlineStr">
        <is>
          <t>unidad</t>
        </is>
      </c>
      <c r="I1455" s="7" t="inlineStr">
        <is>
          <t>Instalaciones</t>
        </is>
      </c>
      <c r="J1455" s="7" t="inlineStr">
        <is>
          <t>estandar</t>
        </is>
      </c>
      <c r="K1455" s="7" t="inlineStr">
        <is>
          <t>importado</t>
        </is>
      </c>
      <c r="L1455" s="7" t="inlineStr">
        <is>
          <t>Verificado</t>
        </is>
      </c>
      <c r="M1455" s="8" t="n">
        <v>1</v>
      </c>
      <c r="N1455" s="9" t="n">
        <v>1444.45</v>
      </c>
      <c r="O1455" s="9" t="n">
        <v>1444.45</v>
      </c>
      <c r="P1455" s="9" t="n">
        <v>1444.45</v>
      </c>
      <c r="Q1455" s="7" t="inlineStr">
        <is>
          <t>Sí</t>
        </is>
      </c>
      <c r="R1455" s="9">
        <f>IF(N1455="","",IF(Q1455="Sí",ROUND(N1455/1.18,2),N1455))</f>
        <v/>
      </c>
      <c r="S1455" s="7" t="inlineStr">
        <is>
          <t>2026-09-09</t>
        </is>
      </c>
      <c r="T1455" s="5" t="inlineStr">
        <is>
          <t>1 cotización de proveedores</t>
        </is>
      </c>
    </row>
    <row r="1456">
      <c r="A1456" s="7" t="inlineStr">
        <is>
          <t>MAT-31-019</t>
        </is>
      </c>
      <c r="B1456" s="7" t="inlineStr">
        <is>
          <t>Materiales</t>
        </is>
      </c>
      <c r="C1456" s="7" t="inlineStr">
        <is>
          <t>Domótica e intercomunicadores</t>
        </is>
      </c>
      <c r="D1456" s="5" t="inlineStr">
        <is>
          <t>Botón De Pánico inalámbrico Vesta.</t>
        </is>
      </c>
      <c r="E1456" s="5" t="inlineStr">
        <is>
          <t>marca VESTA · timbres inteligentes · referencia V038-433</t>
        </is>
      </c>
      <c r="F1456" s="5" t="inlineStr">
        <is>
          <t>Material retirado en almacén</t>
        </is>
      </c>
      <c r="G1456" s="5" t="inlineStr"/>
      <c r="H1456" s="7" t="inlineStr">
        <is>
          <t>unidad</t>
        </is>
      </c>
      <c r="I1456" s="7" t="inlineStr">
        <is>
          <t>Instalaciones</t>
        </is>
      </c>
      <c r="J1456" s="7" t="inlineStr">
        <is>
          <t>estandar</t>
        </is>
      </c>
      <c r="K1456" s="7" t="inlineStr">
        <is>
          <t>importado</t>
        </is>
      </c>
      <c r="L1456" s="7" t="inlineStr">
        <is>
          <t>Verificado</t>
        </is>
      </c>
      <c r="M1456" s="8" t="n">
        <v>1</v>
      </c>
      <c r="N1456" s="9" t="n">
        <v>1628.17</v>
      </c>
      <c r="O1456" s="9" t="n">
        <v>1628.17</v>
      </c>
      <c r="P1456" s="9" t="n">
        <v>1628.17</v>
      </c>
      <c r="Q1456" s="7" t="inlineStr">
        <is>
          <t>Sí</t>
        </is>
      </c>
      <c r="R1456" s="9">
        <f>IF(N1456="","",IF(Q1456="Sí",ROUND(N1456/1.18,2),N1456))</f>
        <v/>
      </c>
      <c r="S1456" s="7" t="inlineStr">
        <is>
          <t>2026-09-09</t>
        </is>
      </c>
      <c r="T1456" s="5" t="inlineStr">
        <is>
          <t>1 cotización de proveedores</t>
        </is>
      </c>
    </row>
    <row r="1457">
      <c r="A1457" s="7" t="inlineStr">
        <is>
          <t>MAT-31-020</t>
        </is>
      </c>
      <c r="B1457" s="7" t="inlineStr">
        <is>
          <t>Materiales</t>
        </is>
      </c>
      <c r="C1457" s="7" t="inlineStr">
        <is>
          <t>Domótica e intercomunicadores</t>
        </is>
      </c>
      <c r="D1457" s="5" t="inlineStr">
        <is>
          <t>Estación De Llamada Pln-6 Aio240, 6 Zonas</t>
        </is>
      </c>
      <c r="E1457" s="5" t="inlineStr">
        <is>
          <t>marca BOSCH · intercom audio · referencia PLN-6CS</t>
        </is>
      </c>
      <c r="F1457" s="5" t="inlineStr">
        <is>
          <t>Material retirado en almacén</t>
        </is>
      </c>
      <c r="G1457" s="5" t="inlineStr"/>
      <c r="H1457" s="7" t="inlineStr">
        <is>
          <t>unidad</t>
        </is>
      </c>
      <c r="I1457" s="7" t="inlineStr">
        <is>
          <t>Instalaciones</t>
        </is>
      </c>
      <c r="J1457" s="7" t="inlineStr">
        <is>
          <t>estandar</t>
        </is>
      </c>
      <c r="K1457" s="7" t="inlineStr">
        <is>
          <t>importado</t>
        </is>
      </c>
      <c r="L1457" s="7" t="inlineStr">
        <is>
          <t>Verificado</t>
        </is>
      </c>
      <c r="M1457" s="8" t="n">
        <v>1</v>
      </c>
      <c r="N1457" s="9" t="n">
        <v>9200.34</v>
      </c>
      <c r="O1457" s="9" t="n">
        <v>9200.34</v>
      </c>
      <c r="P1457" s="9" t="n">
        <v>9200.34</v>
      </c>
      <c r="Q1457" s="7" t="inlineStr">
        <is>
          <t>Sí</t>
        </is>
      </c>
      <c r="R1457" s="9">
        <f>IF(N1457="","",IF(Q1457="Sí",ROUND(N1457/1.18,2),N1457))</f>
        <v/>
      </c>
      <c r="S1457" s="7" t="inlineStr">
        <is>
          <t>2026-09-09</t>
        </is>
      </c>
      <c r="T1457" s="5" t="inlineStr">
        <is>
          <t>1 cotización de proveedores</t>
        </is>
      </c>
    </row>
    <row r="1458">
      <c r="A1458" s="7" t="inlineStr">
        <is>
          <t>MAT-31-021</t>
        </is>
      </c>
      <c r="B1458" s="7" t="inlineStr">
        <is>
          <t>Materiales</t>
        </is>
      </c>
      <c r="C1458" s="7" t="inlineStr">
        <is>
          <t>Domótica e intercomunicadores</t>
        </is>
      </c>
      <c r="D1458" s="5" t="inlineStr">
        <is>
          <t>Estacion Interior Touch 7" para intercom</t>
        </is>
      </c>
      <c r="E1458" s="5" t="inlineStr">
        <is>
          <t>marca SECTECH · componentes cables y conectividad · referencia ST-LI9460-UD2</t>
        </is>
      </c>
      <c r="F1458" s="5" t="inlineStr">
        <is>
          <t>Material retirado en almacén</t>
        </is>
      </c>
      <c r="G1458" s="5" t="inlineStr"/>
      <c r="H1458" s="7" t="inlineStr">
        <is>
          <t>unidad</t>
        </is>
      </c>
      <c r="I1458" s="7" t="inlineStr">
        <is>
          <t>Instalaciones</t>
        </is>
      </c>
      <c r="J1458" s="7" t="inlineStr">
        <is>
          <t>estandar</t>
        </is>
      </c>
      <c r="K1458" s="7" t="inlineStr">
        <is>
          <t>importado</t>
        </is>
      </c>
      <c r="L1458" s="7" t="inlineStr">
        <is>
          <t>Verificado</t>
        </is>
      </c>
      <c r="M1458" s="8" t="n">
        <v>1</v>
      </c>
      <c r="N1458" s="9" t="n">
        <v>14861.01</v>
      </c>
      <c r="O1458" s="9" t="n">
        <v>14861.01</v>
      </c>
      <c r="P1458" s="9" t="n">
        <v>14861.01</v>
      </c>
      <c r="Q1458" s="7" t="inlineStr">
        <is>
          <t>Sí</t>
        </is>
      </c>
      <c r="R1458" s="9">
        <f>IF(N1458="","",IF(Q1458="Sí",ROUND(N1458/1.18,2),N1458))</f>
        <v/>
      </c>
      <c r="S1458" s="7" t="inlineStr">
        <is>
          <t>2026-09-09</t>
        </is>
      </c>
      <c r="T1458" s="5" t="inlineStr">
        <is>
          <t>1 cotización de proveedores</t>
        </is>
      </c>
    </row>
    <row r="1459">
      <c r="A1459" s="7" t="inlineStr">
        <is>
          <t>MAT-31-022</t>
        </is>
      </c>
      <c r="B1459" s="7" t="inlineStr">
        <is>
          <t>Materiales</t>
        </is>
      </c>
      <c r="C1459" s="7" t="inlineStr">
        <is>
          <t>Domótica e intercomunicadores</t>
        </is>
      </c>
      <c r="D1459" s="5" t="inlineStr">
        <is>
          <t>Cerradura Inteligente para Ul1 Negro</t>
        </is>
      </c>
      <c r="E1459" s="5" t="inlineStr">
        <is>
          <t>marca ULTRALOQ · cerraduras inteligentes · referencia AUTOBOLT-BK</t>
        </is>
      </c>
      <c r="F1459" s="5" t="inlineStr">
        <is>
          <t>Material retirado en almacén</t>
        </is>
      </c>
      <c r="G1459" s="5" t="inlineStr"/>
      <c r="H1459" s="7" t="inlineStr">
        <is>
          <t>unidad</t>
        </is>
      </c>
      <c r="I1459" s="7" t="inlineStr">
        <is>
          <t>Instalaciones</t>
        </is>
      </c>
      <c r="J1459" s="7" t="inlineStr">
        <is>
          <t>estandar</t>
        </is>
      </c>
      <c r="K1459" s="7" t="inlineStr">
        <is>
          <t>importado</t>
        </is>
      </c>
      <c r="L1459" s="7" t="inlineStr">
        <is>
          <t>Verificado</t>
        </is>
      </c>
      <c r="M1459" s="8" t="n">
        <v>1</v>
      </c>
      <c r="N1459" s="9" t="n">
        <v>5063.11</v>
      </c>
      <c r="O1459" s="9" t="n">
        <v>5063.11</v>
      </c>
      <c r="P1459" s="9" t="n">
        <v>5063.11</v>
      </c>
      <c r="Q1459" s="7" t="inlineStr">
        <is>
          <t>Sí</t>
        </is>
      </c>
      <c r="R1459" s="9">
        <f>IF(N1459="","",IF(Q1459="Sí",ROUND(N1459/1.18,2),N1459))</f>
        <v/>
      </c>
      <c r="S1459" s="7" t="inlineStr">
        <is>
          <t>2026-09-09</t>
        </is>
      </c>
      <c r="T1459" s="5" t="inlineStr">
        <is>
          <t>1 cotización de proveedores</t>
        </is>
      </c>
    </row>
    <row r="1460">
      <c r="A1460" s="7" t="inlineStr">
        <is>
          <t>MAT-31-023</t>
        </is>
      </c>
      <c r="B1460" s="7" t="inlineStr">
        <is>
          <t>Materiales</t>
        </is>
      </c>
      <c r="C1460" s="7" t="inlineStr">
        <is>
          <t>Domótica e intercomunicadores</t>
        </is>
      </c>
      <c r="D1460" s="5" t="inlineStr">
        <is>
          <t>Cerradura Inteligente 5-In-1 Ab</t>
        </is>
      </c>
      <c r="E1460" s="5" t="inlineStr">
        <is>
          <t>marca ULTRALOQ · cerraduras inteligentes · referencia UL3BT</t>
        </is>
      </c>
      <c r="F1460" s="5" t="inlineStr">
        <is>
          <t>Material retirado en almacén</t>
        </is>
      </c>
      <c r="G1460" s="5" t="inlineStr"/>
      <c r="H1460" s="7" t="inlineStr">
        <is>
          <t>unidad</t>
        </is>
      </c>
      <c r="I1460" s="7" t="inlineStr">
        <is>
          <t>Instalaciones</t>
        </is>
      </c>
      <c r="J1460" s="7" t="inlineStr">
        <is>
          <t>estandar</t>
        </is>
      </c>
      <c r="K1460" s="7" t="inlineStr">
        <is>
          <t>importado</t>
        </is>
      </c>
      <c r="L1460" s="7" t="inlineStr">
        <is>
          <t>Verificado</t>
        </is>
      </c>
      <c r="M1460" s="8" t="n">
        <v>1</v>
      </c>
      <c r="N1460" s="9" t="n">
        <v>9798.469999999999</v>
      </c>
      <c r="O1460" s="9" t="n">
        <v>9798.469999999999</v>
      </c>
      <c r="P1460" s="9" t="n">
        <v>9798.469999999999</v>
      </c>
      <c r="Q1460" s="7" t="inlineStr">
        <is>
          <t>Sí</t>
        </is>
      </c>
      <c r="R1460" s="9">
        <f>IF(N1460="","",IF(Q1460="Sí",ROUND(N1460/1.18,2),N1460))</f>
        <v/>
      </c>
      <c r="S1460" s="7" t="inlineStr">
        <is>
          <t>2026-09-09</t>
        </is>
      </c>
      <c r="T1460" s="5" t="inlineStr">
        <is>
          <t>1 cotización de proveedores</t>
        </is>
      </c>
    </row>
    <row r="1461">
      <c r="A1461" s="7" t="inlineStr">
        <is>
          <t>MAT-31-024</t>
        </is>
      </c>
      <c r="B1461" s="7" t="inlineStr">
        <is>
          <t>Materiales</t>
        </is>
      </c>
      <c r="C1461" s="7" t="inlineStr">
        <is>
          <t>Domótica e intercomunicadores</t>
        </is>
      </c>
      <c r="D1461" s="5" t="inlineStr">
        <is>
          <t>Cerradura Inteligente Negro App / Huella</t>
        </is>
      </c>
      <c r="E1461" s="5" t="inlineStr">
        <is>
          <t>marca ULTRALOQ · cerraduras inteligentes · referencia UL1BK-UB01+BRIDGE</t>
        </is>
      </c>
      <c r="F1461" s="5" t="inlineStr">
        <is>
          <t>Material retirado en almacén</t>
        </is>
      </c>
      <c r="G1461" s="5" t="inlineStr"/>
      <c r="H1461" s="7" t="inlineStr">
        <is>
          <t>unidad</t>
        </is>
      </c>
      <c r="I1461" s="7" t="inlineStr">
        <is>
          <t>Instalaciones</t>
        </is>
      </c>
      <c r="J1461" s="7" t="inlineStr">
        <is>
          <t>estandar</t>
        </is>
      </c>
      <c r="K1461" s="7" t="inlineStr">
        <is>
          <t>importado</t>
        </is>
      </c>
      <c r="L1461" s="7" t="inlineStr">
        <is>
          <t>Verificado</t>
        </is>
      </c>
      <c r="M1461" s="8" t="n">
        <v>1</v>
      </c>
      <c r="N1461" s="9" t="n">
        <v>10930.42</v>
      </c>
      <c r="O1461" s="9" t="n">
        <v>10930.42</v>
      </c>
      <c r="P1461" s="9" t="n">
        <v>10930.42</v>
      </c>
      <c r="Q1461" s="7" t="inlineStr">
        <is>
          <t>Sí</t>
        </is>
      </c>
      <c r="R1461" s="9">
        <f>IF(N1461="","",IF(Q1461="Sí",ROUND(N1461/1.18,2),N1461))</f>
        <v/>
      </c>
      <c r="S1461" s="7" t="inlineStr">
        <is>
          <t>2026-09-09</t>
        </is>
      </c>
      <c r="T1461" s="5" t="inlineStr">
        <is>
          <t>1 cotización de proveedores</t>
        </is>
      </c>
    </row>
    <row r="1462">
      <c r="A1462" s="7" t="inlineStr">
        <is>
          <t>MAT-31-025</t>
        </is>
      </c>
      <c r="B1462" s="7" t="inlineStr">
        <is>
          <t>Materiales</t>
        </is>
      </c>
      <c r="C1462" s="7" t="inlineStr">
        <is>
          <t>Domótica e intercomunicadores</t>
        </is>
      </c>
      <c r="D1462" s="5" t="inlineStr">
        <is>
          <t>Cerradura Inteligente 3-In-1 Satin</t>
        </is>
      </c>
      <c r="E1462" s="5" t="inlineStr">
        <is>
          <t>marca ULTRALOQ · cerraduras inteligentes · referencia SN-UB01COMBO+BRIDGE</t>
        </is>
      </c>
      <c r="F1462" s="5" t="inlineStr">
        <is>
          <t>Material retirado en almacén</t>
        </is>
      </c>
      <c r="G1462" s="5" t="inlineStr"/>
      <c r="H1462" s="7" t="inlineStr">
        <is>
          <t>unidad</t>
        </is>
      </c>
      <c r="I1462" s="7" t="inlineStr">
        <is>
          <t>Instalaciones</t>
        </is>
      </c>
      <c r="J1462" s="7" t="inlineStr">
        <is>
          <t>estandar</t>
        </is>
      </c>
      <c r="K1462" s="7" t="inlineStr">
        <is>
          <t>importado</t>
        </is>
      </c>
      <c r="L1462" s="7" t="inlineStr">
        <is>
          <t>Verificado</t>
        </is>
      </c>
      <c r="M1462" s="8" t="n">
        <v>1</v>
      </c>
      <c r="N1462" s="9" t="n">
        <v>15106.17</v>
      </c>
      <c r="O1462" s="9" t="n">
        <v>15106.17</v>
      </c>
      <c r="P1462" s="9" t="n">
        <v>15106.17</v>
      </c>
      <c r="Q1462" s="7" t="inlineStr">
        <is>
          <t>Sí</t>
        </is>
      </c>
      <c r="R1462" s="9">
        <f>IF(N1462="","",IF(Q1462="Sí",ROUND(N1462/1.18,2),N1462))</f>
        <v/>
      </c>
      <c r="S1462" s="7" t="inlineStr">
        <is>
          <t>2026-09-09</t>
        </is>
      </c>
      <c r="T1462" s="5" t="inlineStr">
        <is>
          <t>1 cotización de proveedores</t>
        </is>
      </c>
    </row>
    <row r="1463">
      <c r="A1463" s="7" t="inlineStr">
        <is>
          <t>MAT-31-026</t>
        </is>
      </c>
      <c r="B1463" s="7" t="inlineStr">
        <is>
          <t>Materiales</t>
        </is>
      </c>
      <c r="C1463" s="7" t="inlineStr">
        <is>
          <t>Domótica e intercomunicadores</t>
        </is>
      </c>
      <c r="D1463" s="5" t="inlineStr">
        <is>
          <t>Telefono Trad. intercom Serie 3000</t>
        </is>
      </c>
      <c r="E1463" s="5" t="inlineStr">
        <is>
          <t>marca MASTER · accesorios intelegentes · referencia S.VX3111</t>
        </is>
      </c>
      <c r="F1463" s="5" t="inlineStr">
        <is>
          <t>Material retirado en almacén</t>
        </is>
      </c>
      <c r="G1463" s="5" t="inlineStr"/>
      <c r="H1463" s="7" t="inlineStr">
        <is>
          <t>unidad</t>
        </is>
      </c>
      <c r="I1463" s="7" t="inlineStr">
        <is>
          <t>Instalaciones</t>
        </is>
      </c>
      <c r="J1463" s="7" t="inlineStr">
        <is>
          <t>estandar</t>
        </is>
      </c>
      <c r="K1463" s="7" t="inlineStr">
        <is>
          <t>importado</t>
        </is>
      </c>
      <c r="L1463" s="7" t="inlineStr">
        <is>
          <t>Verificado</t>
        </is>
      </c>
      <c r="M1463" s="8" t="n">
        <v>1</v>
      </c>
      <c r="N1463" s="9" t="n">
        <v>305.08</v>
      </c>
      <c r="O1463" s="9" t="n">
        <v>305.08</v>
      </c>
      <c r="P1463" s="9" t="n">
        <v>305.08</v>
      </c>
      <c r="Q1463" s="7" t="inlineStr">
        <is>
          <t>Sí</t>
        </is>
      </c>
      <c r="R1463" s="9">
        <f>IF(N1463="","",IF(Q1463="Sí",ROUND(N1463/1.18,2),N1463))</f>
        <v/>
      </c>
      <c r="S1463" s="7" t="inlineStr">
        <is>
          <t>2026-09-09</t>
        </is>
      </c>
      <c r="T1463" s="5" t="inlineStr">
        <is>
          <t>1 cotización de proveedores</t>
        </is>
      </c>
    </row>
    <row r="1464">
      <c r="A1464" s="7" t="inlineStr">
        <is>
          <t>MAT-31-027</t>
        </is>
      </c>
      <c r="B1464" s="7" t="inlineStr">
        <is>
          <t>Materiales</t>
        </is>
      </c>
      <c r="C1464" s="7" t="inlineStr">
        <is>
          <t>Domótica e intercomunicadores</t>
        </is>
      </c>
      <c r="D1464" s="5" t="inlineStr">
        <is>
          <t>Telefono Sprint 194 Mm</t>
        </is>
      </c>
      <c r="E1464" s="5" t="inlineStr">
        <is>
          <t>marca BTICINO · componentes intercomunidores · referencia 344242</t>
        </is>
      </c>
      <c r="F1464" s="5" t="inlineStr">
        <is>
          <t>Material retirado en almacén</t>
        </is>
      </c>
      <c r="G1464" s="5" t="inlineStr"/>
      <c r="H1464" s="7" t="inlineStr">
        <is>
          <t>unidad</t>
        </is>
      </c>
      <c r="I1464" s="7" t="inlineStr">
        <is>
          <t>Instalaciones</t>
        </is>
      </c>
      <c r="J1464" s="7" t="inlineStr">
        <is>
          <t>estandar</t>
        </is>
      </c>
      <c r="K1464" s="7" t="inlineStr">
        <is>
          <t>importado</t>
        </is>
      </c>
      <c r="L1464" s="7" t="inlineStr">
        <is>
          <t>Verificado</t>
        </is>
      </c>
      <c r="M1464" s="8" t="n">
        <v>1</v>
      </c>
      <c r="N1464" s="9" t="n">
        <v>1419</v>
      </c>
      <c r="O1464" s="9" t="n">
        <v>1419</v>
      </c>
      <c r="P1464" s="9" t="n">
        <v>1419</v>
      </c>
      <c r="Q1464" s="7" t="inlineStr">
        <is>
          <t>Sí</t>
        </is>
      </c>
      <c r="R1464" s="9">
        <f>IF(N1464="","",IF(Q1464="Sí",ROUND(N1464/1.18,2),N1464))</f>
        <v/>
      </c>
      <c r="S1464" s="7" t="inlineStr">
        <is>
          <t>2026-09-09</t>
        </is>
      </c>
      <c r="T1464" s="5" t="inlineStr">
        <is>
          <t>1 cotización de proveedores</t>
        </is>
      </c>
    </row>
    <row r="1465">
      <c r="A1465" s="7" t="inlineStr">
        <is>
          <t>MAT-31-028</t>
        </is>
      </c>
      <c r="B1465" s="7" t="inlineStr">
        <is>
          <t>Materiales</t>
        </is>
      </c>
      <c r="C1465" s="7" t="inlineStr">
        <is>
          <t>Domótica e intercomunicadores</t>
        </is>
      </c>
      <c r="D1465" s="5" t="inlineStr">
        <is>
          <t>Monitor Touch Negro 7" para intercom</t>
        </is>
      </c>
      <c r="E1465" s="5" t="inlineStr">
        <is>
          <t>marca DAHUA · intercom audio y video · referencia DHI-VTH2421FB-P</t>
        </is>
      </c>
      <c r="F1465" s="5" t="inlineStr">
        <is>
          <t>Material retirado en almacén</t>
        </is>
      </c>
      <c r="G1465" s="5" t="inlineStr"/>
      <c r="H1465" s="7" t="inlineStr">
        <is>
          <t>unidad</t>
        </is>
      </c>
      <c r="I1465" s="7" t="inlineStr">
        <is>
          <t>Instalaciones</t>
        </is>
      </c>
      <c r="J1465" s="7" t="inlineStr">
        <is>
          <t>estandar</t>
        </is>
      </c>
      <c r="K1465" s="7" t="inlineStr">
        <is>
          <t>importado</t>
        </is>
      </c>
      <c r="L1465" s="7" t="inlineStr">
        <is>
          <t>Verificado</t>
        </is>
      </c>
      <c r="M1465" s="8" t="n">
        <v>1</v>
      </c>
      <c r="N1465" s="9" t="n">
        <v>5570.12</v>
      </c>
      <c r="O1465" s="9" t="n">
        <v>5570.12</v>
      </c>
      <c r="P1465" s="9" t="n">
        <v>5570.12</v>
      </c>
      <c r="Q1465" s="7" t="inlineStr">
        <is>
          <t>Sí</t>
        </is>
      </c>
      <c r="R1465" s="9">
        <f>IF(N1465="","",IF(Q1465="Sí",ROUND(N1465/1.18,2),N1465))</f>
        <v/>
      </c>
      <c r="S1465" s="7" t="inlineStr">
        <is>
          <t>2026-09-09</t>
        </is>
      </c>
      <c r="T1465" s="5" t="inlineStr">
        <is>
          <t>1 cotización de proveedores</t>
        </is>
      </c>
    </row>
    <row r="1466">
      <c r="A1466" s="7" t="inlineStr">
        <is>
          <t>MAT-31-029</t>
        </is>
      </c>
      <c r="B1466" s="7" t="inlineStr">
        <is>
          <t>Materiales</t>
        </is>
      </c>
      <c r="C1466" s="7" t="inlineStr">
        <is>
          <t>Domótica e intercomunicadores</t>
        </is>
      </c>
      <c r="D1466" s="5" t="inlineStr">
        <is>
          <t>Videoportero para Villa IP / Wf 4 Btn 2 Mp</t>
        </is>
      </c>
      <c r="E1466" s="5" t="inlineStr">
        <is>
          <t>marca DAHUA · intercom audio y video · referencia DHI-VTO3311Q-WP</t>
        </is>
      </c>
      <c r="F1466" s="5" t="inlineStr">
        <is>
          <t>Material retirado en almacén</t>
        </is>
      </c>
      <c r="G1466" s="5" t="inlineStr"/>
      <c r="H1466" s="7" t="inlineStr">
        <is>
          <t>unidad</t>
        </is>
      </c>
      <c r="I1466" s="7" t="inlineStr">
        <is>
          <t>Instalaciones</t>
        </is>
      </c>
      <c r="J1466" s="7" t="inlineStr">
        <is>
          <t>estandar</t>
        </is>
      </c>
      <c r="K1466" s="7" t="inlineStr">
        <is>
          <t>importado</t>
        </is>
      </c>
      <c r="L1466" s="7" t="inlineStr">
        <is>
          <t>Verificado</t>
        </is>
      </c>
      <c r="M1466" s="8" t="n">
        <v>1</v>
      </c>
      <c r="N1466" s="9" t="n">
        <v>8802.870000000001</v>
      </c>
      <c r="O1466" s="9" t="n">
        <v>8802.870000000001</v>
      </c>
      <c r="P1466" s="9" t="n">
        <v>8802.870000000001</v>
      </c>
      <c r="Q1466" s="7" t="inlineStr">
        <is>
          <t>Sí</t>
        </is>
      </c>
      <c r="R1466" s="9">
        <f>IF(N1466="","",IF(Q1466="Sí",ROUND(N1466/1.18,2),N1466))</f>
        <v/>
      </c>
      <c r="S1466" s="7" t="inlineStr">
        <is>
          <t>2026-09-09</t>
        </is>
      </c>
      <c r="T1466" s="5" t="inlineStr">
        <is>
          <t>1 cotización de proveedores</t>
        </is>
      </c>
    </row>
    <row r="1467">
      <c r="A1467" s="7" t="inlineStr">
        <is>
          <t>MAT-31-030</t>
        </is>
      </c>
      <c r="B1467" s="7" t="inlineStr">
        <is>
          <t>Materiales</t>
        </is>
      </c>
      <c r="C1467" s="7" t="inlineStr">
        <is>
          <t>Domótica e intercomunicadores</t>
        </is>
      </c>
      <c r="D1467" s="5" t="inlineStr">
        <is>
          <t>Kit De Video Timbre Inteligente G4</t>
        </is>
      </c>
      <c r="E1467" s="5" t="inlineStr">
        <is>
          <t>marca AQARA · timbres inteligentes · referencia SVD-KIT1</t>
        </is>
      </c>
      <c r="F1467" s="5" t="inlineStr">
        <is>
          <t>Material retirado en almacén</t>
        </is>
      </c>
      <c r="G1467" s="5" t="inlineStr"/>
      <c r="H1467" s="7" t="inlineStr">
        <is>
          <t>unidad</t>
        </is>
      </c>
      <c r="I1467" s="7" t="inlineStr">
        <is>
          <t>Instalaciones</t>
        </is>
      </c>
      <c r="J1467" s="7" t="inlineStr">
        <is>
          <t>estandar</t>
        </is>
      </c>
      <c r="K1467" s="7" t="inlineStr">
        <is>
          <t>importado</t>
        </is>
      </c>
      <c r="L1467" s="7" t="inlineStr">
        <is>
          <t>Verificado</t>
        </is>
      </c>
      <c r="M1467" s="8" t="n">
        <v>1</v>
      </c>
      <c r="N1467" s="9" t="n">
        <v>8979.870000000001</v>
      </c>
      <c r="O1467" s="9" t="n">
        <v>8979.870000000001</v>
      </c>
      <c r="P1467" s="9" t="n">
        <v>8979.870000000001</v>
      </c>
      <c r="Q1467" s="7" t="inlineStr">
        <is>
          <t>Sí</t>
        </is>
      </c>
      <c r="R1467" s="9">
        <f>IF(N1467="","",IF(Q1467="Sí",ROUND(N1467/1.18,2),N1467))</f>
        <v/>
      </c>
      <c r="S1467" s="7" t="inlineStr">
        <is>
          <t>2026-09-09</t>
        </is>
      </c>
      <c r="T1467" s="5" t="inlineStr">
        <is>
          <t>1 cotización de proveedores</t>
        </is>
      </c>
    </row>
    <row r="1468">
      <c r="A1468" s="7" t="inlineStr">
        <is>
          <t>MAT-31-031</t>
        </is>
      </c>
      <c r="B1468" s="7" t="inlineStr">
        <is>
          <t>Materiales</t>
        </is>
      </c>
      <c r="C1468" s="7" t="inlineStr">
        <is>
          <t>Domótica e intercomunicadores</t>
        </is>
      </c>
      <c r="D1468" s="5" t="inlineStr">
        <is>
          <t>Monitor para intercom De 7"</t>
        </is>
      </c>
      <c r="E1468" s="5" t="inlineStr">
        <is>
          <t>marca YALE · componentes para camaras · referencia 16124</t>
        </is>
      </c>
      <c r="F1468" s="5" t="inlineStr">
        <is>
          <t>Material retirado en almacén</t>
        </is>
      </c>
      <c r="G1468" s="5" t="inlineStr"/>
      <c r="H1468" s="7" t="inlineStr">
        <is>
          <t>unidad</t>
        </is>
      </c>
      <c r="I1468" s="7" t="inlineStr">
        <is>
          <t>Instalaciones</t>
        </is>
      </c>
      <c r="J1468" s="7" t="inlineStr">
        <is>
          <t>estandar</t>
        </is>
      </c>
      <c r="K1468" s="7" t="inlineStr">
        <is>
          <t>importado</t>
        </is>
      </c>
      <c r="L1468" s="7" t="inlineStr">
        <is>
          <t>Verificado</t>
        </is>
      </c>
      <c r="M1468" s="8" t="n">
        <v>1</v>
      </c>
      <c r="N1468" s="9" t="n">
        <v>10076.91</v>
      </c>
      <c r="O1468" s="9" t="n">
        <v>10076.91</v>
      </c>
      <c r="P1468" s="9" t="n">
        <v>10076.91</v>
      </c>
      <c r="Q1468" s="7" t="inlineStr">
        <is>
          <t>Sí</t>
        </is>
      </c>
      <c r="R1468" s="9">
        <f>IF(N1468="","",IF(Q1468="Sí",ROUND(N1468/1.18,2),N1468))</f>
        <v/>
      </c>
      <c r="S1468" s="7" t="inlineStr">
        <is>
          <t>2026-09-09</t>
        </is>
      </c>
      <c r="T1468" s="5" t="inlineStr">
        <is>
          <t>1 cotización de proveedores</t>
        </is>
      </c>
    </row>
    <row r="1469">
      <c r="A1469" s="7" t="inlineStr">
        <is>
          <t>MAT-31-032</t>
        </is>
      </c>
      <c r="B1469" s="7" t="inlineStr">
        <is>
          <t>Materiales</t>
        </is>
      </c>
      <c r="C1469" s="7" t="inlineStr">
        <is>
          <t>Domótica e intercomunicadores</t>
        </is>
      </c>
      <c r="D1469" s="5" t="inlineStr">
        <is>
          <t>Kit intercom Video 4" Ydv-4702 / Ydv4403</t>
        </is>
      </c>
      <c r="E1469" s="5" t="inlineStr">
        <is>
          <t>marca YALE · intercom audio y video · referencia 11400/16140</t>
        </is>
      </c>
      <c r="F1469" s="5" t="inlineStr">
        <is>
          <t>Material retirado en almacén</t>
        </is>
      </c>
      <c r="G1469" s="5" t="inlineStr"/>
      <c r="H1469" s="7" t="inlineStr">
        <is>
          <t>unidad</t>
        </is>
      </c>
      <c r="I1469" s="7" t="inlineStr">
        <is>
          <t>Instalaciones</t>
        </is>
      </c>
      <c r="J1469" s="7" t="inlineStr">
        <is>
          <t>estandar</t>
        </is>
      </c>
      <c r="K1469" s="7" t="inlineStr">
        <is>
          <t>importado</t>
        </is>
      </c>
      <c r="L1469" s="7" t="inlineStr">
        <is>
          <t>Verificado</t>
        </is>
      </c>
      <c r="M1469" s="8" t="n">
        <v>1</v>
      </c>
      <c r="N1469" s="9" t="n">
        <v>16736.62</v>
      </c>
      <c r="O1469" s="9" t="n">
        <v>16736.62</v>
      </c>
      <c r="P1469" s="9" t="n">
        <v>16736.62</v>
      </c>
      <c r="Q1469" s="7" t="inlineStr">
        <is>
          <t>Sí</t>
        </is>
      </c>
      <c r="R1469" s="9">
        <f>IF(N1469="","",IF(Q1469="Sí",ROUND(N1469/1.18,2),N1469))</f>
        <v/>
      </c>
      <c r="S1469" s="7" t="inlineStr">
        <is>
          <t>2026-09-09</t>
        </is>
      </c>
      <c r="T1469" s="5" t="inlineStr">
        <is>
          <t>1 cotización de proveedores</t>
        </is>
      </c>
    </row>
    <row r="1470">
      <c r="A1470" s="7" t="inlineStr">
        <is>
          <t>MAT-31-033</t>
        </is>
      </c>
      <c r="B1470" s="7" t="inlineStr">
        <is>
          <t>Materiales</t>
        </is>
      </c>
      <c r="C1470" s="7" t="inlineStr">
        <is>
          <t>Domótica e intercomunicadores</t>
        </is>
      </c>
      <c r="D1470" s="5" t="inlineStr">
        <is>
          <t>Kit intercom Audio 8 Apartamentos</t>
        </is>
      </c>
      <c r="E1470" s="5" t="inlineStr">
        <is>
          <t>marca MASTER · intercom audio · referencia KBP88LL3BS</t>
        </is>
      </c>
      <c r="F1470" s="5" t="inlineStr">
        <is>
          <t>Material retirado en almacén</t>
        </is>
      </c>
      <c r="G1470" s="5" t="inlineStr"/>
      <c r="H1470" s="7" t="inlineStr">
        <is>
          <t>unidad</t>
        </is>
      </c>
      <c r="I1470" s="7" t="inlineStr">
        <is>
          <t>Instalaciones</t>
        </is>
      </c>
      <c r="J1470" s="7" t="inlineStr">
        <is>
          <t>estandar</t>
        </is>
      </c>
      <c r="K1470" s="7" t="inlineStr">
        <is>
          <t>importado</t>
        </is>
      </c>
      <c r="L1470" s="7" t="inlineStr">
        <is>
          <t>Verificado</t>
        </is>
      </c>
      <c r="M1470" s="8" t="n">
        <v>1</v>
      </c>
      <c r="N1470" s="9" t="n">
        <v>16951.2</v>
      </c>
      <c r="O1470" s="9" t="n">
        <v>16951.2</v>
      </c>
      <c r="P1470" s="9" t="n">
        <v>16951.2</v>
      </c>
      <c r="Q1470" s="7" t="inlineStr">
        <is>
          <t>Sí</t>
        </is>
      </c>
      <c r="R1470" s="9">
        <f>IF(N1470="","",IF(Q1470="Sí",ROUND(N1470/1.18,2),N1470))</f>
        <v/>
      </c>
      <c r="S1470" s="7" t="inlineStr">
        <is>
          <t>2026-09-09</t>
        </is>
      </c>
      <c r="T1470" s="5" t="inlineStr">
        <is>
          <t>1 cotización de proveedores</t>
        </is>
      </c>
    </row>
    <row r="1471">
      <c r="A1471" s="7" t="inlineStr">
        <is>
          <t>MAT-31-034</t>
        </is>
      </c>
      <c r="B1471" s="7" t="inlineStr">
        <is>
          <t>Materiales</t>
        </is>
      </c>
      <c r="C1471" s="7" t="inlineStr">
        <is>
          <t>Domótica e intercomunicadores</t>
        </is>
      </c>
      <c r="D1471" s="5" t="inlineStr">
        <is>
          <t>Kit Luci Microeva 2 In / 2 Out</t>
        </is>
      </c>
      <c r="E1471" s="5" t="inlineStr">
        <is>
          <t>marca MASTER · accesorios intelegentes · referencia HKITP620</t>
        </is>
      </c>
      <c r="F1471" s="5" t="inlineStr">
        <is>
          <t>Material retirado en almacén</t>
        </is>
      </c>
      <c r="G1471" s="5" t="inlineStr"/>
      <c r="H1471" s="7" t="inlineStr">
        <is>
          <t>unidad</t>
        </is>
      </c>
      <c r="I1471" s="7" t="inlineStr">
        <is>
          <t>Instalaciones</t>
        </is>
      </c>
      <c r="J1471" s="7" t="inlineStr">
        <is>
          <t>estandar</t>
        </is>
      </c>
      <c r="K1471" s="7" t="inlineStr">
        <is>
          <t>importado</t>
        </is>
      </c>
      <c r="L1471" s="7" t="inlineStr">
        <is>
          <t>Verificado</t>
        </is>
      </c>
      <c r="M1471" s="8" t="n">
        <v>1</v>
      </c>
      <c r="N1471" s="9" t="n">
        <v>22371.26</v>
      </c>
      <c r="O1471" s="9" t="n">
        <v>22371.26</v>
      </c>
      <c r="P1471" s="9" t="n">
        <v>22371.26</v>
      </c>
      <c r="Q1471" s="7" t="inlineStr">
        <is>
          <t>Sí</t>
        </is>
      </c>
      <c r="R1471" s="9">
        <f>IF(N1471="","",IF(Q1471="Sí",ROUND(N1471/1.18,2),N1471))</f>
        <v/>
      </c>
      <c r="S1471" s="7" t="inlineStr">
        <is>
          <t>2026-09-09</t>
        </is>
      </c>
      <c r="T1471" s="5" t="inlineStr">
        <is>
          <t>1 cotización de proveedores</t>
        </is>
      </c>
    </row>
    <row r="1472">
      <c r="A1472" s="7" t="inlineStr">
        <is>
          <t>MAT-31-035</t>
        </is>
      </c>
      <c r="B1472" s="7" t="inlineStr">
        <is>
          <t>Materiales</t>
        </is>
      </c>
      <c r="C1472" s="7" t="inlineStr">
        <is>
          <t>Domótica e intercomunicadores</t>
        </is>
      </c>
      <c r="D1472" s="5" t="inlineStr">
        <is>
          <t>Kit intercom Video 7" Touch Ydv-Ts</t>
        </is>
      </c>
      <c r="E1472" s="5" t="inlineStr">
        <is>
          <t>marca YALE · intercom audio y video · referencia 10930/16066</t>
        </is>
      </c>
      <c r="F1472" s="5" t="inlineStr">
        <is>
          <t>Material retirado en almacén</t>
        </is>
      </c>
      <c r="G1472" s="5" t="inlineStr"/>
      <c r="H1472" s="7" t="inlineStr">
        <is>
          <t>unidad</t>
        </is>
      </c>
      <c r="I1472" s="7" t="inlineStr">
        <is>
          <t>Instalaciones</t>
        </is>
      </c>
      <c r="J1472" s="7" t="inlineStr">
        <is>
          <t>estandar</t>
        </is>
      </c>
      <c r="K1472" s="7" t="inlineStr">
        <is>
          <t>importado</t>
        </is>
      </c>
      <c r="L1472" s="7" t="inlineStr">
        <is>
          <t>Verificado</t>
        </is>
      </c>
      <c r="M1472" s="8" t="n">
        <v>1</v>
      </c>
      <c r="N1472" s="9" t="n">
        <v>22538.2</v>
      </c>
      <c r="O1472" s="9" t="n">
        <v>22538.2</v>
      </c>
      <c r="P1472" s="9" t="n">
        <v>22538.2</v>
      </c>
      <c r="Q1472" s="7" t="inlineStr">
        <is>
          <t>Sí</t>
        </is>
      </c>
      <c r="R1472" s="9">
        <f>IF(N1472="","",IF(Q1472="Sí",ROUND(N1472/1.18,2),N1472))</f>
        <v/>
      </c>
      <c r="S1472" s="7" t="inlineStr">
        <is>
          <t>2026-09-09</t>
        </is>
      </c>
      <c r="T1472" s="5" t="inlineStr">
        <is>
          <t>1 cotización de proveedores</t>
        </is>
      </c>
    </row>
    <row r="1473">
      <c r="A1473" s="7" t="inlineStr">
        <is>
          <t>MAT-31-036</t>
        </is>
      </c>
      <c r="B1473" s="7" t="inlineStr">
        <is>
          <t>Materiales</t>
        </is>
      </c>
      <c r="C1473" s="7" t="inlineStr">
        <is>
          <t>Domótica e intercomunicadores</t>
        </is>
      </c>
      <c r="D1473" s="5" t="inlineStr">
        <is>
          <t>Kit intercom Audio Video / Color 4 Apart.</t>
        </is>
      </c>
      <c r="E1473" s="5" t="inlineStr">
        <is>
          <t>marca MASTER · intercom audio y video · referencia KWB48LL2BS</t>
        </is>
      </c>
      <c r="F1473" s="5" t="inlineStr">
        <is>
          <t>Material retirado en almacén</t>
        </is>
      </c>
      <c r="G1473" s="5" t="inlineStr"/>
      <c r="H1473" s="7" t="inlineStr">
        <is>
          <t>unidad</t>
        </is>
      </c>
      <c r="I1473" s="7" t="inlineStr">
        <is>
          <t>Instalaciones</t>
        </is>
      </c>
      <c r="J1473" s="7" t="inlineStr">
        <is>
          <t>estandar</t>
        </is>
      </c>
      <c r="K1473" s="7" t="inlineStr">
        <is>
          <t>importado</t>
        </is>
      </c>
      <c r="L1473" s="7" t="inlineStr">
        <is>
          <t>Verificado</t>
        </is>
      </c>
      <c r="M1473" s="8" t="n">
        <v>1</v>
      </c>
      <c r="N1473" s="9" t="n">
        <v>32009.7</v>
      </c>
      <c r="O1473" s="9" t="n">
        <v>32009.7</v>
      </c>
      <c r="P1473" s="9" t="n">
        <v>32009.7</v>
      </c>
      <c r="Q1473" s="7" t="inlineStr">
        <is>
          <t>Sí</t>
        </is>
      </c>
      <c r="R1473" s="9">
        <f>IF(N1473="","",IF(Q1473="Sí",ROUND(N1473/1.18,2),N1473))</f>
        <v/>
      </c>
      <c r="S1473" s="7" t="inlineStr">
        <is>
          <t>2026-09-09</t>
        </is>
      </c>
      <c r="T1473" s="5" t="inlineStr">
        <is>
          <t>1 cotización de proveedores</t>
        </is>
      </c>
    </row>
    <row r="1474">
      <c r="A1474" s="7" t="inlineStr">
        <is>
          <t>MAT-31-037</t>
        </is>
      </c>
      <c r="B1474" s="7" t="inlineStr">
        <is>
          <t>Materiales</t>
        </is>
      </c>
      <c r="C1474" s="7" t="inlineStr">
        <is>
          <t>Domótica e intercomunicadores</t>
        </is>
      </c>
      <c r="D1474" s="5" t="inlineStr">
        <is>
          <t>Kit intercom Audio Video / Color 6 Apart.</t>
        </is>
      </c>
      <c r="E1474" s="5" t="inlineStr">
        <is>
          <t>marca MASTER · intercom audio y video · referencia KWB68LL2BS</t>
        </is>
      </c>
      <c r="F1474" s="5" t="inlineStr">
        <is>
          <t>Material retirado en almacén</t>
        </is>
      </c>
      <c r="G1474" s="5" t="inlineStr"/>
      <c r="H1474" s="7" t="inlineStr">
        <is>
          <t>unidad</t>
        </is>
      </c>
      <c r="I1474" s="7" t="inlineStr">
        <is>
          <t>Instalaciones</t>
        </is>
      </c>
      <c r="J1474" s="7" t="inlineStr">
        <is>
          <t>estandar</t>
        </is>
      </c>
      <c r="K1474" s="7" t="inlineStr">
        <is>
          <t>importado</t>
        </is>
      </c>
      <c r="L1474" s="7" t="inlineStr">
        <is>
          <t>Verificado</t>
        </is>
      </c>
      <c r="M1474" s="8" t="n">
        <v>1</v>
      </c>
      <c r="N1474" s="9" t="n">
        <v>41504.58</v>
      </c>
      <c r="O1474" s="9" t="n">
        <v>41504.58</v>
      </c>
      <c r="P1474" s="9" t="n">
        <v>41504.58</v>
      </c>
      <c r="Q1474" s="7" t="inlineStr">
        <is>
          <t>Sí</t>
        </is>
      </c>
      <c r="R1474" s="9">
        <f>IF(N1474="","",IF(Q1474="Sí",ROUND(N1474/1.18,2),N1474))</f>
        <v/>
      </c>
      <c r="S1474" s="7" t="inlineStr">
        <is>
          <t>2026-09-09</t>
        </is>
      </c>
      <c r="T1474" s="5" t="inlineStr">
        <is>
          <t>1 cotización de proveedores</t>
        </is>
      </c>
    </row>
    <row r="1475">
      <c r="A1475" s="7" t="inlineStr">
        <is>
          <t>MAT-31-038</t>
        </is>
      </c>
      <c r="B1475" s="7" t="inlineStr">
        <is>
          <t>Materiales</t>
        </is>
      </c>
      <c r="C1475" s="7" t="inlineStr">
        <is>
          <t>Domótica e intercomunicadores</t>
        </is>
      </c>
      <c r="D1475" s="5" t="inlineStr">
        <is>
          <t>Kit intercom Audio Video / Color 8 Apart.</t>
        </is>
      </c>
      <c r="E1475" s="5" t="inlineStr">
        <is>
          <t>marca MASTER · intercom audio y video · referencia KWB88LL2BS</t>
        </is>
      </c>
      <c r="F1475" s="5" t="inlineStr">
        <is>
          <t>Material retirado en almacén</t>
        </is>
      </c>
      <c r="G1475" s="5" t="inlineStr"/>
      <c r="H1475" s="7" t="inlineStr">
        <is>
          <t>unidad</t>
        </is>
      </c>
      <c r="I1475" s="7" t="inlineStr">
        <is>
          <t>Instalaciones</t>
        </is>
      </c>
      <c r="J1475" s="7" t="inlineStr">
        <is>
          <t>estandar</t>
        </is>
      </c>
      <c r="K1475" s="7" t="inlineStr">
        <is>
          <t>importado</t>
        </is>
      </c>
      <c r="L1475" s="7" t="inlineStr">
        <is>
          <t>Verificado</t>
        </is>
      </c>
      <c r="M1475" s="8" t="n">
        <v>1</v>
      </c>
      <c r="N1475" s="9" t="n">
        <v>50715.2</v>
      </c>
      <c r="O1475" s="9" t="n">
        <v>50715.2</v>
      </c>
      <c r="P1475" s="9" t="n">
        <v>50715.2</v>
      </c>
      <c r="Q1475" s="7" t="inlineStr">
        <is>
          <t>Sí</t>
        </is>
      </c>
      <c r="R1475" s="9">
        <f>IF(N1475="","",IF(Q1475="Sí",ROUND(N1475/1.18,2),N1475))</f>
        <v/>
      </c>
      <c r="S1475" s="7" t="inlineStr">
        <is>
          <t>2026-09-09</t>
        </is>
      </c>
      <c r="T1475" s="5" t="inlineStr">
        <is>
          <t>1 cotización de proveedores</t>
        </is>
      </c>
    </row>
    <row r="1476">
      <c r="A1476" s="7" t="inlineStr">
        <is>
          <t>MAT-31-039</t>
        </is>
      </c>
      <c r="B1476" s="7" t="inlineStr">
        <is>
          <t>Materiales</t>
        </is>
      </c>
      <c r="C1476" s="7" t="inlineStr">
        <is>
          <t>Domótica e intercomunicadores</t>
        </is>
      </c>
      <c r="D1476" s="5" t="inlineStr">
        <is>
          <t>Kit Domotica 10 Circuitos On-Off+2 Shutt</t>
        </is>
      </c>
      <c r="E1476" s="5" t="inlineStr">
        <is>
          <t>marca MASTER · accesorios intelegentes · referencia HKITZ520H</t>
        </is>
      </c>
      <c r="F1476" s="5" t="inlineStr">
        <is>
          <t>Material retirado en almacén</t>
        </is>
      </c>
      <c r="G1476" s="5" t="inlineStr"/>
      <c r="H1476" s="7" t="inlineStr">
        <is>
          <t>unidad</t>
        </is>
      </c>
      <c r="I1476" s="7" t="inlineStr">
        <is>
          <t>Instalaciones</t>
        </is>
      </c>
      <c r="J1476" s="7" t="inlineStr">
        <is>
          <t>estandar</t>
        </is>
      </c>
      <c r="K1476" s="7" t="inlineStr">
        <is>
          <t>importado</t>
        </is>
      </c>
      <c r="L1476" s="7" t="inlineStr">
        <is>
          <t>Verificado</t>
        </is>
      </c>
      <c r="M1476" s="8" t="n">
        <v>1</v>
      </c>
      <c r="N1476" s="9" t="n">
        <v>61795.82</v>
      </c>
      <c r="O1476" s="9" t="n">
        <v>61795.82</v>
      </c>
      <c r="P1476" s="9" t="n">
        <v>61795.82</v>
      </c>
      <c r="Q1476" s="7" t="inlineStr">
        <is>
          <t>Sí</t>
        </is>
      </c>
      <c r="R1476" s="9">
        <f>IF(N1476="","",IF(Q1476="Sí",ROUND(N1476/1.18,2),N1476))</f>
        <v/>
      </c>
      <c r="S1476" s="7" t="inlineStr">
        <is>
          <t>2026-09-09</t>
        </is>
      </c>
      <c r="T1476" s="5" t="inlineStr">
        <is>
          <t>1 cotización de proveedores</t>
        </is>
      </c>
    </row>
    <row r="1477">
      <c r="A1477" s="7" t="inlineStr">
        <is>
          <t>MAT-31-040</t>
        </is>
      </c>
      <c r="B1477" s="7" t="inlineStr">
        <is>
          <t>Materiales</t>
        </is>
      </c>
      <c r="C1477" s="7" t="inlineStr">
        <is>
          <t>Domótica e intercomunicadores</t>
        </is>
      </c>
      <c r="D1477" s="5" t="inlineStr">
        <is>
          <t>Kit Domotica 10 Circuitos On-</t>
        </is>
      </c>
      <c r="E1477" s="5" t="inlineStr">
        <is>
          <t>marca MASTER · accesorios intelegentes · referencia HKITZ527H</t>
        </is>
      </c>
      <c r="F1477" s="5" t="inlineStr">
        <is>
          <t>Material retirado en almacén</t>
        </is>
      </c>
      <c r="G1477" s="5" t="inlineStr"/>
      <c r="H1477" s="7" t="inlineStr">
        <is>
          <t>unidad</t>
        </is>
      </c>
      <c r="I1477" s="7" t="inlineStr">
        <is>
          <t>Instalaciones</t>
        </is>
      </c>
      <c r="J1477" s="7" t="inlineStr">
        <is>
          <t>estandar</t>
        </is>
      </c>
      <c r="K1477" s="7" t="inlineStr">
        <is>
          <t>importado</t>
        </is>
      </c>
      <c r="L1477" s="7" t="inlineStr">
        <is>
          <t>Verificado</t>
        </is>
      </c>
      <c r="M1477" s="8" t="n">
        <v>1</v>
      </c>
      <c r="N1477" s="9" t="n">
        <v>85380.83</v>
      </c>
      <c r="O1477" s="9" t="n">
        <v>85380.83</v>
      </c>
      <c r="P1477" s="9" t="n">
        <v>85380.83</v>
      </c>
      <c r="Q1477" s="7" t="inlineStr">
        <is>
          <t>Sí</t>
        </is>
      </c>
      <c r="R1477" s="9">
        <f>IF(N1477="","",IF(Q1477="Sí",ROUND(N1477/1.18,2),N1477))</f>
        <v/>
      </c>
      <c r="S1477" s="7" t="inlineStr">
        <is>
          <t>2026-09-09</t>
        </is>
      </c>
      <c r="T1477" s="5" t="inlineStr">
        <is>
          <t>1 cotización de proveedores</t>
        </is>
      </c>
    </row>
    <row r="1478">
      <c r="A1478" s="7" t="inlineStr">
        <is>
          <t>MAT-31-041</t>
        </is>
      </c>
      <c r="B1478" s="7" t="inlineStr">
        <is>
          <t>Materiales</t>
        </is>
      </c>
      <c r="C1478" s="7" t="inlineStr">
        <is>
          <t>Domótica e intercomunicadores</t>
        </is>
      </c>
      <c r="D1478" s="5" t="inlineStr">
        <is>
          <t>Cable Para Conexion 470 Mm</t>
        </is>
      </c>
      <c r="E1478" s="5" t="inlineStr">
        <is>
          <t>marca BTICINO · accesorios intercomunicadores · referencia 346902</t>
        </is>
      </c>
      <c r="F1478" s="5" t="inlineStr">
        <is>
          <t>Material retirado en almacén</t>
        </is>
      </c>
      <c r="G1478" s="5" t="inlineStr"/>
      <c r="H1478" s="7" t="inlineStr">
        <is>
          <t>unidad</t>
        </is>
      </c>
      <c r="I1478" s="7" t="inlineStr">
        <is>
          <t>Instalaciones</t>
        </is>
      </c>
      <c r="J1478" s="7" t="inlineStr">
        <is>
          <t>estandar</t>
        </is>
      </c>
      <c r="K1478" s="7" t="inlineStr">
        <is>
          <t>importado</t>
        </is>
      </c>
      <c r="L1478" s="7" t="inlineStr">
        <is>
          <t>Verificado</t>
        </is>
      </c>
      <c r="M1478" s="8" t="n">
        <v>1</v>
      </c>
      <c r="N1478" s="9" t="n">
        <v>178.8</v>
      </c>
      <c r="O1478" s="9" t="n">
        <v>178.8</v>
      </c>
      <c r="P1478" s="9" t="n">
        <v>178.8</v>
      </c>
      <c r="Q1478" s="7" t="inlineStr">
        <is>
          <t>Sí</t>
        </is>
      </c>
      <c r="R1478" s="9">
        <f>IF(N1478="","",IF(Q1478="Sí",ROUND(N1478/1.18,2),N1478))</f>
        <v/>
      </c>
      <c r="S1478" s="7" t="inlineStr">
        <is>
          <t>2026-09-09</t>
        </is>
      </c>
      <c r="T1478" s="5" t="inlineStr">
        <is>
          <t>1 cotización de proveedores</t>
        </is>
      </c>
    </row>
    <row r="1479">
      <c r="A1479" s="7" t="inlineStr">
        <is>
          <t>MAT-31-042</t>
        </is>
      </c>
      <c r="B1479" s="7" t="inlineStr">
        <is>
          <t>Materiales</t>
        </is>
      </c>
      <c r="C1479" s="7" t="inlineStr">
        <is>
          <t>Domótica e intercomunicadores</t>
        </is>
      </c>
      <c r="D1479" s="5" t="inlineStr">
        <is>
          <t>Organizador De 2 U Fertec</t>
        </is>
      </c>
      <c r="E1479" s="5" t="inlineStr">
        <is>
          <t>marca DAHUA · accesorios intelegentes · referencia FT-CM2UFERTEC</t>
        </is>
      </c>
      <c r="F1479" s="5" t="inlineStr">
        <is>
          <t>Material retirado en almacén</t>
        </is>
      </c>
      <c r="G1479" s="5" t="inlineStr"/>
      <c r="H1479" s="7" t="inlineStr">
        <is>
          <t>unidad</t>
        </is>
      </c>
      <c r="I1479" s="7" t="inlineStr">
        <is>
          <t>Instalaciones</t>
        </is>
      </c>
      <c r="J1479" s="7" t="inlineStr">
        <is>
          <t>estandar</t>
        </is>
      </c>
      <c r="K1479" s="7" t="inlineStr">
        <is>
          <t>importado</t>
        </is>
      </c>
      <c r="L1479" s="7" t="inlineStr">
        <is>
          <t>Verificado</t>
        </is>
      </c>
      <c r="M1479" s="8" t="n">
        <v>1</v>
      </c>
      <c r="N1479" s="9" t="n">
        <v>713.9400000000001</v>
      </c>
      <c r="O1479" s="9" t="n">
        <v>713.9400000000001</v>
      </c>
      <c r="P1479" s="9" t="n">
        <v>713.9400000000001</v>
      </c>
      <c r="Q1479" s="7" t="inlineStr">
        <is>
          <t>Sí</t>
        </is>
      </c>
      <c r="R1479" s="9">
        <f>IF(N1479="","",IF(Q1479="Sí",ROUND(N1479/1.18,2),N1479))</f>
        <v/>
      </c>
      <c r="S1479" s="7" t="inlineStr">
        <is>
          <t>2026-09-09</t>
        </is>
      </c>
      <c r="T1479" s="5" t="inlineStr">
        <is>
          <t>1 cotización de proveedores</t>
        </is>
      </c>
    </row>
    <row r="1480">
      <c r="A1480" s="7" t="inlineStr">
        <is>
          <t>MAT-31-043</t>
        </is>
      </c>
      <c r="B1480" s="7" t="inlineStr">
        <is>
          <t>Materiales</t>
        </is>
      </c>
      <c r="C1480" s="7" t="inlineStr">
        <is>
          <t>Domótica e intercomunicadores</t>
        </is>
      </c>
      <c r="D1480" s="5" t="inlineStr">
        <is>
          <t>Modulo Termoregulador 12 Vdc Rs485. Mix</t>
        </is>
      </c>
      <c r="E1480" s="5" t="inlineStr">
        <is>
          <t>marca MASTER · accesorios intelegentes · referencia HA10413</t>
        </is>
      </c>
      <c r="F1480" s="5" t="inlineStr">
        <is>
          <t>Material retirado en almacén</t>
        </is>
      </c>
      <c r="G1480" s="5" t="inlineStr"/>
      <c r="H1480" s="7" t="inlineStr">
        <is>
          <t>unidad</t>
        </is>
      </c>
      <c r="I1480" s="7" t="inlineStr">
        <is>
          <t>Instalaciones</t>
        </is>
      </c>
      <c r="J1480" s="7" t="inlineStr">
        <is>
          <t>estandar</t>
        </is>
      </c>
      <c r="K1480" s="7" t="inlineStr">
        <is>
          <t>importado</t>
        </is>
      </c>
      <c r="L1480" s="7" t="inlineStr">
        <is>
          <t>Verificado</t>
        </is>
      </c>
      <c r="M1480" s="8" t="n">
        <v>1</v>
      </c>
      <c r="N1480" s="9" t="n">
        <v>1766.44</v>
      </c>
      <c r="O1480" s="9" t="n">
        <v>1766.44</v>
      </c>
      <c r="P1480" s="9" t="n">
        <v>1766.44</v>
      </c>
      <c r="Q1480" s="7" t="inlineStr">
        <is>
          <t>Sí</t>
        </is>
      </c>
      <c r="R1480" s="9">
        <f>IF(N1480="","",IF(Q1480="Sí",ROUND(N1480/1.18,2),N1480))</f>
        <v/>
      </c>
      <c r="S1480" s="7" t="inlineStr">
        <is>
          <t>2026-09-09</t>
        </is>
      </c>
      <c r="T1480" s="5" t="inlineStr">
        <is>
          <t>1 cotización de proveedores</t>
        </is>
      </c>
    </row>
    <row r="1481">
      <c r="A1481" s="7" t="inlineStr">
        <is>
          <t>MAT-31-044</t>
        </is>
      </c>
      <c r="B1481" s="7" t="inlineStr">
        <is>
          <t>Materiales</t>
        </is>
      </c>
      <c r="C1481" s="7" t="inlineStr">
        <is>
          <t>Domótica e intercomunicadores</t>
        </is>
      </c>
      <c r="D1481" s="5" t="inlineStr">
        <is>
          <t>Modulo Montaje Para 2 Modulos intercom</t>
        </is>
      </c>
      <c r="E1481" s="5" t="inlineStr">
        <is>
          <t>marca SECTECH · componentes cables y conectividad · referencia OCB-LBCE9003-RS2</t>
        </is>
      </c>
      <c r="F1481" s="5" t="inlineStr">
        <is>
          <t>Material retirado en almacén</t>
        </is>
      </c>
      <c r="G1481" s="5" t="inlineStr"/>
      <c r="H1481" s="7" t="inlineStr">
        <is>
          <t>unidad</t>
        </is>
      </c>
      <c r="I1481" s="7" t="inlineStr">
        <is>
          <t>Instalaciones</t>
        </is>
      </c>
      <c r="J1481" s="7" t="inlineStr">
        <is>
          <t>estandar</t>
        </is>
      </c>
      <c r="K1481" s="7" t="inlineStr">
        <is>
          <t>importado</t>
        </is>
      </c>
      <c r="L1481" s="7" t="inlineStr">
        <is>
          <t>Verificado</t>
        </is>
      </c>
      <c r="M1481" s="8" t="n">
        <v>1</v>
      </c>
      <c r="N1481" s="9" t="n">
        <v>2573.7</v>
      </c>
      <c r="O1481" s="9" t="n">
        <v>2573.7</v>
      </c>
      <c r="P1481" s="9" t="n">
        <v>2573.7</v>
      </c>
      <c r="Q1481" s="7" t="inlineStr">
        <is>
          <t>Sí</t>
        </is>
      </c>
      <c r="R1481" s="9">
        <f>IF(N1481="","",IF(Q1481="Sí",ROUND(N1481/1.18,2),N1481))</f>
        <v/>
      </c>
      <c r="S1481" s="7" t="inlineStr">
        <is>
          <t>2026-09-09</t>
        </is>
      </c>
      <c r="T1481" s="5" t="inlineStr">
        <is>
          <t>1 cotización de proveedores</t>
        </is>
      </c>
    </row>
    <row r="1482">
      <c r="A1482" s="7" t="inlineStr">
        <is>
          <t>MAT-31-045</t>
        </is>
      </c>
      <c r="B1482" s="7" t="inlineStr">
        <is>
          <t>Materiales</t>
        </is>
      </c>
      <c r="C1482" s="7" t="inlineStr">
        <is>
          <t>Domótica e intercomunicadores</t>
        </is>
      </c>
      <c r="D1482" s="5" t="inlineStr">
        <is>
          <t>Modulo 8 Pulsadores 2H 2F</t>
        </is>
      </c>
      <c r="E1482" s="5" t="inlineStr">
        <is>
          <t>marca BTICINO · accesorios intercomunicadores · referencia 352100</t>
        </is>
      </c>
      <c r="F1482" s="5" t="inlineStr">
        <is>
          <t>Material retirado en almacén</t>
        </is>
      </c>
      <c r="G1482" s="5" t="inlineStr"/>
      <c r="H1482" s="7" t="inlineStr">
        <is>
          <t>unidad</t>
        </is>
      </c>
      <c r="I1482" s="7" t="inlineStr">
        <is>
          <t>Instalaciones</t>
        </is>
      </c>
      <c r="J1482" s="7" t="inlineStr">
        <is>
          <t>estandar</t>
        </is>
      </c>
      <c r="K1482" s="7" t="inlineStr">
        <is>
          <t>importado</t>
        </is>
      </c>
      <c r="L1482" s="7" t="inlineStr">
        <is>
          <t>Verificado</t>
        </is>
      </c>
      <c r="M1482" s="8" t="n">
        <v>1</v>
      </c>
      <c r="N1482" s="9" t="n">
        <v>2999.88</v>
      </c>
      <c r="O1482" s="9" t="n">
        <v>2999.88</v>
      </c>
      <c r="P1482" s="9" t="n">
        <v>2999.88</v>
      </c>
      <c r="Q1482" s="7" t="inlineStr">
        <is>
          <t>Sí</t>
        </is>
      </c>
      <c r="R1482" s="9">
        <f>IF(N1482="","",IF(Q1482="Sí",ROUND(N1482/1.18,2),N1482))</f>
        <v/>
      </c>
      <c r="S1482" s="7" t="inlineStr">
        <is>
          <t>2026-09-09</t>
        </is>
      </c>
      <c r="T1482" s="5" t="inlineStr">
        <is>
          <t>1 cotización de proveedores</t>
        </is>
      </c>
    </row>
    <row r="1483">
      <c r="A1483" s="7" t="inlineStr">
        <is>
          <t>MAT-31-046</t>
        </is>
      </c>
      <c r="B1483" s="7" t="inlineStr">
        <is>
          <t>Materiales</t>
        </is>
      </c>
      <c r="C1483" s="7" t="inlineStr">
        <is>
          <t>Domótica e intercomunicadores</t>
        </is>
      </c>
      <c r="D1483" s="5" t="inlineStr">
        <is>
          <t>Modulo Duplicacion Entradas</t>
        </is>
      </c>
      <c r="E1483" s="5" t="inlineStr">
        <is>
          <t>marca MASTER · accesorios intercomunicadores · referencia HA03000</t>
        </is>
      </c>
      <c r="F1483" s="5" t="inlineStr">
        <is>
          <t>Material retirado en almacén</t>
        </is>
      </c>
      <c r="G1483" s="5" t="inlineStr"/>
      <c r="H1483" s="7" t="inlineStr">
        <is>
          <t>unidad</t>
        </is>
      </c>
      <c r="I1483" s="7" t="inlineStr">
        <is>
          <t>Instalaciones</t>
        </is>
      </c>
      <c r="J1483" s="7" t="inlineStr">
        <is>
          <t>estandar</t>
        </is>
      </c>
      <c r="K1483" s="7" t="inlineStr">
        <is>
          <t>importado</t>
        </is>
      </c>
      <c r="L1483" s="7" t="inlineStr">
        <is>
          <t>Verificado</t>
        </is>
      </c>
      <c r="M1483" s="8" t="n">
        <v>1</v>
      </c>
      <c r="N1483" s="9" t="n">
        <v>3552.66</v>
      </c>
      <c r="O1483" s="9" t="n">
        <v>3552.66</v>
      </c>
      <c r="P1483" s="9" t="n">
        <v>3552.66</v>
      </c>
      <c r="Q1483" s="7" t="inlineStr">
        <is>
          <t>Sí</t>
        </is>
      </c>
      <c r="R1483" s="9">
        <f>IF(N1483="","",IF(Q1483="Sí",ROUND(N1483/1.18,2),N1483))</f>
        <v/>
      </c>
      <c r="S1483" s="7" t="inlineStr">
        <is>
          <t>2026-09-09</t>
        </is>
      </c>
      <c r="T1483" s="5" t="inlineStr">
        <is>
          <t>1 cotización de proveedores</t>
        </is>
      </c>
    </row>
    <row r="1484">
      <c r="A1484" s="7" t="inlineStr">
        <is>
          <t>MAT-31-047</t>
        </is>
      </c>
      <c r="B1484" s="7" t="inlineStr">
        <is>
          <t>Materiales</t>
        </is>
      </c>
      <c r="C1484" s="7" t="inlineStr">
        <is>
          <t>Domótica e intercomunicadores</t>
        </is>
      </c>
      <c r="D1484" s="5" t="inlineStr">
        <is>
          <t>Módulo De Teclado Sfera 2H</t>
        </is>
      </c>
      <c r="E1484" s="5" t="inlineStr">
        <is>
          <t>marca BTICINO · accesorios intercomunicadores · referencia 353000</t>
        </is>
      </c>
      <c r="F1484" s="5" t="inlineStr">
        <is>
          <t>Material retirado en almacén</t>
        </is>
      </c>
      <c r="G1484" s="5" t="inlineStr"/>
      <c r="H1484" s="7" t="inlineStr">
        <is>
          <t>unidad</t>
        </is>
      </c>
      <c r="I1484" s="7" t="inlineStr">
        <is>
          <t>Instalaciones</t>
        </is>
      </c>
      <c r="J1484" s="7" t="inlineStr">
        <is>
          <t>estandar</t>
        </is>
      </c>
      <c r="K1484" s="7" t="inlineStr">
        <is>
          <t>importado</t>
        </is>
      </c>
      <c r="L1484" s="7" t="inlineStr">
        <is>
          <t>Verificado</t>
        </is>
      </c>
      <c r="M1484" s="8" t="n">
        <v>1</v>
      </c>
      <c r="N1484" s="9" t="n">
        <v>3563.14</v>
      </c>
      <c r="O1484" s="9" t="n">
        <v>3563.14</v>
      </c>
      <c r="P1484" s="9" t="n">
        <v>3563.14</v>
      </c>
      <c r="Q1484" s="7" t="inlineStr">
        <is>
          <t>Sí</t>
        </is>
      </c>
      <c r="R1484" s="9">
        <f>IF(N1484="","",IF(Q1484="Sí",ROUND(N1484/1.18,2),N1484))</f>
        <v/>
      </c>
      <c r="S1484" s="7" t="inlineStr">
        <is>
          <t>2026-09-09</t>
        </is>
      </c>
      <c r="T1484" s="5" t="inlineStr">
        <is>
          <t>1 cotización de proveedores</t>
        </is>
      </c>
    </row>
    <row r="1485">
      <c r="A1485" s="7" t="inlineStr">
        <is>
          <t>MAT-31-048</t>
        </is>
      </c>
      <c r="B1485" s="7" t="inlineStr">
        <is>
          <t>Materiales</t>
        </is>
      </c>
      <c r="C1485" s="7" t="inlineStr">
        <is>
          <t>Domótica e intercomunicadores</t>
        </is>
      </c>
      <c r="D1485" s="5" t="inlineStr">
        <is>
          <t>Modulo Pantalla 2H2 Wir</t>
        </is>
      </c>
      <c r="E1485" s="5" t="inlineStr">
        <is>
          <t>marca BTICINO · accesorios intercomunicadores · referencia 352500</t>
        </is>
      </c>
      <c r="F1485" s="5" t="inlineStr">
        <is>
          <t>Material retirado en almacén</t>
        </is>
      </c>
      <c r="G1485" s="5" t="inlineStr"/>
      <c r="H1485" s="7" t="inlineStr">
        <is>
          <t>unidad</t>
        </is>
      </c>
      <c r="I1485" s="7" t="inlineStr">
        <is>
          <t>Instalaciones</t>
        </is>
      </c>
      <c r="J1485" s="7" t="inlineStr">
        <is>
          <t>estandar</t>
        </is>
      </c>
      <c r="K1485" s="7" t="inlineStr">
        <is>
          <t>importado</t>
        </is>
      </c>
      <c r="L1485" s="7" t="inlineStr">
        <is>
          <t>Verificado</t>
        </is>
      </c>
      <c r="M1485" s="8" t="n">
        <v>1</v>
      </c>
      <c r="N1485" s="9" t="n">
        <v>12062.42</v>
      </c>
      <c r="O1485" s="9" t="n">
        <v>12062.42</v>
      </c>
      <c r="P1485" s="9" t="n">
        <v>12062.42</v>
      </c>
      <c r="Q1485" s="7" t="inlineStr">
        <is>
          <t>Sí</t>
        </is>
      </c>
      <c r="R1485" s="9">
        <f>IF(N1485="","",IF(Q1485="Sí",ROUND(N1485/1.18,2),N1485))</f>
        <v/>
      </c>
      <c r="S1485" s="7" t="inlineStr">
        <is>
          <t>2026-09-09</t>
        </is>
      </c>
      <c r="T1485" s="5" t="inlineStr">
        <is>
          <t>1 cotización de proveedores</t>
        </is>
      </c>
    </row>
    <row r="1486">
      <c r="A1486" s="7" t="inlineStr">
        <is>
          <t>MAT-31-049</t>
        </is>
      </c>
      <c r="B1486" s="7" t="inlineStr">
        <is>
          <t>Materiales</t>
        </is>
      </c>
      <c r="C1486" s="7" t="inlineStr">
        <is>
          <t>Domótica e intercomunicadores</t>
        </is>
      </c>
      <c r="D1486" s="5" t="inlineStr">
        <is>
          <t>Modulo Dlfra para acceso Modo blanco</t>
        </is>
      </c>
      <c r="E1486" s="5" t="inlineStr">
        <is>
          <t>marca MASTER · accesorios intelegentes · referencia HA02012</t>
        </is>
      </c>
      <c r="F1486" s="5" t="inlineStr">
        <is>
          <t>Material retirado en almacén</t>
        </is>
      </c>
      <c r="G1486" s="5" t="inlineStr"/>
      <c r="H1486" s="7" t="inlineStr">
        <is>
          <t>unidad</t>
        </is>
      </c>
      <c r="I1486" s="7" t="inlineStr">
        <is>
          <t>Instalaciones</t>
        </is>
      </c>
      <c r="J1486" s="7" t="inlineStr">
        <is>
          <t>estandar</t>
        </is>
      </c>
      <c r="K1486" s="7" t="inlineStr">
        <is>
          <t>importado</t>
        </is>
      </c>
      <c r="L1486" s="7" t="inlineStr">
        <is>
          <t>Verificado</t>
        </is>
      </c>
      <c r="M1486" s="8" t="n">
        <v>1</v>
      </c>
      <c r="N1486" s="9" t="n">
        <v>13196.68</v>
      </c>
      <c r="O1486" s="9" t="n">
        <v>13196.68</v>
      </c>
      <c r="P1486" s="9" t="n">
        <v>13196.68</v>
      </c>
      <c r="Q1486" s="7" t="inlineStr">
        <is>
          <t>Sí</t>
        </is>
      </c>
      <c r="R1486" s="9">
        <f>IF(N1486="","",IF(Q1486="Sí",ROUND(N1486/1.18,2),N1486))</f>
        <v/>
      </c>
      <c r="S1486" s="7" t="inlineStr">
        <is>
          <t>2026-09-09</t>
        </is>
      </c>
      <c r="T1486" s="5" t="inlineStr">
        <is>
          <t>1 cotización de proveedores</t>
        </is>
      </c>
    </row>
    <row r="1487">
      <c r="A1487" s="7" t="inlineStr">
        <is>
          <t>MAT-31-050</t>
        </is>
      </c>
      <c r="B1487" s="7" t="inlineStr">
        <is>
          <t>Materiales</t>
        </is>
      </c>
      <c r="C1487" s="7" t="inlineStr">
        <is>
          <t>Domótica e intercomunicadores</t>
        </is>
      </c>
      <c r="D1487" s="5" t="inlineStr">
        <is>
          <t>Modulo Dlfra para acceso Modo Gris</t>
        </is>
      </c>
      <c r="E1487" s="5" t="inlineStr">
        <is>
          <t>marca MASTER · accesorios intelegentes · referencia HA02010</t>
        </is>
      </c>
      <c r="F1487" s="5" t="inlineStr">
        <is>
          <t>Material retirado en almacén</t>
        </is>
      </c>
      <c r="G1487" s="5" t="inlineStr"/>
      <c r="H1487" s="7" t="inlineStr">
        <is>
          <t>unidad</t>
        </is>
      </c>
      <c r="I1487" s="7" t="inlineStr">
        <is>
          <t>Instalaciones</t>
        </is>
      </c>
      <c r="J1487" s="7" t="inlineStr">
        <is>
          <t>estandar</t>
        </is>
      </c>
      <c r="K1487" s="7" t="inlineStr">
        <is>
          <t>importado</t>
        </is>
      </c>
      <c r="L1487" s="7" t="inlineStr">
        <is>
          <t>Verificado</t>
        </is>
      </c>
      <c r="M1487" s="8" t="n">
        <v>1</v>
      </c>
      <c r="N1487" s="9" t="n">
        <v>13196.68</v>
      </c>
      <c r="O1487" s="9" t="n">
        <v>13196.68</v>
      </c>
      <c r="P1487" s="9" t="n">
        <v>13196.68</v>
      </c>
      <c r="Q1487" s="7" t="inlineStr">
        <is>
          <t>Sí</t>
        </is>
      </c>
      <c r="R1487" s="9">
        <f>IF(N1487="","",IF(Q1487="Sí",ROUND(N1487/1.18,2),N1487))</f>
        <v/>
      </c>
      <c r="S1487" s="7" t="inlineStr">
        <is>
          <t>2026-09-09</t>
        </is>
      </c>
      <c r="T1487" s="5" t="inlineStr">
        <is>
          <t>1 cotización de proveedores</t>
        </is>
      </c>
    </row>
    <row r="1488">
      <c r="A1488" s="7" t="inlineStr">
        <is>
          <t>MAT-31-051</t>
        </is>
      </c>
      <c r="B1488" s="7" t="inlineStr">
        <is>
          <t>Materiales</t>
        </is>
      </c>
      <c r="C1488" s="7" t="inlineStr">
        <is>
          <t>Domótica e intercomunicadores</t>
        </is>
      </c>
      <c r="D1488" s="5" t="inlineStr">
        <is>
          <t>Modulo Audio Y Video 2 Hilo</t>
        </is>
      </c>
      <c r="E1488" s="5" t="inlineStr">
        <is>
          <t>marca BTICINO · accesorios intercomunicadores · referencia 351200</t>
        </is>
      </c>
      <c r="F1488" s="5" t="inlineStr">
        <is>
          <t>Material retirado en almacén</t>
        </is>
      </c>
      <c r="G1488" s="5" t="inlineStr"/>
      <c r="H1488" s="7" t="inlineStr">
        <is>
          <t>unidad</t>
        </is>
      </c>
      <c r="I1488" s="7" t="inlineStr">
        <is>
          <t>Instalaciones</t>
        </is>
      </c>
      <c r="J1488" s="7" t="inlineStr">
        <is>
          <t>estandar</t>
        </is>
      </c>
      <c r="K1488" s="7" t="inlineStr">
        <is>
          <t>importado</t>
        </is>
      </c>
      <c r="L1488" s="7" t="inlineStr">
        <is>
          <t>Verificado</t>
        </is>
      </c>
      <c r="M1488" s="8" t="n">
        <v>1</v>
      </c>
      <c r="N1488" s="9" t="n">
        <v>13617.34</v>
      </c>
      <c r="O1488" s="9" t="n">
        <v>13617.34</v>
      </c>
      <c r="P1488" s="9" t="n">
        <v>13617.34</v>
      </c>
      <c r="Q1488" s="7" t="inlineStr">
        <is>
          <t>Sí</t>
        </is>
      </c>
      <c r="R1488" s="9">
        <f>IF(N1488="","",IF(Q1488="Sí",ROUND(N1488/1.18,2),N1488))</f>
        <v/>
      </c>
      <c r="S1488" s="7" t="inlineStr">
        <is>
          <t>2026-09-09</t>
        </is>
      </c>
      <c r="T1488" s="5" t="inlineStr">
        <is>
          <t>1 cotización de proveedores</t>
        </is>
      </c>
    </row>
    <row r="1489">
      <c r="A1489" s="7" t="inlineStr">
        <is>
          <t>MAT-31-052</t>
        </is>
      </c>
      <c r="B1489" s="7" t="inlineStr">
        <is>
          <t>Materiales</t>
        </is>
      </c>
      <c r="C1489" s="7" t="inlineStr">
        <is>
          <t>Domótica e intercomunicadores</t>
        </is>
      </c>
      <c r="D1489" s="5" t="inlineStr">
        <is>
          <t>Modulo De Expansion</t>
        </is>
      </c>
      <c r="E1489" s="5" t="inlineStr">
        <is>
          <t>marca BTICINO · accesorios intercomunicadores · referencia 346851</t>
        </is>
      </c>
      <c r="F1489" s="5" t="inlineStr">
        <is>
          <t>Material retirado en almacén</t>
        </is>
      </c>
      <c r="G1489" s="5" t="inlineStr"/>
      <c r="H1489" s="7" t="inlineStr">
        <is>
          <t>unidad</t>
        </is>
      </c>
      <c r="I1489" s="7" t="inlineStr">
        <is>
          <t>Instalaciones</t>
        </is>
      </c>
      <c r="J1489" s="7" t="inlineStr">
        <is>
          <t>estandar</t>
        </is>
      </c>
      <c r="K1489" s="7" t="inlineStr">
        <is>
          <t>importado</t>
        </is>
      </c>
      <c r="L1489" s="7" t="inlineStr">
        <is>
          <t>Verificado</t>
        </is>
      </c>
      <c r="M1489" s="8" t="n">
        <v>1</v>
      </c>
      <c r="N1489" s="9" t="n">
        <v>21617.57</v>
      </c>
      <c r="O1489" s="9" t="n">
        <v>21617.57</v>
      </c>
      <c r="P1489" s="9" t="n">
        <v>21617.57</v>
      </c>
      <c r="Q1489" s="7" t="inlineStr">
        <is>
          <t>Sí</t>
        </is>
      </c>
      <c r="R1489" s="9">
        <f>IF(N1489="","",IF(Q1489="Sí",ROUND(N1489/1.18,2),N1489))</f>
        <v/>
      </c>
      <c r="S1489" s="7" t="inlineStr">
        <is>
          <t>2026-09-09</t>
        </is>
      </c>
      <c r="T1489" s="5" t="inlineStr">
        <is>
          <t>1 cotización de proveedores</t>
        </is>
      </c>
    </row>
    <row r="1490">
      <c r="A1490" s="7" t="inlineStr">
        <is>
          <t>MAT-31-053</t>
        </is>
      </c>
      <c r="B1490" s="7" t="inlineStr">
        <is>
          <t>Materiales</t>
        </is>
      </c>
      <c r="C1490" s="7" t="inlineStr">
        <is>
          <t>Domótica e intercomunicadores</t>
        </is>
      </c>
      <c r="D1490" s="5" t="inlineStr">
        <is>
          <t>Controlador Smart Home Cub</t>
        </is>
      </c>
      <c r="E1490" s="5" t="inlineStr">
        <is>
          <t>marca AQARA · accesorios intelegentes · referencia MFKZQ01LM</t>
        </is>
      </c>
      <c r="F1490" s="5" t="inlineStr">
        <is>
          <t>Material retirado en almacén</t>
        </is>
      </c>
      <c r="G1490" s="5" t="inlineStr"/>
      <c r="H1490" s="7" t="inlineStr">
        <is>
          <t>unidad</t>
        </is>
      </c>
      <c r="I1490" s="7" t="inlineStr">
        <is>
          <t>Instalaciones</t>
        </is>
      </c>
      <c r="J1490" s="7" t="inlineStr">
        <is>
          <t>estandar</t>
        </is>
      </c>
      <c r="K1490" s="7" t="inlineStr">
        <is>
          <t>importado</t>
        </is>
      </c>
      <c r="L1490" s="7" t="inlineStr">
        <is>
          <t>Verificado</t>
        </is>
      </c>
      <c r="M1490" s="8" t="n">
        <v>1</v>
      </c>
      <c r="N1490" s="9" t="n">
        <v>1439.87</v>
      </c>
      <c r="O1490" s="9" t="n">
        <v>1439.87</v>
      </c>
      <c r="P1490" s="9" t="n">
        <v>1439.87</v>
      </c>
      <c r="Q1490" s="7" t="inlineStr">
        <is>
          <t>Sí</t>
        </is>
      </c>
      <c r="R1490" s="9">
        <f>IF(N1490="","",IF(Q1490="Sí",ROUND(N1490/1.18,2),N1490))</f>
        <v/>
      </c>
      <c r="S1490" s="7" t="inlineStr">
        <is>
          <t>2026-09-09</t>
        </is>
      </c>
      <c r="T1490" s="5" t="inlineStr">
        <is>
          <t>1 cotización de proveedores</t>
        </is>
      </c>
    </row>
    <row r="1491">
      <c r="A1491" s="7" t="inlineStr">
        <is>
          <t>MAT-31-054</t>
        </is>
      </c>
      <c r="B1491" s="7" t="inlineStr">
        <is>
          <t>Materiales</t>
        </is>
      </c>
      <c r="C1491" s="7" t="inlineStr">
        <is>
          <t>Domótica e intercomunicadores</t>
        </is>
      </c>
      <c r="D1491" s="5" t="inlineStr">
        <is>
          <t>Toma 8 Hilos para Centralita 1 Mod. Living</t>
        </is>
      </c>
      <c r="E1491" s="5" t="inlineStr">
        <is>
          <t>marca BTICINO · accesorios intercomunicadores · referencia 336983</t>
        </is>
      </c>
      <c r="F1491" s="5" t="inlineStr">
        <is>
          <t>Material retirado en almacén</t>
        </is>
      </c>
      <c r="G1491" s="5" t="inlineStr"/>
      <c r="H1491" s="7" t="inlineStr">
        <is>
          <t>unidad</t>
        </is>
      </c>
      <c r="I1491" s="7" t="inlineStr">
        <is>
          <t>Instalaciones</t>
        </is>
      </c>
      <c r="J1491" s="7" t="inlineStr">
        <is>
          <t>estandar</t>
        </is>
      </c>
      <c r="K1491" s="7" t="inlineStr">
        <is>
          <t>importado</t>
        </is>
      </c>
      <c r="L1491" s="7" t="inlineStr">
        <is>
          <t>Verificado</t>
        </is>
      </c>
      <c r="M1491" s="8" t="n">
        <v>1</v>
      </c>
      <c r="N1491" s="9" t="n">
        <v>294.14</v>
      </c>
      <c r="O1491" s="9" t="n">
        <v>294.14</v>
      </c>
      <c r="P1491" s="9" t="n">
        <v>294.14</v>
      </c>
      <c r="Q1491" s="7" t="inlineStr">
        <is>
          <t>Sí</t>
        </is>
      </c>
      <c r="R1491" s="9">
        <f>IF(N1491="","",IF(Q1491="Sí",ROUND(N1491/1.18,2),N1491))</f>
        <v/>
      </c>
      <c r="S1491" s="7" t="inlineStr">
        <is>
          <t>2026-09-09</t>
        </is>
      </c>
      <c r="T1491" s="5" t="inlineStr">
        <is>
          <t>1 cotización de proveedores</t>
        </is>
      </c>
    </row>
    <row r="1492">
      <c r="A1492" s="7" t="inlineStr">
        <is>
          <t>MAT-31-055</t>
        </is>
      </c>
      <c r="B1492" s="7" t="inlineStr">
        <is>
          <t>Materiales</t>
        </is>
      </c>
      <c r="C1492" s="7" t="inlineStr">
        <is>
          <t>Domótica e intercomunicadores</t>
        </is>
      </c>
      <c r="D1492" s="5" t="inlineStr">
        <is>
          <t>Interruptor Inteligente</t>
        </is>
      </c>
      <c r="E1492" s="5" t="inlineStr">
        <is>
          <t>marca SONOFF · accesorios intelegentes · referencia MINI-R4M</t>
        </is>
      </c>
      <c r="F1492" s="5" t="inlineStr">
        <is>
          <t>Material retirado en almacén</t>
        </is>
      </c>
      <c r="G1492" s="5" t="inlineStr"/>
      <c r="H1492" s="7" t="inlineStr">
        <is>
          <t>unidad</t>
        </is>
      </c>
      <c r="I1492" s="7" t="inlineStr">
        <is>
          <t>Instalaciones</t>
        </is>
      </c>
      <c r="J1492" s="7" t="inlineStr">
        <is>
          <t>estandar</t>
        </is>
      </c>
      <c r="K1492" s="7" t="inlineStr">
        <is>
          <t>importado</t>
        </is>
      </c>
      <c r="L1492" s="7" t="inlineStr">
        <is>
          <t>Verificado</t>
        </is>
      </c>
      <c r="M1492" s="8" t="n">
        <v>1</v>
      </c>
      <c r="N1492" s="9" t="n">
        <v>1026.79</v>
      </c>
      <c r="O1492" s="9" t="n">
        <v>1026.79</v>
      </c>
      <c r="P1492" s="9" t="n">
        <v>1026.79</v>
      </c>
      <c r="Q1492" s="7" t="inlineStr">
        <is>
          <t>Sí</t>
        </is>
      </c>
      <c r="R1492" s="9">
        <f>IF(N1492="","",IF(Q1492="Sí",ROUND(N1492/1.18,2),N1492))</f>
        <v/>
      </c>
      <c r="S1492" s="7" t="inlineStr">
        <is>
          <t>2026-09-09</t>
        </is>
      </c>
      <c r="T1492" s="5" t="inlineStr">
        <is>
          <t>1 cotización de proveedores</t>
        </is>
      </c>
    </row>
    <row r="1493">
      <c r="A1493" s="7" t="inlineStr">
        <is>
          <t>MAT-31-056</t>
        </is>
      </c>
      <c r="B1493" s="7" t="inlineStr">
        <is>
          <t>Materiales</t>
        </is>
      </c>
      <c r="C1493" s="7" t="inlineStr">
        <is>
          <t>Domótica e intercomunicadores</t>
        </is>
      </c>
      <c r="D1493" s="5" t="inlineStr">
        <is>
          <t>Interruptor Wifi Multifunción</t>
        </is>
      </c>
      <c r="E1493" s="5" t="inlineStr">
        <is>
          <t>marca SONOFF · accesorios intelegentes · referencia BASICR4</t>
        </is>
      </c>
      <c r="F1493" s="5" t="inlineStr">
        <is>
          <t>Material retirado en almacén</t>
        </is>
      </c>
      <c r="G1493" s="5" t="inlineStr"/>
      <c r="H1493" s="7" t="inlineStr">
        <is>
          <t>unidad</t>
        </is>
      </c>
      <c r="I1493" s="7" t="inlineStr">
        <is>
          <t>Instalaciones</t>
        </is>
      </c>
      <c r="J1493" s="7" t="inlineStr">
        <is>
          <t>estandar</t>
        </is>
      </c>
      <c r="K1493" s="7" t="inlineStr">
        <is>
          <t>importado</t>
        </is>
      </c>
      <c r="L1493" s="7" t="inlineStr">
        <is>
          <t>Verificado</t>
        </is>
      </c>
      <c r="M1493" s="8" t="n">
        <v>1</v>
      </c>
      <c r="N1493" s="9" t="n">
        <v>1078.94</v>
      </c>
      <c r="O1493" s="9" t="n">
        <v>1078.94</v>
      </c>
      <c r="P1493" s="9" t="n">
        <v>1078.94</v>
      </c>
      <c r="Q1493" s="7" t="inlineStr">
        <is>
          <t>Sí</t>
        </is>
      </c>
      <c r="R1493" s="9">
        <f>IF(N1493="","",IF(Q1493="Sí",ROUND(N1493/1.18,2),N1493))</f>
        <v/>
      </c>
      <c r="S1493" s="7" t="inlineStr">
        <is>
          <t>2026-09-09</t>
        </is>
      </c>
      <c r="T1493" s="5" t="inlineStr">
        <is>
          <t>1 cotización de proveedores</t>
        </is>
      </c>
    </row>
    <row r="1494">
      <c r="A1494" s="7" t="inlineStr">
        <is>
          <t>MAT-31-057</t>
        </is>
      </c>
      <c r="B1494" s="7" t="inlineStr">
        <is>
          <t>Materiales</t>
        </is>
      </c>
      <c r="C1494" s="7" t="inlineStr">
        <is>
          <t>Domótica e intercomunicadores</t>
        </is>
      </c>
      <c r="D1494" s="5" t="inlineStr">
        <is>
          <t>Interruptor Wifi Sencillo Hor. blanco</t>
        </is>
      </c>
      <c r="E1494" s="5" t="inlineStr">
        <is>
          <t>marca SONOFF · accesorios intelegentes · referencia TOUCHUS</t>
        </is>
      </c>
      <c r="F1494" s="5" t="inlineStr">
        <is>
          <t>Material retirado en almacén</t>
        </is>
      </c>
      <c r="G1494" s="5" t="inlineStr"/>
      <c r="H1494" s="7" t="inlineStr">
        <is>
          <t>unidad</t>
        </is>
      </c>
      <c r="I1494" s="7" t="inlineStr">
        <is>
          <t>Instalaciones</t>
        </is>
      </c>
      <c r="J1494" s="7" t="inlineStr">
        <is>
          <t>estandar</t>
        </is>
      </c>
      <c r="K1494" s="7" t="inlineStr">
        <is>
          <t>importado</t>
        </is>
      </c>
      <c r="L1494" s="7" t="inlineStr">
        <is>
          <t>Verificado</t>
        </is>
      </c>
      <c r="M1494" s="8" t="n">
        <v>1</v>
      </c>
      <c r="N1494" s="9" t="n">
        <v>1089.61</v>
      </c>
      <c r="O1494" s="9" t="n">
        <v>1089.61</v>
      </c>
      <c r="P1494" s="9" t="n">
        <v>1089.61</v>
      </c>
      <c r="Q1494" s="7" t="inlineStr">
        <is>
          <t>Sí</t>
        </is>
      </c>
      <c r="R1494" s="9">
        <f>IF(N1494="","",IF(Q1494="Sí",ROUND(N1494/1.18,2),N1494))</f>
        <v/>
      </c>
      <c r="S1494" s="7" t="inlineStr">
        <is>
          <t>2026-09-09</t>
        </is>
      </c>
      <c r="T1494" s="5" t="inlineStr">
        <is>
          <t>1 cotización de proveedores</t>
        </is>
      </c>
    </row>
    <row r="1495">
      <c r="A1495" s="7" t="inlineStr">
        <is>
          <t>MAT-31-058</t>
        </is>
      </c>
      <c r="B1495" s="7" t="inlineStr">
        <is>
          <t>Materiales</t>
        </is>
      </c>
      <c r="C1495" s="7" t="inlineStr">
        <is>
          <t>Domótica e intercomunicadores</t>
        </is>
      </c>
      <c r="D1495" s="5" t="inlineStr">
        <is>
          <t>Interruptor Wifi Triple blanco</t>
        </is>
      </c>
      <c r="E1495" s="5" t="inlineStr">
        <is>
          <t>marca SONOFF · accesorios intelegentes · referencia T2US3C</t>
        </is>
      </c>
      <c r="F1495" s="5" t="inlineStr">
        <is>
          <t>Material retirado en almacén</t>
        </is>
      </c>
      <c r="G1495" s="5" t="inlineStr"/>
      <c r="H1495" s="7" t="inlineStr">
        <is>
          <t>unidad</t>
        </is>
      </c>
      <c r="I1495" s="7" t="inlineStr">
        <is>
          <t>Instalaciones</t>
        </is>
      </c>
      <c r="J1495" s="7" t="inlineStr">
        <is>
          <t>estandar</t>
        </is>
      </c>
      <c r="K1495" s="7" t="inlineStr">
        <is>
          <t>importado</t>
        </is>
      </c>
      <c r="L1495" s="7" t="inlineStr">
        <is>
          <t>Verificado</t>
        </is>
      </c>
      <c r="M1495" s="8" t="n">
        <v>1</v>
      </c>
      <c r="N1495" s="9" t="n">
        <v>1497.83</v>
      </c>
      <c r="O1495" s="9" t="n">
        <v>1497.83</v>
      </c>
      <c r="P1495" s="9" t="n">
        <v>1497.83</v>
      </c>
      <c r="Q1495" s="7" t="inlineStr">
        <is>
          <t>Sí</t>
        </is>
      </c>
      <c r="R1495" s="9">
        <f>IF(N1495="","",IF(Q1495="Sí",ROUND(N1495/1.18,2),N1495))</f>
        <v/>
      </c>
      <c r="S1495" s="7" t="inlineStr">
        <is>
          <t>2026-09-09</t>
        </is>
      </c>
      <c r="T1495" s="5" t="inlineStr">
        <is>
          <t>1 cotización de proveedores</t>
        </is>
      </c>
    </row>
    <row r="1496">
      <c r="A1496" s="7" t="inlineStr">
        <is>
          <t>MAT-31-059</t>
        </is>
      </c>
      <c r="B1496" s="7" t="inlineStr">
        <is>
          <t>Materiales</t>
        </is>
      </c>
      <c r="C1496" s="7" t="inlineStr">
        <is>
          <t>Domótica e intercomunicadores</t>
        </is>
      </c>
      <c r="D1496" s="5" t="inlineStr">
        <is>
          <t>Interruptor Blanco</t>
        </is>
      </c>
      <c r="E1496" s="5" t="inlineStr">
        <is>
          <t>marca SONOFF · accesorios intelegentes · referencia M5-2C-120W</t>
        </is>
      </c>
      <c r="F1496" s="5" t="inlineStr">
        <is>
          <t>Material retirado en almacén</t>
        </is>
      </c>
      <c r="G1496" s="5" t="inlineStr"/>
      <c r="H1496" s="7" t="inlineStr">
        <is>
          <t>unidad</t>
        </is>
      </c>
      <c r="I1496" s="7" t="inlineStr">
        <is>
          <t>Instalaciones</t>
        </is>
      </c>
      <c r="J1496" s="7" t="inlineStr">
        <is>
          <t>estandar</t>
        </is>
      </c>
      <c r="K1496" s="7" t="inlineStr">
        <is>
          <t>importado</t>
        </is>
      </c>
      <c r="L1496" s="7" t="inlineStr">
        <is>
          <t>Verificado</t>
        </is>
      </c>
      <c r="M1496" s="8" t="n">
        <v>1</v>
      </c>
      <c r="N1496" s="9" t="n">
        <v>1630.25</v>
      </c>
      <c r="O1496" s="9" t="n">
        <v>1508.28</v>
      </c>
      <c r="P1496" s="9" t="n">
        <v>1715.72</v>
      </c>
      <c r="Q1496" s="7" t="inlineStr">
        <is>
          <t>Sí</t>
        </is>
      </c>
      <c r="R1496" s="9">
        <f>IF(N1496="","",IF(Q1496="Sí",ROUND(N1496/1.18,2),N1496))</f>
        <v/>
      </c>
      <c r="S1496" s="7" t="inlineStr">
        <is>
          <t>2026-09-09</t>
        </is>
      </c>
      <c r="T1496" s="5" t="inlineStr">
        <is>
          <t>3 cotizaciones de proveedores</t>
        </is>
      </c>
    </row>
    <row r="1497">
      <c r="A1497" s="7" t="inlineStr">
        <is>
          <t>MAT-31-060</t>
        </is>
      </c>
      <c r="B1497" s="7" t="inlineStr">
        <is>
          <t>Materiales</t>
        </is>
      </c>
      <c r="C1497" s="7" t="inlineStr">
        <is>
          <t>Domótica e intercomunicadores</t>
        </is>
      </c>
      <c r="D1497" s="5" t="inlineStr">
        <is>
          <t>Interruptor Medidor De Potencia</t>
        </is>
      </c>
      <c r="E1497" s="5" t="inlineStr">
        <is>
          <t>marca SONOFF · accesorios intelegentes · referencia POWR320DELITE</t>
        </is>
      </c>
      <c r="F1497" s="5" t="inlineStr">
        <is>
          <t>Material retirado en almacén</t>
        </is>
      </c>
      <c r="G1497" s="5" t="inlineStr"/>
      <c r="H1497" s="7" t="inlineStr">
        <is>
          <t>unidad</t>
        </is>
      </c>
      <c r="I1497" s="7" t="inlineStr">
        <is>
          <t>Instalaciones</t>
        </is>
      </c>
      <c r="J1497" s="7" t="inlineStr">
        <is>
          <t>estandar</t>
        </is>
      </c>
      <c r="K1497" s="7" t="inlineStr">
        <is>
          <t>importado</t>
        </is>
      </c>
      <c r="L1497" s="7" t="inlineStr">
        <is>
          <t>Verificado</t>
        </is>
      </c>
      <c r="M1497" s="8" t="n">
        <v>1</v>
      </c>
      <c r="N1497" s="9" t="n">
        <v>1740.31</v>
      </c>
      <c r="O1497" s="9" t="n">
        <v>1740.31</v>
      </c>
      <c r="P1497" s="9" t="n">
        <v>1740.31</v>
      </c>
      <c r="Q1497" s="7" t="inlineStr">
        <is>
          <t>Sí</t>
        </is>
      </c>
      <c r="R1497" s="9">
        <f>IF(N1497="","",IF(Q1497="Sí",ROUND(N1497/1.18,2),N1497))</f>
        <v/>
      </c>
      <c r="S1497" s="7" t="inlineStr">
        <is>
          <t>2026-09-09</t>
        </is>
      </c>
      <c r="T1497" s="5" t="inlineStr">
        <is>
          <t>1 cotización de proveedores</t>
        </is>
      </c>
    </row>
    <row r="1498">
      <c r="A1498" s="7" t="inlineStr">
        <is>
          <t>MAT-31-061</t>
        </is>
      </c>
      <c r="B1498" s="7" t="inlineStr">
        <is>
          <t>Materiales</t>
        </is>
      </c>
      <c r="C1498" s="7" t="inlineStr">
        <is>
          <t>Domótica e intercomunicadores</t>
        </is>
      </c>
      <c r="D1498" s="5" t="inlineStr">
        <is>
          <t>Interruptor Tx Ultimate 1 Canal</t>
        </is>
      </c>
      <c r="E1498" s="5" t="inlineStr">
        <is>
          <t>marca SONOFF · accesorios intelegentes · referencia T5-1C-120</t>
        </is>
      </c>
      <c r="F1498" s="5" t="inlineStr">
        <is>
          <t>Material retirado en almacén</t>
        </is>
      </c>
      <c r="G1498" s="5" t="inlineStr"/>
      <c r="H1498" s="7" t="inlineStr">
        <is>
          <t>unidad</t>
        </is>
      </c>
      <c r="I1498" s="7" t="inlineStr">
        <is>
          <t>Instalaciones</t>
        </is>
      </c>
      <c r="J1498" s="7" t="inlineStr">
        <is>
          <t>estandar</t>
        </is>
      </c>
      <c r="K1498" s="7" t="inlineStr">
        <is>
          <t>importado</t>
        </is>
      </c>
      <c r="L1498" s="7" t="inlineStr">
        <is>
          <t>Verificado</t>
        </is>
      </c>
      <c r="M1498" s="8" t="n">
        <v>1</v>
      </c>
      <c r="N1498" s="9" t="n">
        <v>2008.71</v>
      </c>
      <c r="O1498" s="9" t="n">
        <v>2008.71</v>
      </c>
      <c r="P1498" s="9" t="n">
        <v>2008.71</v>
      </c>
      <c r="Q1498" s="7" t="inlineStr">
        <is>
          <t>Sí</t>
        </is>
      </c>
      <c r="R1498" s="9">
        <f>IF(N1498="","",IF(Q1498="Sí",ROUND(N1498/1.18,2),N1498))</f>
        <v/>
      </c>
      <c r="S1498" s="7" t="inlineStr">
        <is>
          <t>2026-09-09</t>
        </is>
      </c>
      <c r="T1498" s="5" t="inlineStr">
        <is>
          <t>1 cotización de proveedores</t>
        </is>
      </c>
    </row>
    <row r="1499">
      <c r="A1499" s="7" t="inlineStr">
        <is>
          <t>MAT-31-062</t>
        </is>
      </c>
      <c r="B1499" s="7" t="inlineStr">
        <is>
          <t>Materiales</t>
        </is>
      </c>
      <c r="C1499" s="7" t="inlineStr">
        <is>
          <t>Domótica e intercomunicadores</t>
        </is>
      </c>
      <c r="D1499" s="5" t="inlineStr">
        <is>
          <t>Interruptor Tx Ultimate 2 Canales</t>
        </is>
      </c>
      <c r="E1499" s="5" t="inlineStr">
        <is>
          <t>marca SONOFF · accesorios intelegentes · referencia T5-2C-120</t>
        </is>
      </c>
      <c r="F1499" s="5" t="inlineStr">
        <is>
          <t>Material retirado en almacén</t>
        </is>
      </c>
      <c r="G1499" s="5" t="inlineStr"/>
      <c r="H1499" s="7" t="inlineStr">
        <is>
          <t>unidad</t>
        </is>
      </c>
      <c r="I1499" s="7" t="inlineStr">
        <is>
          <t>Instalaciones</t>
        </is>
      </c>
      <c r="J1499" s="7" t="inlineStr">
        <is>
          <t>estandar</t>
        </is>
      </c>
      <c r="K1499" s="7" t="inlineStr">
        <is>
          <t>importado</t>
        </is>
      </c>
      <c r="L1499" s="7" t="inlineStr">
        <is>
          <t>Verificado</t>
        </is>
      </c>
      <c r="M1499" s="8" t="n">
        <v>1</v>
      </c>
      <c r="N1499" s="9" t="n">
        <v>2054.7</v>
      </c>
      <c r="O1499" s="9" t="n">
        <v>2054.7</v>
      </c>
      <c r="P1499" s="9" t="n">
        <v>2054.7</v>
      </c>
      <c r="Q1499" s="7" t="inlineStr">
        <is>
          <t>Sí</t>
        </is>
      </c>
      <c r="R1499" s="9">
        <f>IF(N1499="","",IF(Q1499="Sí",ROUND(N1499/1.18,2),N1499))</f>
        <v/>
      </c>
      <c r="S1499" s="7" t="inlineStr">
        <is>
          <t>2026-09-09</t>
        </is>
      </c>
      <c r="T1499" s="5" t="inlineStr">
        <is>
          <t>1 cotización de proveedores</t>
        </is>
      </c>
    </row>
    <row r="1500">
      <c r="A1500" s="7" t="inlineStr">
        <is>
          <t>MAT-31-063</t>
        </is>
      </c>
      <c r="B1500" s="7" t="inlineStr">
        <is>
          <t>Materiales</t>
        </is>
      </c>
      <c r="C1500" s="7" t="inlineStr">
        <is>
          <t>Domótica e intercomunicadores</t>
        </is>
      </c>
      <c r="D1500" s="5" t="inlineStr">
        <is>
          <t>Tomacorriente Smart Zigbee 15A 125V</t>
        </is>
      </c>
      <c r="E1500" s="5" t="inlineStr">
        <is>
          <t>marca AQARA · accesorios intelegentes · referencia ZNCZ12LM</t>
        </is>
      </c>
      <c r="F1500" s="5" t="inlineStr">
        <is>
          <t>Material retirado en almacén</t>
        </is>
      </c>
      <c r="G1500" s="5" t="inlineStr"/>
      <c r="H1500" s="7" t="inlineStr">
        <is>
          <t>unidad</t>
        </is>
      </c>
      <c r="I1500" s="7" t="inlineStr">
        <is>
          <t>Instalaciones</t>
        </is>
      </c>
      <c r="J1500" s="7" t="inlineStr">
        <is>
          <t>estandar</t>
        </is>
      </c>
      <c r="K1500" s="7" t="inlineStr">
        <is>
          <t>importado</t>
        </is>
      </c>
      <c r="L1500" s="7" t="inlineStr">
        <is>
          <t>Verificado</t>
        </is>
      </c>
      <c r="M1500" s="8" t="n">
        <v>1</v>
      </c>
      <c r="N1500" s="9" t="n">
        <v>2368.55</v>
      </c>
      <c r="O1500" s="9" t="n">
        <v>2368.55</v>
      </c>
      <c r="P1500" s="9" t="n">
        <v>2368.55</v>
      </c>
      <c r="Q1500" s="7" t="inlineStr">
        <is>
          <t>Sí</t>
        </is>
      </c>
      <c r="R1500" s="9">
        <f>IF(N1500="","",IF(Q1500="Sí",ROUND(N1500/1.18,2),N1500))</f>
        <v/>
      </c>
      <c r="S1500" s="7" t="inlineStr">
        <is>
          <t>2026-09-09</t>
        </is>
      </c>
      <c r="T1500" s="5" t="inlineStr">
        <is>
          <t>1 cotización de proveedores</t>
        </is>
      </c>
    </row>
    <row r="1501">
      <c r="A1501" s="7" t="inlineStr">
        <is>
          <t>MAT-31-064</t>
        </is>
      </c>
      <c r="B1501" s="7" t="inlineStr">
        <is>
          <t>Materiales</t>
        </is>
      </c>
      <c r="C1501" s="7" t="inlineStr">
        <is>
          <t>Domótica e intercomunicadores</t>
        </is>
      </c>
      <c r="D1501" s="5" t="inlineStr">
        <is>
          <t>Interruptor Wifi para Abanico con Bateria</t>
        </is>
      </c>
      <c r="E1501" s="5" t="inlineStr">
        <is>
          <t>marca SONOFF · accesorios intelegentes · referencia IFAN04-L</t>
        </is>
      </c>
      <c r="F1501" s="5" t="inlineStr">
        <is>
          <t>Material retirado en almacén</t>
        </is>
      </c>
      <c r="G1501" s="5" t="inlineStr"/>
      <c r="H1501" s="7" t="inlineStr">
        <is>
          <t>unidad</t>
        </is>
      </c>
      <c r="I1501" s="7" t="inlineStr">
        <is>
          <t>Instalaciones</t>
        </is>
      </c>
      <c r="J1501" s="7" t="inlineStr">
        <is>
          <t>estandar</t>
        </is>
      </c>
      <c r="K1501" s="7" t="inlineStr">
        <is>
          <t>importado</t>
        </is>
      </c>
      <c r="L1501" s="7" t="inlineStr">
        <is>
          <t>Verificado</t>
        </is>
      </c>
      <c r="M1501" s="8" t="n">
        <v>1</v>
      </c>
      <c r="N1501" s="9" t="n">
        <v>2372.05</v>
      </c>
      <c r="O1501" s="9" t="n">
        <v>2372.05</v>
      </c>
      <c r="P1501" s="9" t="n">
        <v>2372.05</v>
      </c>
      <c r="Q1501" s="7" t="inlineStr">
        <is>
          <t>Sí</t>
        </is>
      </c>
      <c r="R1501" s="9">
        <f>IF(N1501="","",IF(Q1501="Sí",ROUND(N1501/1.18,2),N1501))</f>
        <v/>
      </c>
      <c r="S1501" s="7" t="inlineStr">
        <is>
          <t>2026-09-09</t>
        </is>
      </c>
      <c r="T1501" s="5" t="inlineStr">
        <is>
          <t>1 cotización de proveedores</t>
        </is>
      </c>
    </row>
    <row r="1502">
      <c r="A1502" s="7" t="inlineStr">
        <is>
          <t>MAT-31-065</t>
        </is>
      </c>
      <c r="B1502" s="7" t="inlineStr">
        <is>
          <t>Materiales</t>
        </is>
      </c>
      <c r="C1502" s="7" t="inlineStr">
        <is>
          <t>Domótica e intercomunicadores</t>
        </is>
      </c>
      <c r="D1502" s="5" t="inlineStr">
        <is>
          <t>Interruptor Doble con Neutro 120V Blanco</t>
        </is>
      </c>
      <c r="E1502" s="5" t="inlineStr">
        <is>
          <t>marca AQARA · accesorios intelegentes · referencia WS-USC04</t>
        </is>
      </c>
      <c r="F1502" s="5" t="inlineStr">
        <is>
          <t>Material retirado en almacén</t>
        </is>
      </c>
      <c r="G1502" s="5" t="inlineStr"/>
      <c r="H1502" s="7" t="inlineStr">
        <is>
          <t>unidad</t>
        </is>
      </c>
      <c r="I1502" s="7" t="inlineStr">
        <is>
          <t>Instalaciones</t>
        </is>
      </c>
      <c r="J1502" s="7" t="inlineStr">
        <is>
          <t>estandar</t>
        </is>
      </c>
      <c r="K1502" s="7" t="inlineStr">
        <is>
          <t>importado</t>
        </is>
      </c>
      <c r="L1502" s="7" t="inlineStr">
        <is>
          <t>Verificado</t>
        </is>
      </c>
      <c r="M1502" s="8" t="n">
        <v>1</v>
      </c>
      <c r="N1502" s="9" t="n">
        <v>2743.31</v>
      </c>
      <c r="O1502" s="9" t="n">
        <v>2743.31</v>
      </c>
      <c r="P1502" s="9" t="n">
        <v>2743.31</v>
      </c>
      <c r="Q1502" s="7" t="inlineStr">
        <is>
          <t>Sí</t>
        </is>
      </c>
      <c r="R1502" s="9">
        <f>IF(N1502="","",IF(Q1502="Sí",ROUND(N1502/1.18,2),N1502))</f>
        <v/>
      </c>
      <c r="S1502" s="7" t="inlineStr">
        <is>
          <t>2026-09-09</t>
        </is>
      </c>
      <c r="T1502" s="5" t="inlineStr">
        <is>
          <t>1 cotización de proveedores</t>
        </is>
      </c>
    </row>
    <row r="1503">
      <c r="A1503" s="7" t="inlineStr">
        <is>
          <t>MAT-31-066</t>
        </is>
      </c>
      <c r="B1503" s="7" t="inlineStr">
        <is>
          <t>Materiales</t>
        </is>
      </c>
      <c r="C1503" s="7" t="inlineStr">
        <is>
          <t>Domótica e intercomunicadores</t>
        </is>
      </c>
      <c r="D1503" s="5" t="inlineStr">
        <is>
          <t>Interruptor Doble Sin Neutro 120V Blanco</t>
        </is>
      </c>
      <c r="E1503" s="5" t="inlineStr">
        <is>
          <t>marca AQARA · accesorios intelegentes · referencia WS-USC02</t>
        </is>
      </c>
      <c r="F1503" s="5" t="inlineStr">
        <is>
          <t>Material retirado en almacén</t>
        </is>
      </c>
      <c r="G1503" s="5" t="inlineStr"/>
      <c r="H1503" s="7" t="inlineStr">
        <is>
          <t>unidad</t>
        </is>
      </c>
      <c r="I1503" s="7" t="inlineStr">
        <is>
          <t>Instalaciones</t>
        </is>
      </c>
      <c r="J1503" s="7" t="inlineStr">
        <is>
          <t>estandar</t>
        </is>
      </c>
      <c r="K1503" s="7" t="inlineStr">
        <is>
          <t>importado</t>
        </is>
      </c>
      <c r="L1503" s="7" t="inlineStr">
        <is>
          <t>Verificado</t>
        </is>
      </c>
      <c r="M1503" s="8" t="n">
        <v>1</v>
      </c>
      <c r="N1503" s="9" t="n">
        <v>2743.31</v>
      </c>
      <c r="O1503" s="9" t="n">
        <v>2743.31</v>
      </c>
      <c r="P1503" s="9" t="n">
        <v>2743.31</v>
      </c>
      <c r="Q1503" s="7" t="inlineStr">
        <is>
          <t>Sí</t>
        </is>
      </c>
      <c r="R1503" s="9">
        <f>IF(N1503="","",IF(Q1503="Sí",ROUND(N1503/1.18,2),N1503))</f>
        <v/>
      </c>
      <c r="S1503" s="7" t="inlineStr">
        <is>
          <t>2026-09-09</t>
        </is>
      </c>
      <c r="T1503" s="5" t="inlineStr">
        <is>
          <t>1 cotización de proveedores</t>
        </is>
      </c>
    </row>
    <row r="1504">
      <c r="A1504" s="7" t="inlineStr">
        <is>
          <t>MAT-31-067</t>
        </is>
      </c>
      <c r="B1504" s="7" t="inlineStr">
        <is>
          <t>Materiales</t>
        </is>
      </c>
      <c r="C1504" s="7" t="inlineStr">
        <is>
          <t>Domótica e intercomunicadores</t>
        </is>
      </c>
      <c r="D1504" s="5" t="inlineStr">
        <is>
          <t>Interruptor Simple con Neutro 120V Blanco</t>
        </is>
      </c>
      <c r="E1504" s="5" t="inlineStr">
        <is>
          <t>marca AQARA · accesorios intelegentes · referencia WS-USC03</t>
        </is>
      </c>
      <c r="F1504" s="5" t="inlineStr">
        <is>
          <t>Material retirado en almacén</t>
        </is>
      </c>
      <c r="G1504" s="5" t="inlineStr"/>
      <c r="H1504" s="7" t="inlineStr">
        <is>
          <t>unidad</t>
        </is>
      </c>
      <c r="I1504" s="7" t="inlineStr">
        <is>
          <t>Instalaciones</t>
        </is>
      </c>
      <c r="J1504" s="7" t="inlineStr">
        <is>
          <t>estandar</t>
        </is>
      </c>
      <c r="K1504" s="7" t="inlineStr">
        <is>
          <t>importado</t>
        </is>
      </c>
      <c r="L1504" s="7" t="inlineStr">
        <is>
          <t>Verificado</t>
        </is>
      </c>
      <c r="M1504" s="8" t="n">
        <v>1</v>
      </c>
      <c r="N1504" s="9" t="n">
        <v>2892.27</v>
      </c>
      <c r="O1504" s="9" t="n">
        <v>2892.27</v>
      </c>
      <c r="P1504" s="9" t="n">
        <v>2892.27</v>
      </c>
      <c r="Q1504" s="7" t="inlineStr">
        <is>
          <t>Sí</t>
        </is>
      </c>
      <c r="R1504" s="9">
        <f>IF(N1504="","",IF(Q1504="Sí",ROUND(N1504/1.18,2),N1504))</f>
        <v/>
      </c>
      <c r="S1504" s="7" t="inlineStr">
        <is>
          <t>2026-09-09</t>
        </is>
      </c>
      <c r="T1504" s="5" t="inlineStr">
        <is>
          <t>1 cotización de proveedores</t>
        </is>
      </c>
    </row>
    <row r="1505">
      <c r="A1505" s="7" t="inlineStr">
        <is>
          <t>MAT-31-068</t>
        </is>
      </c>
      <c r="B1505" s="7" t="inlineStr">
        <is>
          <t>Materiales</t>
        </is>
      </c>
      <c r="C1505" s="7" t="inlineStr">
        <is>
          <t>Domótica e intercomunicadores</t>
        </is>
      </c>
      <c r="D1505" s="5" t="inlineStr">
        <is>
          <t>Interrupto Simple Sin Neutro 120V Blanco</t>
        </is>
      </c>
      <c r="E1505" s="5" t="inlineStr">
        <is>
          <t>marca AQARA · accesorios intelegentes · referencia WS-USC01</t>
        </is>
      </c>
      <c r="F1505" s="5" t="inlineStr">
        <is>
          <t>Material retirado en almacén</t>
        </is>
      </c>
      <c r="G1505" s="5" t="inlineStr"/>
      <c r="H1505" s="7" t="inlineStr">
        <is>
          <t>unidad</t>
        </is>
      </c>
      <c r="I1505" s="7" t="inlineStr">
        <is>
          <t>Instalaciones</t>
        </is>
      </c>
      <c r="J1505" s="7" t="inlineStr">
        <is>
          <t>estandar</t>
        </is>
      </c>
      <c r="K1505" s="7" t="inlineStr">
        <is>
          <t>importado</t>
        </is>
      </c>
      <c r="L1505" s="7" t="inlineStr">
        <is>
          <t>Verificado</t>
        </is>
      </c>
      <c r="M1505" s="8" t="n">
        <v>1</v>
      </c>
      <c r="N1505" s="9" t="n">
        <v>2958.46</v>
      </c>
      <c r="O1505" s="9" t="n">
        <v>2958.46</v>
      </c>
      <c r="P1505" s="9" t="n">
        <v>2958.46</v>
      </c>
      <c r="Q1505" s="7" t="inlineStr">
        <is>
          <t>Sí</t>
        </is>
      </c>
      <c r="R1505" s="9">
        <f>IF(N1505="","",IF(Q1505="Sí",ROUND(N1505/1.18,2),N1505))</f>
        <v/>
      </c>
      <c r="S1505" s="7" t="inlineStr">
        <is>
          <t>2026-09-09</t>
        </is>
      </c>
      <c r="T1505" s="5" t="inlineStr">
        <is>
          <t>1 cotización de proveedores</t>
        </is>
      </c>
    </row>
    <row r="1506">
      <c r="A1506" s="7" t="inlineStr">
        <is>
          <t>MAT-31-069</t>
        </is>
      </c>
      <c r="B1506" s="7" t="inlineStr">
        <is>
          <t>Materiales</t>
        </is>
      </c>
      <c r="C1506" s="7" t="inlineStr">
        <is>
          <t>Domótica e intercomunicadores</t>
        </is>
      </c>
      <c r="D1506" s="5" t="inlineStr">
        <is>
          <t>Int. Timer Smart Home 16A</t>
        </is>
      </c>
      <c r="E1506" s="5" t="inlineStr">
        <is>
          <t>marca SWITCH BEE · accesorios intelegentes · referencia G2-CW-PT</t>
        </is>
      </c>
      <c r="F1506" s="5" t="inlineStr">
        <is>
          <t>Material retirado en almacén</t>
        </is>
      </c>
      <c r="G1506" s="5" t="inlineStr"/>
      <c r="H1506" s="7" t="inlineStr">
        <is>
          <t>unidad</t>
        </is>
      </c>
      <c r="I1506" s="7" t="inlineStr">
        <is>
          <t>Instalaciones</t>
        </is>
      </c>
      <c r="J1506" s="7" t="inlineStr">
        <is>
          <t>estandar</t>
        </is>
      </c>
      <c r="K1506" s="7" t="inlineStr">
        <is>
          <t>importado</t>
        </is>
      </c>
      <c r="L1506" s="7" t="inlineStr">
        <is>
          <t>Verificado</t>
        </is>
      </c>
      <c r="M1506" s="8" t="n">
        <v>1</v>
      </c>
      <c r="N1506" s="9" t="n">
        <v>5359.63</v>
      </c>
      <c r="O1506" s="9" t="n">
        <v>5359.63</v>
      </c>
      <c r="P1506" s="9" t="n">
        <v>5359.63</v>
      </c>
      <c r="Q1506" s="7" t="inlineStr">
        <is>
          <t>Sí</t>
        </is>
      </c>
      <c r="R1506" s="9">
        <f>IF(N1506="","",IF(Q1506="Sí",ROUND(N1506/1.18,2),N1506))</f>
        <v/>
      </c>
      <c r="S1506" s="7" t="inlineStr">
        <is>
          <t>2026-09-09</t>
        </is>
      </c>
      <c r="T1506" s="5" t="inlineStr">
        <is>
          <t>1 cotización de proveedores</t>
        </is>
      </c>
    </row>
    <row r="1507">
      <c r="A1507" s="7" t="inlineStr">
        <is>
          <t>MAT-31-070</t>
        </is>
      </c>
      <c r="B1507" s="7" t="inlineStr">
        <is>
          <t>Materiales</t>
        </is>
      </c>
      <c r="C1507" s="7" t="inlineStr">
        <is>
          <t>Domótica e intercomunicadores</t>
        </is>
      </c>
      <c r="D1507" s="5" t="inlineStr">
        <is>
          <t>Shutter+ Switch 2 Way</t>
        </is>
      </c>
      <c r="E1507" s="5" t="inlineStr">
        <is>
          <t>marca SWITCH BEE · accesorios intelegentes · referencia 3-M-SSR</t>
        </is>
      </c>
      <c r="F1507" s="5" t="inlineStr">
        <is>
          <t>Material retirado en almacén</t>
        </is>
      </c>
      <c r="G1507" s="5" t="inlineStr"/>
      <c r="H1507" s="7" t="inlineStr">
        <is>
          <t>unidad</t>
        </is>
      </c>
      <c r="I1507" s="7" t="inlineStr">
        <is>
          <t>Instalaciones</t>
        </is>
      </c>
      <c r="J1507" s="7" t="inlineStr">
        <is>
          <t>estandar</t>
        </is>
      </c>
      <c r="K1507" s="7" t="inlineStr">
        <is>
          <t>importado</t>
        </is>
      </c>
      <c r="L1507" s="7" t="inlineStr">
        <is>
          <t>Verificado</t>
        </is>
      </c>
      <c r="M1507" s="8" t="n">
        <v>1</v>
      </c>
      <c r="N1507" s="9" t="n">
        <v>5359.63</v>
      </c>
      <c r="O1507" s="9" t="n">
        <v>5359.63</v>
      </c>
      <c r="P1507" s="9" t="n">
        <v>5359.63</v>
      </c>
      <c r="Q1507" s="7" t="inlineStr">
        <is>
          <t>Sí</t>
        </is>
      </c>
      <c r="R1507" s="9">
        <f>IF(N1507="","",IF(Q1507="Sí",ROUND(N1507/1.18,2),N1507))</f>
        <v/>
      </c>
      <c r="S1507" s="7" t="inlineStr">
        <is>
          <t>2026-09-09</t>
        </is>
      </c>
      <c r="T1507" s="5" t="inlineStr">
        <is>
          <t>1 cotización de proveedores</t>
        </is>
      </c>
    </row>
    <row r="1508">
      <c r="A1508" s="7" t="inlineStr">
        <is>
          <t>MAT-31-071</t>
        </is>
      </c>
      <c r="B1508" s="7" t="inlineStr">
        <is>
          <t>Materiales</t>
        </is>
      </c>
      <c r="C1508" s="7" t="inlineStr">
        <is>
          <t>Domótica e intercomunicadores</t>
        </is>
      </c>
      <c r="D1508" s="5" t="inlineStr">
        <is>
          <t>Toma Cte Inteligente Smat Home</t>
        </is>
      </c>
      <c r="E1508" s="5" t="inlineStr">
        <is>
          <t>marca SWITCH BEE · accesorios intelegentes · referencia IR-SK-R16</t>
        </is>
      </c>
      <c r="F1508" s="5" t="inlineStr">
        <is>
          <t>Material retirado en almacén</t>
        </is>
      </c>
      <c r="G1508" s="5" t="inlineStr"/>
      <c r="H1508" s="7" t="inlineStr">
        <is>
          <t>unidad</t>
        </is>
      </c>
      <c r="I1508" s="7" t="inlineStr">
        <is>
          <t>Instalaciones</t>
        </is>
      </c>
      <c r="J1508" s="7" t="inlineStr">
        <is>
          <t>estandar</t>
        </is>
      </c>
      <c r="K1508" s="7" t="inlineStr">
        <is>
          <t>importado</t>
        </is>
      </c>
      <c r="L1508" s="7" t="inlineStr">
        <is>
          <t>Verificado</t>
        </is>
      </c>
      <c r="M1508" s="8" t="n">
        <v>1</v>
      </c>
      <c r="N1508" s="9" t="n">
        <v>5359.63</v>
      </c>
      <c r="O1508" s="9" t="n">
        <v>5359.63</v>
      </c>
      <c r="P1508" s="9" t="n">
        <v>5359.63</v>
      </c>
      <c r="Q1508" s="7" t="inlineStr">
        <is>
          <t>Sí</t>
        </is>
      </c>
      <c r="R1508" s="9">
        <f>IF(N1508="","",IF(Q1508="Sí",ROUND(N1508/1.18,2),N1508))</f>
        <v/>
      </c>
      <c r="S1508" s="7" t="inlineStr">
        <is>
          <t>2026-09-09</t>
        </is>
      </c>
      <c r="T1508" s="5" t="inlineStr">
        <is>
          <t>1 cotización de proveedores</t>
        </is>
      </c>
    </row>
    <row r="1509">
      <c r="A1509" s="7" t="inlineStr">
        <is>
          <t>MAT-31-072</t>
        </is>
      </c>
      <c r="B1509" s="7" t="inlineStr">
        <is>
          <t>Materiales</t>
        </is>
      </c>
      <c r="C1509" s="7" t="inlineStr">
        <is>
          <t>Domótica e intercomunicadores</t>
        </is>
      </c>
      <c r="D1509" s="5" t="inlineStr">
        <is>
          <t>Interior Triple Smart Home 10A</t>
        </is>
      </c>
      <c r="E1509" s="5" t="inlineStr">
        <is>
          <t>marca SWITCH BEE · accesorios intelegentes · referencia G3-CW-S3</t>
        </is>
      </c>
      <c r="F1509" s="5" t="inlineStr">
        <is>
          <t>Material retirado en almacén</t>
        </is>
      </c>
      <c r="G1509" s="5" t="inlineStr"/>
      <c r="H1509" s="7" t="inlineStr">
        <is>
          <t>unidad</t>
        </is>
      </c>
      <c r="I1509" s="7" t="inlineStr">
        <is>
          <t>Instalaciones</t>
        </is>
      </c>
      <c r="J1509" s="7" t="inlineStr">
        <is>
          <t>estandar</t>
        </is>
      </c>
      <c r="K1509" s="7" t="inlineStr">
        <is>
          <t>importado</t>
        </is>
      </c>
      <c r="L1509" s="7" t="inlineStr">
        <is>
          <t>Verificado</t>
        </is>
      </c>
      <c r="M1509" s="8" t="n">
        <v>1</v>
      </c>
      <c r="N1509" s="9" t="n">
        <v>7656.61</v>
      </c>
      <c r="O1509" s="9" t="n">
        <v>7656.61</v>
      </c>
      <c r="P1509" s="9" t="n">
        <v>7656.61</v>
      </c>
      <c r="Q1509" s="7" t="inlineStr">
        <is>
          <t>Sí</t>
        </is>
      </c>
      <c r="R1509" s="9">
        <f>IF(N1509="","",IF(Q1509="Sí",ROUND(N1509/1.18,2),N1509))</f>
        <v/>
      </c>
      <c r="S1509" s="7" t="inlineStr">
        <is>
          <t>2026-09-09</t>
        </is>
      </c>
      <c r="T1509" s="5" t="inlineStr">
        <is>
          <t>1 cotización de proveedores</t>
        </is>
      </c>
    </row>
    <row r="1510">
      <c r="A1510" s="7" t="inlineStr">
        <is>
          <t>MAT-31-073</t>
        </is>
      </c>
      <c r="B1510" s="7" t="inlineStr">
        <is>
          <t>Materiales</t>
        </is>
      </c>
      <c r="C1510" s="7" t="inlineStr">
        <is>
          <t>Domótica e intercomunicadores</t>
        </is>
      </c>
      <c r="D1510" s="5" t="inlineStr">
        <is>
          <t>Microfluxa S. Dimmer 0-10V 1 Out</t>
        </is>
      </c>
      <c r="E1510" s="5" t="inlineStr">
        <is>
          <t>marca MASTER · accesorios intelegentes · referencia HL61000</t>
        </is>
      </c>
      <c r="F1510" s="5" t="inlineStr">
        <is>
          <t>Material retirado en almacén</t>
        </is>
      </c>
      <c r="G1510" s="5" t="inlineStr"/>
      <c r="H1510" s="7" t="inlineStr">
        <is>
          <t>unidad</t>
        </is>
      </c>
      <c r="I1510" s="7" t="inlineStr">
        <is>
          <t>Instalaciones</t>
        </is>
      </c>
      <c r="J1510" s="7" t="inlineStr">
        <is>
          <t>estandar</t>
        </is>
      </c>
      <c r="K1510" s="7" t="inlineStr">
        <is>
          <t>importado</t>
        </is>
      </c>
      <c r="L1510" s="7" t="inlineStr">
        <is>
          <t>Verificado</t>
        </is>
      </c>
      <c r="M1510" s="8" t="n">
        <v>1</v>
      </c>
      <c r="N1510" s="9" t="n">
        <v>7806.53</v>
      </c>
      <c r="O1510" s="9" t="n">
        <v>7806.53</v>
      </c>
      <c r="P1510" s="9" t="n">
        <v>7806.53</v>
      </c>
      <c r="Q1510" s="7" t="inlineStr">
        <is>
          <t>Sí</t>
        </is>
      </c>
      <c r="R1510" s="9">
        <f>IF(N1510="","",IF(Q1510="Sí",ROUND(N1510/1.18,2),N1510))</f>
        <v/>
      </c>
      <c r="S1510" s="7" t="inlineStr">
        <is>
          <t>2026-09-09</t>
        </is>
      </c>
      <c r="T1510" s="5" t="inlineStr">
        <is>
          <t>1 cotización de proveedores</t>
        </is>
      </c>
    </row>
    <row r="1511">
      <c r="A1511" s="7" t="inlineStr">
        <is>
          <t>MAT-31-074</t>
        </is>
      </c>
      <c r="B1511" s="7" t="inlineStr">
        <is>
          <t>Materiales</t>
        </is>
      </c>
      <c r="C1511" s="7" t="inlineStr">
        <is>
          <t>Domótica e intercomunicadores</t>
        </is>
      </c>
      <c r="D1511" s="5" t="inlineStr">
        <is>
          <t>Capacitor 275V 0.5 Mf</t>
        </is>
      </c>
      <c r="E1511" s="5" t="inlineStr">
        <is>
          <t>marca SWITCH BEE · accesorios intelegentes · referencia CAPBLINK</t>
        </is>
      </c>
      <c r="F1511" s="5" t="inlineStr">
        <is>
          <t>Material retirado en almacén</t>
        </is>
      </c>
      <c r="G1511" s="5" t="inlineStr"/>
      <c r="H1511" s="7" t="inlineStr">
        <is>
          <t>unidad</t>
        </is>
      </c>
      <c r="I1511" s="7" t="inlineStr">
        <is>
          <t>Instalaciones</t>
        </is>
      </c>
      <c r="J1511" s="7" t="inlineStr">
        <is>
          <t>estandar</t>
        </is>
      </c>
      <c r="K1511" s="7" t="inlineStr">
        <is>
          <t>importado</t>
        </is>
      </c>
      <c r="L1511" s="7" t="inlineStr">
        <is>
          <t>Verificado</t>
        </is>
      </c>
      <c r="M1511" s="8" t="n">
        <v>1</v>
      </c>
      <c r="N1511" s="9" t="n">
        <v>28.95</v>
      </c>
      <c r="O1511" s="9" t="n">
        <v>28.95</v>
      </c>
      <c r="P1511" s="9" t="n">
        <v>28.95</v>
      </c>
      <c r="Q1511" s="7" t="inlineStr">
        <is>
          <t>Sí</t>
        </is>
      </c>
      <c r="R1511" s="9">
        <f>IF(N1511="","",IF(Q1511="Sí",ROUND(N1511/1.18,2),N1511))</f>
        <v/>
      </c>
      <c r="S1511" s="7" t="inlineStr">
        <is>
          <t>2026-09-09</t>
        </is>
      </c>
      <c r="T1511" s="5" t="inlineStr">
        <is>
          <t>1 cotización de proveedores</t>
        </is>
      </c>
    </row>
    <row r="1512">
      <c r="A1512" s="7" t="inlineStr">
        <is>
          <t>MAT-31-075</t>
        </is>
      </c>
      <c r="B1512" s="7" t="inlineStr">
        <is>
          <t>Materiales</t>
        </is>
      </c>
      <c r="C1512" s="7" t="inlineStr">
        <is>
          <t>Domótica e intercomunicadores</t>
        </is>
      </c>
      <c r="D1512" s="5" t="inlineStr">
        <is>
          <t>Power Supply 12 Vdc 100-260 Vac</t>
        </is>
      </c>
      <c r="E1512" s="5" t="inlineStr">
        <is>
          <t>marca DAHUA · accesorios intelegentes · referencia ES516N110VAC</t>
        </is>
      </c>
      <c r="F1512" s="5" t="inlineStr">
        <is>
          <t>Material retirado en almacén</t>
        </is>
      </c>
      <c r="G1512" s="5" t="inlineStr"/>
      <c r="H1512" s="7" t="inlineStr">
        <is>
          <t>unidad</t>
        </is>
      </c>
      <c r="I1512" s="7" t="inlineStr">
        <is>
          <t>Instalaciones</t>
        </is>
      </c>
      <c r="J1512" s="7" t="inlineStr">
        <is>
          <t>estandar</t>
        </is>
      </c>
      <c r="K1512" s="7" t="inlineStr">
        <is>
          <t>importado</t>
        </is>
      </c>
      <c r="L1512" s="7" t="inlineStr">
        <is>
          <t>Verificado</t>
        </is>
      </c>
      <c r="M1512" s="8" t="n">
        <v>1</v>
      </c>
      <c r="N1512" s="9" t="n">
        <v>1111.78</v>
      </c>
      <c r="O1512" s="9" t="n">
        <v>1111.78</v>
      </c>
      <c r="P1512" s="9" t="n">
        <v>1111.78</v>
      </c>
      <c r="Q1512" s="7" t="inlineStr">
        <is>
          <t>Sí</t>
        </is>
      </c>
      <c r="R1512" s="9">
        <f>IF(N1512="","",IF(Q1512="Sí",ROUND(N1512/1.18,2),N1512))</f>
        <v/>
      </c>
      <c r="S1512" s="7" t="inlineStr">
        <is>
          <t>2026-09-09</t>
        </is>
      </c>
      <c r="T1512" s="5" t="inlineStr">
        <is>
          <t>1 cotización de proveedores</t>
        </is>
      </c>
    </row>
    <row r="1513">
      <c r="A1513" s="7" t="inlineStr">
        <is>
          <t>MAT-31-076</t>
        </is>
      </c>
      <c r="B1513" s="7" t="inlineStr">
        <is>
          <t>Materiales</t>
        </is>
      </c>
      <c r="C1513" s="7" t="inlineStr">
        <is>
          <t>Domótica e intercomunicadores</t>
        </is>
      </c>
      <c r="D1513" s="5" t="inlineStr">
        <is>
          <t>Fuente Alimentador 12V 4A 4 Mod</t>
        </is>
      </c>
      <c r="E1513" s="5" t="inlineStr">
        <is>
          <t>marca MASTER · accesorios intelegentes · referencia HA06000-DIN</t>
        </is>
      </c>
      <c r="F1513" s="5" t="inlineStr">
        <is>
          <t>Material retirado en almacén</t>
        </is>
      </c>
      <c r="G1513" s="5" t="inlineStr"/>
      <c r="H1513" s="7" t="inlineStr">
        <is>
          <t>unidad</t>
        </is>
      </c>
      <c r="I1513" s="7" t="inlineStr">
        <is>
          <t>Instalaciones</t>
        </is>
      </c>
      <c r="J1513" s="7" t="inlineStr">
        <is>
          <t>estandar</t>
        </is>
      </c>
      <c r="K1513" s="7" t="inlineStr">
        <is>
          <t>importado</t>
        </is>
      </c>
      <c r="L1513" s="7" t="inlineStr">
        <is>
          <t>Verificado</t>
        </is>
      </c>
      <c r="M1513" s="8" t="n">
        <v>1</v>
      </c>
      <c r="N1513" s="9" t="n">
        <v>4514.34</v>
      </c>
      <c r="O1513" s="9" t="n">
        <v>4514.34</v>
      </c>
      <c r="P1513" s="9" t="n">
        <v>4514.34</v>
      </c>
      <c r="Q1513" s="7" t="inlineStr">
        <is>
          <t>Sí</t>
        </is>
      </c>
      <c r="R1513" s="9">
        <f>IF(N1513="","",IF(Q1513="Sí",ROUND(N1513/1.18,2),N1513))</f>
        <v/>
      </c>
      <c r="S1513" s="7" t="inlineStr">
        <is>
          <t>2026-09-09</t>
        </is>
      </c>
      <c r="T1513" s="5" t="inlineStr">
        <is>
          <t>1 cotización de proveedores</t>
        </is>
      </c>
    </row>
    <row r="1514">
      <c r="A1514" s="7" t="inlineStr">
        <is>
          <t>MAT-31-077</t>
        </is>
      </c>
      <c r="B1514" s="7" t="inlineStr">
        <is>
          <t>Materiales</t>
        </is>
      </c>
      <c r="C1514" s="7" t="inlineStr">
        <is>
          <t>Domótica e intercomunicadores</t>
        </is>
      </c>
      <c r="D1514" s="5" t="inlineStr">
        <is>
          <t>Pdu 8 Salidas Rackmount Dahua</t>
        </is>
      </c>
      <c r="E1514" s="5" t="inlineStr">
        <is>
          <t>marca DAHUA · accesorios intelegentes · referencia ZZM10/PDU(8USA250)</t>
        </is>
      </c>
      <c r="F1514" s="5" t="inlineStr">
        <is>
          <t>Material retirado en almacén</t>
        </is>
      </c>
      <c r="G1514" s="5" t="inlineStr"/>
      <c r="H1514" s="7" t="inlineStr">
        <is>
          <t>unidad</t>
        </is>
      </c>
      <c r="I1514" s="7" t="inlineStr">
        <is>
          <t>Instalaciones</t>
        </is>
      </c>
      <c r="J1514" s="7" t="inlineStr">
        <is>
          <t>estandar</t>
        </is>
      </c>
      <c r="K1514" s="7" t="inlineStr">
        <is>
          <t>importado</t>
        </is>
      </c>
      <c r="L1514" s="7" t="inlineStr">
        <is>
          <t>Verificado</t>
        </is>
      </c>
      <c r="M1514" s="8" t="n">
        <v>1</v>
      </c>
      <c r="N1514" s="9" t="n">
        <v>4801.16</v>
      </c>
      <c r="O1514" s="9" t="n">
        <v>4801.16</v>
      </c>
      <c r="P1514" s="9" t="n">
        <v>4801.16</v>
      </c>
      <c r="Q1514" s="7" t="inlineStr">
        <is>
          <t>Sí</t>
        </is>
      </c>
      <c r="R1514" s="9">
        <f>IF(N1514="","",IF(Q1514="Sí",ROUND(N1514/1.18,2),N1514))</f>
        <v/>
      </c>
      <c r="S1514" s="7" t="inlineStr">
        <is>
          <t>2026-09-09</t>
        </is>
      </c>
      <c r="T1514" s="5" t="inlineStr">
        <is>
          <t>1 cotización de proveedores</t>
        </is>
      </c>
    </row>
    <row r="1515">
      <c r="A1515" s="7" t="inlineStr">
        <is>
          <t>MAT-31-078</t>
        </is>
      </c>
      <c r="B1515" s="7" t="inlineStr">
        <is>
          <t>Materiales</t>
        </is>
      </c>
      <c r="C1515" s="7" t="inlineStr">
        <is>
          <t>Domótica e intercomunicadores</t>
        </is>
      </c>
      <c r="D1515" s="5" t="inlineStr">
        <is>
          <t>Fuente Poder 2 Hilos</t>
        </is>
      </c>
      <c r="E1515" s="5" t="inlineStr">
        <is>
          <t>marca BTICINO · componentes intercomunidores · referencia 346050</t>
        </is>
      </c>
      <c r="F1515" s="5" t="inlineStr">
        <is>
          <t>Material retirado en almacén</t>
        </is>
      </c>
      <c r="G1515" s="5" t="inlineStr"/>
      <c r="H1515" s="7" t="inlineStr">
        <is>
          <t>unidad</t>
        </is>
      </c>
      <c r="I1515" s="7" t="inlineStr">
        <is>
          <t>Instalaciones</t>
        </is>
      </c>
      <c r="J1515" s="7" t="inlineStr">
        <is>
          <t>estandar</t>
        </is>
      </c>
      <c r="K1515" s="7" t="inlineStr">
        <is>
          <t>importado</t>
        </is>
      </c>
      <c r="L1515" s="7" t="inlineStr">
        <is>
          <t>Verificado</t>
        </is>
      </c>
      <c r="M1515" s="8" t="n">
        <v>1</v>
      </c>
      <c r="N1515" s="9" t="n">
        <v>5229.21</v>
      </c>
      <c r="O1515" s="9" t="n">
        <v>5229.21</v>
      </c>
      <c r="P1515" s="9" t="n">
        <v>5229.21</v>
      </c>
      <c r="Q1515" s="7" t="inlineStr">
        <is>
          <t>Sí</t>
        </is>
      </c>
      <c r="R1515" s="9">
        <f>IF(N1515="","",IF(Q1515="Sí",ROUND(N1515/1.18,2),N1515))</f>
        <v/>
      </c>
      <c r="S1515" s="7" t="inlineStr">
        <is>
          <t>2026-09-09</t>
        </is>
      </c>
      <c r="T1515" s="5" t="inlineStr">
        <is>
          <t>1 cotización de proveedores</t>
        </is>
      </c>
    </row>
    <row r="1516">
      <c r="A1516" s="7" t="inlineStr">
        <is>
          <t>MAT-31-079</t>
        </is>
      </c>
      <c r="B1516" s="7" t="inlineStr">
        <is>
          <t>Materiales</t>
        </is>
      </c>
      <c r="C1516" s="7" t="inlineStr">
        <is>
          <t>Domótica e intercomunicadores</t>
        </is>
      </c>
      <c r="D1516" s="5" t="inlineStr">
        <is>
          <t>Regenerador De Bus Úrsula</t>
        </is>
      </c>
      <c r="E1516" s="5" t="inlineStr">
        <is>
          <t>marca MASTER · accesorios intelegentes · referencia HA02000</t>
        </is>
      </c>
      <c r="F1516" s="5" t="inlineStr">
        <is>
          <t>Material retirado en almacén</t>
        </is>
      </c>
      <c r="G1516" s="5" t="inlineStr"/>
      <c r="H1516" s="7" t="inlineStr">
        <is>
          <t>unidad</t>
        </is>
      </c>
      <c r="I1516" s="7" t="inlineStr">
        <is>
          <t>Instalaciones</t>
        </is>
      </c>
      <c r="J1516" s="7" t="inlineStr">
        <is>
          <t>estandar</t>
        </is>
      </c>
      <c r="K1516" s="7" t="inlineStr">
        <is>
          <t>importado</t>
        </is>
      </c>
      <c r="L1516" s="7" t="inlineStr">
        <is>
          <t>Verificado</t>
        </is>
      </c>
      <c r="M1516" s="8" t="n">
        <v>1</v>
      </c>
      <c r="N1516" s="9" t="n">
        <v>9152.690000000001</v>
      </c>
      <c r="O1516" s="9" t="n">
        <v>9152.690000000001</v>
      </c>
      <c r="P1516" s="9" t="n">
        <v>9152.690000000001</v>
      </c>
      <c r="Q1516" s="7" t="inlineStr">
        <is>
          <t>Sí</t>
        </is>
      </c>
      <c r="R1516" s="9">
        <f>IF(N1516="","",IF(Q1516="Sí",ROUND(N1516/1.18,2),N1516))</f>
        <v/>
      </c>
      <c r="S1516" s="7" t="inlineStr">
        <is>
          <t>2026-09-09</t>
        </is>
      </c>
      <c r="T1516" s="5" t="inlineStr">
        <is>
          <t>1 cotización de proveedores</t>
        </is>
      </c>
    </row>
    <row r="1517">
      <c r="A1517" s="7" t="inlineStr">
        <is>
          <t>MAT-31-080</t>
        </is>
      </c>
      <c r="B1517" s="7" t="inlineStr">
        <is>
          <t>Materiales</t>
        </is>
      </c>
      <c r="C1517" s="7" t="inlineStr">
        <is>
          <t>Domótica e intercomunicadores</t>
        </is>
      </c>
      <c r="D1517" s="5" t="inlineStr">
        <is>
          <t>Base Din Sonoff</t>
        </is>
      </c>
      <c r="E1517" s="5" t="inlineStr">
        <is>
          <t>marca SONOFF · accesorios intelegentes · referencia DRDINRAILTRAY</t>
        </is>
      </c>
      <c r="F1517" s="5" t="inlineStr">
        <is>
          <t>Material retirado en almacén</t>
        </is>
      </c>
      <c r="G1517" s="5" t="inlineStr"/>
      <c r="H1517" s="7" t="inlineStr">
        <is>
          <t>unidad</t>
        </is>
      </c>
      <c r="I1517" s="7" t="inlineStr">
        <is>
          <t>Instalaciones</t>
        </is>
      </c>
      <c r="J1517" s="7" t="inlineStr">
        <is>
          <t>estandar</t>
        </is>
      </c>
      <c r="K1517" s="7" t="inlineStr">
        <is>
          <t>importado</t>
        </is>
      </c>
      <c r="L1517" s="7" t="inlineStr">
        <is>
          <t>Verificado</t>
        </is>
      </c>
      <c r="M1517" s="8" t="n">
        <v>1</v>
      </c>
      <c r="N1517" s="9" t="n">
        <v>175.04</v>
      </c>
      <c r="O1517" s="9" t="n">
        <v>175.04</v>
      </c>
      <c r="P1517" s="9" t="n">
        <v>175.04</v>
      </c>
      <c r="Q1517" s="7" t="inlineStr">
        <is>
          <t>Sí</t>
        </is>
      </c>
      <c r="R1517" s="9">
        <f>IF(N1517="","",IF(Q1517="Sí",ROUND(N1517/1.18,2),N1517))</f>
        <v/>
      </c>
      <c r="S1517" s="7" t="inlineStr">
        <is>
          <t>2026-09-09</t>
        </is>
      </c>
      <c r="T1517" s="5" t="inlineStr">
        <is>
          <t>1 cotización de proveedores</t>
        </is>
      </c>
    </row>
    <row r="1518">
      <c r="A1518" s="7" t="inlineStr">
        <is>
          <t>MAT-31-081</t>
        </is>
      </c>
      <c r="B1518" s="7" t="inlineStr">
        <is>
          <t>Materiales</t>
        </is>
      </c>
      <c r="C1518" s="7" t="inlineStr">
        <is>
          <t>Domótica e intercomunicadores</t>
        </is>
      </c>
      <c r="D1518" s="5" t="inlineStr">
        <is>
          <t>Caja De Registro Para Basic</t>
        </is>
      </c>
      <c r="E1518" s="5" t="inlineStr">
        <is>
          <t>marca SONOFF · accesorios intercomunicadores · referencia WATERPROOFCASE</t>
        </is>
      </c>
      <c r="F1518" s="5" t="inlineStr">
        <is>
          <t>Material retirado en almacén</t>
        </is>
      </c>
      <c r="G1518" s="5" t="inlineStr"/>
      <c r="H1518" s="7" t="inlineStr">
        <is>
          <t>unidad</t>
        </is>
      </c>
      <c r="I1518" s="7" t="inlineStr">
        <is>
          <t>Instalaciones</t>
        </is>
      </c>
      <c r="J1518" s="7" t="inlineStr">
        <is>
          <t>estandar</t>
        </is>
      </c>
      <c r="K1518" s="7" t="inlineStr">
        <is>
          <t>importado</t>
        </is>
      </c>
      <c r="L1518" s="7" t="inlineStr">
        <is>
          <t>Verificado</t>
        </is>
      </c>
      <c r="M1518" s="8" t="n">
        <v>1</v>
      </c>
      <c r="N1518" s="9" t="n">
        <v>255.43</v>
      </c>
      <c r="O1518" s="9" t="n">
        <v>255.43</v>
      </c>
      <c r="P1518" s="9" t="n">
        <v>255.43</v>
      </c>
      <c r="Q1518" s="7" t="inlineStr">
        <is>
          <t>Sí</t>
        </is>
      </c>
      <c r="R1518" s="9">
        <f>IF(N1518="","",IF(Q1518="Sí",ROUND(N1518/1.18,2),N1518))</f>
        <v/>
      </c>
      <c r="S1518" s="7" t="inlineStr">
        <is>
          <t>2026-09-09</t>
        </is>
      </c>
      <c r="T1518" s="5" t="inlineStr">
        <is>
          <t>1 cotización de proveedores</t>
        </is>
      </c>
    </row>
    <row r="1519">
      <c r="A1519" s="7" t="inlineStr">
        <is>
          <t>MAT-31-082</t>
        </is>
      </c>
      <c r="B1519" s="7" t="inlineStr">
        <is>
          <t>Materiales</t>
        </is>
      </c>
      <c r="C1519" s="7" t="inlineStr">
        <is>
          <t>Domótica e intercomunicadores</t>
        </is>
      </c>
      <c r="D1519" s="5" t="inlineStr">
        <is>
          <t>Caja Empotrar De 2 Módulos</t>
        </is>
      </c>
      <c r="E1519" s="5" t="inlineStr">
        <is>
          <t>marca BTICINO · accesorios intercomunicadores · referencia 350020</t>
        </is>
      </c>
      <c r="F1519" s="5" t="inlineStr">
        <is>
          <t>Material retirado en almacén</t>
        </is>
      </c>
      <c r="G1519" s="5" t="inlineStr"/>
      <c r="H1519" s="7" t="inlineStr">
        <is>
          <t>unidad</t>
        </is>
      </c>
      <c r="I1519" s="7" t="inlineStr">
        <is>
          <t>Instalaciones</t>
        </is>
      </c>
      <c r="J1519" s="7" t="inlineStr">
        <is>
          <t>estandar</t>
        </is>
      </c>
      <c r="K1519" s="7" t="inlineStr">
        <is>
          <t>importado</t>
        </is>
      </c>
      <c r="L1519" s="7" t="inlineStr">
        <is>
          <t>Verificado</t>
        </is>
      </c>
      <c r="M1519" s="8" t="n">
        <v>1</v>
      </c>
      <c r="N1519" s="9" t="n">
        <v>656.41</v>
      </c>
      <c r="O1519" s="9" t="n">
        <v>656.41</v>
      </c>
      <c r="P1519" s="9" t="n">
        <v>656.41</v>
      </c>
      <c r="Q1519" s="7" t="inlineStr">
        <is>
          <t>Sí</t>
        </is>
      </c>
      <c r="R1519" s="9">
        <f>IF(N1519="","",IF(Q1519="Sí",ROUND(N1519/1.18,2),N1519))</f>
        <v/>
      </c>
      <c r="S1519" s="7" t="inlineStr">
        <is>
          <t>2026-09-09</t>
        </is>
      </c>
      <c r="T1519" s="5" t="inlineStr">
        <is>
          <t>1 cotización de proveedores</t>
        </is>
      </c>
    </row>
    <row r="1520">
      <c r="A1520" s="7" t="inlineStr">
        <is>
          <t>MAT-31-083</t>
        </is>
      </c>
      <c r="B1520" s="7" t="inlineStr">
        <is>
          <t>Materiales</t>
        </is>
      </c>
      <c r="C1520" s="7" t="inlineStr">
        <is>
          <t>Domótica e intercomunicadores</t>
        </is>
      </c>
      <c r="D1520" s="5" t="inlineStr">
        <is>
          <t>Bracket Zl para Fijar Cerradura 600 Lbs</t>
        </is>
      </c>
      <c r="E1520" s="5" t="inlineStr">
        <is>
          <t>marca DAHUA · accesorios intelegentes · referencia DHI-ASF500-ZL</t>
        </is>
      </c>
      <c r="F1520" s="5" t="inlineStr">
        <is>
          <t>Material retirado en almacén</t>
        </is>
      </c>
      <c r="G1520" s="5" t="inlineStr"/>
      <c r="H1520" s="7" t="inlineStr">
        <is>
          <t>unidad</t>
        </is>
      </c>
      <c r="I1520" s="7" t="inlineStr">
        <is>
          <t>Instalaciones</t>
        </is>
      </c>
      <c r="J1520" s="7" t="inlineStr">
        <is>
          <t>estandar</t>
        </is>
      </c>
      <c r="K1520" s="7" t="inlineStr">
        <is>
          <t>importado</t>
        </is>
      </c>
      <c r="L1520" s="7" t="inlineStr">
        <is>
          <t>Verificado</t>
        </is>
      </c>
      <c r="M1520" s="8" t="n">
        <v>1</v>
      </c>
      <c r="N1520" s="9" t="n">
        <v>1346.9</v>
      </c>
      <c r="O1520" s="9" t="n">
        <v>1346.9</v>
      </c>
      <c r="P1520" s="9" t="n">
        <v>1346.9</v>
      </c>
      <c r="Q1520" s="7" t="inlineStr">
        <is>
          <t>Sí</t>
        </is>
      </c>
      <c r="R1520" s="9">
        <f>IF(N1520="","",IF(Q1520="Sí",ROUND(N1520/1.18,2),N1520))</f>
        <v/>
      </c>
      <c r="S1520" s="7" t="inlineStr">
        <is>
          <t>2026-09-09</t>
        </is>
      </c>
      <c r="T1520" s="5" t="inlineStr">
        <is>
          <t>1 cotización de proveedores</t>
        </is>
      </c>
    </row>
    <row r="1521">
      <c r="A1521" s="7" t="inlineStr">
        <is>
          <t>MAT-31-084</t>
        </is>
      </c>
      <c r="B1521" s="7" t="inlineStr">
        <is>
          <t>Materiales</t>
        </is>
      </c>
      <c r="C1521" s="7" t="inlineStr">
        <is>
          <t>Domótica e intercomunicadores</t>
        </is>
      </c>
      <c r="D1521" s="5" t="inlineStr">
        <is>
          <t>Cubierta De Módulo 2 Hilos</t>
        </is>
      </c>
      <c r="E1521" s="5" t="inlineStr">
        <is>
          <t>marca BTICINO · accesorios intercomunicadores · referencia 351201</t>
        </is>
      </c>
      <c r="F1521" s="5" t="inlineStr">
        <is>
          <t>Material retirado en almacén</t>
        </is>
      </c>
      <c r="G1521" s="5" t="inlineStr"/>
      <c r="H1521" s="7" t="inlineStr">
        <is>
          <t>unidad</t>
        </is>
      </c>
      <c r="I1521" s="7" t="inlineStr">
        <is>
          <t>Instalaciones</t>
        </is>
      </c>
      <c r="J1521" s="7" t="inlineStr">
        <is>
          <t>estandar</t>
        </is>
      </c>
      <c r="K1521" s="7" t="inlineStr">
        <is>
          <t>importado</t>
        </is>
      </c>
      <c r="L1521" s="7" t="inlineStr">
        <is>
          <t>Verificado</t>
        </is>
      </c>
      <c r="M1521" s="8" t="n">
        <v>1</v>
      </c>
      <c r="N1521" s="9" t="n">
        <v>1556.51</v>
      </c>
      <c r="O1521" s="9" t="n">
        <v>1556.51</v>
      </c>
      <c r="P1521" s="9" t="n">
        <v>1556.51</v>
      </c>
      <c r="Q1521" s="7" t="inlineStr">
        <is>
          <t>Sí</t>
        </is>
      </c>
      <c r="R1521" s="9">
        <f>IF(N1521="","",IF(Q1521="Sí",ROUND(N1521/1.18,2),N1521))</f>
        <v/>
      </c>
      <c r="S1521" s="7" t="inlineStr">
        <is>
          <t>2026-09-09</t>
        </is>
      </c>
      <c r="T1521" s="5" t="inlineStr">
        <is>
          <t>1 cotización de proveedores</t>
        </is>
      </c>
    </row>
    <row r="1522">
      <c r="A1522" s="7" t="inlineStr">
        <is>
          <t>MAT-31-085</t>
        </is>
      </c>
      <c r="B1522" s="7" t="inlineStr">
        <is>
          <t>Materiales</t>
        </is>
      </c>
      <c r="C1522" s="7" t="inlineStr">
        <is>
          <t>Domótica e intercomunicadores</t>
        </is>
      </c>
      <c r="D1522" s="5" t="inlineStr">
        <is>
          <t>Cubierta Modulo A / V 2P Audio</t>
        </is>
      </c>
      <c r="E1522" s="5" t="inlineStr">
        <is>
          <t>marca BTICINO · accesorios intercomunicadores · referencia 351221</t>
        </is>
      </c>
      <c r="F1522" s="5" t="inlineStr">
        <is>
          <t>Material retirado en almacén</t>
        </is>
      </c>
      <c r="G1522" s="5" t="inlineStr"/>
      <c r="H1522" s="7" t="inlineStr">
        <is>
          <t>unidad</t>
        </is>
      </c>
      <c r="I1522" s="7" t="inlineStr">
        <is>
          <t>Instalaciones</t>
        </is>
      </c>
      <c r="J1522" s="7" t="inlineStr">
        <is>
          <t>estandar</t>
        </is>
      </c>
      <c r="K1522" s="7" t="inlineStr">
        <is>
          <t>importado</t>
        </is>
      </c>
      <c r="L1522" s="7" t="inlineStr">
        <is>
          <t>Verificado</t>
        </is>
      </c>
      <c r="M1522" s="8" t="n">
        <v>1</v>
      </c>
      <c r="N1522" s="9" t="n">
        <v>1992.43</v>
      </c>
      <c r="O1522" s="9" t="n">
        <v>1992.43</v>
      </c>
      <c r="P1522" s="9" t="n">
        <v>1992.43</v>
      </c>
      <c r="Q1522" s="7" t="inlineStr">
        <is>
          <t>Sí</t>
        </is>
      </c>
      <c r="R1522" s="9">
        <f>IF(N1522="","",IF(Q1522="Sí",ROUND(N1522/1.18,2),N1522))</f>
        <v/>
      </c>
      <c r="S1522" s="7" t="inlineStr">
        <is>
          <t>2026-09-09</t>
        </is>
      </c>
      <c r="T1522" s="5" t="inlineStr">
        <is>
          <t>1 cotización de proveedores</t>
        </is>
      </c>
    </row>
    <row r="1523">
      <c r="A1523" s="7" t="inlineStr">
        <is>
          <t>MAT-31-086</t>
        </is>
      </c>
      <c r="B1523" s="7" t="inlineStr">
        <is>
          <t>Materiales</t>
        </is>
      </c>
      <c r="C1523" s="7" t="inlineStr">
        <is>
          <t>Domótica e intercomunicadores</t>
        </is>
      </c>
      <c r="D1523" s="5" t="inlineStr">
        <is>
          <t>Bracket U-Zl para Fijar Cerradura 600 Lbs</t>
        </is>
      </c>
      <c r="E1523" s="5" t="inlineStr">
        <is>
          <t>marca DAHUA · accesorios intelegentes · referencia DHI-ASF280F</t>
        </is>
      </c>
      <c r="F1523" s="5" t="inlineStr">
        <is>
          <t>Material retirado en almacén</t>
        </is>
      </c>
      <c r="G1523" s="5" t="inlineStr"/>
      <c r="H1523" s="7" t="inlineStr">
        <is>
          <t>unidad</t>
        </is>
      </c>
      <c r="I1523" s="7" t="inlineStr">
        <is>
          <t>Instalaciones</t>
        </is>
      </c>
      <c r="J1523" s="7" t="inlineStr">
        <is>
          <t>estandar</t>
        </is>
      </c>
      <c r="K1523" s="7" t="inlineStr">
        <is>
          <t>importado</t>
        </is>
      </c>
      <c r="L1523" s="7" t="inlineStr">
        <is>
          <t>Verificado</t>
        </is>
      </c>
      <c r="M1523" s="8" t="n">
        <v>1</v>
      </c>
      <c r="N1523" s="9" t="n">
        <v>2294.68</v>
      </c>
      <c r="O1523" s="9" t="n">
        <v>2294.68</v>
      </c>
      <c r="P1523" s="9" t="n">
        <v>2294.68</v>
      </c>
      <c r="Q1523" s="7" t="inlineStr">
        <is>
          <t>Sí</t>
        </is>
      </c>
      <c r="R1523" s="9">
        <f>IF(N1523="","",IF(Q1523="Sí",ROUND(N1523/1.18,2),N1523))</f>
        <v/>
      </c>
      <c r="S1523" s="7" t="inlineStr">
        <is>
          <t>2026-09-09</t>
        </is>
      </c>
      <c r="T1523" s="5" t="inlineStr">
        <is>
          <t>1 cotización de proveedores</t>
        </is>
      </c>
    </row>
    <row r="1524">
      <c r="A1524" s="7" t="inlineStr">
        <is>
          <t>MAT-31-087</t>
        </is>
      </c>
      <c r="B1524" s="7" t="inlineStr">
        <is>
          <t>Materiales</t>
        </is>
      </c>
      <c r="C1524" s="7" t="inlineStr">
        <is>
          <t>Domótica e intercomunicadores</t>
        </is>
      </c>
      <c r="D1524" s="5" t="inlineStr">
        <is>
          <t>Cubierta 8 Pulsadorrs 2H 2F</t>
        </is>
      </c>
      <c r="E1524" s="5" t="inlineStr">
        <is>
          <t>marca BTICINO · accesorios intercomunicadores · referencia 352181</t>
        </is>
      </c>
      <c r="F1524" s="5" t="inlineStr">
        <is>
          <t>Material retirado en almacén</t>
        </is>
      </c>
      <c r="G1524" s="5" t="inlineStr"/>
      <c r="H1524" s="7" t="inlineStr">
        <is>
          <t>unidad</t>
        </is>
      </c>
      <c r="I1524" s="7" t="inlineStr">
        <is>
          <t>Instalaciones</t>
        </is>
      </c>
      <c r="J1524" s="7" t="inlineStr">
        <is>
          <t>estandar</t>
        </is>
      </c>
      <c r="K1524" s="7" t="inlineStr">
        <is>
          <t>importado</t>
        </is>
      </c>
      <c r="L1524" s="7" t="inlineStr">
        <is>
          <t>Verificado</t>
        </is>
      </c>
      <c r="M1524" s="8" t="n">
        <v>1</v>
      </c>
      <c r="N1524" s="9" t="n">
        <v>2499.01</v>
      </c>
      <c r="O1524" s="9" t="n">
        <v>2499.01</v>
      </c>
      <c r="P1524" s="9" t="n">
        <v>2499.01</v>
      </c>
      <c r="Q1524" s="7" t="inlineStr">
        <is>
          <t>Sí</t>
        </is>
      </c>
      <c r="R1524" s="9">
        <f>IF(N1524="","",IF(Q1524="Sí",ROUND(N1524/1.18,2),N1524))</f>
        <v/>
      </c>
      <c r="S1524" s="7" t="inlineStr">
        <is>
          <t>2026-09-09</t>
        </is>
      </c>
      <c r="T1524" s="5" t="inlineStr">
        <is>
          <t>1 cotización de proveedores</t>
        </is>
      </c>
    </row>
    <row r="1525">
      <c r="A1525" s="7" t="inlineStr">
        <is>
          <t>MAT-31-088</t>
        </is>
      </c>
      <c r="B1525" s="7" t="inlineStr">
        <is>
          <t>Materiales</t>
        </is>
      </c>
      <c r="C1525" s="7" t="inlineStr">
        <is>
          <t>Domótica e intercomunicadores</t>
        </is>
      </c>
      <c r="D1525" s="5" t="inlineStr">
        <is>
          <t>Configurador #3 Caja De 10 Unids</t>
        </is>
      </c>
      <c r="E1525" s="5" t="inlineStr">
        <is>
          <t>marca BTICINO · accesorios intercomunicadores · referencia 346913/3501/3</t>
        </is>
      </c>
      <c r="F1525" s="5" t="inlineStr">
        <is>
          <t>Material retirado en almacén</t>
        </is>
      </c>
      <c r="G1525" s="5" t="inlineStr"/>
      <c r="H1525" s="7" t="inlineStr">
        <is>
          <t>unidad</t>
        </is>
      </c>
      <c r="I1525" s="7" t="inlineStr">
        <is>
          <t>Instalaciones</t>
        </is>
      </c>
      <c r="J1525" s="7" t="inlineStr">
        <is>
          <t>estandar</t>
        </is>
      </c>
      <c r="K1525" s="7" t="inlineStr">
        <is>
          <t>importado</t>
        </is>
      </c>
      <c r="L1525" s="7" t="inlineStr">
        <is>
          <t>Verificado</t>
        </is>
      </c>
      <c r="M1525" s="8" t="n">
        <v>1</v>
      </c>
      <c r="N1525" s="9" t="n">
        <v>323.38</v>
      </c>
      <c r="O1525" s="9" t="n">
        <v>323.38</v>
      </c>
      <c r="P1525" s="9" t="n">
        <v>323.38</v>
      </c>
      <c r="Q1525" s="7" t="inlineStr">
        <is>
          <t>Sí</t>
        </is>
      </c>
      <c r="R1525" s="9">
        <f>IF(N1525="","",IF(Q1525="Sí",ROUND(N1525/1.18,2),N1525))</f>
        <v/>
      </c>
      <c r="S1525" s="7" t="inlineStr">
        <is>
          <t>2026-09-09</t>
        </is>
      </c>
      <c r="T1525" s="5" t="inlineStr">
        <is>
          <t>1 cotización de proveedores</t>
        </is>
      </c>
    </row>
    <row r="1526">
      <c r="A1526" s="7" t="inlineStr">
        <is>
          <t>MAT-31-089</t>
        </is>
      </c>
      <c r="B1526" s="7" t="inlineStr">
        <is>
          <t>Materiales</t>
        </is>
      </c>
      <c r="C1526" s="7" t="inlineStr">
        <is>
          <t>Domótica e intercomunicadores</t>
        </is>
      </c>
      <c r="D1526" s="5" t="inlineStr">
        <is>
          <t>Configurador #4 Caja De 10 Unids</t>
        </is>
      </c>
      <c r="E1526" s="5" t="inlineStr">
        <is>
          <t>marca BTICINO · accesorios intercomunicadores · referencia 346914/3501/4</t>
        </is>
      </c>
      <c r="F1526" s="5" t="inlineStr">
        <is>
          <t>Material retirado en almacén</t>
        </is>
      </c>
      <c r="G1526" s="5" t="inlineStr"/>
      <c r="H1526" s="7" t="inlineStr">
        <is>
          <t>unidad</t>
        </is>
      </c>
      <c r="I1526" s="7" t="inlineStr">
        <is>
          <t>Instalaciones</t>
        </is>
      </c>
      <c r="J1526" s="7" t="inlineStr">
        <is>
          <t>estandar</t>
        </is>
      </c>
      <c r="K1526" s="7" t="inlineStr">
        <is>
          <t>importado</t>
        </is>
      </c>
      <c r="L1526" s="7" t="inlineStr">
        <is>
          <t>Verificado</t>
        </is>
      </c>
      <c r="M1526" s="8" t="n">
        <v>1</v>
      </c>
      <c r="N1526" s="9" t="n">
        <v>323.38</v>
      </c>
      <c r="O1526" s="9" t="n">
        <v>323.38</v>
      </c>
      <c r="P1526" s="9" t="n">
        <v>323.38</v>
      </c>
      <c r="Q1526" s="7" t="inlineStr">
        <is>
          <t>Sí</t>
        </is>
      </c>
      <c r="R1526" s="9">
        <f>IF(N1526="","",IF(Q1526="Sí",ROUND(N1526/1.18,2),N1526))</f>
        <v/>
      </c>
      <c r="S1526" s="7" t="inlineStr">
        <is>
          <t>2026-09-09</t>
        </is>
      </c>
      <c r="T1526" s="5" t="inlineStr">
        <is>
          <t>1 cotización de proveedores</t>
        </is>
      </c>
    </row>
    <row r="1527">
      <c r="A1527" s="7" t="inlineStr">
        <is>
          <t>MAT-31-090</t>
        </is>
      </c>
      <c r="B1527" s="7" t="inlineStr">
        <is>
          <t>Materiales</t>
        </is>
      </c>
      <c r="C1527" s="7" t="inlineStr">
        <is>
          <t>Domótica e intercomunicadores</t>
        </is>
      </c>
      <c r="D1527" s="5" t="inlineStr">
        <is>
          <t>Configurador #5 Caja De 10 Unids</t>
        </is>
      </c>
      <c r="E1527" s="5" t="inlineStr">
        <is>
          <t>marca BTICINO · accesorios intercomunicadores · referencia 346915/3501/5</t>
        </is>
      </c>
      <c r="F1527" s="5" t="inlineStr">
        <is>
          <t>Material retirado en almacén</t>
        </is>
      </c>
      <c r="G1527" s="5" t="inlineStr"/>
      <c r="H1527" s="7" t="inlineStr">
        <is>
          <t>unidad</t>
        </is>
      </c>
      <c r="I1527" s="7" t="inlineStr">
        <is>
          <t>Instalaciones</t>
        </is>
      </c>
      <c r="J1527" s="7" t="inlineStr">
        <is>
          <t>estandar</t>
        </is>
      </c>
      <c r="K1527" s="7" t="inlineStr">
        <is>
          <t>importado</t>
        </is>
      </c>
      <c r="L1527" s="7" t="inlineStr">
        <is>
          <t>Verificado</t>
        </is>
      </c>
      <c r="M1527" s="8" t="n">
        <v>1</v>
      </c>
      <c r="N1527" s="9" t="n">
        <v>329.66</v>
      </c>
      <c r="O1527" s="9" t="n">
        <v>329.66</v>
      </c>
      <c r="P1527" s="9" t="n">
        <v>329.66</v>
      </c>
      <c r="Q1527" s="7" t="inlineStr">
        <is>
          <t>Sí</t>
        </is>
      </c>
      <c r="R1527" s="9">
        <f>IF(N1527="","",IF(Q1527="Sí",ROUND(N1527/1.18,2),N1527))</f>
        <v/>
      </c>
      <c r="S1527" s="7" t="inlineStr">
        <is>
          <t>2026-09-09</t>
        </is>
      </c>
      <c r="T1527" s="5" t="inlineStr">
        <is>
          <t>1 cotización de proveedores</t>
        </is>
      </c>
    </row>
    <row r="1528">
      <c r="A1528" s="7" t="inlineStr">
        <is>
          <t>MAT-31-091</t>
        </is>
      </c>
      <c r="B1528" s="7" t="inlineStr">
        <is>
          <t>Materiales</t>
        </is>
      </c>
      <c r="C1528" s="7" t="inlineStr">
        <is>
          <t>Domótica e intercomunicadores</t>
        </is>
      </c>
      <c r="D1528" s="5" t="inlineStr">
        <is>
          <t>Control Remoto Rf</t>
        </is>
      </c>
      <c r="E1528" s="5" t="inlineStr">
        <is>
          <t>marca SONOFF · accesorios intelegentes · referencia RM433</t>
        </is>
      </c>
      <c r="F1528" s="5" t="inlineStr">
        <is>
          <t>Material retirado en almacén</t>
        </is>
      </c>
      <c r="G1528" s="5" t="inlineStr"/>
      <c r="H1528" s="7" t="inlineStr">
        <is>
          <t>unidad</t>
        </is>
      </c>
      <c r="I1528" s="7" t="inlineStr">
        <is>
          <t>Instalaciones</t>
        </is>
      </c>
      <c r="J1528" s="7" t="inlineStr">
        <is>
          <t>estandar</t>
        </is>
      </c>
      <c r="K1528" s="7" t="inlineStr">
        <is>
          <t>importado</t>
        </is>
      </c>
      <c r="L1528" s="7" t="inlineStr">
        <is>
          <t>Verificado</t>
        </is>
      </c>
      <c r="M1528" s="8" t="n">
        <v>1</v>
      </c>
      <c r="N1528" s="9" t="n">
        <v>538.84</v>
      </c>
      <c r="O1528" s="9" t="n">
        <v>538.84</v>
      </c>
      <c r="P1528" s="9" t="n">
        <v>538.84</v>
      </c>
      <c r="Q1528" s="7" t="inlineStr">
        <is>
          <t>Sí</t>
        </is>
      </c>
      <c r="R1528" s="9">
        <f>IF(N1528="","",IF(Q1528="Sí",ROUND(N1528/1.18,2),N1528))</f>
        <v/>
      </c>
      <c r="S1528" s="7" t="inlineStr">
        <is>
          <t>2026-09-09</t>
        </is>
      </c>
      <c r="T1528" s="5" t="inlineStr">
        <is>
          <t>1 cotización de proveedores</t>
        </is>
      </c>
    </row>
    <row r="1529">
      <c r="A1529" s="7" t="inlineStr">
        <is>
          <t>MAT-31-092</t>
        </is>
      </c>
      <c r="B1529" s="7" t="inlineStr">
        <is>
          <t>Materiales</t>
        </is>
      </c>
      <c r="C1529" s="7" t="inlineStr">
        <is>
          <t>Domótica e intercomunicadores</t>
        </is>
      </c>
      <c r="D1529" s="5" t="inlineStr">
        <is>
          <t>Configurador #6 Caja De 10 Unids</t>
        </is>
      </c>
      <c r="E1529" s="5" t="inlineStr">
        <is>
          <t>marca BTICINO · accesorios intercomunicadores · referencia 346916/3501/6</t>
        </is>
      </c>
      <c r="F1529" s="5" t="inlineStr">
        <is>
          <t>Material retirado en almacén</t>
        </is>
      </c>
      <c r="G1529" s="5" t="inlineStr"/>
      <c r="H1529" s="7" t="inlineStr">
        <is>
          <t>unidad</t>
        </is>
      </c>
      <c r="I1529" s="7" t="inlineStr">
        <is>
          <t>Instalaciones</t>
        </is>
      </c>
      <c r="J1529" s="7" t="inlineStr">
        <is>
          <t>estandar</t>
        </is>
      </c>
      <c r="K1529" s="7" t="inlineStr">
        <is>
          <t>importado</t>
        </is>
      </c>
      <c r="L1529" s="7" t="inlineStr">
        <is>
          <t>Verificado</t>
        </is>
      </c>
      <c r="M1529" s="8" t="n">
        <v>1</v>
      </c>
      <c r="N1529" s="9" t="n">
        <v>559.47</v>
      </c>
      <c r="O1529" s="9" t="n">
        <v>559.47</v>
      </c>
      <c r="P1529" s="9" t="n">
        <v>559.47</v>
      </c>
      <c r="Q1529" s="7" t="inlineStr">
        <is>
          <t>Sí</t>
        </is>
      </c>
      <c r="R1529" s="9">
        <f>IF(N1529="","",IF(Q1529="Sí",ROUND(N1529/1.18,2),N1529))</f>
        <v/>
      </c>
      <c r="S1529" s="7" t="inlineStr">
        <is>
          <t>2026-09-09</t>
        </is>
      </c>
      <c r="T1529" s="5" t="inlineStr">
        <is>
          <t>1 cotización de proveedores</t>
        </is>
      </c>
    </row>
    <row r="1530">
      <c r="A1530" s="7" t="inlineStr">
        <is>
          <t>MAT-31-093</t>
        </is>
      </c>
      <c r="B1530" s="7" t="inlineStr">
        <is>
          <t>Materiales</t>
        </is>
      </c>
      <c r="C1530" s="7" t="inlineStr">
        <is>
          <t>Domótica e intercomunicadores</t>
        </is>
      </c>
      <c r="D1530" s="5" t="inlineStr">
        <is>
          <t>Configurador #2 Caja De 10 Unids</t>
        </is>
      </c>
      <c r="E1530" s="5" t="inlineStr">
        <is>
          <t>marca BTICINO · accesorios intercomunicadores · referencia 346912/3501/2</t>
        </is>
      </c>
      <c r="F1530" s="5" t="inlineStr">
        <is>
          <t>Material retirado en almacén</t>
        </is>
      </c>
      <c r="G1530" s="5" t="inlineStr"/>
      <c r="H1530" s="7" t="inlineStr">
        <is>
          <t>unidad</t>
        </is>
      </c>
      <c r="I1530" s="7" t="inlineStr">
        <is>
          <t>Instalaciones</t>
        </is>
      </c>
      <c r="J1530" s="7" t="inlineStr">
        <is>
          <t>estandar</t>
        </is>
      </c>
      <c r="K1530" s="7" t="inlineStr">
        <is>
          <t>importado</t>
        </is>
      </c>
      <c r="L1530" s="7" t="inlineStr">
        <is>
          <t>Verificado</t>
        </is>
      </c>
      <c r="M1530" s="8" t="n">
        <v>1</v>
      </c>
      <c r="N1530" s="9" t="n">
        <v>594.5700000000001</v>
      </c>
      <c r="O1530" s="9" t="n">
        <v>594.5700000000001</v>
      </c>
      <c r="P1530" s="9" t="n">
        <v>594.5700000000001</v>
      </c>
      <c r="Q1530" s="7" t="inlineStr">
        <is>
          <t>Sí</t>
        </is>
      </c>
      <c r="R1530" s="9">
        <f>IF(N1530="","",IF(Q1530="Sí",ROUND(N1530/1.18,2),N1530))</f>
        <v/>
      </c>
      <c r="S1530" s="7" t="inlineStr">
        <is>
          <t>2026-09-09</t>
        </is>
      </c>
      <c r="T1530" s="5" t="inlineStr">
        <is>
          <t>1 cotización de proveedores</t>
        </is>
      </c>
    </row>
    <row r="1531">
      <c r="A1531" s="7" t="inlineStr">
        <is>
          <t>MAT-31-094</t>
        </is>
      </c>
      <c r="B1531" s="7" t="inlineStr">
        <is>
          <t>Materiales</t>
        </is>
      </c>
      <c r="C1531" s="7" t="inlineStr">
        <is>
          <t>Domótica e intercomunicadores</t>
        </is>
      </c>
      <c r="D1531" s="5" t="inlineStr">
        <is>
          <t>Configurador #9 Caja De 10 Unids</t>
        </is>
      </c>
      <c r="E1531" s="5" t="inlineStr">
        <is>
          <t>marca BTICINO · accesorios intercomunicadores · referencia 346919/3501/9</t>
        </is>
      </c>
      <c r="F1531" s="5" t="inlineStr">
        <is>
          <t>Material retirado en almacén</t>
        </is>
      </c>
      <c r="G1531" s="5" t="inlineStr"/>
      <c r="H1531" s="7" t="inlineStr">
        <is>
          <t>unidad</t>
        </is>
      </c>
      <c r="I1531" s="7" t="inlineStr">
        <is>
          <t>Instalaciones</t>
        </is>
      </c>
      <c r="J1531" s="7" t="inlineStr">
        <is>
          <t>estandar</t>
        </is>
      </c>
      <c r="K1531" s="7" t="inlineStr">
        <is>
          <t>importado</t>
        </is>
      </c>
      <c r="L1531" s="7" t="inlineStr">
        <is>
          <t>Verificado</t>
        </is>
      </c>
      <c r="M1531" s="8" t="n">
        <v>1</v>
      </c>
      <c r="N1531" s="9" t="n">
        <v>594.5700000000001</v>
      </c>
      <c r="O1531" s="9" t="n">
        <v>594.5700000000001</v>
      </c>
      <c r="P1531" s="9" t="n">
        <v>594.5700000000001</v>
      </c>
      <c r="Q1531" s="7" t="inlineStr">
        <is>
          <t>Sí</t>
        </is>
      </c>
      <c r="R1531" s="9">
        <f>IF(N1531="","",IF(Q1531="Sí",ROUND(N1531/1.18,2),N1531))</f>
        <v/>
      </c>
      <c r="S1531" s="7" t="inlineStr">
        <is>
          <t>2026-09-09</t>
        </is>
      </c>
      <c r="T1531" s="5" t="inlineStr">
        <is>
          <t>1 cotización de proveedores</t>
        </is>
      </c>
    </row>
    <row r="1532">
      <c r="A1532" s="7" t="inlineStr">
        <is>
          <t>MAT-31-095</t>
        </is>
      </c>
      <c r="B1532" s="7" t="inlineStr">
        <is>
          <t>Materiales</t>
        </is>
      </c>
      <c r="C1532" s="7" t="inlineStr">
        <is>
          <t>Domótica e intercomunicadores</t>
        </is>
      </c>
      <c r="D1532" s="5" t="inlineStr">
        <is>
          <t>Tarjeta Badge Rifd Neutra Adjunta</t>
        </is>
      </c>
      <c r="E1532" s="5" t="inlineStr">
        <is>
          <t>marca MASTER · accesorios intelegentes · referencia HA02021</t>
        </is>
      </c>
      <c r="F1532" s="5" t="inlineStr">
        <is>
          <t>Material retirado en almacén</t>
        </is>
      </c>
      <c r="G1532" s="5" t="inlineStr"/>
      <c r="H1532" s="7" t="inlineStr">
        <is>
          <t>unidad</t>
        </is>
      </c>
      <c r="I1532" s="7" t="inlineStr">
        <is>
          <t>Instalaciones</t>
        </is>
      </c>
      <c r="J1532" s="7" t="inlineStr">
        <is>
          <t>estandar</t>
        </is>
      </c>
      <c r="K1532" s="7" t="inlineStr">
        <is>
          <t>importado</t>
        </is>
      </c>
      <c r="L1532" s="7" t="inlineStr">
        <is>
          <t>Verificado</t>
        </is>
      </c>
      <c r="M1532" s="8" t="n">
        <v>1</v>
      </c>
      <c r="N1532" s="9" t="n">
        <v>774.47</v>
      </c>
      <c r="O1532" s="9" t="n">
        <v>774.47</v>
      </c>
      <c r="P1532" s="9" t="n">
        <v>774.47</v>
      </c>
      <c r="Q1532" s="7" t="inlineStr">
        <is>
          <t>Sí</t>
        </is>
      </c>
      <c r="R1532" s="9">
        <f>IF(N1532="","",IF(Q1532="Sí",ROUND(N1532/1.18,2),N1532))</f>
        <v/>
      </c>
      <c r="S1532" s="7" t="inlineStr">
        <is>
          <t>2026-09-09</t>
        </is>
      </c>
      <c r="T1532" s="5" t="inlineStr">
        <is>
          <t>1 cotización de proveedores</t>
        </is>
      </c>
    </row>
    <row r="1533">
      <c r="A1533" s="7" t="inlineStr">
        <is>
          <t>MAT-31-096</t>
        </is>
      </c>
      <c r="B1533" s="7" t="inlineStr">
        <is>
          <t>Materiales</t>
        </is>
      </c>
      <c r="C1533" s="7" t="inlineStr">
        <is>
          <t>Domótica e intercomunicadores</t>
        </is>
      </c>
      <c r="D1533" s="5" t="inlineStr">
        <is>
          <t>Tarjeta Ingrid Para Extensión</t>
        </is>
      </c>
      <c r="E1533" s="5" t="inlineStr">
        <is>
          <t>marca MASTER · accesorios intelegentes · referencia HL16000</t>
        </is>
      </c>
      <c r="F1533" s="5" t="inlineStr">
        <is>
          <t>Material retirado en almacén</t>
        </is>
      </c>
      <c r="G1533" s="5" t="inlineStr"/>
      <c r="H1533" s="7" t="inlineStr">
        <is>
          <t>unidad</t>
        </is>
      </c>
      <c r="I1533" s="7" t="inlineStr">
        <is>
          <t>Instalaciones</t>
        </is>
      </c>
      <c r="J1533" s="7" t="inlineStr">
        <is>
          <t>estandar</t>
        </is>
      </c>
      <c r="K1533" s="7" t="inlineStr">
        <is>
          <t>importado</t>
        </is>
      </c>
      <c r="L1533" s="7" t="inlineStr">
        <is>
          <t>Verificado</t>
        </is>
      </c>
      <c r="M1533" s="8" t="n">
        <v>1</v>
      </c>
      <c r="N1533" s="9" t="n">
        <v>7237.01</v>
      </c>
      <c r="O1533" s="9" t="n">
        <v>7237.01</v>
      </c>
      <c r="P1533" s="9" t="n">
        <v>7237.01</v>
      </c>
      <c r="Q1533" s="7" t="inlineStr">
        <is>
          <t>Sí</t>
        </is>
      </c>
      <c r="R1533" s="9">
        <f>IF(N1533="","",IF(Q1533="Sí",ROUND(N1533/1.18,2),N1533))</f>
        <v/>
      </c>
      <c r="S1533" s="7" t="inlineStr">
        <is>
          <t>2026-09-09</t>
        </is>
      </c>
      <c r="T1533" s="5" t="inlineStr">
        <is>
          <t>1 cotización de proveedores</t>
        </is>
      </c>
    </row>
    <row r="1534">
      <c r="A1534" s="7" t="inlineStr">
        <is>
          <t>MAT-31-097</t>
        </is>
      </c>
      <c r="B1534" s="7" t="inlineStr">
        <is>
          <t>Materiales</t>
        </is>
      </c>
      <c r="C1534" s="7" t="inlineStr">
        <is>
          <t>Domótica e intercomunicadores</t>
        </is>
      </c>
      <c r="D1534" s="5" t="inlineStr">
        <is>
          <t>Tarjeta Eva Light 16 In 100 Ut 125V</t>
        </is>
      </c>
      <c r="E1534" s="5" t="inlineStr">
        <is>
          <t>marca MASTER · accesorios intelegentes · referencia HS07500</t>
        </is>
      </c>
      <c r="F1534" s="5" t="inlineStr">
        <is>
          <t>Material retirado en almacén</t>
        </is>
      </c>
      <c r="G1534" s="5" t="inlineStr"/>
      <c r="H1534" s="7" t="inlineStr">
        <is>
          <t>unidad</t>
        </is>
      </c>
      <c r="I1534" s="7" t="inlineStr">
        <is>
          <t>Instalaciones</t>
        </is>
      </c>
      <c r="J1534" s="7" t="inlineStr">
        <is>
          <t>estandar</t>
        </is>
      </c>
      <c r="K1534" s="7" t="inlineStr">
        <is>
          <t>importado</t>
        </is>
      </c>
      <c r="L1534" s="7" t="inlineStr">
        <is>
          <t>Verificado</t>
        </is>
      </c>
      <c r="M1534" s="8" t="n">
        <v>1</v>
      </c>
      <c r="N1534" s="9" t="n">
        <v>14351.38</v>
      </c>
      <c r="O1534" s="9" t="n">
        <v>14351.38</v>
      </c>
      <c r="P1534" s="9" t="n">
        <v>14351.38</v>
      </c>
      <c r="Q1534" s="7" t="inlineStr">
        <is>
          <t>Sí</t>
        </is>
      </c>
      <c r="R1534" s="9">
        <f>IF(N1534="","",IF(Q1534="Sí",ROUND(N1534/1.18,2),N1534))</f>
        <v/>
      </c>
      <c r="S1534" s="7" t="inlineStr">
        <is>
          <t>2026-09-09</t>
        </is>
      </c>
      <c r="T1534" s="5" t="inlineStr">
        <is>
          <t>1 cotización de proveedores</t>
        </is>
      </c>
    </row>
    <row r="1535">
      <c r="A1535" s="7" t="inlineStr">
        <is>
          <t>MAT-31-098</t>
        </is>
      </c>
      <c r="B1535" s="7" t="inlineStr">
        <is>
          <t>Materiales</t>
        </is>
      </c>
      <c r="C1535" s="7" t="inlineStr">
        <is>
          <t>Domótica e intercomunicadores</t>
        </is>
      </c>
      <c r="D1535" s="5" t="inlineStr">
        <is>
          <t>Tarjeta Vesta 12 Vdc</t>
        </is>
      </c>
      <c r="E1535" s="5" t="inlineStr">
        <is>
          <t>marca MASTER · accesorios intelegentes · referencia HM01000</t>
        </is>
      </c>
      <c r="F1535" s="5" t="inlineStr">
        <is>
          <t>Material retirado en almacén</t>
        </is>
      </c>
      <c r="G1535" s="5" t="inlineStr"/>
      <c r="H1535" s="7" t="inlineStr">
        <is>
          <t>unidad</t>
        </is>
      </c>
      <c r="I1535" s="7" t="inlineStr">
        <is>
          <t>Instalaciones</t>
        </is>
      </c>
      <c r="J1535" s="7" t="inlineStr">
        <is>
          <t>estandar</t>
        </is>
      </c>
      <c r="K1535" s="7" t="inlineStr">
        <is>
          <t>importado</t>
        </is>
      </c>
      <c r="L1535" s="7" t="inlineStr">
        <is>
          <t>Verificado</t>
        </is>
      </c>
      <c r="M1535" s="8" t="n">
        <v>1</v>
      </c>
      <c r="N1535" s="9" t="n">
        <v>17663.76</v>
      </c>
      <c r="O1535" s="9" t="n">
        <v>17663.76</v>
      </c>
      <c r="P1535" s="9" t="n">
        <v>17663.76</v>
      </c>
      <c r="Q1535" s="7" t="inlineStr">
        <is>
          <t>Sí</t>
        </is>
      </c>
      <c r="R1535" s="9">
        <f>IF(N1535="","",IF(Q1535="Sí",ROUND(N1535/1.18,2),N1535))</f>
        <v/>
      </c>
      <c r="S1535" s="7" t="inlineStr">
        <is>
          <t>2026-09-09</t>
        </is>
      </c>
      <c r="T1535" s="5" t="inlineStr">
        <is>
          <t>1 cotización de proveedores</t>
        </is>
      </c>
    </row>
    <row r="1536">
      <c r="A1536" s="7" t="inlineStr">
        <is>
          <t>MAT-31-099</t>
        </is>
      </c>
      <c r="B1536" s="7" t="inlineStr">
        <is>
          <t>Materiales</t>
        </is>
      </c>
      <c r="C1536" s="7" t="inlineStr">
        <is>
          <t>Domótica e intercomunicadores</t>
        </is>
      </c>
      <c r="D1536" s="5" t="inlineStr">
        <is>
          <t>Tarjeta Eva 16 In 100 Ut Multifuncion 125V</t>
        </is>
      </c>
      <c r="E1536" s="5" t="inlineStr">
        <is>
          <t>marca MASTER · accesorios intelegentes · referencia HS01500</t>
        </is>
      </c>
      <c r="F1536" s="5" t="inlineStr">
        <is>
          <t>Material retirado en almacén</t>
        </is>
      </c>
      <c r="G1536" s="5" t="inlineStr"/>
      <c r="H1536" s="7" t="inlineStr">
        <is>
          <t>unidad</t>
        </is>
      </c>
      <c r="I1536" s="7" t="inlineStr">
        <is>
          <t>Instalaciones</t>
        </is>
      </c>
      <c r="J1536" s="7" t="inlineStr">
        <is>
          <t>estandar</t>
        </is>
      </c>
      <c r="K1536" s="7" t="inlineStr">
        <is>
          <t>importado</t>
        </is>
      </c>
      <c r="L1536" s="7" t="inlineStr">
        <is>
          <t>Verificado</t>
        </is>
      </c>
      <c r="M1536" s="8" t="n">
        <v>1</v>
      </c>
      <c r="N1536" s="9" t="n">
        <v>19549.22</v>
      </c>
      <c r="O1536" s="9" t="n">
        <v>19549.22</v>
      </c>
      <c r="P1536" s="9" t="n">
        <v>19549.22</v>
      </c>
      <c r="Q1536" s="7" t="inlineStr">
        <is>
          <t>Sí</t>
        </is>
      </c>
      <c r="R1536" s="9">
        <f>IF(N1536="","",IF(Q1536="Sí",ROUND(N1536/1.18,2),N1536))</f>
        <v/>
      </c>
      <c r="S1536" s="7" t="inlineStr">
        <is>
          <t>2026-09-09</t>
        </is>
      </c>
      <c r="T1536" s="5" t="inlineStr">
        <is>
          <t>1 cotización de proveedores</t>
        </is>
      </c>
    </row>
    <row r="1537">
      <c r="A1537" s="7" t="inlineStr">
        <is>
          <t>MAT-31-100</t>
        </is>
      </c>
      <c r="B1537" s="7" t="inlineStr">
        <is>
          <t>Materiales</t>
        </is>
      </c>
      <c r="C1537" s="7" t="inlineStr">
        <is>
          <t>Domótica e intercomunicadores</t>
        </is>
      </c>
      <c r="D1537" s="5" t="inlineStr">
        <is>
          <t>Video Balun Aciple Rap. con Cable 8 Mp Cvi</t>
        </is>
      </c>
      <c r="E1537" s="5" t="inlineStr">
        <is>
          <t>marca DAHUA · accesorios intelegentes · referencia DH-PFM800-4K</t>
        </is>
      </c>
      <c r="F1537" s="5" t="inlineStr">
        <is>
          <t>Material retirado en almacén</t>
        </is>
      </c>
      <c r="G1537" s="5" t="inlineStr"/>
      <c r="H1537" s="7" t="inlineStr">
        <is>
          <t>unidad</t>
        </is>
      </c>
      <c r="I1537" s="7" t="inlineStr">
        <is>
          <t>Instalaciones</t>
        </is>
      </c>
      <c r="J1537" s="7" t="inlineStr">
        <is>
          <t>estandar</t>
        </is>
      </c>
      <c r="K1537" s="7" t="inlineStr">
        <is>
          <t>importado</t>
        </is>
      </c>
      <c r="L1537" s="7" t="inlineStr">
        <is>
          <t>Verificado</t>
        </is>
      </c>
      <c r="M1537" s="8" t="n">
        <v>1</v>
      </c>
      <c r="N1537" s="9" t="n">
        <v>231.08</v>
      </c>
      <c r="O1537" s="9" t="n">
        <v>231.08</v>
      </c>
      <c r="P1537" s="9" t="n">
        <v>231.08</v>
      </c>
      <c r="Q1537" s="7" t="inlineStr">
        <is>
          <t>Sí</t>
        </is>
      </c>
      <c r="R1537" s="9">
        <f>IF(N1537="","",IF(Q1537="Sí",ROUND(N1537/1.18,2),N1537))</f>
        <v/>
      </c>
      <c r="S1537" s="7" t="inlineStr">
        <is>
          <t>2026-09-09</t>
        </is>
      </c>
      <c r="T1537" s="5" t="inlineStr">
        <is>
          <t>1 cotización de proveedores</t>
        </is>
      </c>
    </row>
    <row r="1538">
      <c r="A1538" s="7" t="inlineStr">
        <is>
          <t>MAT-31-101</t>
        </is>
      </c>
      <c r="B1538" s="7" t="inlineStr">
        <is>
          <t>Materiales</t>
        </is>
      </c>
      <c r="C1538" s="7" t="inlineStr">
        <is>
          <t>Domótica e intercomunicadores</t>
        </is>
      </c>
      <c r="D1538" s="5" t="inlineStr">
        <is>
          <t>Terminal RJ45 Cat 6 (100 Pcs)</t>
        </is>
      </c>
      <c r="E1538" s="5" t="inlineStr">
        <is>
          <t>marca DAHUA · accesorios intelegentes · referencia DH-PFM976-631</t>
        </is>
      </c>
      <c r="F1538" s="5" t="inlineStr">
        <is>
          <t>Material retirado en almacén</t>
        </is>
      </c>
      <c r="G1538" s="5" t="inlineStr"/>
      <c r="H1538" s="7" t="inlineStr">
        <is>
          <t>unidad</t>
        </is>
      </c>
      <c r="I1538" s="7" t="inlineStr">
        <is>
          <t>Instalaciones</t>
        </is>
      </c>
      <c r="J1538" s="7" t="inlineStr">
        <is>
          <t>estandar</t>
        </is>
      </c>
      <c r="K1538" s="7" t="inlineStr">
        <is>
          <t>importado</t>
        </is>
      </c>
      <c r="L1538" s="7" t="inlineStr">
        <is>
          <t>Verificado</t>
        </is>
      </c>
      <c r="M1538" s="8" t="n">
        <v>1</v>
      </c>
      <c r="N1538" s="9" t="n">
        <v>587.39</v>
      </c>
      <c r="O1538" s="9" t="n">
        <v>587.39</v>
      </c>
      <c r="P1538" s="9" t="n">
        <v>587.39</v>
      </c>
      <c r="Q1538" s="7" t="inlineStr">
        <is>
          <t>Sí</t>
        </is>
      </c>
      <c r="R1538" s="9">
        <f>IF(N1538="","",IF(Q1538="Sí",ROUND(N1538/1.18,2),N1538))</f>
        <v/>
      </c>
      <c r="S1538" s="7" t="inlineStr">
        <is>
          <t>2026-09-09</t>
        </is>
      </c>
      <c r="T1538" s="5" t="inlineStr">
        <is>
          <t>1 cotización de proveedores</t>
        </is>
      </c>
    </row>
    <row r="1539">
      <c r="A1539" s="7" t="inlineStr">
        <is>
          <t>MAT-31-102</t>
        </is>
      </c>
      <c r="B1539" s="7" t="inlineStr">
        <is>
          <t>Materiales</t>
        </is>
      </c>
      <c r="C1539" s="7" t="inlineStr">
        <is>
          <t>Domótica e intercomunicadores</t>
        </is>
      </c>
      <c r="D1539" s="5" t="inlineStr">
        <is>
          <t>Mini Switch Inalámbrico</t>
        </is>
      </c>
      <c r="E1539" s="5" t="inlineStr">
        <is>
          <t>marca AQARA · accesorios intelegentes · referencia WXKG11LM</t>
        </is>
      </c>
      <c r="F1539" s="5" t="inlineStr">
        <is>
          <t>Material retirado en almacén</t>
        </is>
      </c>
      <c r="G1539" s="5" t="inlineStr"/>
      <c r="H1539" s="7" t="inlineStr">
        <is>
          <t>unidad</t>
        </is>
      </c>
      <c r="I1539" s="7" t="inlineStr">
        <is>
          <t>Instalaciones</t>
        </is>
      </c>
      <c r="J1539" s="7" t="inlineStr">
        <is>
          <t>estandar</t>
        </is>
      </c>
      <c r="K1539" s="7" t="inlineStr">
        <is>
          <t>importado</t>
        </is>
      </c>
      <c r="L1539" s="7" t="inlineStr">
        <is>
          <t>Verificado</t>
        </is>
      </c>
      <c r="M1539" s="8" t="n">
        <v>1</v>
      </c>
      <c r="N1539" s="9" t="n">
        <v>1120.56</v>
      </c>
      <c r="O1539" s="9" t="n">
        <v>1120.56</v>
      </c>
      <c r="P1539" s="9" t="n">
        <v>1120.56</v>
      </c>
      <c r="Q1539" s="7" t="inlineStr">
        <is>
          <t>Sí</t>
        </is>
      </c>
      <c r="R1539" s="9">
        <f>IF(N1539="","",IF(Q1539="Sí",ROUND(N1539/1.18,2),N1539))</f>
        <v/>
      </c>
      <c r="S1539" s="7" t="inlineStr">
        <is>
          <t>2026-09-09</t>
        </is>
      </c>
      <c r="T1539" s="5" t="inlineStr">
        <is>
          <t>1 cotización de proveedores</t>
        </is>
      </c>
    </row>
    <row r="1540">
      <c r="A1540" s="7" t="inlineStr">
        <is>
          <t>MAT-31-103</t>
        </is>
      </c>
      <c r="B1540" s="7" t="inlineStr">
        <is>
          <t>Materiales</t>
        </is>
      </c>
      <c r="C1540" s="7" t="inlineStr">
        <is>
          <t>Domótica e intercomunicadores</t>
        </is>
      </c>
      <c r="D1540" s="5" t="inlineStr">
        <is>
          <t>Bridge Rf-433 Mhz + Wifi</t>
        </is>
      </c>
      <c r="E1540" s="5" t="inlineStr">
        <is>
          <t>marca SONOFF · accesorios intelegentes · referencia RFBRIDGER2</t>
        </is>
      </c>
      <c r="F1540" s="5" t="inlineStr">
        <is>
          <t>Material retirado en almacén</t>
        </is>
      </c>
      <c r="G1540" s="5" t="inlineStr"/>
      <c r="H1540" s="7" t="inlineStr">
        <is>
          <t>unidad</t>
        </is>
      </c>
      <c r="I1540" s="7" t="inlineStr">
        <is>
          <t>Instalaciones</t>
        </is>
      </c>
      <c r="J1540" s="7" t="inlineStr">
        <is>
          <t>estandar</t>
        </is>
      </c>
      <c r="K1540" s="7" t="inlineStr">
        <is>
          <t>importado</t>
        </is>
      </c>
      <c r="L1540" s="7" t="inlineStr">
        <is>
          <t>Verificado</t>
        </is>
      </c>
      <c r="M1540" s="8" t="n">
        <v>1</v>
      </c>
      <c r="N1540" s="9" t="n">
        <v>1156.51</v>
      </c>
      <c r="O1540" s="9" t="n">
        <v>1156.51</v>
      </c>
      <c r="P1540" s="9" t="n">
        <v>1156.51</v>
      </c>
      <c r="Q1540" s="7" t="inlineStr">
        <is>
          <t>Sí</t>
        </is>
      </c>
      <c r="R1540" s="9">
        <f>IF(N1540="","",IF(Q1540="Sí",ROUND(N1540/1.18,2),N1540))</f>
        <v/>
      </c>
      <c r="S1540" s="7" t="inlineStr">
        <is>
          <t>2026-09-09</t>
        </is>
      </c>
      <c r="T1540" s="5" t="inlineStr">
        <is>
          <t>1 cotización de proveedores</t>
        </is>
      </c>
    </row>
    <row r="1541">
      <c r="A1541" s="7" t="inlineStr">
        <is>
          <t>MAT-31-104</t>
        </is>
      </c>
      <c r="B1541" s="7" t="inlineStr">
        <is>
          <t>Materiales</t>
        </is>
      </c>
      <c r="C1541" s="7" t="inlineStr">
        <is>
          <t>Domótica e intercomunicadores</t>
        </is>
      </c>
      <c r="D1541" s="5" t="inlineStr">
        <is>
          <t>Receptor Bus Sdi2 Inalámbrica</t>
        </is>
      </c>
      <c r="E1541" s="5" t="inlineStr">
        <is>
          <t>marca BOSCH · accesorios intelegentes · referencia B810</t>
        </is>
      </c>
      <c r="F1541" s="5" t="inlineStr">
        <is>
          <t>Material retirado en almacén</t>
        </is>
      </c>
      <c r="G1541" s="5" t="inlineStr"/>
      <c r="H1541" s="7" t="inlineStr">
        <is>
          <t>unidad</t>
        </is>
      </c>
      <c r="I1541" s="7" t="inlineStr">
        <is>
          <t>Instalaciones</t>
        </is>
      </c>
      <c r="J1541" s="7" t="inlineStr">
        <is>
          <t>estandar</t>
        </is>
      </c>
      <c r="K1541" s="7" t="inlineStr">
        <is>
          <t>importado</t>
        </is>
      </c>
      <c r="L1541" s="7" t="inlineStr">
        <is>
          <t>Verificado</t>
        </is>
      </c>
      <c r="M1541" s="8" t="n">
        <v>1</v>
      </c>
      <c r="N1541" s="9" t="n">
        <v>4641.62</v>
      </c>
      <c r="O1541" s="9" t="n">
        <v>4641.62</v>
      </c>
      <c r="P1541" s="9" t="n">
        <v>4641.62</v>
      </c>
      <c r="Q1541" s="7" t="inlineStr">
        <is>
          <t>Sí</t>
        </is>
      </c>
      <c r="R1541" s="9">
        <f>IF(N1541="","",IF(Q1541="Sí",ROUND(N1541/1.18,2),N1541))</f>
        <v/>
      </c>
      <c r="S1541" s="7" t="inlineStr">
        <is>
          <t>2026-09-09</t>
        </is>
      </c>
      <c r="T1541" s="5" t="inlineStr">
        <is>
          <t>1 cotización de proveedores</t>
        </is>
      </c>
    </row>
    <row r="1542">
      <c r="A1542" s="7" t="inlineStr">
        <is>
          <t>MAT-31-105</t>
        </is>
      </c>
      <c r="B1542" s="7" t="inlineStr">
        <is>
          <t>Materiales</t>
        </is>
      </c>
      <c r="C1542" s="7" t="inlineStr">
        <is>
          <t>Domótica e intercomunicadores</t>
        </is>
      </c>
      <c r="D1542" s="5" t="inlineStr">
        <is>
          <t>Borne Transmisor Infrarojos 12 Vcc</t>
        </is>
      </c>
      <c r="E1542" s="5" t="inlineStr">
        <is>
          <t>marca MASTER · accesorios intelegentes · referencia HA11000</t>
        </is>
      </c>
      <c r="F1542" s="5" t="inlineStr">
        <is>
          <t>Material retirado en almacén</t>
        </is>
      </c>
      <c r="G1542" s="5" t="inlineStr"/>
      <c r="H1542" s="7" t="inlineStr">
        <is>
          <t>unidad</t>
        </is>
      </c>
      <c r="I1542" s="7" t="inlineStr">
        <is>
          <t>Instalaciones</t>
        </is>
      </c>
      <c r="J1542" s="7" t="inlineStr">
        <is>
          <t>estandar</t>
        </is>
      </c>
      <c r="K1542" s="7" t="inlineStr">
        <is>
          <t>importado</t>
        </is>
      </c>
      <c r="L1542" s="7" t="inlineStr">
        <is>
          <t>Verificado</t>
        </is>
      </c>
      <c r="M1542" s="8" t="n">
        <v>1</v>
      </c>
      <c r="N1542" s="9" t="n">
        <v>5282.42</v>
      </c>
      <c r="O1542" s="9" t="n">
        <v>5282.42</v>
      </c>
      <c r="P1542" s="9" t="n">
        <v>5282.42</v>
      </c>
      <c r="Q1542" s="7" t="inlineStr">
        <is>
          <t>Sí</t>
        </is>
      </c>
      <c r="R1542" s="9">
        <f>IF(N1542="","",IF(Q1542="Sí",ROUND(N1542/1.18,2),N1542))</f>
        <v/>
      </c>
      <c r="S1542" s="7" t="inlineStr">
        <is>
          <t>2026-09-09</t>
        </is>
      </c>
      <c r="T1542" s="5" t="inlineStr">
        <is>
          <t>1 cotización de proveedores</t>
        </is>
      </c>
    </row>
    <row r="1543">
      <c r="A1543" s="7" t="inlineStr">
        <is>
          <t>MAT-31-106</t>
        </is>
      </c>
      <c r="B1543" s="7" t="inlineStr">
        <is>
          <t>Materiales</t>
        </is>
      </c>
      <c r="C1543" s="7" t="inlineStr">
        <is>
          <t>Domótica e intercomunicadores</t>
        </is>
      </c>
      <c r="D1543" s="5" t="inlineStr">
        <is>
          <t>Concentrador Hub</t>
        </is>
      </c>
      <c r="E1543" s="5" t="inlineStr">
        <is>
          <t>marca SONOFF · accesorios intelegentes · referencia AIBRIDG/AIBRIDGE-26</t>
        </is>
      </c>
      <c r="F1543" s="5" t="inlineStr">
        <is>
          <t>Material retirado en almacén</t>
        </is>
      </c>
      <c r="G1543" s="5" t="inlineStr"/>
      <c r="H1543" s="7" t="inlineStr">
        <is>
          <t>unidad</t>
        </is>
      </c>
      <c r="I1543" s="7" t="inlineStr">
        <is>
          <t>Instalaciones</t>
        </is>
      </c>
      <c r="J1543" s="7" t="inlineStr">
        <is>
          <t>estandar</t>
        </is>
      </c>
      <c r="K1543" s="7" t="inlineStr">
        <is>
          <t>importado</t>
        </is>
      </c>
      <c r="L1543" s="7" t="inlineStr">
        <is>
          <t>Verificado</t>
        </is>
      </c>
      <c r="M1543" s="8" t="n">
        <v>1</v>
      </c>
      <c r="N1543" s="9" t="n">
        <v>8465.639999999999</v>
      </c>
      <c r="O1543" s="9" t="n">
        <v>8465.639999999999</v>
      </c>
      <c r="P1543" s="9" t="n">
        <v>8465.639999999999</v>
      </c>
      <c r="Q1543" s="7" t="inlineStr">
        <is>
          <t>Sí</t>
        </is>
      </c>
      <c r="R1543" s="9">
        <f>IF(N1543="","",IF(Q1543="Sí",ROUND(N1543/1.18,2),N1543))</f>
        <v/>
      </c>
      <c r="S1543" s="7" t="inlineStr">
        <is>
          <t>2026-09-09</t>
        </is>
      </c>
      <c r="T1543" s="5" t="inlineStr">
        <is>
          <t>1 cotización de proveedores</t>
        </is>
      </c>
    </row>
    <row r="1544">
      <c r="A1544" s="7" t="inlineStr">
        <is>
          <t>MAT-31-107</t>
        </is>
      </c>
      <c r="B1544" s="7" t="inlineStr">
        <is>
          <t>Materiales</t>
        </is>
      </c>
      <c r="C1544" s="7" t="inlineStr">
        <is>
          <t>Domótica e intercomunicadores</t>
        </is>
      </c>
      <c r="D1544" s="5" t="inlineStr">
        <is>
          <t>Unidad Central con Alexa Incluido</t>
        </is>
      </c>
      <c r="E1544" s="5" t="inlineStr">
        <is>
          <t>marca SWITCH BEE · accesorios intelegentes · referencia 1-CU</t>
        </is>
      </c>
      <c r="F1544" s="5" t="inlineStr">
        <is>
          <t>Material retirado en almacén</t>
        </is>
      </c>
      <c r="G1544" s="5" t="inlineStr"/>
      <c r="H1544" s="7" t="inlineStr">
        <is>
          <t>unidad</t>
        </is>
      </c>
      <c r="I1544" s="7" t="inlineStr">
        <is>
          <t>Instalaciones</t>
        </is>
      </c>
      <c r="J1544" s="7" t="inlineStr">
        <is>
          <t>estandar</t>
        </is>
      </c>
      <c r="K1544" s="7" t="inlineStr">
        <is>
          <t>importado</t>
        </is>
      </c>
      <c r="L1544" s="7" t="inlineStr">
        <is>
          <t>Verificado</t>
        </is>
      </c>
      <c r="M1544" s="8" t="n">
        <v>1</v>
      </c>
      <c r="N1544" s="9" t="n">
        <v>10846.87</v>
      </c>
      <c r="O1544" s="9" t="n">
        <v>10846.87</v>
      </c>
      <c r="P1544" s="9" t="n">
        <v>10846.87</v>
      </c>
      <c r="Q1544" s="7" t="inlineStr">
        <is>
          <t>Sí</t>
        </is>
      </c>
      <c r="R1544" s="9">
        <f>IF(N1544="","",IF(Q1544="Sí",ROUND(N1544/1.18,2),N1544))</f>
        <v/>
      </c>
      <c r="S1544" s="7" t="inlineStr">
        <is>
          <t>2026-09-09</t>
        </is>
      </c>
      <c r="T1544" s="5" t="inlineStr">
        <is>
          <t>1 cotización de proveedores</t>
        </is>
      </c>
    </row>
    <row r="1545">
      <c r="A1545" s="7" t="inlineStr">
        <is>
          <t>MAT-31-108</t>
        </is>
      </c>
      <c r="B1545" s="7" t="inlineStr">
        <is>
          <t>Materiales</t>
        </is>
      </c>
      <c r="C1545" s="7" t="inlineStr">
        <is>
          <t>Domótica e intercomunicadores</t>
        </is>
      </c>
      <c r="D1545" s="5" t="inlineStr">
        <is>
          <t>Switch PoE Clod Gigabit Ad 24 Poe+2 Ul</t>
        </is>
      </c>
      <c r="E1545" s="5" t="inlineStr">
        <is>
          <t>marca DAHUA · accesorios intelegentes · referencia DH-CS4228-24GT-240</t>
        </is>
      </c>
      <c r="F1545" s="5" t="inlineStr">
        <is>
          <t>Material retirado en almacén</t>
        </is>
      </c>
      <c r="G1545" s="5" t="inlineStr"/>
      <c r="H1545" s="7" t="inlineStr">
        <is>
          <t>unidad</t>
        </is>
      </c>
      <c r="I1545" s="7" t="inlineStr">
        <is>
          <t>Instalaciones</t>
        </is>
      </c>
      <c r="J1545" s="7" t="inlineStr">
        <is>
          <t>estandar</t>
        </is>
      </c>
      <c r="K1545" s="7" t="inlineStr">
        <is>
          <t>importado</t>
        </is>
      </c>
      <c r="L1545" s="7" t="inlineStr">
        <is>
          <t>Verificado</t>
        </is>
      </c>
      <c r="M1545" s="8" t="n">
        <v>1</v>
      </c>
      <c r="N1545" s="9" t="n">
        <v>18998.93</v>
      </c>
      <c r="O1545" s="9" t="n">
        <v>18998.93</v>
      </c>
      <c r="P1545" s="9" t="n">
        <v>18998.93</v>
      </c>
      <c r="Q1545" s="7" t="inlineStr">
        <is>
          <t>Sí</t>
        </is>
      </c>
      <c r="R1545" s="9">
        <f>IF(N1545="","",IF(Q1545="Sí",ROUND(N1545/1.18,2),N1545))</f>
        <v/>
      </c>
      <c r="S1545" s="7" t="inlineStr">
        <is>
          <t>2026-09-09</t>
        </is>
      </c>
      <c r="T1545" s="5" t="inlineStr">
        <is>
          <t>1 cotización de proveedores</t>
        </is>
      </c>
    </row>
    <row r="1546">
      <c r="A1546" s="7" t="inlineStr">
        <is>
          <t>MAT-31-109</t>
        </is>
      </c>
      <c r="B1546" s="7" t="inlineStr">
        <is>
          <t>Materiales</t>
        </is>
      </c>
      <c r="C1546" s="7" t="inlineStr">
        <is>
          <t>Domótica e intercomunicadores</t>
        </is>
      </c>
      <c r="D1546" s="5" t="inlineStr">
        <is>
          <t>Soneria Adicional 2 Hilos</t>
        </is>
      </c>
      <c r="E1546" s="5" t="inlineStr">
        <is>
          <t>marca BTICINO · intercom audio · referencia 336910</t>
        </is>
      </c>
      <c r="F1546" s="5" t="inlineStr">
        <is>
          <t>Material retirado en almacén</t>
        </is>
      </c>
      <c r="G1546" s="5" t="inlineStr"/>
      <c r="H1546" s="7" t="inlineStr">
        <is>
          <t>unidad</t>
        </is>
      </c>
      <c r="I1546" s="7" t="inlineStr">
        <is>
          <t>Instalaciones</t>
        </is>
      </c>
      <c r="J1546" s="7" t="inlineStr">
        <is>
          <t>estandar</t>
        </is>
      </c>
      <c r="K1546" s="7" t="inlineStr">
        <is>
          <t>importado</t>
        </is>
      </c>
      <c r="L1546" s="7" t="inlineStr">
        <is>
          <t>Verificado</t>
        </is>
      </c>
      <c r="M1546" s="8" t="n">
        <v>1</v>
      </c>
      <c r="N1546" s="9" t="n">
        <v>537.03</v>
      </c>
      <c r="O1546" s="9" t="n">
        <v>537.03</v>
      </c>
      <c r="P1546" s="9" t="n">
        <v>537.03</v>
      </c>
      <c r="Q1546" s="7" t="inlineStr">
        <is>
          <t>Sí</t>
        </is>
      </c>
      <c r="R1546" s="9">
        <f>IF(N1546="","",IF(Q1546="Sí",ROUND(N1546/1.18,2),N1546))</f>
        <v/>
      </c>
      <c r="S1546" s="7" t="inlineStr">
        <is>
          <t>2026-09-09</t>
        </is>
      </c>
      <c r="T1546" s="5" t="inlineStr">
        <is>
          <t>1 cotización de proveedores</t>
        </is>
      </c>
    </row>
    <row r="1547">
      <c r="A1547" s="7" t="inlineStr">
        <is>
          <t>MAT-31-110</t>
        </is>
      </c>
      <c r="B1547" s="7" t="inlineStr">
        <is>
          <t>Materiales</t>
        </is>
      </c>
      <c r="C1547" s="7" t="inlineStr">
        <is>
          <t>Domótica e intercomunicadores</t>
        </is>
      </c>
      <c r="D1547" s="5" t="inlineStr">
        <is>
          <t>Unidad para Secreto De Conversacion</t>
        </is>
      </c>
      <c r="E1547" s="5" t="inlineStr">
        <is>
          <t>marca BTICINO · intercom audio · referencia 336300</t>
        </is>
      </c>
      <c r="F1547" s="5" t="inlineStr">
        <is>
          <t>Material retirado en almacén</t>
        </is>
      </c>
      <c r="G1547" s="5" t="inlineStr"/>
      <c r="H1547" s="7" t="inlineStr">
        <is>
          <t>unidad</t>
        </is>
      </c>
      <c r="I1547" s="7" t="inlineStr">
        <is>
          <t>Instalaciones</t>
        </is>
      </c>
      <c r="J1547" s="7" t="inlineStr">
        <is>
          <t>estandar</t>
        </is>
      </c>
      <c r="K1547" s="7" t="inlineStr">
        <is>
          <t>importado</t>
        </is>
      </c>
      <c r="L1547" s="7" t="inlineStr">
        <is>
          <t>Verificado</t>
        </is>
      </c>
      <c r="M1547" s="8" t="n">
        <v>1</v>
      </c>
      <c r="N1547" s="9" t="n">
        <v>563.5599999999999</v>
      </c>
      <c r="O1547" s="9" t="n">
        <v>563.5599999999999</v>
      </c>
      <c r="P1547" s="9" t="n">
        <v>563.5599999999999</v>
      </c>
      <c r="Q1547" s="7" t="inlineStr">
        <is>
          <t>Sí</t>
        </is>
      </c>
      <c r="R1547" s="9">
        <f>IF(N1547="","",IF(Q1547="Sí",ROUND(N1547/1.18,2),N1547))</f>
        <v/>
      </c>
      <c r="S1547" s="7" t="inlineStr">
        <is>
          <t>2026-09-09</t>
        </is>
      </c>
      <c r="T1547" s="5" t="inlineStr">
        <is>
          <t>1 cotización de proveedores</t>
        </is>
      </c>
    </row>
    <row r="1548">
      <c r="A1548" s="7" t="inlineStr">
        <is>
          <t>MAT-31-111</t>
        </is>
      </c>
      <c r="B1548" s="7" t="inlineStr">
        <is>
          <t>Materiales</t>
        </is>
      </c>
      <c r="C1548" s="7" t="inlineStr">
        <is>
          <t>Domótica e intercomunicadores</t>
        </is>
      </c>
      <c r="D1548" s="5" t="inlineStr">
        <is>
          <t>Frontal Para Teclado Numerico</t>
        </is>
      </c>
      <c r="E1548" s="5" t="inlineStr">
        <is>
          <t>marca BTICINO · componentes intercomunidores · referencia 332651</t>
        </is>
      </c>
      <c r="F1548" s="5" t="inlineStr">
        <is>
          <t>Material retirado en almacén</t>
        </is>
      </c>
      <c r="G1548" s="5" t="inlineStr"/>
      <c r="H1548" s="7" t="inlineStr">
        <is>
          <t>unidad</t>
        </is>
      </c>
      <c r="I1548" s="7" t="inlineStr">
        <is>
          <t>Instalaciones</t>
        </is>
      </c>
      <c r="J1548" s="7" t="inlineStr">
        <is>
          <t>estandar</t>
        </is>
      </c>
      <c r="K1548" s="7" t="inlineStr">
        <is>
          <t>importado</t>
        </is>
      </c>
      <c r="L1548" s="7" t="inlineStr">
        <is>
          <t>Verificado</t>
        </is>
      </c>
      <c r="M1548" s="8" t="n">
        <v>1</v>
      </c>
      <c r="N1548" s="9" t="n">
        <v>1085.02</v>
      </c>
      <c r="O1548" s="9" t="n">
        <v>1085.02</v>
      </c>
      <c r="P1548" s="9" t="n">
        <v>1085.02</v>
      </c>
      <c r="Q1548" s="7" t="inlineStr">
        <is>
          <t>Sí</t>
        </is>
      </c>
      <c r="R1548" s="9">
        <f>IF(N1548="","",IF(Q1548="Sí",ROUND(N1548/1.18,2),N1548))</f>
        <v/>
      </c>
      <c r="S1548" s="7" t="inlineStr">
        <is>
          <t>2026-09-09</t>
        </is>
      </c>
      <c r="T1548" s="5" t="inlineStr">
        <is>
          <t>1 cotización de proveedores</t>
        </is>
      </c>
    </row>
    <row r="1549">
      <c r="A1549" s="7" t="inlineStr">
        <is>
          <t>MAT-31-112</t>
        </is>
      </c>
      <c r="B1549" s="7" t="inlineStr">
        <is>
          <t>Materiales</t>
        </is>
      </c>
      <c r="C1549" s="7" t="inlineStr">
        <is>
          <t>Domótica e intercomunicadores</t>
        </is>
      </c>
      <c r="D1549" s="5" t="inlineStr">
        <is>
          <t>Automation Premium Basic Zigbee</t>
        </is>
      </c>
      <c r="E1549" s="5" t="inlineStr">
        <is>
          <t>marca SONOFF · accesorios intelegentes · referencia 4660</t>
        </is>
      </c>
      <c r="F1549" s="5" t="inlineStr">
        <is>
          <t>Material retirado en almacén</t>
        </is>
      </c>
      <c r="G1549" s="5" t="inlineStr"/>
      <c r="H1549" s="7" t="inlineStr">
        <is>
          <t>unidad</t>
        </is>
      </c>
      <c r="I1549" s="7" t="inlineStr">
        <is>
          <t>Instalaciones</t>
        </is>
      </c>
      <c r="J1549" s="7" t="inlineStr">
        <is>
          <t>estandar</t>
        </is>
      </c>
      <c r="K1549" s="7" t="inlineStr">
        <is>
          <t>importado</t>
        </is>
      </c>
      <c r="L1549" s="7" t="inlineStr">
        <is>
          <t>Verificado</t>
        </is>
      </c>
      <c r="M1549" s="8" t="n">
        <v>1</v>
      </c>
      <c r="N1549" s="9" t="n">
        <v>1143.26</v>
      </c>
      <c r="O1549" s="9" t="n">
        <v>1143.26</v>
      </c>
      <c r="P1549" s="9" t="n">
        <v>1143.26</v>
      </c>
      <c r="Q1549" s="7" t="inlineStr">
        <is>
          <t>Sí</t>
        </is>
      </c>
      <c r="R1549" s="9">
        <f>IF(N1549="","",IF(Q1549="Sí",ROUND(N1549/1.18,2),N1549))</f>
        <v/>
      </c>
      <c r="S1549" s="7" t="inlineStr">
        <is>
          <t>2026-09-09</t>
        </is>
      </c>
      <c r="T1549" s="5" t="inlineStr">
        <is>
          <t>1 cotización de proveedores</t>
        </is>
      </c>
    </row>
    <row r="1550">
      <c r="A1550" s="7" t="inlineStr">
        <is>
          <t>MAT-31-113</t>
        </is>
      </c>
      <c r="B1550" s="7" t="inlineStr">
        <is>
          <t>Materiales</t>
        </is>
      </c>
      <c r="C1550" s="7" t="inlineStr">
        <is>
          <t>Domótica e intercomunicadores</t>
        </is>
      </c>
      <c r="D1550" s="5" t="inlineStr">
        <is>
          <t>Automation Premium D1</t>
        </is>
      </c>
      <c r="E1550" s="5" t="inlineStr">
        <is>
          <t>marca SONOFF · accesorios intelegentes · referencia 433.92MH</t>
        </is>
      </c>
      <c r="F1550" s="5" t="inlineStr">
        <is>
          <t>Material retirado en almacén</t>
        </is>
      </c>
      <c r="G1550" s="5" t="inlineStr"/>
      <c r="H1550" s="7" t="inlineStr">
        <is>
          <t>unidad</t>
        </is>
      </c>
      <c r="I1550" s="7" t="inlineStr">
        <is>
          <t>Instalaciones</t>
        </is>
      </c>
      <c r="J1550" s="7" t="inlineStr">
        <is>
          <t>estandar</t>
        </is>
      </c>
      <c r="K1550" s="7" t="inlineStr">
        <is>
          <t>importado</t>
        </is>
      </c>
      <c r="L1550" s="7" t="inlineStr">
        <is>
          <t>Verificado</t>
        </is>
      </c>
      <c r="M1550" s="8" t="n">
        <v>1</v>
      </c>
      <c r="N1550" s="9" t="n">
        <v>1145.61</v>
      </c>
      <c r="O1550" s="9" t="n">
        <v>1145.61</v>
      </c>
      <c r="P1550" s="9" t="n">
        <v>1145.61</v>
      </c>
      <c r="Q1550" s="7" t="inlineStr">
        <is>
          <t>Sí</t>
        </is>
      </c>
      <c r="R1550" s="9">
        <f>IF(N1550="","",IF(Q1550="Sí",ROUND(N1550/1.18,2),N1550))</f>
        <v/>
      </c>
      <c r="S1550" s="7" t="inlineStr">
        <is>
          <t>2026-09-09</t>
        </is>
      </c>
      <c r="T1550" s="5" t="inlineStr">
        <is>
          <t>1 cotización de proveedores</t>
        </is>
      </c>
    </row>
    <row r="1551">
      <c r="A1551" s="7" t="inlineStr">
        <is>
          <t>MAT-31-114</t>
        </is>
      </c>
      <c r="B1551" s="7" t="inlineStr">
        <is>
          <t>Materiales</t>
        </is>
      </c>
      <c r="C1551" s="7" t="inlineStr">
        <is>
          <t>Domótica e intercomunicadores</t>
        </is>
      </c>
      <c r="D1551" s="5" t="inlineStr">
        <is>
          <t>Doble Pulsador Serie Modo</t>
        </is>
      </c>
      <c r="E1551" s="5" t="inlineStr">
        <is>
          <t>marca MASTER · accesorios intelegentes · referencia HA10010</t>
        </is>
      </c>
      <c r="F1551" s="5" t="inlineStr">
        <is>
          <t>Material retirado en almacén</t>
        </is>
      </c>
      <c r="G1551" s="5" t="inlineStr"/>
      <c r="H1551" s="7" t="inlineStr">
        <is>
          <t>unidad</t>
        </is>
      </c>
      <c r="I1551" s="7" t="inlineStr">
        <is>
          <t>Instalaciones</t>
        </is>
      </c>
      <c r="J1551" s="7" t="inlineStr">
        <is>
          <t>estandar</t>
        </is>
      </c>
      <c r="K1551" s="7" t="inlineStr">
        <is>
          <t>importado</t>
        </is>
      </c>
      <c r="L1551" s="7" t="inlineStr">
        <is>
          <t>Verificado</t>
        </is>
      </c>
      <c r="M1551" s="8" t="n">
        <v>1</v>
      </c>
      <c r="N1551" s="9" t="n">
        <v>1210.31</v>
      </c>
      <c r="O1551" s="9" t="n">
        <v>1210.31</v>
      </c>
      <c r="P1551" s="9" t="n">
        <v>1210.31</v>
      </c>
      <c r="Q1551" s="7" t="inlineStr">
        <is>
          <t>Sí</t>
        </is>
      </c>
      <c r="R1551" s="9">
        <f>IF(N1551="","",IF(Q1551="Sí",ROUND(N1551/1.18,2),N1551))</f>
        <v/>
      </c>
      <c r="S1551" s="7" t="inlineStr">
        <is>
          <t>2026-09-09</t>
        </is>
      </c>
      <c r="T1551" s="5" t="inlineStr">
        <is>
          <t>1 cotización de proveedores</t>
        </is>
      </c>
    </row>
    <row r="1552">
      <c r="A1552" s="7" t="inlineStr">
        <is>
          <t>MAT-31-115</t>
        </is>
      </c>
      <c r="B1552" s="7" t="inlineStr">
        <is>
          <t>Materiales</t>
        </is>
      </c>
      <c r="C1552" s="7" t="inlineStr">
        <is>
          <t>Domótica e intercomunicadores</t>
        </is>
      </c>
      <c r="D1552" s="5" t="inlineStr">
        <is>
          <t>Auto Premium Interruptor 2 Ch Blanco</t>
        </is>
      </c>
      <c r="E1552" s="5" t="inlineStr">
        <is>
          <t>marca SONOFF · accesorios intelegentes · referencia T2US2C</t>
        </is>
      </c>
      <c r="F1552" s="5" t="inlineStr">
        <is>
          <t>Material retirado en almacén</t>
        </is>
      </c>
      <c r="G1552" s="5" t="inlineStr"/>
      <c r="H1552" s="7" t="inlineStr">
        <is>
          <t>unidad</t>
        </is>
      </c>
      <c r="I1552" s="7" t="inlineStr">
        <is>
          <t>Instalaciones</t>
        </is>
      </c>
      <c r="J1552" s="7" t="inlineStr">
        <is>
          <t>estandar</t>
        </is>
      </c>
      <c r="K1552" s="7" t="inlineStr">
        <is>
          <t>importado</t>
        </is>
      </c>
      <c r="L1552" s="7" t="inlineStr">
        <is>
          <t>Verificado</t>
        </is>
      </c>
      <c r="M1552" s="8" t="n">
        <v>1</v>
      </c>
      <c r="N1552" s="9" t="n">
        <v>1430.53</v>
      </c>
      <c r="O1552" s="9" t="n">
        <v>1430.53</v>
      </c>
      <c r="P1552" s="9" t="n">
        <v>1430.53</v>
      </c>
      <c r="Q1552" s="7" t="inlineStr">
        <is>
          <t>Sí</t>
        </is>
      </c>
      <c r="R1552" s="9">
        <f>IF(N1552="","",IF(Q1552="Sí",ROUND(N1552/1.18,2),N1552))</f>
        <v/>
      </c>
      <c r="S1552" s="7" t="inlineStr">
        <is>
          <t>2026-09-09</t>
        </is>
      </c>
      <c r="T1552" s="5" t="inlineStr">
        <is>
          <t>1 cotización de proveedores</t>
        </is>
      </c>
    </row>
    <row r="1553">
      <c r="A1553" s="7" t="inlineStr">
        <is>
          <t>MAT-31-116</t>
        </is>
      </c>
      <c r="B1553" s="7" t="inlineStr">
        <is>
          <t>Materiales</t>
        </is>
      </c>
      <c r="C1553" s="7" t="inlineStr">
        <is>
          <t>Domótica e intercomunicadores</t>
        </is>
      </c>
      <c r="D1553" s="5" t="inlineStr">
        <is>
          <t>Automation Premium Tomacorriente</t>
        </is>
      </c>
      <c r="E1553" s="5" t="inlineStr">
        <is>
          <t>marca SONOFF · accesorios intelegentes · referencia IW100</t>
        </is>
      </c>
      <c r="F1553" s="5" t="inlineStr">
        <is>
          <t>Material retirado en almacén</t>
        </is>
      </c>
      <c r="G1553" s="5" t="inlineStr"/>
      <c r="H1553" s="7" t="inlineStr">
        <is>
          <t>unidad</t>
        </is>
      </c>
      <c r="I1553" s="7" t="inlineStr">
        <is>
          <t>Instalaciones</t>
        </is>
      </c>
      <c r="J1553" s="7" t="inlineStr">
        <is>
          <t>estandar</t>
        </is>
      </c>
      <c r="K1553" s="7" t="inlineStr">
        <is>
          <t>importado</t>
        </is>
      </c>
      <c r="L1553" s="7" t="inlineStr">
        <is>
          <t>Verificado</t>
        </is>
      </c>
      <c r="M1553" s="8" t="n">
        <v>1</v>
      </c>
      <c r="N1553" s="9" t="n">
        <v>1516.19</v>
      </c>
      <c r="O1553" s="9" t="n">
        <v>1516.19</v>
      </c>
      <c r="P1553" s="9" t="n">
        <v>1516.19</v>
      </c>
      <c r="Q1553" s="7" t="inlineStr">
        <is>
          <t>Sí</t>
        </is>
      </c>
      <c r="R1553" s="9">
        <f>IF(N1553="","",IF(Q1553="Sí",ROUND(N1553/1.18,2),N1553))</f>
        <v/>
      </c>
      <c r="S1553" s="7" t="inlineStr">
        <is>
          <t>2026-09-09</t>
        </is>
      </c>
      <c r="T1553" s="5" t="inlineStr">
        <is>
          <t>1 cotización de proveedores</t>
        </is>
      </c>
    </row>
    <row r="1554">
      <c r="A1554" s="7" t="inlineStr">
        <is>
          <t>MAT-31-117</t>
        </is>
      </c>
      <c r="B1554" s="7" t="inlineStr">
        <is>
          <t>Materiales</t>
        </is>
      </c>
      <c r="C1554" s="7" t="inlineStr">
        <is>
          <t>Domótica e intercomunicadores</t>
        </is>
      </c>
      <c r="D1554" s="5" t="inlineStr">
        <is>
          <t>Auto Premium Interruptor 1 Ch Black</t>
        </is>
      </c>
      <c r="E1554" s="5" t="inlineStr">
        <is>
          <t>marca SONOFF · accesorios intelegentes · referencia T3US1C</t>
        </is>
      </c>
      <c r="F1554" s="5" t="inlineStr">
        <is>
          <t>Material retirado en almacén</t>
        </is>
      </c>
      <c r="G1554" s="5" t="inlineStr"/>
      <c r="H1554" s="7" t="inlineStr">
        <is>
          <t>unidad</t>
        </is>
      </c>
      <c r="I1554" s="7" t="inlineStr">
        <is>
          <t>Instalaciones</t>
        </is>
      </c>
      <c r="J1554" s="7" t="inlineStr">
        <is>
          <t>estandar</t>
        </is>
      </c>
      <c r="K1554" s="7" t="inlineStr">
        <is>
          <t>importado</t>
        </is>
      </c>
      <c r="L1554" s="7" t="inlineStr">
        <is>
          <t>Verificado</t>
        </is>
      </c>
      <c r="M1554" s="8" t="n">
        <v>1</v>
      </c>
      <c r="N1554" s="9" t="n">
        <v>1749.36</v>
      </c>
      <c r="O1554" s="9" t="n">
        <v>1749.36</v>
      </c>
      <c r="P1554" s="9" t="n">
        <v>1749.36</v>
      </c>
      <c r="Q1554" s="7" t="inlineStr">
        <is>
          <t>Sí</t>
        </is>
      </c>
      <c r="R1554" s="9">
        <f>IF(N1554="","",IF(Q1554="Sí",ROUND(N1554/1.18,2),N1554))</f>
        <v/>
      </c>
      <c r="S1554" s="7" t="inlineStr">
        <is>
          <t>2026-09-09</t>
        </is>
      </c>
      <c r="T1554" s="5" t="inlineStr">
        <is>
          <t>1 cotización de proveedores</t>
        </is>
      </c>
    </row>
    <row r="1555">
      <c r="A1555" s="7" t="inlineStr">
        <is>
          <t>MAT-31-118</t>
        </is>
      </c>
      <c r="B1555" s="7" t="inlineStr">
        <is>
          <t>Materiales</t>
        </is>
      </c>
      <c r="C1555" s="7" t="inlineStr">
        <is>
          <t>Domótica e intercomunicadores</t>
        </is>
      </c>
      <c r="D1555" s="5" t="inlineStr">
        <is>
          <t>Derivador Montante Independ.</t>
        </is>
      </c>
      <c r="E1555" s="5" t="inlineStr">
        <is>
          <t>marca BTICINO · accesorios intercomunicadores · referencia 346980</t>
        </is>
      </c>
      <c r="F1555" s="5" t="inlineStr">
        <is>
          <t>Material retirado en almacén</t>
        </is>
      </c>
      <c r="G1555" s="5" t="inlineStr"/>
      <c r="H1555" s="7" t="inlineStr">
        <is>
          <t>unidad</t>
        </is>
      </c>
      <c r="I1555" s="7" t="inlineStr">
        <is>
          <t>Instalaciones</t>
        </is>
      </c>
      <c r="J1555" s="7" t="inlineStr">
        <is>
          <t>estandar</t>
        </is>
      </c>
      <c r="K1555" s="7" t="inlineStr">
        <is>
          <t>importado</t>
        </is>
      </c>
      <c r="L1555" s="7" t="inlineStr">
        <is>
          <t>Verificado</t>
        </is>
      </c>
      <c r="M1555" s="8" t="n">
        <v>1</v>
      </c>
      <c r="N1555" s="9" t="n">
        <v>1765.47</v>
      </c>
      <c r="O1555" s="9" t="n">
        <v>1765.47</v>
      </c>
      <c r="P1555" s="9" t="n">
        <v>1765.47</v>
      </c>
      <c r="Q1555" s="7" t="inlineStr">
        <is>
          <t>Sí</t>
        </is>
      </c>
      <c r="R1555" s="9">
        <f>IF(N1555="","",IF(Q1555="Sí",ROUND(N1555/1.18,2),N1555))</f>
        <v/>
      </c>
      <c r="S1555" s="7" t="inlineStr">
        <is>
          <t>2026-09-09</t>
        </is>
      </c>
      <c r="T1555" s="5" t="inlineStr">
        <is>
          <t>1 cotización de proveedores</t>
        </is>
      </c>
    </row>
    <row r="1556">
      <c r="A1556" s="7" t="inlineStr">
        <is>
          <t>MAT-31-119</t>
        </is>
      </c>
      <c r="B1556" s="7" t="inlineStr">
        <is>
          <t>Materiales</t>
        </is>
      </c>
      <c r="C1556" s="7" t="inlineStr">
        <is>
          <t>Domótica e intercomunicadores</t>
        </is>
      </c>
      <c r="D1556" s="5" t="inlineStr">
        <is>
          <t>Auto Premium Interruptor 2 Ch Negro</t>
        </is>
      </c>
      <c r="E1556" s="5" t="inlineStr">
        <is>
          <t>marca SONOFF · accesorios intelegentes · referencia T3US2C</t>
        </is>
      </c>
      <c r="F1556" s="5" t="inlineStr">
        <is>
          <t>Material retirado en almacén</t>
        </is>
      </c>
      <c r="G1556" s="5" t="inlineStr"/>
      <c r="H1556" s="7" t="inlineStr">
        <is>
          <t>unidad</t>
        </is>
      </c>
      <c r="I1556" s="7" t="inlineStr">
        <is>
          <t>Instalaciones</t>
        </is>
      </c>
      <c r="J1556" s="7" t="inlineStr">
        <is>
          <t>estandar</t>
        </is>
      </c>
      <c r="K1556" s="7" t="inlineStr">
        <is>
          <t>importado</t>
        </is>
      </c>
      <c r="L1556" s="7" t="inlineStr">
        <is>
          <t>Verificado</t>
        </is>
      </c>
      <c r="M1556" s="8" t="n">
        <v>1</v>
      </c>
      <c r="N1556" s="9" t="n">
        <v>1856.15</v>
      </c>
      <c r="O1556" s="9" t="n">
        <v>1856.15</v>
      </c>
      <c r="P1556" s="9" t="n">
        <v>1856.15</v>
      </c>
      <c r="Q1556" s="7" t="inlineStr">
        <is>
          <t>Sí</t>
        </is>
      </c>
      <c r="R1556" s="9">
        <f>IF(N1556="","",IF(Q1556="Sí",ROUND(N1556/1.18,2),N1556))</f>
        <v/>
      </c>
      <c r="S1556" s="7" t="inlineStr">
        <is>
          <t>2026-09-09</t>
        </is>
      </c>
      <c r="T1556" s="5" t="inlineStr">
        <is>
          <t>1 cotización de proveedores</t>
        </is>
      </c>
    </row>
    <row r="1557">
      <c r="A1557" s="7" t="inlineStr">
        <is>
          <t>MAT-31-120</t>
        </is>
      </c>
      <c r="B1557" s="7" t="inlineStr">
        <is>
          <t>Materiales</t>
        </is>
      </c>
      <c r="C1557" s="7" t="inlineStr">
        <is>
          <t>Domótica e intercomunicadores</t>
        </is>
      </c>
      <c r="D1557" s="5" t="inlineStr">
        <is>
          <t>Auto Premium Interruptor 3 Ch Negro</t>
        </is>
      </c>
      <c r="E1557" s="5" t="inlineStr">
        <is>
          <t>marca SONOFF · accesorios intelegentes · referencia T3US3C</t>
        </is>
      </c>
      <c r="F1557" s="5" t="inlineStr">
        <is>
          <t>Material retirado en almacén</t>
        </is>
      </c>
      <c r="G1557" s="5" t="inlineStr"/>
      <c r="H1557" s="7" t="inlineStr">
        <is>
          <t>unidad</t>
        </is>
      </c>
      <c r="I1557" s="7" t="inlineStr">
        <is>
          <t>Instalaciones</t>
        </is>
      </c>
      <c r="J1557" s="7" t="inlineStr">
        <is>
          <t>estandar</t>
        </is>
      </c>
      <c r="K1557" s="7" t="inlineStr">
        <is>
          <t>importado</t>
        </is>
      </c>
      <c r="L1557" s="7" t="inlineStr">
        <is>
          <t>Verificado</t>
        </is>
      </c>
      <c r="M1557" s="8" t="n">
        <v>1</v>
      </c>
      <c r="N1557" s="9" t="n">
        <v>2071.9</v>
      </c>
      <c r="O1557" s="9" t="n">
        <v>2071.9</v>
      </c>
      <c r="P1557" s="9" t="n">
        <v>2071.9</v>
      </c>
      <c r="Q1557" s="7" t="inlineStr">
        <is>
          <t>Sí</t>
        </is>
      </c>
      <c r="R1557" s="9">
        <f>IF(N1557="","",IF(Q1557="Sí",ROUND(N1557/1.18,2),N1557))</f>
        <v/>
      </c>
      <c r="S1557" s="7" t="inlineStr">
        <is>
          <t>2026-09-09</t>
        </is>
      </c>
      <c r="T1557" s="5" t="inlineStr">
        <is>
          <t>1 cotización de proveedores</t>
        </is>
      </c>
    </row>
    <row r="1558">
      <c r="A1558" s="7" t="inlineStr">
        <is>
          <t>MAT-31-121</t>
        </is>
      </c>
      <c r="B1558" s="7" t="inlineStr">
        <is>
          <t>Materiales</t>
        </is>
      </c>
      <c r="C1558" s="7" t="inlineStr">
        <is>
          <t>Domótica e intercomunicadores</t>
        </is>
      </c>
      <c r="D1558" s="5" t="inlineStr">
        <is>
          <t>Marco Soporte 2 Modulos</t>
        </is>
      </c>
      <c r="E1558" s="5" t="inlineStr">
        <is>
          <t>marca BTICINO · accesorios intercomunicadores · referencia 350221</t>
        </is>
      </c>
      <c r="F1558" s="5" t="inlineStr">
        <is>
          <t>Material retirado en almacén</t>
        </is>
      </c>
      <c r="G1558" s="5" t="inlineStr"/>
      <c r="H1558" s="7" t="inlineStr">
        <is>
          <t>unidad</t>
        </is>
      </c>
      <c r="I1558" s="7" t="inlineStr">
        <is>
          <t>Instalaciones</t>
        </is>
      </c>
      <c r="J1558" s="7" t="inlineStr">
        <is>
          <t>estandar</t>
        </is>
      </c>
      <c r="K1558" s="7" t="inlineStr">
        <is>
          <t>importado</t>
        </is>
      </c>
      <c r="L1558" s="7" t="inlineStr">
        <is>
          <t>Verificado</t>
        </is>
      </c>
      <c r="M1558" s="8" t="n">
        <v>1</v>
      </c>
      <c r="N1558" s="9" t="n">
        <v>2164.34</v>
      </c>
      <c r="O1558" s="9" t="n">
        <v>2164.34</v>
      </c>
      <c r="P1558" s="9" t="n">
        <v>2164.34</v>
      </c>
      <c r="Q1558" s="7" t="inlineStr">
        <is>
          <t>Sí</t>
        </is>
      </c>
      <c r="R1558" s="9">
        <f>IF(N1558="","",IF(Q1558="Sí",ROUND(N1558/1.18,2),N1558))</f>
        <v/>
      </c>
      <c r="S1558" s="7" t="inlineStr">
        <is>
          <t>2026-09-09</t>
        </is>
      </c>
      <c r="T1558" s="5" t="inlineStr">
        <is>
          <t>1 cotización de proveedores</t>
        </is>
      </c>
    </row>
    <row r="1559">
      <c r="A1559" s="7" t="inlineStr">
        <is>
          <t>MAT-31-122</t>
        </is>
      </c>
      <c r="B1559" s="7" t="inlineStr">
        <is>
          <t>Materiales</t>
        </is>
      </c>
      <c r="C1559" s="7" t="inlineStr">
        <is>
          <t>Domótica e intercomunicadores</t>
        </is>
      </c>
      <c r="D1559" s="5" t="inlineStr">
        <is>
          <t>Dispositivo Wifi 4 Ch 10A / 15A</t>
        </is>
      </c>
      <c r="E1559" s="5" t="inlineStr">
        <is>
          <t>marca SONOFF · accesorios intelegentes · referencia 4CHPROR3</t>
        </is>
      </c>
      <c r="F1559" s="5" t="inlineStr">
        <is>
          <t>Material retirado en almacén</t>
        </is>
      </c>
      <c r="G1559" s="5" t="inlineStr"/>
      <c r="H1559" s="7" t="inlineStr">
        <is>
          <t>unidad</t>
        </is>
      </c>
      <c r="I1559" s="7" t="inlineStr">
        <is>
          <t>Instalaciones</t>
        </is>
      </c>
      <c r="J1559" s="7" t="inlineStr">
        <is>
          <t>estandar</t>
        </is>
      </c>
      <c r="K1559" s="7" t="inlineStr">
        <is>
          <t>importado</t>
        </is>
      </c>
      <c r="L1559" s="7" t="inlineStr">
        <is>
          <t>Verificado</t>
        </is>
      </c>
      <c r="M1559" s="8" t="n">
        <v>1</v>
      </c>
      <c r="N1559" s="9" t="n">
        <v>2675.27</v>
      </c>
      <c r="O1559" s="9" t="n">
        <v>2604.57</v>
      </c>
      <c r="P1559" s="9" t="n">
        <v>2745.97</v>
      </c>
      <c r="Q1559" s="7" t="inlineStr">
        <is>
          <t>Sí</t>
        </is>
      </c>
      <c r="R1559" s="9">
        <f>IF(N1559="","",IF(Q1559="Sí",ROUND(N1559/1.18,2),N1559))</f>
        <v/>
      </c>
      <c r="S1559" s="7" t="inlineStr">
        <is>
          <t>2026-09-09</t>
        </is>
      </c>
      <c r="T1559" s="5" t="inlineStr">
        <is>
          <t>2 cotizaciones de proveedores</t>
        </is>
      </c>
    </row>
    <row r="1560">
      <c r="A1560" s="7" t="inlineStr">
        <is>
          <t>MAT-31-123</t>
        </is>
      </c>
      <c r="B1560" s="7" t="inlineStr">
        <is>
          <t>Materiales</t>
        </is>
      </c>
      <c r="C1560" s="7" t="inlineStr">
        <is>
          <t>Domótica e intercomunicadores</t>
        </is>
      </c>
      <c r="D1560" s="5" t="inlineStr">
        <is>
          <t>Dispositivo Wifi Multifuncion 15A</t>
        </is>
      </c>
      <c r="E1560" s="5" t="inlineStr">
        <is>
          <t>marca SONOFF · accesorios intelegentes · referencia POWR3</t>
        </is>
      </c>
      <c r="F1560" s="5" t="inlineStr">
        <is>
          <t>Material retirado en almacén</t>
        </is>
      </c>
      <c r="G1560" s="5" t="inlineStr"/>
      <c r="H1560" s="7" t="inlineStr">
        <is>
          <t>unidad</t>
        </is>
      </c>
      <c r="I1560" s="7" t="inlineStr">
        <is>
          <t>Instalaciones</t>
        </is>
      </c>
      <c r="J1560" s="7" t="inlineStr">
        <is>
          <t>estandar</t>
        </is>
      </c>
      <c r="K1560" s="7" t="inlineStr">
        <is>
          <t>importado</t>
        </is>
      </c>
      <c r="L1560" s="7" t="inlineStr">
        <is>
          <t>Verificado</t>
        </is>
      </c>
      <c r="M1560" s="8" t="n">
        <v>1</v>
      </c>
      <c r="N1560" s="9" t="n">
        <v>2878.17</v>
      </c>
      <c r="O1560" s="9" t="n">
        <v>2878.17</v>
      </c>
      <c r="P1560" s="9" t="n">
        <v>2878.17</v>
      </c>
      <c r="Q1560" s="7" t="inlineStr">
        <is>
          <t>Sí</t>
        </is>
      </c>
      <c r="R1560" s="9">
        <f>IF(N1560="","",IF(Q1560="Sí",ROUND(N1560/1.18,2),N1560))</f>
        <v/>
      </c>
      <c r="S1560" s="7" t="inlineStr">
        <is>
          <t>2026-09-09</t>
        </is>
      </c>
      <c r="T1560" s="5" t="inlineStr">
        <is>
          <t>1 cotización de proveedores</t>
        </is>
      </c>
    </row>
    <row r="1561">
      <c r="A1561" s="7" t="inlineStr">
        <is>
          <t>MAT-31-124</t>
        </is>
      </c>
      <c r="B1561" s="7" t="inlineStr">
        <is>
          <t>Materiales</t>
        </is>
      </c>
      <c r="C1561" s="7" t="inlineStr">
        <is>
          <t>Domótica e intercomunicadores</t>
        </is>
      </c>
      <c r="D1561" s="5" t="inlineStr">
        <is>
          <t>Smart Home Hub</t>
        </is>
      </c>
      <c r="E1561" s="5" t="inlineStr">
        <is>
          <t>marca AQARA · accesorios intelegentes · referencia HUBM1S</t>
        </is>
      </c>
      <c r="F1561" s="5" t="inlineStr">
        <is>
          <t>Material retirado en almacén</t>
        </is>
      </c>
      <c r="G1561" s="5" t="inlineStr"/>
      <c r="H1561" s="7" t="inlineStr">
        <is>
          <t>unidad</t>
        </is>
      </c>
      <c r="I1561" s="7" t="inlineStr">
        <is>
          <t>Instalaciones</t>
        </is>
      </c>
      <c r="J1561" s="7" t="inlineStr">
        <is>
          <t>estandar</t>
        </is>
      </c>
      <c r="K1561" s="7" t="inlineStr">
        <is>
          <t>importado</t>
        </is>
      </c>
      <c r="L1561" s="7" t="inlineStr">
        <is>
          <t>Verificado</t>
        </is>
      </c>
      <c r="M1561" s="8" t="n">
        <v>1</v>
      </c>
      <c r="N1561" s="9" t="n">
        <v>3719.96</v>
      </c>
      <c r="O1561" s="9" t="n">
        <v>2234.38</v>
      </c>
      <c r="P1561" s="9" t="n">
        <v>4457.57</v>
      </c>
      <c r="Q1561" s="7" t="inlineStr">
        <is>
          <t>Sí</t>
        </is>
      </c>
      <c r="R1561" s="9">
        <f>IF(N1561="","",IF(Q1561="Sí",ROUND(N1561/1.18,2),N1561))</f>
        <v/>
      </c>
      <c r="S1561" s="7" t="inlineStr">
        <is>
          <t>2026-09-09</t>
        </is>
      </c>
      <c r="T1561" s="5" t="inlineStr">
        <is>
          <t>3 cotizaciones de proveedores</t>
        </is>
      </c>
    </row>
    <row r="1562">
      <c r="A1562" s="7" t="inlineStr">
        <is>
          <t>MAT-31-125</t>
        </is>
      </c>
      <c r="B1562" s="7" t="inlineStr">
        <is>
          <t>Materiales</t>
        </is>
      </c>
      <c r="C1562" s="7" t="inlineStr">
        <is>
          <t>Domótica e intercomunicadores</t>
        </is>
      </c>
      <c r="D1562" s="5" t="inlineStr">
        <is>
          <t>Accesorios para Instalacion 2 Modulo Interc</t>
        </is>
      </c>
      <c r="E1562" s="5" t="inlineStr">
        <is>
          <t>marca SECTECH · accesorios intercomunicadores · referencia ST-LE-BDV2</t>
        </is>
      </c>
      <c r="F1562" s="5" t="inlineStr">
        <is>
          <t>Material retirado en almacén</t>
        </is>
      </c>
      <c r="G1562" s="5" t="inlineStr"/>
      <c r="H1562" s="7" t="inlineStr">
        <is>
          <t>unidad</t>
        </is>
      </c>
      <c r="I1562" s="7" t="inlineStr">
        <is>
          <t>Instalaciones</t>
        </is>
      </c>
      <c r="J1562" s="7" t="inlineStr">
        <is>
          <t>estandar</t>
        </is>
      </c>
      <c r="K1562" s="7" t="inlineStr">
        <is>
          <t>importado</t>
        </is>
      </c>
      <c r="L1562" s="7" t="inlineStr">
        <is>
          <t>Verificado</t>
        </is>
      </c>
      <c r="M1562" s="8" t="n">
        <v>1</v>
      </c>
      <c r="N1562" s="9" t="n">
        <v>5396.45</v>
      </c>
      <c r="O1562" s="9" t="n">
        <v>5396.45</v>
      </c>
      <c r="P1562" s="9" t="n">
        <v>5396.45</v>
      </c>
      <c r="Q1562" s="7" t="inlineStr">
        <is>
          <t>Sí</t>
        </is>
      </c>
      <c r="R1562" s="9">
        <f>IF(N1562="","",IF(Q1562="Sí",ROUND(N1562/1.18,2),N1562))</f>
        <v/>
      </c>
      <c r="S1562" s="7" t="inlineStr">
        <is>
          <t>2026-09-09</t>
        </is>
      </c>
      <c r="T1562" s="5" t="inlineStr">
        <is>
          <t>1 cotización de proveedores</t>
        </is>
      </c>
    </row>
    <row r="1563">
      <c r="A1563" s="7" t="inlineStr">
        <is>
          <t>MAT-31-126</t>
        </is>
      </c>
      <c r="B1563" s="7" t="inlineStr">
        <is>
          <t>Materiales</t>
        </is>
      </c>
      <c r="C1563" s="7" t="inlineStr">
        <is>
          <t>Domótica e intercomunicadores</t>
        </is>
      </c>
      <c r="D1563" s="5" t="inlineStr">
        <is>
          <t>Video intercom Modulo Estacion Puerta</t>
        </is>
      </c>
      <c r="E1563" s="5" t="inlineStr">
        <is>
          <t>marca SECTECH · accesorios intercomunicadores · referencia ST-LE9003-JNF1</t>
        </is>
      </c>
      <c r="F1563" s="5" t="inlineStr">
        <is>
          <t>Material retirado en almacén</t>
        </is>
      </c>
      <c r="G1563" s="5" t="inlineStr"/>
      <c r="H1563" s="7" t="inlineStr">
        <is>
          <t>unidad</t>
        </is>
      </c>
      <c r="I1563" s="7" t="inlineStr">
        <is>
          <t>Instalaciones</t>
        </is>
      </c>
      <c r="J1563" s="7" t="inlineStr">
        <is>
          <t>estandar</t>
        </is>
      </c>
      <c r="K1563" s="7" t="inlineStr">
        <is>
          <t>importado</t>
        </is>
      </c>
      <c r="L1563" s="7" t="inlineStr">
        <is>
          <t>Verificado</t>
        </is>
      </c>
      <c r="M1563" s="8" t="n">
        <v>1</v>
      </c>
      <c r="N1563" s="9" t="n">
        <v>9883.620000000001</v>
      </c>
      <c r="O1563" s="9" t="n">
        <v>9883.620000000001</v>
      </c>
      <c r="P1563" s="9" t="n">
        <v>9883.620000000001</v>
      </c>
      <c r="Q1563" s="7" t="inlineStr">
        <is>
          <t>Sí</t>
        </is>
      </c>
      <c r="R1563" s="9">
        <f>IF(N1563="","",IF(Q1563="Sí",ROUND(N1563/1.18,2),N1563))</f>
        <v/>
      </c>
      <c r="S1563" s="7" t="inlineStr">
        <is>
          <t>2026-09-09</t>
        </is>
      </c>
      <c r="T1563" s="5" t="inlineStr">
        <is>
          <t>1 cotización de proveedores</t>
        </is>
      </c>
    </row>
    <row r="1564">
      <c r="A1564" s="7" t="inlineStr">
        <is>
          <t>MAT-31-127</t>
        </is>
      </c>
      <c r="B1564" s="7" t="inlineStr">
        <is>
          <t>Materiales</t>
        </is>
      </c>
      <c r="C1564" s="7" t="inlineStr">
        <is>
          <t>Domótica e intercomunicadores</t>
        </is>
      </c>
      <c r="D1564" s="5" t="inlineStr">
        <is>
          <t>Intercom Video 7" Adic 4 Haddit</t>
        </is>
      </c>
      <c r="E1564" s="5" t="inlineStr">
        <is>
          <t>marca BTICINO · intercom audio y video · referencia 330751</t>
        </is>
      </c>
      <c r="F1564" s="5" t="inlineStr">
        <is>
          <t>Material retirado en almacén</t>
        </is>
      </c>
      <c r="G1564" s="5" t="inlineStr"/>
      <c r="H1564" s="7" t="inlineStr">
        <is>
          <t>unidad</t>
        </is>
      </c>
      <c r="I1564" s="7" t="inlineStr">
        <is>
          <t>Instalaciones</t>
        </is>
      </c>
      <c r="J1564" s="7" t="inlineStr">
        <is>
          <t>estandar</t>
        </is>
      </c>
      <c r="K1564" s="7" t="inlineStr">
        <is>
          <t>importado</t>
        </is>
      </c>
      <c r="L1564" s="7" t="inlineStr">
        <is>
          <t>Verificado</t>
        </is>
      </c>
      <c r="M1564" s="8" t="n">
        <v>1</v>
      </c>
      <c r="N1564" s="9" t="n">
        <v>11519.81</v>
      </c>
      <c r="O1564" s="9" t="n">
        <v>11519.81</v>
      </c>
      <c r="P1564" s="9" t="n">
        <v>11519.81</v>
      </c>
      <c r="Q1564" s="7" t="inlineStr">
        <is>
          <t>Sí</t>
        </is>
      </c>
      <c r="R1564" s="9">
        <f>IF(N1564="","",IF(Q1564="Sí",ROUND(N1564/1.18,2),N1564))</f>
        <v/>
      </c>
      <c r="S1564" s="7" t="inlineStr">
        <is>
          <t>2026-09-09</t>
        </is>
      </c>
      <c r="T1564" s="5" t="inlineStr">
        <is>
          <t>1 cotización de proveedores</t>
        </is>
      </c>
    </row>
    <row r="1565">
      <c r="A1565" s="7" t="inlineStr">
        <is>
          <t>MAT-31-128</t>
        </is>
      </c>
      <c r="B1565" s="7" t="inlineStr">
        <is>
          <t>Materiales</t>
        </is>
      </c>
      <c r="C1565" s="7" t="inlineStr">
        <is>
          <t>Domótica e intercomunicadores</t>
        </is>
      </c>
      <c r="D1565" s="5" t="inlineStr">
        <is>
          <t>Temporizador Semanal Plena</t>
        </is>
      </c>
      <c r="E1565" s="5" t="inlineStr">
        <is>
          <t>marca BOSCH · intercom audio · referencia PLN-6TMW</t>
        </is>
      </c>
      <c r="F1565" s="5" t="inlineStr">
        <is>
          <t>Material retirado en almacén</t>
        </is>
      </c>
      <c r="G1565" s="5" t="inlineStr"/>
      <c r="H1565" s="7" t="inlineStr">
        <is>
          <t>unidad</t>
        </is>
      </c>
      <c r="I1565" s="7" t="inlineStr">
        <is>
          <t>Instalaciones</t>
        </is>
      </c>
      <c r="J1565" s="7" t="inlineStr">
        <is>
          <t>estandar</t>
        </is>
      </c>
      <c r="K1565" s="7" t="inlineStr">
        <is>
          <t>importado</t>
        </is>
      </c>
      <c r="L1565" s="7" t="inlineStr">
        <is>
          <t>Verificado</t>
        </is>
      </c>
      <c r="M1565" s="8" t="n">
        <v>1</v>
      </c>
      <c r="N1565" s="9" t="n">
        <v>39743.82</v>
      </c>
      <c r="O1565" s="9" t="n">
        <v>39743.82</v>
      </c>
      <c r="P1565" s="9" t="n">
        <v>39743.82</v>
      </c>
      <c r="Q1565" s="7" t="inlineStr">
        <is>
          <t>Sí</t>
        </is>
      </c>
      <c r="R1565" s="9">
        <f>IF(N1565="","",IF(Q1565="Sí",ROUND(N1565/1.18,2),N1565))</f>
        <v/>
      </c>
      <c r="S1565" s="7" t="inlineStr">
        <is>
          <t>2026-09-09</t>
        </is>
      </c>
      <c r="T1565" s="5" t="inlineStr">
        <is>
          <t>1 cotización de proveedores</t>
        </is>
      </c>
    </row>
    <row r="1566">
      <c r="A1566" s="7" t="inlineStr">
        <is>
          <t>MAT-31-129</t>
        </is>
      </c>
      <c r="B1566" s="7" t="inlineStr">
        <is>
          <t>Materiales</t>
        </is>
      </c>
      <c r="C1566" s="7" t="inlineStr">
        <is>
          <t>Domótica e intercomunicadores</t>
        </is>
      </c>
      <c r="D1566" s="5" t="inlineStr">
        <is>
          <t>Gestor De Mensajes Plena</t>
        </is>
      </c>
      <c r="E1566" s="5" t="inlineStr">
        <is>
          <t>marca BOSCH · intercom audio · referencia LBB1965/00</t>
        </is>
      </c>
      <c r="F1566" s="5" t="inlineStr">
        <is>
          <t>Material retirado en almacén</t>
        </is>
      </c>
      <c r="G1566" s="5" t="inlineStr"/>
      <c r="H1566" s="7" t="inlineStr">
        <is>
          <t>unidad</t>
        </is>
      </c>
      <c r="I1566" s="7" t="inlineStr">
        <is>
          <t>Instalaciones</t>
        </is>
      </c>
      <c r="J1566" s="7" t="inlineStr">
        <is>
          <t>estandar</t>
        </is>
      </c>
      <c r="K1566" s="7" t="inlineStr">
        <is>
          <t>importado</t>
        </is>
      </c>
      <c r="L1566" s="7" t="inlineStr">
        <is>
          <t>Verificado</t>
        </is>
      </c>
      <c r="M1566" s="8" t="n">
        <v>1</v>
      </c>
      <c r="N1566" s="9" t="n">
        <v>40282.58</v>
      </c>
      <c r="O1566" s="9" t="n">
        <v>40282.58</v>
      </c>
      <c r="P1566" s="9" t="n">
        <v>40282.58</v>
      </c>
      <c r="Q1566" s="7" t="inlineStr">
        <is>
          <t>Sí</t>
        </is>
      </c>
      <c r="R1566" s="9">
        <f>IF(N1566="","",IF(Q1566="Sí",ROUND(N1566/1.18,2),N1566))</f>
        <v/>
      </c>
      <c r="S1566" s="7" t="inlineStr">
        <is>
          <t>2026-09-09</t>
        </is>
      </c>
      <c r="T1566" s="5" t="inlineStr">
        <is>
          <t>1 cotización de proveedores</t>
        </is>
      </c>
    </row>
    <row r="1567">
      <c r="A1567" s="7" t="inlineStr">
        <is>
          <t>MAT-31-130</t>
        </is>
      </c>
      <c r="B1567" s="7" t="inlineStr">
        <is>
          <t>Materiales</t>
        </is>
      </c>
      <c r="C1567" s="7" t="inlineStr">
        <is>
          <t>Domótica e intercomunicadores</t>
        </is>
      </c>
      <c r="D1567" s="5" t="inlineStr">
        <is>
          <t>Plena Matrix Mezclador 8 Canales</t>
        </is>
      </c>
      <c r="E1567" s="5" t="inlineStr">
        <is>
          <t>marca BOSCH · intercom audio · referencia PLM-8M8-US</t>
        </is>
      </c>
      <c r="F1567" s="5" t="inlineStr">
        <is>
          <t>Material retirado en almacén</t>
        </is>
      </c>
      <c r="G1567" s="5" t="inlineStr"/>
      <c r="H1567" s="7" t="inlineStr">
        <is>
          <t>unidad</t>
        </is>
      </c>
      <c r="I1567" s="7" t="inlineStr">
        <is>
          <t>Instalaciones</t>
        </is>
      </c>
      <c r="J1567" s="7" t="inlineStr">
        <is>
          <t>estandar</t>
        </is>
      </c>
      <c r="K1567" s="7" t="inlineStr">
        <is>
          <t>importado</t>
        </is>
      </c>
      <c r="L1567" s="7" t="inlineStr">
        <is>
          <t>Verificado</t>
        </is>
      </c>
      <c r="M1567" s="8" t="n">
        <v>1</v>
      </c>
      <c r="N1567" s="9" t="n">
        <v>59719.34</v>
      </c>
      <c r="O1567" s="9" t="n">
        <v>59719.34</v>
      </c>
      <c r="P1567" s="9" t="n">
        <v>59719.34</v>
      </c>
      <c r="Q1567" s="7" t="inlineStr">
        <is>
          <t>Sí</t>
        </is>
      </c>
      <c r="R1567" s="9">
        <f>IF(N1567="","",IF(Q1567="Sí",ROUND(N1567/1.18,2),N1567))</f>
        <v/>
      </c>
      <c r="S1567" s="7" t="inlineStr">
        <is>
          <t>2026-09-09</t>
        </is>
      </c>
      <c r="T1567" s="5" t="inlineStr">
        <is>
          <t>1 cotización de proveedores</t>
        </is>
      </c>
    </row>
  </sheetData>
  <autoFilter ref="A1:T15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82"/>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3" customWidth="1" min="7" max="7"/>
    <col width="13" customWidth="1" min="8" max="8"/>
    <col width="13" customWidth="1" min="9" max="9"/>
    <col width="11" customWidth="1" min="10" max="10"/>
    <col width="24" customWidth="1" min="11" max="11"/>
    <col width="15" customWidth="1" min="12" max="12"/>
    <col width="11" customWidth="1" min="13" max="13"/>
  </cols>
  <sheetData>
    <row r="1" ht="30" customHeight="1">
      <c r="A1" s="6" t="inlineStr">
        <is>
          <t>Código</t>
        </is>
      </c>
      <c r="B1" s="6" t="inlineStr">
        <is>
          <t>Ítem</t>
        </is>
      </c>
      <c r="C1" s="6" t="inlineStr">
        <is>
          <t>Unidad</t>
        </is>
      </c>
      <c r="D1" s="6" t="inlineStr">
        <is>
          <t>Ferretería Ochoa (8A)</t>
        </is>
      </c>
      <c r="E1" s="6" t="inlineStr">
        <is>
          <t>InnovaCentro (La Innovación)</t>
        </is>
      </c>
      <c r="F1" s="6" t="inlineStr">
        <is>
          <t>Ferremix (Grupo Alterra)</t>
        </is>
      </c>
      <c r="G1" s="6" t="inlineStr">
        <is>
          <t>Mínimo (RD$)</t>
        </is>
      </c>
      <c r="H1" s="6" t="inlineStr">
        <is>
          <t>Mediana (RD$)</t>
        </is>
      </c>
      <c r="I1" s="6" t="inlineStr">
        <is>
          <t>Máximo (RD$)</t>
        </is>
      </c>
      <c r="J1" s="6" t="inlineStr">
        <is>
          <t>Dispersión</t>
        </is>
      </c>
      <c r="K1" s="6" t="inlineStr">
        <is>
          <t>Más barato</t>
        </is>
      </c>
      <c r="L1" s="6" t="inlineStr">
        <is>
          <t>Referencia del sitio (RD$)</t>
        </is>
      </c>
      <c r="M1" s="6" t="inlineStr">
        <is>
          <t>Cotizaciones</t>
        </is>
      </c>
    </row>
    <row r="2">
      <c r="A2" s="4" t="inlineStr">
        <is>
          <t>MAT-02-001</t>
        </is>
      </c>
      <c r="B2" s="5" t="inlineStr">
        <is>
          <t>Cemento gris portland, funda 42.5 kg</t>
        </is>
      </c>
      <c r="C2" s="4" t="inlineStr">
        <is>
          <t>funda</t>
        </is>
      </c>
      <c r="D2" s="10" t="n"/>
      <c r="E2" s="10" t="n">
        <v>655</v>
      </c>
      <c r="F2" s="10" t="n">
        <v>535</v>
      </c>
      <c r="G2" s="10">
        <f>IF(COUNT(D2:F2)=0,"",MIN(D2:F2))</f>
        <v/>
      </c>
      <c r="H2" s="10">
        <f>IF(COUNT(D2:F2)=0,"",MEDIAN(D2:F2))</f>
        <v/>
      </c>
      <c r="I2" s="10">
        <f>IF(COUNT(D2:F2)=0,"",MAX(D2:F2))</f>
        <v/>
      </c>
      <c r="J2" s="11">
        <f>IF(OR(G2="",G2=0),"",(I2-G2)/G2)</f>
        <v/>
      </c>
      <c r="K2" s="4">
        <f>IF(COUNT(D2:F2)=0,"",INDEX($D$1:$F$1,MATCH(MIN(D2:F2),D2:F2,0)))</f>
        <v/>
      </c>
      <c r="L2" s="10" t="n">
        <v>595</v>
      </c>
      <c r="M2" s="12" t="n">
        <v>2</v>
      </c>
    </row>
    <row r="3">
      <c r="A3" s="4" t="inlineStr">
        <is>
          <t>MAT-02-002</t>
        </is>
      </c>
      <c r="B3" s="5" t="inlineStr">
        <is>
          <t>Cemento blanco, funda 25 kg</t>
        </is>
      </c>
      <c r="C3" s="4" t="inlineStr">
        <is>
          <t>funda</t>
        </is>
      </c>
      <c r="D3" s="10" t="n"/>
      <c r="E3" s="10" t="n">
        <v>755</v>
      </c>
      <c r="F3" s="10" t="n"/>
      <c r="G3" s="10">
        <f>IF(COUNT(D3:F3)=0,"",MIN(D3:F3))</f>
        <v/>
      </c>
      <c r="H3" s="10">
        <f>IF(COUNT(D3:F3)=0,"",MEDIAN(D3:F3))</f>
        <v/>
      </c>
      <c r="I3" s="10">
        <f>IF(COUNT(D3:F3)=0,"",MAX(D3:F3))</f>
        <v/>
      </c>
      <c r="J3" s="11">
        <f>IF(OR(G3="",G3=0),"",(I3-G3)/G3)</f>
        <v/>
      </c>
      <c r="K3" s="4">
        <f>IF(COUNT(D3:F3)=0,"",INDEX($D$1:$F$1,MATCH(MIN(D3:F3),D3:F3,0)))</f>
        <v/>
      </c>
      <c r="L3" s="10" t="n">
        <v>755</v>
      </c>
      <c r="M3" s="12" t="n">
        <v>1</v>
      </c>
    </row>
    <row r="4">
      <c r="A4" s="4" t="inlineStr">
        <is>
          <t>MAT-02-003</t>
        </is>
      </c>
      <c r="B4" s="5" t="inlineStr">
        <is>
          <t>Cemento blanco, funda 40 kg</t>
        </is>
      </c>
      <c r="C4" s="4" t="inlineStr">
        <is>
          <t>funda</t>
        </is>
      </c>
      <c r="D4" s="10" t="n">
        <v>1130.86</v>
      </c>
      <c r="E4" s="10" t="n">
        <v>1295</v>
      </c>
      <c r="F4" s="10" t="n"/>
      <c r="G4" s="10">
        <f>IF(COUNT(D4:F4)=0,"",MIN(D4:F4))</f>
        <v/>
      </c>
      <c r="H4" s="10">
        <f>IF(COUNT(D4:F4)=0,"",MEDIAN(D4:F4))</f>
        <v/>
      </c>
      <c r="I4" s="10">
        <f>IF(COUNT(D4:F4)=0,"",MAX(D4:F4))</f>
        <v/>
      </c>
      <c r="J4" s="11">
        <f>IF(OR(G4="",G4=0),"",(I4-G4)/G4)</f>
        <v/>
      </c>
      <c r="K4" s="4">
        <f>IF(COUNT(D4:F4)=0,"",INDEX($D$1:$F$1,MATCH(MIN(D4:F4),D4:F4,0)))</f>
        <v/>
      </c>
      <c r="L4" s="10" t="n">
        <v>1178.7</v>
      </c>
      <c r="M4" s="12" t="n">
        <v>2</v>
      </c>
    </row>
    <row r="5">
      <c r="A5" s="4" t="inlineStr">
        <is>
          <t>MAT-02-004</t>
        </is>
      </c>
      <c r="B5" s="5" t="inlineStr">
        <is>
          <t>Cal hidratada, funda 20 kg</t>
        </is>
      </c>
      <c r="C5" s="4" t="inlineStr">
        <is>
          <t>funda</t>
        </is>
      </c>
      <c r="D5" s="10" t="n">
        <v>437.31</v>
      </c>
      <c r="E5" s="10" t="n">
        <v>570</v>
      </c>
      <c r="F5" s="10" t="n"/>
      <c r="G5" s="10">
        <f>IF(COUNT(D5:F5)=0,"",MIN(D5:F5))</f>
        <v/>
      </c>
      <c r="H5" s="10">
        <f>IF(COUNT(D5:F5)=0,"",MEDIAN(D5:F5))</f>
        <v/>
      </c>
      <c r="I5" s="10">
        <f>IF(COUNT(D5:F5)=0,"",MAX(D5:F5))</f>
        <v/>
      </c>
      <c r="J5" s="11">
        <f>IF(OR(G5="",G5=0),"",(I5-G5)/G5)</f>
        <v/>
      </c>
      <c r="K5" s="4">
        <f>IF(COUNT(D5:F5)=0,"",INDEX($D$1:$F$1,MATCH(MIN(D5:F5),D5:F5,0)))</f>
        <v/>
      </c>
      <c r="L5" s="10" t="n">
        <v>503.66</v>
      </c>
      <c r="M5" s="12" t="n">
        <v>2</v>
      </c>
    </row>
    <row r="6">
      <c r="A6" s="4" t="inlineStr">
        <is>
          <t>MAT-02-007</t>
        </is>
      </c>
      <c r="B6" s="5" t="inlineStr">
        <is>
          <t>Pegamento de cerámica blanco, funda 22.7 kg</t>
        </is>
      </c>
      <c r="C6" s="4" t="inlineStr">
        <is>
          <t>funda</t>
        </is>
      </c>
      <c r="D6" s="10" t="n"/>
      <c r="E6" s="10" t="n">
        <v>1054</v>
      </c>
      <c r="F6" s="10" t="n"/>
      <c r="G6" s="10">
        <f>IF(COUNT(D6:F6)=0,"",MIN(D6:F6))</f>
        <v/>
      </c>
      <c r="H6" s="10">
        <f>IF(COUNT(D6:F6)=0,"",MEDIAN(D6:F6))</f>
        <v/>
      </c>
      <c r="I6" s="10">
        <f>IF(COUNT(D6:F6)=0,"",MAX(D6:F6))</f>
        <v/>
      </c>
      <c r="J6" s="11">
        <f>IF(OR(G6="",G6=0),"",(I6-G6)/G6)</f>
        <v/>
      </c>
      <c r="K6" s="4">
        <f>IF(COUNT(D6:F6)=0,"",INDEX($D$1:$F$1,MATCH(MIN(D6:F6),D6:F6,0)))</f>
        <v/>
      </c>
      <c r="L6" s="10" t="n">
        <v>1054</v>
      </c>
      <c r="M6" s="12" t="n">
        <v>1</v>
      </c>
    </row>
    <row r="7">
      <c r="A7" s="4" t="inlineStr">
        <is>
          <t>MAT-02-009</t>
        </is>
      </c>
      <c r="B7" s="5" t="inlineStr">
        <is>
          <t>Mortero predosificado de pañete, funda 42.5 kg</t>
        </is>
      </c>
      <c r="C7" s="4" t="inlineStr">
        <is>
          <t>funda</t>
        </is>
      </c>
      <c r="D7" s="10" t="n"/>
      <c r="E7" s="10" t="n">
        <v>330</v>
      </c>
      <c r="F7" s="10" t="n"/>
      <c r="G7" s="10">
        <f>IF(COUNT(D7:F7)=0,"",MIN(D7:F7))</f>
        <v/>
      </c>
      <c r="H7" s="10">
        <f>IF(COUNT(D7:F7)=0,"",MEDIAN(D7:F7))</f>
        <v/>
      </c>
      <c r="I7" s="10">
        <f>IF(COUNT(D7:F7)=0,"",MAX(D7:F7))</f>
        <v/>
      </c>
      <c r="J7" s="11">
        <f>IF(OR(G7="",G7=0),"",(I7-G7)/G7)</f>
        <v/>
      </c>
      <c r="K7" s="4">
        <f>IF(COUNT(D7:F7)=0,"",INDEX($D$1:$F$1,MATCH(MIN(D7:F7),D7:F7,0)))</f>
        <v/>
      </c>
      <c r="L7" s="10" t="n">
        <v>357</v>
      </c>
      <c r="M7" s="12" t="n">
        <v>1</v>
      </c>
    </row>
    <row r="8">
      <c r="A8" s="4" t="inlineStr">
        <is>
          <t>MAT-04-001</t>
        </is>
      </c>
      <c r="B8" s="5" t="inlineStr">
        <is>
          <t>Varilla corrugada 3/8" x 20 pies</t>
        </is>
      </c>
      <c r="C8" s="4" t="inlineStr">
        <is>
          <t>unidad</t>
        </is>
      </c>
      <c r="D8" s="10" t="n"/>
      <c r="E8" s="10" t="n"/>
      <c r="F8" s="10" t="n">
        <v>442.77</v>
      </c>
      <c r="G8" s="10">
        <f>IF(COUNT(D8:F8)=0,"",MIN(D8:F8))</f>
        <v/>
      </c>
      <c r="H8" s="10">
        <f>IF(COUNT(D8:F8)=0,"",MEDIAN(D8:F8))</f>
        <v/>
      </c>
      <c r="I8" s="10">
        <f>IF(COUNT(D8:F8)=0,"",MAX(D8:F8))</f>
        <v/>
      </c>
      <c r="J8" s="11">
        <f>IF(OR(G8="",G8=0),"",(I8-G8)/G8)</f>
        <v/>
      </c>
      <c r="K8" s="4">
        <f>IF(COUNT(D8:F8)=0,"",INDEX($D$1:$F$1,MATCH(MIN(D8:F8),D8:F8,0)))</f>
        <v/>
      </c>
      <c r="L8" s="10" t="n">
        <v>442.77</v>
      </c>
      <c r="M8" s="12" t="n">
        <v>1</v>
      </c>
    </row>
    <row r="9">
      <c r="A9" s="4" t="inlineStr">
        <is>
          <t>MAT-04-008</t>
        </is>
      </c>
      <c r="B9" s="5" t="inlineStr">
        <is>
          <t>Malla electrosoldada D2.3, retícula 10 x 10, rollo</t>
        </is>
      </c>
      <c r="C9" s="4" t="inlineStr">
        <is>
          <t>rollo</t>
        </is>
      </c>
      <c r="D9" s="10" t="n">
        <v>17130.85</v>
      </c>
      <c r="E9" s="10" t="n"/>
      <c r="F9" s="10" t="n"/>
      <c r="G9" s="10">
        <f>IF(COUNT(D9:F9)=0,"",MIN(D9:F9))</f>
        <v/>
      </c>
      <c r="H9" s="10">
        <f>IF(COUNT(D9:F9)=0,"",MEDIAN(D9:F9))</f>
        <v/>
      </c>
      <c r="I9" s="10">
        <f>IF(COUNT(D9:F9)=0,"",MAX(D9:F9))</f>
        <v/>
      </c>
      <c r="J9" s="11">
        <f>IF(OR(G9="",G9=0),"",(I9-G9)/G9)</f>
        <v/>
      </c>
      <c r="K9" s="4">
        <f>IF(COUNT(D9:F9)=0,"",INDEX($D$1:$F$1,MATCH(MIN(D9:F9),D9:F9,0)))</f>
        <v/>
      </c>
      <c r="L9" s="10" t="n">
        <v>17130.85</v>
      </c>
      <c r="M9" s="12" t="n">
        <v>1</v>
      </c>
    </row>
    <row r="10">
      <c r="A10" s="4" t="inlineStr">
        <is>
          <t>MAT-04-014</t>
        </is>
      </c>
      <c r="B10" s="5" t="inlineStr">
        <is>
          <t>Malla electrosoldada D2.7, retícula 10 x 10, rollo</t>
        </is>
      </c>
      <c r="C10" s="4" t="inlineStr">
        <is>
          <t>rollo</t>
        </is>
      </c>
      <c r="D10" s="10" t="n">
        <v>20629.26</v>
      </c>
      <c r="E10" s="10" t="n"/>
      <c r="F10" s="10" t="n"/>
      <c r="G10" s="10">
        <f>IF(COUNT(D10:F10)=0,"",MIN(D10:F10))</f>
        <v/>
      </c>
      <c r="H10" s="10">
        <f>IF(COUNT(D10:F10)=0,"",MEDIAN(D10:F10))</f>
        <v/>
      </c>
      <c r="I10" s="10">
        <f>IF(COUNT(D10:F10)=0,"",MAX(D10:F10))</f>
        <v/>
      </c>
      <c r="J10" s="11">
        <f>IF(OR(G10="",G10=0),"",(I10-G10)/G10)</f>
        <v/>
      </c>
      <c r="K10" s="4">
        <f>IF(COUNT(D10:F10)=0,"",INDEX($D$1:$F$1,MATCH(MIN(D10:F10),D10:F10,0)))</f>
        <v/>
      </c>
      <c r="L10" s="10" t="n">
        <v>20629.26</v>
      </c>
      <c r="M10" s="12" t="n">
        <v>1</v>
      </c>
    </row>
    <row r="11">
      <c r="A11" s="4" t="inlineStr">
        <is>
          <t>MAT-04-021</t>
        </is>
      </c>
      <c r="B11" s="5" t="inlineStr">
        <is>
          <t>Alambre galvanizado calibre 18, para varillas</t>
        </is>
      </c>
      <c r="C11" s="4" t="inlineStr">
        <is>
          <t>lb</t>
        </is>
      </c>
      <c r="D11" s="10" t="n">
        <v>62.48</v>
      </c>
      <c r="E11" s="10" t="n"/>
      <c r="F11" s="10" t="n"/>
      <c r="G11" s="10">
        <f>IF(COUNT(D11:F11)=0,"",MIN(D11:F11))</f>
        <v/>
      </c>
      <c r="H11" s="10">
        <f>IF(COUNT(D11:F11)=0,"",MEDIAN(D11:F11))</f>
        <v/>
      </c>
      <c r="I11" s="10">
        <f>IF(COUNT(D11:F11)=0,"",MAX(D11:F11))</f>
        <v/>
      </c>
      <c r="J11" s="11">
        <f>IF(OR(G11="",G11=0),"",(I11-G11)/G11)</f>
        <v/>
      </c>
      <c r="K11" s="4">
        <f>IF(COUNT(D11:F11)=0,"",INDEX($D$1:$F$1,MATCH(MIN(D11:F11),D11:F11,0)))</f>
        <v/>
      </c>
      <c r="L11" s="10" t="n">
        <v>62.48</v>
      </c>
      <c r="M11" s="12" t="n">
        <v>1</v>
      </c>
    </row>
    <row r="12">
      <c r="A12" s="4" t="inlineStr">
        <is>
          <t>MAT-04-022</t>
        </is>
      </c>
      <c r="B12" s="5" t="inlineStr">
        <is>
          <t>Alambre galvanizado calibre 14, para encofrados</t>
        </is>
      </c>
      <c r="C12" s="4" t="inlineStr">
        <is>
          <t>lb</t>
        </is>
      </c>
      <c r="D12" s="10" t="n">
        <v>61.12</v>
      </c>
      <c r="E12" s="10" t="n"/>
      <c r="F12" s="10" t="n"/>
      <c r="G12" s="10">
        <f>IF(COUNT(D12:F12)=0,"",MIN(D12:F12))</f>
        <v/>
      </c>
      <c r="H12" s="10">
        <f>IF(COUNT(D12:F12)=0,"",MEDIAN(D12:F12))</f>
        <v/>
      </c>
      <c r="I12" s="10">
        <f>IF(COUNT(D12:F12)=0,"",MAX(D12:F12))</f>
        <v/>
      </c>
      <c r="J12" s="11">
        <f>IF(OR(G12="",G12=0),"",(I12-G12)/G12)</f>
        <v/>
      </c>
      <c r="K12" s="4">
        <f>IF(COUNT(D12:F12)=0,"",INDEX($D$1:$F$1,MATCH(MIN(D12:F12),D12:F12,0)))</f>
        <v/>
      </c>
      <c r="L12" s="10" t="n">
        <v>61.12</v>
      </c>
      <c r="M12" s="12" t="n">
        <v>1</v>
      </c>
    </row>
    <row r="13">
      <c r="A13" s="4" t="inlineStr">
        <is>
          <t>MAT-04-023</t>
        </is>
      </c>
      <c r="B13" s="5" t="inlineStr">
        <is>
          <t>Angular 1 1/2" x 1/8" x 20 pies</t>
        </is>
      </c>
      <c r="C13" s="4" t="inlineStr">
        <is>
          <t>unidad</t>
        </is>
      </c>
      <c r="D13" s="10" t="n">
        <v>861</v>
      </c>
      <c r="E13" s="10" t="n"/>
      <c r="F13" s="10" t="n"/>
      <c r="G13" s="10">
        <f>IF(COUNT(D13:F13)=0,"",MIN(D13:F13))</f>
        <v/>
      </c>
      <c r="H13" s="10">
        <f>IF(COUNT(D13:F13)=0,"",MEDIAN(D13:F13))</f>
        <v/>
      </c>
      <c r="I13" s="10">
        <f>IF(COUNT(D13:F13)=0,"",MAX(D13:F13))</f>
        <v/>
      </c>
      <c r="J13" s="11">
        <f>IF(OR(G13="",G13=0),"",(I13-G13)/G13)</f>
        <v/>
      </c>
      <c r="K13" s="4">
        <f>IF(COUNT(D13:F13)=0,"",INDEX($D$1:$F$1,MATCH(MIN(D13:F13),D13:F13,0)))</f>
        <v/>
      </c>
      <c r="L13" s="10" t="n">
        <v>861</v>
      </c>
      <c r="M13" s="12" t="n">
        <v>1</v>
      </c>
    </row>
    <row r="14">
      <c r="A14" s="4" t="inlineStr">
        <is>
          <t>MAT-06-005</t>
        </is>
      </c>
      <c r="B14" s="5" t="inlineStr">
        <is>
          <t>Plywood corriente 1/2", 4 x 8 pies</t>
        </is>
      </c>
      <c r="C14" s="4" t="inlineStr">
        <is>
          <t>plancha</t>
        </is>
      </c>
      <c r="D14" s="10" t="n"/>
      <c r="E14" s="10" t="n">
        <v>1425</v>
      </c>
      <c r="F14" s="10" t="n"/>
      <c r="G14" s="10">
        <f>IF(COUNT(D14:F14)=0,"",MIN(D14:F14))</f>
        <v/>
      </c>
      <c r="H14" s="10">
        <f>IF(COUNT(D14:F14)=0,"",MEDIAN(D14:F14))</f>
        <v/>
      </c>
      <c r="I14" s="10">
        <f>IF(COUNT(D14:F14)=0,"",MAX(D14:F14))</f>
        <v/>
      </c>
      <c r="J14" s="11">
        <f>IF(OR(G14="",G14=0),"",(I14-G14)/G14)</f>
        <v/>
      </c>
      <c r="K14" s="4">
        <f>IF(COUNT(D14:F14)=0,"",INDEX($D$1:$F$1,MATCH(MIN(D14:F14),D14:F14,0)))</f>
        <v/>
      </c>
      <c r="L14" s="10" t="n">
        <v>1472.5</v>
      </c>
      <c r="M14" s="12" t="n">
        <v>1</v>
      </c>
    </row>
    <row r="15">
      <c r="A15" s="4" t="inlineStr">
        <is>
          <t>MAT-06-006</t>
        </is>
      </c>
      <c r="B15" s="5" t="inlineStr">
        <is>
          <t>Plywood corriente 3/4", 4 x 8 pies</t>
        </is>
      </c>
      <c r="C15" s="4" t="inlineStr">
        <is>
          <t>plancha</t>
        </is>
      </c>
      <c r="D15" s="10" t="n"/>
      <c r="E15" s="10" t="n">
        <v>1990</v>
      </c>
      <c r="F15" s="10" t="n"/>
      <c r="G15" s="10">
        <f>IF(COUNT(D15:F15)=0,"",MIN(D15:F15))</f>
        <v/>
      </c>
      <c r="H15" s="10">
        <f>IF(COUNT(D15:F15)=0,"",MEDIAN(D15:F15))</f>
        <v/>
      </c>
      <c r="I15" s="10">
        <f>IF(COUNT(D15:F15)=0,"",MAX(D15:F15))</f>
        <v/>
      </c>
      <c r="J15" s="11">
        <f>IF(OR(G15="",G15=0),"",(I15-G15)/G15)</f>
        <v/>
      </c>
      <c r="K15" s="4">
        <f>IF(COUNT(D15:F15)=0,"",INDEX($D$1:$F$1,MATCH(MIN(D15:F15),D15:F15,0)))</f>
        <v/>
      </c>
      <c r="L15" s="10" t="n">
        <v>1992.5</v>
      </c>
      <c r="M15" s="12" t="n">
        <v>1</v>
      </c>
    </row>
    <row r="16">
      <c r="A16" s="4" t="inlineStr">
        <is>
          <t>MAT-09-001</t>
        </is>
      </c>
      <c r="B16" s="5" t="inlineStr">
        <is>
          <t>Tubo PVC drenaje 4" x 20 pies</t>
        </is>
      </c>
      <c r="C16" s="4" t="inlineStr">
        <is>
          <t>tubo</t>
        </is>
      </c>
      <c r="D16" s="10" t="n">
        <v>1494.58</v>
      </c>
      <c r="E16" s="10" t="n"/>
      <c r="F16" s="10" t="n"/>
      <c r="G16" s="10">
        <f>IF(COUNT(D16:F16)=0,"",MIN(D16:F16))</f>
        <v/>
      </c>
      <c r="H16" s="10">
        <f>IF(COUNT(D16:F16)=0,"",MEDIAN(D16:F16))</f>
        <v/>
      </c>
      <c r="I16" s="10">
        <f>IF(COUNT(D16:F16)=0,"",MAX(D16:F16))</f>
        <v/>
      </c>
      <c r="J16" s="11">
        <f>IF(OR(G16="",G16=0),"",(I16-G16)/G16)</f>
        <v/>
      </c>
      <c r="K16" s="4">
        <f>IF(COUNT(D16:F16)=0,"",INDEX($D$1:$F$1,MATCH(MIN(D16:F16),D16:F16,0)))</f>
        <v/>
      </c>
      <c r="L16" s="10" t="n">
        <v>1280</v>
      </c>
      <c r="M16" s="12" t="n">
        <v>1</v>
      </c>
    </row>
    <row r="17">
      <c r="A17" s="4" t="inlineStr">
        <is>
          <t>MAT-09-002</t>
        </is>
      </c>
      <c r="B17" s="5" t="inlineStr">
        <is>
          <t>Tubo PVC drenaje 2" x 20 pies</t>
        </is>
      </c>
      <c r="C17" s="4" t="inlineStr">
        <is>
          <t>tubo</t>
        </is>
      </c>
      <c r="D17" s="10" t="n">
        <v>503.78</v>
      </c>
      <c r="E17" s="10" t="n"/>
      <c r="F17" s="10" t="n"/>
      <c r="G17" s="10">
        <f>IF(COUNT(D17:F17)=0,"",MIN(D17:F17))</f>
        <v/>
      </c>
      <c r="H17" s="10">
        <f>IF(COUNT(D17:F17)=0,"",MEDIAN(D17:F17))</f>
        <v/>
      </c>
      <c r="I17" s="10">
        <f>IF(COUNT(D17:F17)=0,"",MAX(D17:F17))</f>
        <v/>
      </c>
      <c r="J17" s="11">
        <f>IF(OR(G17="",G17=0),"",(I17-G17)/G17)</f>
        <v/>
      </c>
      <c r="K17" s="4">
        <f>IF(COUNT(D17:F17)=0,"",INDEX($D$1:$F$1,MATCH(MIN(D17:F17),D17:F17,0)))</f>
        <v/>
      </c>
      <c r="L17" s="10" t="n">
        <v>540</v>
      </c>
      <c r="M17" s="12" t="n">
        <v>1</v>
      </c>
    </row>
    <row r="18">
      <c r="A18" s="4" t="inlineStr">
        <is>
          <t>MAT-09-008</t>
        </is>
      </c>
      <c r="B18" s="5" t="inlineStr">
        <is>
          <t>Inodoro de una pieza, gama económica</t>
        </is>
      </c>
      <c r="C18" s="4" t="inlineStr">
        <is>
          <t>unidad</t>
        </is>
      </c>
      <c r="D18" s="10" t="n">
        <v>6107.2</v>
      </c>
      <c r="E18" s="10" t="n"/>
      <c r="F18" s="10" t="n"/>
      <c r="G18" s="10">
        <f>IF(COUNT(D18:F18)=0,"",MIN(D18:F18))</f>
        <v/>
      </c>
      <c r="H18" s="10">
        <f>IF(COUNT(D18:F18)=0,"",MEDIAN(D18:F18))</f>
        <v/>
      </c>
      <c r="I18" s="10">
        <f>IF(COUNT(D18:F18)=0,"",MAX(D18:F18))</f>
        <v/>
      </c>
      <c r="J18" s="11">
        <f>IF(OR(G18="",G18=0),"",(I18-G18)/G18)</f>
        <v/>
      </c>
      <c r="K18" s="4">
        <f>IF(COUNT(D18:F18)=0,"",INDEX($D$1:$F$1,MATCH(MIN(D18:F18),D18:F18,0)))</f>
        <v/>
      </c>
      <c r="L18" s="10" t="n">
        <v>6107.2</v>
      </c>
      <c r="M18" s="12" t="n">
        <v>1</v>
      </c>
    </row>
    <row r="19">
      <c r="A19" s="4" t="inlineStr">
        <is>
          <t>MAT-10-009</t>
        </is>
      </c>
      <c r="B19" s="5" t="inlineStr">
        <is>
          <t>Breaker enchufable 20 A</t>
        </is>
      </c>
      <c r="C19" s="4" t="inlineStr">
        <is>
          <t>unidad</t>
        </is>
      </c>
      <c r="D19" s="10" t="n">
        <v>472.72</v>
      </c>
      <c r="E19" s="10" t="n"/>
      <c r="F19" s="10" t="n"/>
      <c r="G19" s="10">
        <f>IF(COUNT(D19:F19)=0,"",MIN(D19:F19))</f>
        <v/>
      </c>
      <c r="H19" s="10">
        <f>IF(COUNT(D19:F19)=0,"",MEDIAN(D19:F19))</f>
        <v/>
      </c>
      <c r="I19" s="10">
        <f>IF(COUNT(D19:F19)=0,"",MAX(D19:F19))</f>
        <v/>
      </c>
      <c r="J19" s="11">
        <f>IF(OR(G19="",G19=0),"",(I19-G19)/G19)</f>
        <v/>
      </c>
      <c r="K19" s="4">
        <f>IF(COUNT(D19:F19)=0,"",INDEX($D$1:$F$1,MATCH(MIN(D19:F19),D19:F19,0)))</f>
        <v/>
      </c>
      <c r="L19" s="10" t="n">
        <v>472.72</v>
      </c>
      <c r="M19" s="12" t="n">
        <v>1</v>
      </c>
    </row>
    <row r="20">
      <c r="A20" s="4" t="inlineStr">
        <is>
          <t>MAT-13-001</t>
        </is>
      </c>
      <c r="B20" s="5" t="inlineStr">
        <is>
          <t>Plancha de yeso regular 1/2", 4 x 8 pies</t>
        </is>
      </c>
      <c r="C20" s="4" t="inlineStr">
        <is>
          <t>plancha</t>
        </is>
      </c>
      <c r="D20" s="10" t="n">
        <v>956.17</v>
      </c>
      <c r="E20" s="10" t="n">
        <v>895</v>
      </c>
      <c r="F20" s="10" t="n"/>
      <c r="G20" s="10">
        <f>IF(COUNT(D20:F20)=0,"",MIN(D20:F20))</f>
        <v/>
      </c>
      <c r="H20" s="10">
        <f>IF(COUNT(D20:F20)=0,"",MEDIAN(D20:F20))</f>
        <v/>
      </c>
      <c r="I20" s="10">
        <f>IF(COUNT(D20:F20)=0,"",MAX(D20:F20))</f>
        <v/>
      </c>
      <c r="J20" s="11">
        <f>IF(OR(G20="",G20=0),"",(I20-G20)/G20)</f>
        <v/>
      </c>
      <c r="K20" s="4">
        <f>IF(COUNT(D20:F20)=0,"",INDEX($D$1:$F$1,MATCH(MIN(D20:F20),D20:F20,0)))</f>
        <v/>
      </c>
      <c r="L20" s="10" t="n">
        <v>925.59</v>
      </c>
      <c r="M20" s="12" t="n">
        <v>2</v>
      </c>
    </row>
    <row r="21">
      <c r="A21" s="4" t="inlineStr">
        <is>
          <t>MAT-13-006</t>
        </is>
      </c>
      <c r="B21" s="5" t="inlineStr">
        <is>
          <t>Plafón acústico 2 x 2 pies</t>
        </is>
      </c>
      <c r="C21" s="4" t="inlineStr">
        <is>
          <t>plancha</t>
        </is>
      </c>
      <c r="D21" s="10" t="n"/>
      <c r="E21" s="10" t="n">
        <v>595</v>
      </c>
      <c r="F21" s="10" t="n"/>
      <c r="G21" s="10">
        <f>IF(COUNT(D21:F21)=0,"",MIN(D21:F21))</f>
        <v/>
      </c>
      <c r="H21" s="10">
        <f>IF(COUNT(D21:F21)=0,"",MEDIAN(D21:F21))</f>
        <v/>
      </c>
      <c r="I21" s="10">
        <f>IF(COUNT(D21:F21)=0,"",MAX(D21:F21))</f>
        <v/>
      </c>
      <c r="J21" s="11">
        <f>IF(OR(G21="",G21=0),"",(I21-G21)/G21)</f>
        <v/>
      </c>
      <c r="K21" s="4">
        <f>IF(COUNT(D21:F21)=0,"",INDEX($D$1:$F$1,MATCH(MIN(D21:F21),D21:F21,0)))</f>
        <v/>
      </c>
      <c r="L21" s="10" t="n">
        <v>595</v>
      </c>
      <c r="M21" s="12" t="n">
        <v>1</v>
      </c>
    </row>
    <row r="22">
      <c r="A22" s="4" t="inlineStr">
        <is>
          <t>EQU-04-006</t>
        </is>
      </c>
      <c r="B22" s="5" t="inlineStr">
        <is>
          <t>Herramienta De Terminación Z-Tool</t>
        </is>
      </c>
      <c r="C22" s="4" t="inlineStr">
        <is>
          <t>unidad</t>
        </is>
      </c>
      <c r="D22" s="10" t="n">
        <v>448.43</v>
      </c>
      <c r="E22" s="10" t="n"/>
      <c r="F22" s="10" t="n"/>
      <c r="G22" s="10">
        <f>IF(COUNT(D22:F22)=0,"",MIN(D22:F22))</f>
        <v/>
      </c>
      <c r="H22" s="10">
        <f>IF(COUNT(D22:F22)=0,"",MEDIAN(D22:F22))</f>
        <v/>
      </c>
      <c r="I22" s="10">
        <f>IF(COUNT(D22:F22)=0,"",MAX(D22:F22))</f>
        <v/>
      </c>
      <c r="J22" s="11">
        <f>IF(OR(G22="",G22=0),"",(I22-G22)/G22)</f>
        <v/>
      </c>
      <c r="K22" s="4">
        <f>IF(COUNT(D22:F22)=0,"",INDEX($D$1:$F$1,MATCH(MIN(D22:F22),D22:F22,0)))</f>
        <v/>
      </c>
      <c r="L22" s="10" t="n">
        <v>464.56</v>
      </c>
      <c r="M22" s="12" t="n">
        <v>1</v>
      </c>
    </row>
    <row r="23">
      <c r="A23" s="4" t="inlineStr">
        <is>
          <t>EQU-04-007</t>
        </is>
      </c>
      <c r="B23" s="5" t="inlineStr">
        <is>
          <t>Max Turbotool</t>
        </is>
      </c>
      <c r="C23" s="4" t="inlineStr">
        <is>
          <t>unidad</t>
        </is>
      </c>
      <c r="D23" s="10" t="n">
        <v>6682.26</v>
      </c>
      <c r="E23" s="10" t="n"/>
      <c r="F23" s="10" t="n"/>
      <c r="G23" s="10">
        <f>IF(COUNT(D23:F23)=0,"",MIN(D23:F23))</f>
        <v/>
      </c>
      <c r="H23" s="10">
        <f>IF(COUNT(D23:F23)=0,"",MEDIAN(D23:F23))</f>
        <v/>
      </c>
      <c r="I23" s="10">
        <f>IF(COUNT(D23:F23)=0,"",MAX(D23:F23))</f>
        <v/>
      </c>
      <c r="J23" s="11">
        <f>IF(OR(G23="",G23=0),"",(I23-G23)/G23)</f>
        <v/>
      </c>
      <c r="K23" s="4">
        <f>IF(COUNT(D23:F23)=0,"",INDEX($D$1:$F$1,MATCH(MIN(D23:F23),D23:F23,0)))</f>
        <v/>
      </c>
      <c r="L23" s="10" t="n">
        <v>6682.26</v>
      </c>
      <c r="M23" s="12" t="n">
        <v>1</v>
      </c>
    </row>
    <row r="24">
      <c r="A24" s="4" t="inlineStr">
        <is>
          <t>MAT-01-020</t>
        </is>
      </c>
      <c r="B24" s="5" t="inlineStr">
        <is>
          <t>Grava 3/4" en funda de 50 libras</t>
        </is>
      </c>
      <c r="C24" s="4" t="inlineStr">
        <is>
          <t>funda</t>
        </is>
      </c>
      <c r="D24" s="10" t="n">
        <v>151.87</v>
      </c>
      <c r="E24" s="10" t="n"/>
      <c r="F24" s="10" t="n"/>
      <c r="G24" s="10">
        <f>IF(COUNT(D24:F24)=0,"",MIN(D24:F24))</f>
        <v/>
      </c>
      <c r="H24" s="10">
        <f>IF(COUNT(D24:F24)=0,"",MEDIAN(D24:F24))</f>
        <v/>
      </c>
      <c r="I24" s="10">
        <f>IF(COUNT(D24:F24)=0,"",MAX(D24:F24))</f>
        <v/>
      </c>
      <c r="J24" s="11">
        <f>IF(OR(G24="",G24=0),"",(I24-G24)/G24)</f>
        <v/>
      </c>
      <c r="K24" s="4">
        <f>IF(COUNT(D24:F24)=0,"",INDEX($D$1:$F$1,MATCH(MIN(D24:F24),D24:F24,0)))</f>
        <v/>
      </c>
      <c r="L24" s="10" t="n">
        <v>151.87</v>
      </c>
      <c r="M24" s="12" t="n">
        <v>1</v>
      </c>
    </row>
    <row r="25">
      <c r="A25" s="4" t="inlineStr">
        <is>
          <t>MAT-01-021</t>
        </is>
      </c>
      <c r="B25" s="5" t="inlineStr">
        <is>
          <t>Grava blanca en funda de 50 libras</t>
        </is>
      </c>
      <c r="C25" s="4" t="inlineStr">
        <is>
          <t>funda</t>
        </is>
      </c>
      <c r="D25" s="10" t="n">
        <v>448.34</v>
      </c>
      <c r="E25" s="10" t="n"/>
      <c r="F25" s="10" t="n"/>
      <c r="G25" s="10">
        <f>IF(COUNT(D25:F25)=0,"",MIN(D25:F25))</f>
        <v/>
      </c>
      <c r="H25" s="10">
        <f>IF(COUNT(D25:F25)=0,"",MEDIAN(D25:F25))</f>
        <v/>
      </c>
      <c r="I25" s="10">
        <f>IF(COUNT(D25:F25)=0,"",MAX(D25:F25))</f>
        <v/>
      </c>
      <c r="J25" s="11">
        <f>IF(OR(G25="",G25=0),"",(I25-G25)/G25)</f>
        <v/>
      </c>
      <c r="K25" s="4">
        <f>IF(COUNT(D25:F25)=0,"",INDEX($D$1:$F$1,MATCH(MIN(D25:F25),D25:F25,0)))</f>
        <v/>
      </c>
      <c r="L25" s="10" t="n">
        <v>448.34</v>
      </c>
      <c r="M25" s="12" t="n">
        <v>1</v>
      </c>
    </row>
    <row r="26">
      <c r="A26" s="4" t="inlineStr">
        <is>
          <t>MAT-01-022</t>
        </is>
      </c>
      <c r="B26" s="5" t="inlineStr">
        <is>
          <t>Arena 3/16" en funda de 55 libras</t>
        </is>
      </c>
      <c r="C26" s="4" t="inlineStr">
        <is>
          <t>funda</t>
        </is>
      </c>
      <c r="D26" s="10" t="n">
        <v>151.87</v>
      </c>
      <c r="E26" s="10" t="n"/>
      <c r="F26" s="10" t="n"/>
      <c r="G26" s="10">
        <f>IF(COUNT(D26:F26)=0,"",MIN(D26:F26))</f>
        <v/>
      </c>
      <c r="H26" s="10">
        <f>IF(COUNT(D26:F26)=0,"",MEDIAN(D26:F26))</f>
        <v/>
      </c>
      <c r="I26" s="10">
        <f>IF(COUNT(D26:F26)=0,"",MAX(D26:F26))</f>
        <v/>
      </c>
      <c r="J26" s="11">
        <f>IF(OR(G26="",G26=0),"",(I26-G26)/G26)</f>
        <v/>
      </c>
      <c r="K26" s="4">
        <f>IF(COUNT(D26:F26)=0,"",INDEX($D$1:$F$1,MATCH(MIN(D26:F26),D26:F26,0)))</f>
        <v/>
      </c>
      <c r="L26" s="10" t="n">
        <v>151.87</v>
      </c>
      <c r="M26" s="12" t="n">
        <v>1</v>
      </c>
    </row>
    <row r="27">
      <c r="A27" s="4" t="inlineStr">
        <is>
          <t>MAT-02-017</t>
        </is>
      </c>
      <c r="B27" s="5" t="inlineStr">
        <is>
          <t>Aditivo Concreto Cano Silbond Rosado 1 galón</t>
        </is>
      </c>
      <c r="C27" s="4" t="inlineStr">
        <is>
          <t>unidad</t>
        </is>
      </c>
      <c r="D27" s="10" t="n"/>
      <c r="E27" s="10" t="n">
        <v>959</v>
      </c>
      <c r="F27" s="10" t="n"/>
      <c r="G27" s="10">
        <f>IF(COUNT(D27:F27)=0,"",MIN(D27:F27))</f>
        <v/>
      </c>
      <c r="H27" s="10">
        <f>IF(COUNT(D27:F27)=0,"",MEDIAN(D27:F27))</f>
        <v/>
      </c>
      <c r="I27" s="10">
        <f>IF(COUNT(D27:F27)=0,"",MAX(D27:F27))</f>
        <v/>
      </c>
      <c r="J27" s="11">
        <f>IF(OR(G27="",G27=0),"",(I27-G27)/G27)</f>
        <v/>
      </c>
      <c r="K27" s="4">
        <f>IF(COUNT(D27:F27)=0,"",INDEX($D$1:$F$1,MATCH(MIN(D27:F27),D27:F27,0)))</f>
        <v/>
      </c>
      <c r="L27" s="10" t="n">
        <v>959</v>
      </c>
      <c r="M27" s="12" t="n">
        <v>1</v>
      </c>
    </row>
    <row r="28">
      <c r="A28" s="4" t="inlineStr">
        <is>
          <t>MAT-02-018</t>
        </is>
      </c>
      <c r="B28" s="5" t="inlineStr">
        <is>
          <t>Aditivo Concreto Cano Silbond Rosado 1 / 2 galón</t>
        </is>
      </c>
      <c r="C28" s="4" t="inlineStr">
        <is>
          <t>unidad</t>
        </is>
      </c>
      <c r="D28" s="10" t="n"/>
      <c r="E28" s="10" t="n">
        <v>465</v>
      </c>
      <c r="F28" s="10" t="n"/>
      <c r="G28" s="10">
        <f>IF(COUNT(D28:F28)=0,"",MIN(D28:F28))</f>
        <v/>
      </c>
      <c r="H28" s="10">
        <f>IF(COUNT(D28:F28)=0,"",MEDIAN(D28:F28))</f>
        <v/>
      </c>
      <c r="I28" s="10">
        <f>IF(COUNT(D28:F28)=0,"",MAX(D28:F28))</f>
        <v/>
      </c>
      <c r="J28" s="11">
        <f>IF(OR(G28="",G28=0),"",(I28-G28)/G28)</f>
        <v/>
      </c>
      <c r="K28" s="4">
        <f>IF(COUNT(D28:F28)=0,"",INDEX($D$1:$F$1,MATCH(MIN(D28:F28),D28:F28,0)))</f>
        <v/>
      </c>
      <c r="L28" s="10" t="n">
        <v>465</v>
      </c>
      <c r="M28" s="12" t="n">
        <v>1</v>
      </c>
    </row>
    <row r="29">
      <c r="A29" s="4" t="inlineStr">
        <is>
          <t>MAT-02-019</t>
        </is>
      </c>
      <c r="B29" s="5" t="inlineStr">
        <is>
          <t>Aditivo Concreto Cano Silbond Rosado 32 oz</t>
        </is>
      </c>
      <c r="C29" s="4" t="inlineStr">
        <is>
          <t>unidad</t>
        </is>
      </c>
      <c r="D29" s="10" t="n"/>
      <c r="E29" s="10" t="n">
        <v>265</v>
      </c>
      <c r="F29" s="10" t="n"/>
      <c r="G29" s="10">
        <f>IF(COUNT(D29:F29)=0,"",MIN(D29:F29))</f>
        <v/>
      </c>
      <c r="H29" s="10">
        <f>IF(COUNT(D29:F29)=0,"",MEDIAN(D29:F29))</f>
        <v/>
      </c>
      <c r="I29" s="10">
        <f>IF(COUNT(D29:F29)=0,"",MAX(D29:F29))</f>
        <v/>
      </c>
      <c r="J29" s="11">
        <f>IF(OR(G29="",G29=0),"",(I29-G29)/G29)</f>
        <v/>
      </c>
      <c r="K29" s="4">
        <f>IF(COUNT(D29:F29)=0,"",INDEX($D$1:$F$1,MATCH(MIN(D29:F29),D29:F29,0)))</f>
        <v/>
      </c>
      <c r="L29" s="10" t="n">
        <v>265</v>
      </c>
      <c r="M29" s="12" t="n">
        <v>1</v>
      </c>
    </row>
    <row r="30">
      <c r="A30" s="4" t="inlineStr">
        <is>
          <t>MAT-02-020</t>
        </is>
      </c>
      <c r="B30" s="5" t="inlineStr">
        <is>
          <t>Aditivo Concreto Cano Silbond Ultra Azul 1 galón</t>
        </is>
      </c>
      <c r="C30" s="4" t="inlineStr">
        <is>
          <t>unidad</t>
        </is>
      </c>
      <c r="D30" s="10" t="n"/>
      <c r="E30" s="10" t="n">
        <v>1020</v>
      </c>
      <c r="F30" s="10" t="n"/>
      <c r="G30" s="10">
        <f>IF(COUNT(D30:F30)=0,"",MIN(D30:F30))</f>
        <v/>
      </c>
      <c r="H30" s="10">
        <f>IF(COUNT(D30:F30)=0,"",MEDIAN(D30:F30))</f>
        <v/>
      </c>
      <c r="I30" s="10">
        <f>IF(COUNT(D30:F30)=0,"",MAX(D30:F30))</f>
        <v/>
      </c>
      <c r="J30" s="11">
        <f>IF(OR(G30="",G30=0),"",(I30-G30)/G30)</f>
        <v/>
      </c>
      <c r="K30" s="4">
        <f>IF(COUNT(D30:F30)=0,"",INDEX($D$1:$F$1,MATCH(MIN(D30:F30),D30:F30,0)))</f>
        <v/>
      </c>
      <c r="L30" s="10" t="n">
        <v>1020</v>
      </c>
      <c r="M30" s="12" t="n">
        <v>1</v>
      </c>
    </row>
    <row r="31">
      <c r="A31" s="4" t="inlineStr">
        <is>
          <t>MAT-02-021</t>
        </is>
      </c>
      <c r="B31" s="5" t="inlineStr">
        <is>
          <t>Aditivo Concreto Cano Silbond Ultra Azul 1 / 2 galón</t>
        </is>
      </c>
      <c r="C31" s="4" t="inlineStr">
        <is>
          <t>unidad</t>
        </is>
      </c>
      <c r="D31" s="10" t="n"/>
      <c r="E31" s="10" t="n">
        <v>535</v>
      </c>
      <c r="F31" s="10" t="n"/>
      <c r="G31" s="10">
        <f>IF(COUNT(D31:F31)=0,"",MIN(D31:F31))</f>
        <v/>
      </c>
      <c r="H31" s="10">
        <f>IF(COUNT(D31:F31)=0,"",MEDIAN(D31:F31))</f>
        <v/>
      </c>
      <c r="I31" s="10">
        <f>IF(COUNT(D31:F31)=0,"",MAX(D31:F31))</f>
        <v/>
      </c>
      <c r="J31" s="11">
        <f>IF(OR(G31="",G31=0),"",(I31-G31)/G31)</f>
        <v/>
      </c>
      <c r="K31" s="4">
        <f>IF(COUNT(D31:F31)=0,"",INDEX($D$1:$F$1,MATCH(MIN(D31:F31),D31:F31,0)))</f>
        <v/>
      </c>
      <c r="L31" s="10" t="n">
        <v>535</v>
      </c>
      <c r="M31" s="12" t="n">
        <v>1</v>
      </c>
    </row>
    <row r="32">
      <c r="A32" s="4" t="inlineStr">
        <is>
          <t>MAT-02-022</t>
        </is>
      </c>
      <c r="B32" s="5" t="inlineStr">
        <is>
          <t>Aditivo Concreto Cano Silbond Ultra Azul 32 oz</t>
        </is>
      </c>
      <c r="C32" s="4" t="inlineStr">
        <is>
          <t>unidad</t>
        </is>
      </c>
      <c r="D32" s="10" t="n"/>
      <c r="E32" s="10" t="n">
        <v>305</v>
      </c>
      <c r="F32" s="10" t="n"/>
      <c r="G32" s="10">
        <f>IF(COUNT(D32:F32)=0,"",MIN(D32:F32))</f>
        <v/>
      </c>
      <c r="H32" s="10">
        <f>IF(COUNT(D32:F32)=0,"",MEDIAN(D32:F32))</f>
        <v/>
      </c>
      <c r="I32" s="10">
        <f>IF(COUNT(D32:F32)=0,"",MAX(D32:F32))</f>
        <v/>
      </c>
      <c r="J32" s="11">
        <f>IF(OR(G32="",G32=0),"",(I32-G32)/G32)</f>
        <v/>
      </c>
      <c r="K32" s="4">
        <f>IF(COUNT(D32:F32)=0,"",INDEX($D$1:$F$1,MATCH(MIN(D32:F32),D32:F32,0)))</f>
        <v/>
      </c>
      <c r="L32" s="10" t="n">
        <v>305</v>
      </c>
      <c r="M32" s="12" t="n">
        <v>1</v>
      </c>
    </row>
    <row r="33">
      <c r="A33" s="4" t="inlineStr">
        <is>
          <t>MAT-02-023</t>
        </is>
      </c>
      <c r="B33" s="5" t="inlineStr">
        <is>
          <t>Aditivo Concreto Lanco CB-1052-2 5 galón</t>
        </is>
      </c>
      <c r="C33" s="4" t="inlineStr">
        <is>
          <t>unidad</t>
        </is>
      </c>
      <c r="D33" s="10" t="n"/>
      <c r="E33" s="10" t="n">
        <v>10935</v>
      </c>
      <c r="F33" s="10" t="n"/>
      <c r="G33" s="10">
        <f>IF(COUNT(D33:F33)=0,"",MIN(D33:F33))</f>
        <v/>
      </c>
      <c r="H33" s="10">
        <f>IF(COUNT(D33:F33)=0,"",MEDIAN(D33:F33))</f>
        <v/>
      </c>
      <c r="I33" s="10">
        <f>IF(COUNT(D33:F33)=0,"",MAX(D33:F33))</f>
        <v/>
      </c>
      <c r="J33" s="11">
        <f>IF(OR(G33="",G33=0),"",(I33-G33)/G33)</f>
        <v/>
      </c>
      <c r="K33" s="4">
        <f>IF(COUNT(D33:F33)=0,"",INDEX($D$1:$F$1,MATCH(MIN(D33:F33),D33:F33,0)))</f>
        <v/>
      </c>
      <c r="L33" s="10" t="n">
        <v>10935</v>
      </c>
      <c r="M33" s="12" t="n">
        <v>1</v>
      </c>
    </row>
    <row r="34">
      <c r="A34" s="4" t="inlineStr">
        <is>
          <t>MAT-02-024</t>
        </is>
      </c>
      <c r="B34" s="5" t="inlineStr">
        <is>
          <t>Aditivo Concreto Lanco CB-606-4 1 galón Rosado</t>
        </is>
      </c>
      <c r="C34" s="4" t="inlineStr">
        <is>
          <t>unidad</t>
        </is>
      </c>
      <c r="D34" s="10" t="n"/>
      <c r="E34" s="10" t="n">
        <v>1125</v>
      </c>
      <c r="F34" s="10" t="n"/>
      <c r="G34" s="10">
        <f>IF(COUNT(D34:F34)=0,"",MIN(D34:F34))</f>
        <v/>
      </c>
      <c r="H34" s="10">
        <f>IF(COUNT(D34:F34)=0,"",MEDIAN(D34:F34))</f>
        <v/>
      </c>
      <c r="I34" s="10">
        <f>IF(COUNT(D34:F34)=0,"",MAX(D34:F34))</f>
        <v/>
      </c>
      <c r="J34" s="11">
        <f>IF(OR(G34="",G34=0),"",(I34-G34)/G34)</f>
        <v/>
      </c>
      <c r="K34" s="4">
        <f>IF(COUNT(D34:F34)=0,"",INDEX($D$1:$F$1,MATCH(MIN(D34:F34),D34:F34,0)))</f>
        <v/>
      </c>
      <c r="L34" s="10" t="n">
        <v>1125</v>
      </c>
      <c r="M34" s="12" t="n">
        <v>1</v>
      </c>
    </row>
    <row r="35">
      <c r="A35" s="4" t="inlineStr">
        <is>
          <t>MAT-02-025</t>
        </is>
      </c>
      <c r="B35" s="5" t="inlineStr">
        <is>
          <t>Aditivo Concreto Lanco CB-606-9 1 / 2 galón Rosado</t>
        </is>
      </c>
      <c r="C35" s="4" t="inlineStr">
        <is>
          <t>unidad</t>
        </is>
      </c>
      <c r="D35" s="10" t="n"/>
      <c r="E35" s="10" t="n">
        <v>570</v>
      </c>
      <c r="F35" s="10" t="n"/>
      <c r="G35" s="10">
        <f>IF(COUNT(D35:F35)=0,"",MIN(D35:F35))</f>
        <v/>
      </c>
      <c r="H35" s="10">
        <f>IF(COUNT(D35:F35)=0,"",MEDIAN(D35:F35))</f>
        <v/>
      </c>
      <c r="I35" s="10">
        <f>IF(COUNT(D35:F35)=0,"",MAX(D35:F35))</f>
        <v/>
      </c>
      <c r="J35" s="11">
        <f>IF(OR(G35="",G35=0),"",(I35-G35)/G35)</f>
        <v/>
      </c>
      <c r="K35" s="4">
        <f>IF(COUNT(D35:F35)=0,"",INDEX($D$1:$F$1,MATCH(MIN(D35:F35),D35:F35,0)))</f>
        <v/>
      </c>
      <c r="L35" s="10" t="n">
        <v>570</v>
      </c>
      <c r="M35" s="12" t="n">
        <v>1</v>
      </c>
    </row>
    <row r="36">
      <c r="A36" s="4" t="inlineStr">
        <is>
          <t>MAT-02-026</t>
        </is>
      </c>
      <c r="B36" s="5" t="inlineStr">
        <is>
          <t>Aditivo Concreto Lanco CB-610-2 5 galón Azul Extra Pro</t>
        </is>
      </c>
      <c r="C36" s="4" t="inlineStr">
        <is>
          <t>unidad</t>
        </is>
      </c>
      <c r="D36" s="10" t="n"/>
      <c r="E36" s="10" t="n">
        <v>6300</v>
      </c>
      <c r="F36" s="10" t="n"/>
      <c r="G36" s="10">
        <f>IF(COUNT(D36:F36)=0,"",MIN(D36:F36))</f>
        <v/>
      </c>
      <c r="H36" s="10">
        <f>IF(COUNT(D36:F36)=0,"",MEDIAN(D36:F36))</f>
        <v/>
      </c>
      <c r="I36" s="10">
        <f>IF(COUNT(D36:F36)=0,"",MAX(D36:F36))</f>
        <v/>
      </c>
      <c r="J36" s="11">
        <f>IF(OR(G36="",G36=0),"",(I36-G36)/G36)</f>
        <v/>
      </c>
      <c r="K36" s="4">
        <f>IF(COUNT(D36:F36)=0,"",INDEX($D$1:$F$1,MATCH(MIN(D36:F36),D36:F36,0)))</f>
        <v/>
      </c>
      <c r="L36" s="10" t="n">
        <v>6300</v>
      </c>
      <c r="M36" s="12" t="n">
        <v>1</v>
      </c>
    </row>
    <row r="37">
      <c r="A37" s="4" t="inlineStr">
        <is>
          <t>MAT-02-027</t>
        </is>
      </c>
      <c r="B37" s="5" t="inlineStr">
        <is>
          <t>Aditivo Concreto Lanco CB-610-4 1 galón Azul Extra Pro</t>
        </is>
      </c>
      <c r="C37" s="4" t="inlineStr">
        <is>
          <t>unidad</t>
        </is>
      </c>
      <c r="D37" s="10" t="n"/>
      <c r="E37" s="10" t="n">
        <v>1185</v>
      </c>
      <c r="F37" s="10" t="n"/>
      <c r="G37" s="10">
        <f>IF(COUNT(D37:F37)=0,"",MIN(D37:F37))</f>
        <v/>
      </c>
      <c r="H37" s="10">
        <f>IF(COUNT(D37:F37)=0,"",MEDIAN(D37:F37))</f>
        <v/>
      </c>
      <c r="I37" s="10">
        <f>IF(COUNT(D37:F37)=0,"",MAX(D37:F37))</f>
        <v/>
      </c>
      <c r="J37" s="11">
        <f>IF(OR(G37="",G37=0),"",(I37-G37)/G37)</f>
        <v/>
      </c>
      <c r="K37" s="4">
        <f>IF(COUNT(D37:F37)=0,"",INDEX($D$1:$F$1,MATCH(MIN(D37:F37),D37:F37,0)))</f>
        <v/>
      </c>
      <c r="L37" s="10" t="n">
        <v>1185</v>
      </c>
      <c r="M37" s="12" t="n">
        <v>1</v>
      </c>
    </row>
    <row r="38">
      <c r="A38" s="4" t="inlineStr">
        <is>
          <t>MAT-02-028</t>
        </is>
      </c>
      <c r="B38" s="5" t="inlineStr">
        <is>
          <t>Aditivo Concreto Lanco CB-610-5 1 / 4 galón</t>
        </is>
      </c>
      <c r="C38" s="4" t="inlineStr">
        <is>
          <t>unidad</t>
        </is>
      </c>
      <c r="D38" s="10" t="n"/>
      <c r="E38" s="10" t="n">
        <v>395</v>
      </c>
      <c r="F38" s="10" t="n"/>
      <c r="G38" s="10">
        <f>IF(COUNT(D38:F38)=0,"",MIN(D38:F38))</f>
        <v/>
      </c>
      <c r="H38" s="10">
        <f>IF(COUNT(D38:F38)=0,"",MEDIAN(D38:F38))</f>
        <v/>
      </c>
      <c r="I38" s="10">
        <f>IF(COUNT(D38:F38)=0,"",MAX(D38:F38))</f>
        <v/>
      </c>
      <c r="J38" s="11">
        <f>IF(OR(G38="",G38=0),"",(I38-G38)/G38)</f>
        <v/>
      </c>
      <c r="K38" s="4">
        <f>IF(COUNT(D38:F38)=0,"",INDEX($D$1:$F$1,MATCH(MIN(D38:F38),D38:F38,0)))</f>
        <v/>
      </c>
      <c r="L38" s="10" t="n">
        <v>395</v>
      </c>
      <c r="M38" s="12" t="n">
        <v>1</v>
      </c>
    </row>
    <row r="39">
      <c r="A39" s="4" t="inlineStr">
        <is>
          <t>MAT-02-029</t>
        </is>
      </c>
      <c r="B39" s="5" t="inlineStr">
        <is>
          <t>Aditivo Concreto Lanco CB-8000-4 Texturizado 1 galón</t>
        </is>
      </c>
      <c r="C39" s="4" t="inlineStr">
        <is>
          <t>unidad</t>
        </is>
      </c>
      <c r="D39" s="10" t="n"/>
      <c r="E39" s="10" t="n">
        <v>2005</v>
      </c>
      <c r="F39" s="10" t="n"/>
      <c r="G39" s="10">
        <f>IF(COUNT(D39:F39)=0,"",MIN(D39:F39))</f>
        <v/>
      </c>
      <c r="H39" s="10">
        <f>IF(COUNT(D39:F39)=0,"",MEDIAN(D39:F39))</f>
        <v/>
      </c>
      <c r="I39" s="10">
        <f>IF(COUNT(D39:F39)=0,"",MAX(D39:F39))</f>
        <v/>
      </c>
      <c r="J39" s="11">
        <f>IF(OR(G39="",G39=0),"",(I39-G39)/G39)</f>
        <v/>
      </c>
      <c r="K39" s="4">
        <f>IF(COUNT(D39:F39)=0,"",INDEX($D$1:$F$1,MATCH(MIN(D39:F39),D39:F39,0)))</f>
        <v/>
      </c>
      <c r="L39" s="10" t="n">
        <v>2005</v>
      </c>
      <c r="M39" s="12" t="n">
        <v>1</v>
      </c>
    </row>
    <row r="40">
      <c r="A40" s="4" t="inlineStr">
        <is>
          <t>MAT-02-030</t>
        </is>
      </c>
      <c r="B40" s="5" t="inlineStr">
        <is>
          <t>Aditivo Concreto Lanco CB-902 1 galón</t>
        </is>
      </c>
      <c r="C40" s="4" t="inlineStr">
        <is>
          <t>unidad</t>
        </is>
      </c>
      <c r="D40" s="10" t="n"/>
      <c r="E40" s="10" t="n">
        <v>1460</v>
      </c>
      <c r="F40" s="10" t="n"/>
      <c r="G40" s="10">
        <f>IF(COUNT(D40:F40)=0,"",MIN(D40:F40))</f>
        <v/>
      </c>
      <c r="H40" s="10">
        <f>IF(COUNT(D40:F40)=0,"",MEDIAN(D40:F40))</f>
        <v/>
      </c>
      <c r="I40" s="10">
        <f>IF(COUNT(D40:F40)=0,"",MAX(D40:F40))</f>
        <v/>
      </c>
      <c r="J40" s="11">
        <f>IF(OR(G40="",G40=0),"",(I40-G40)/G40)</f>
        <v/>
      </c>
      <c r="K40" s="4">
        <f>IF(COUNT(D40:F40)=0,"",INDEX($D$1:$F$1,MATCH(MIN(D40:F40),D40:F40,0)))</f>
        <v/>
      </c>
      <c r="L40" s="10" t="n">
        <v>1460</v>
      </c>
      <c r="M40" s="12" t="n">
        <v>1</v>
      </c>
    </row>
    <row r="41">
      <c r="A41" s="4" t="inlineStr">
        <is>
          <t>MAT-02-031</t>
        </is>
      </c>
      <c r="B41" s="5" t="inlineStr">
        <is>
          <t>Aditivo Concreto Lanco CB-902-2 5 galón</t>
        </is>
      </c>
      <c r="C41" s="4" t="inlineStr">
        <is>
          <t>unidad</t>
        </is>
      </c>
      <c r="D41" s="10" t="n"/>
      <c r="E41" s="10" t="n">
        <v>6055</v>
      </c>
      <c r="F41" s="10" t="n"/>
      <c r="G41" s="10">
        <f>IF(COUNT(D41:F41)=0,"",MIN(D41:F41))</f>
        <v/>
      </c>
      <c r="H41" s="10">
        <f>IF(COUNT(D41:F41)=0,"",MEDIAN(D41:F41))</f>
        <v/>
      </c>
      <c r="I41" s="10">
        <f>IF(COUNT(D41:F41)=0,"",MAX(D41:F41))</f>
        <v/>
      </c>
      <c r="J41" s="11">
        <f>IF(OR(G41="",G41=0),"",(I41-G41)/G41)</f>
        <v/>
      </c>
      <c r="K41" s="4">
        <f>IF(COUNT(D41:F41)=0,"",INDEX($D$1:$F$1,MATCH(MIN(D41:F41),D41:F41,0)))</f>
        <v/>
      </c>
      <c r="L41" s="10" t="n">
        <v>6055</v>
      </c>
      <c r="M41" s="12" t="n">
        <v>1</v>
      </c>
    </row>
    <row r="42">
      <c r="A42" s="4" t="inlineStr">
        <is>
          <t>MAT-02-032</t>
        </is>
      </c>
      <c r="B42" s="5" t="inlineStr">
        <is>
          <t>Fibra Polipropileno Sikafiber Para Concreto 0.6 KG</t>
        </is>
      </c>
      <c r="C42" s="4" t="inlineStr">
        <is>
          <t>unidad</t>
        </is>
      </c>
      <c r="D42" s="10" t="n"/>
      <c r="E42" s="10" t="n">
        <v>454.75</v>
      </c>
      <c r="F42" s="10" t="n"/>
      <c r="G42" s="10">
        <f>IF(COUNT(D42:F42)=0,"",MIN(D42:F42))</f>
        <v/>
      </c>
      <c r="H42" s="10">
        <f>IF(COUNT(D42:F42)=0,"",MEDIAN(D42:F42))</f>
        <v/>
      </c>
      <c r="I42" s="10">
        <f>IF(COUNT(D42:F42)=0,"",MAX(D42:F42))</f>
        <v/>
      </c>
      <c r="J42" s="11">
        <f>IF(OR(G42="",G42=0),"",(I42-G42)/G42)</f>
        <v/>
      </c>
      <c r="K42" s="4">
        <f>IF(COUNT(D42:F42)=0,"",INDEX($D$1:$F$1,MATCH(MIN(D42:F42),D42:F42,0)))</f>
        <v/>
      </c>
      <c r="L42" s="10" t="n">
        <v>454.75</v>
      </c>
      <c r="M42" s="12" t="n">
        <v>1</v>
      </c>
    </row>
    <row r="43">
      <c r="A43" s="4" t="inlineStr">
        <is>
          <t>MAT-02-033</t>
        </is>
      </c>
      <c r="B43" s="5" t="inlineStr">
        <is>
          <t>Primer Epoxico Concreto Sikadur 32 Gel 1 KG Componente A+B</t>
        </is>
      </c>
      <c r="C43" s="4" t="inlineStr">
        <is>
          <t>unidad</t>
        </is>
      </c>
      <c r="D43" s="10" t="n"/>
      <c r="E43" s="10" t="n">
        <v>1610.75</v>
      </c>
      <c r="F43" s="10" t="n"/>
      <c r="G43" s="10">
        <f>IF(COUNT(D43:F43)=0,"",MIN(D43:F43))</f>
        <v/>
      </c>
      <c r="H43" s="10">
        <f>IF(COUNT(D43:F43)=0,"",MEDIAN(D43:F43))</f>
        <v/>
      </c>
      <c r="I43" s="10">
        <f>IF(COUNT(D43:F43)=0,"",MAX(D43:F43))</f>
        <v/>
      </c>
      <c r="J43" s="11">
        <f>IF(OR(G43="",G43=0),"",(I43-G43)/G43)</f>
        <v/>
      </c>
      <c r="K43" s="4">
        <f>IF(COUNT(D43:F43)=0,"",INDEX($D$1:$F$1,MATCH(MIN(D43:F43),D43:F43,0)))</f>
        <v/>
      </c>
      <c r="L43" s="10" t="n">
        <v>1610.75</v>
      </c>
      <c r="M43" s="12" t="n">
        <v>1</v>
      </c>
    </row>
    <row r="44">
      <c r="A44" s="4" t="inlineStr">
        <is>
          <t>MAT-02-034</t>
        </is>
      </c>
      <c r="B44" s="5" t="inlineStr">
        <is>
          <t>Cemento Autonivelante Weco W-501 WE0850105 Polimero Gris 40 lb</t>
        </is>
      </c>
      <c r="C44" s="4" t="inlineStr">
        <is>
          <t>unidad</t>
        </is>
      </c>
      <c r="D44" s="10" t="n"/>
      <c r="E44" s="10" t="n">
        <v>3952.5</v>
      </c>
      <c r="F44" s="10" t="n"/>
      <c r="G44" s="10">
        <f>IF(COUNT(D44:F44)=0,"",MIN(D44:F44))</f>
        <v/>
      </c>
      <c r="H44" s="10">
        <f>IF(COUNT(D44:F44)=0,"",MEDIAN(D44:F44))</f>
        <v/>
      </c>
      <c r="I44" s="10">
        <f>IF(COUNT(D44:F44)=0,"",MAX(D44:F44))</f>
        <v/>
      </c>
      <c r="J44" s="11">
        <f>IF(OR(G44="",G44=0),"",(I44-G44)/G44)</f>
        <v/>
      </c>
      <c r="K44" s="4">
        <f>IF(COUNT(D44:F44)=0,"",INDEX($D$1:$F$1,MATCH(MIN(D44:F44),D44:F44,0)))</f>
        <v/>
      </c>
      <c r="L44" s="10" t="n">
        <v>3952.5</v>
      </c>
      <c r="M44" s="12" t="n">
        <v>1</v>
      </c>
    </row>
    <row r="45">
      <c r="A45" s="4" t="inlineStr">
        <is>
          <t>MAT-02-035</t>
        </is>
      </c>
      <c r="B45" s="5" t="inlineStr">
        <is>
          <t>Cemento Weco W-350 WE0855504 Gris 10 lb</t>
        </is>
      </c>
      <c r="C45" s="4" t="inlineStr">
        <is>
          <t>unidad</t>
        </is>
      </c>
      <c r="D45" s="10" t="n"/>
      <c r="E45" s="10" t="n">
        <v>377.4</v>
      </c>
      <c r="F45" s="10" t="n"/>
      <c r="G45" s="10">
        <f>IF(COUNT(D45:F45)=0,"",MIN(D45:F45))</f>
        <v/>
      </c>
      <c r="H45" s="10">
        <f>IF(COUNT(D45:F45)=0,"",MEDIAN(D45:F45))</f>
        <v/>
      </c>
      <c r="I45" s="10">
        <f>IF(COUNT(D45:F45)=0,"",MAX(D45:F45))</f>
        <v/>
      </c>
      <c r="J45" s="11">
        <f>IF(OR(G45="",G45=0),"",(I45-G45)/G45)</f>
        <v/>
      </c>
      <c r="K45" s="4">
        <f>IF(COUNT(D45:F45)=0,"",INDEX($D$1:$F$1,MATCH(MIN(D45:F45),D45:F45,0)))</f>
        <v/>
      </c>
      <c r="L45" s="10" t="n">
        <v>377.4</v>
      </c>
      <c r="M45" s="12" t="n">
        <v>1</v>
      </c>
    </row>
    <row r="46">
      <c r="A46" s="4" t="inlineStr">
        <is>
          <t>MAT-02-036</t>
        </is>
      </c>
      <c r="B46" s="5" t="inlineStr">
        <is>
          <t>Cemento Weco W-400 WE0875003 Blanco 10 lb Ultra</t>
        </is>
      </c>
      <c r="C46" s="4" t="inlineStr">
        <is>
          <t>funda</t>
        </is>
      </c>
      <c r="D46" s="10" t="n"/>
      <c r="E46" s="10" t="n">
        <v>533.8</v>
      </c>
      <c r="F46" s="10" t="n"/>
      <c r="G46" s="10">
        <f>IF(COUNT(D46:F46)=0,"",MIN(D46:F46))</f>
        <v/>
      </c>
      <c r="H46" s="10">
        <f>IF(COUNT(D46:F46)=0,"",MEDIAN(D46:F46))</f>
        <v/>
      </c>
      <c r="I46" s="10">
        <f>IF(COUNT(D46:F46)=0,"",MAX(D46:F46))</f>
        <v/>
      </c>
      <c r="J46" s="11">
        <f>IF(OR(G46="",G46=0),"",(I46-G46)/G46)</f>
        <v/>
      </c>
      <c r="K46" s="4">
        <f>IF(COUNT(D46:F46)=0,"",INDEX($D$1:$F$1,MATCH(MIN(D46:F46),D46:F46,0)))</f>
        <v/>
      </c>
      <c r="L46" s="10" t="n">
        <v>533.8</v>
      </c>
      <c r="M46" s="12" t="n">
        <v>1</v>
      </c>
    </row>
    <row r="47">
      <c r="A47" s="4" t="inlineStr">
        <is>
          <t>MAT-02-037</t>
        </is>
      </c>
      <c r="B47" s="5" t="inlineStr">
        <is>
          <t>Cemento Weco W-511 WE0751104 hidráulico 1 galón</t>
        </is>
      </c>
      <c r="C47" s="4" t="inlineStr">
        <is>
          <t>unidad</t>
        </is>
      </c>
      <c r="D47" s="10" t="n"/>
      <c r="E47" s="10" t="n">
        <v>949.45</v>
      </c>
      <c r="F47" s="10" t="n"/>
      <c r="G47" s="10">
        <f>IF(COUNT(D47:F47)=0,"",MIN(D47:F47))</f>
        <v/>
      </c>
      <c r="H47" s="10">
        <f>IF(COUNT(D47:F47)=0,"",MEDIAN(D47:F47))</f>
        <v/>
      </c>
      <c r="I47" s="10">
        <f>IF(COUNT(D47:F47)=0,"",MAX(D47:F47))</f>
        <v/>
      </c>
      <c r="J47" s="11">
        <f>IF(OR(G47="",G47=0),"",(I47-G47)/G47)</f>
        <v/>
      </c>
      <c r="K47" s="4">
        <f>IF(COUNT(D47:F47)=0,"",INDEX($D$1:$F$1,MATCH(MIN(D47:F47),D47:F47,0)))</f>
        <v/>
      </c>
      <c r="L47" s="10" t="n">
        <v>949.45</v>
      </c>
      <c r="M47" s="12" t="n">
        <v>1</v>
      </c>
    </row>
    <row r="48">
      <c r="A48" s="4" t="inlineStr">
        <is>
          <t>MAT-02-038</t>
        </is>
      </c>
      <c r="B48" s="5" t="inlineStr">
        <is>
          <t>Cemento Weco W-511 WE0751105 hidráulico Cubeta 40 lb</t>
        </is>
      </c>
      <c r="C48" s="4" t="inlineStr">
        <is>
          <t>unidad</t>
        </is>
      </c>
      <c r="D48" s="10" t="n"/>
      <c r="E48" s="10" t="n">
        <v>2817.75</v>
      </c>
      <c r="F48" s="10" t="n"/>
      <c r="G48" s="10">
        <f>IF(COUNT(D48:F48)=0,"",MIN(D48:F48))</f>
        <v/>
      </c>
      <c r="H48" s="10">
        <f>IF(COUNT(D48:F48)=0,"",MEDIAN(D48:F48))</f>
        <v/>
      </c>
      <c r="I48" s="10">
        <f>IF(COUNT(D48:F48)=0,"",MAX(D48:F48))</f>
        <v/>
      </c>
      <c r="J48" s="11">
        <f>IF(OR(G48="",G48=0),"",(I48-G48)/G48)</f>
        <v/>
      </c>
      <c r="K48" s="4">
        <f>IF(COUNT(D48:F48)=0,"",INDEX($D$1:$F$1,MATCH(MIN(D48:F48),D48:F48,0)))</f>
        <v/>
      </c>
      <c r="L48" s="10" t="n">
        <v>2817.75</v>
      </c>
      <c r="M48" s="12" t="n">
        <v>1</v>
      </c>
    </row>
    <row r="49">
      <c r="A49" s="4" t="inlineStr">
        <is>
          <t>MAT-02-039</t>
        </is>
      </c>
      <c r="B49" s="5" t="inlineStr">
        <is>
          <t>Mezcla Pañete 10 lb</t>
        </is>
      </c>
      <c r="C49" s="4" t="inlineStr">
        <is>
          <t>unidad</t>
        </is>
      </c>
      <c r="D49" s="10" t="n"/>
      <c r="E49" s="10" t="n">
        <v>135</v>
      </c>
      <c r="F49" s="10" t="n"/>
      <c r="G49" s="10">
        <f>IF(COUNT(D49:F49)=0,"",MIN(D49:F49))</f>
        <v/>
      </c>
      <c r="H49" s="10">
        <f>IF(COUNT(D49:F49)=0,"",MEDIAN(D49:F49))</f>
        <v/>
      </c>
      <c r="I49" s="10">
        <f>IF(COUNT(D49:F49)=0,"",MAX(D49:F49))</f>
        <v/>
      </c>
      <c r="J49" s="11">
        <f>IF(OR(G49="",G49=0),"",(I49-G49)/G49)</f>
        <v/>
      </c>
      <c r="K49" s="4">
        <f>IF(COUNT(D49:F49)=0,"",INDEX($D$1:$F$1,MATCH(MIN(D49:F49),D49:F49,0)))</f>
        <v/>
      </c>
      <c r="L49" s="10" t="n">
        <v>135</v>
      </c>
      <c r="M49" s="12" t="n">
        <v>1</v>
      </c>
    </row>
    <row r="50">
      <c r="A50" s="4" t="inlineStr">
        <is>
          <t>MAT-02-040</t>
        </is>
      </c>
      <c r="B50" s="5" t="inlineStr">
        <is>
          <t>Mortero Anclaje Sikagrout 212 Relleno 22 KG</t>
        </is>
      </c>
      <c r="C50" s="4" t="inlineStr">
        <is>
          <t>unidad</t>
        </is>
      </c>
      <c r="D50" s="10" t="n"/>
      <c r="E50" s="10" t="n">
        <v>1270.75</v>
      </c>
      <c r="F50" s="10" t="n"/>
      <c r="G50" s="10">
        <f>IF(COUNT(D50:F50)=0,"",MIN(D50:F50))</f>
        <v/>
      </c>
      <c r="H50" s="10">
        <f>IF(COUNT(D50:F50)=0,"",MEDIAN(D50:F50))</f>
        <v/>
      </c>
      <c r="I50" s="10">
        <f>IF(COUNT(D50:F50)=0,"",MAX(D50:F50))</f>
        <v/>
      </c>
      <c r="J50" s="11">
        <f>IF(OR(G50="",G50=0),"",(I50-G50)/G50)</f>
        <v/>
      </c>
      <c r="K50" s="4">
        <f>IF(COUNT(D50:F50)=0,"",INDEX($D$1:$F$1,MATCH(MIN(D50:F50),D50:F50,0)))</f>
        <v/>
      </c>
      <c r="L50" s="10" t="n">
        <v>1270.75</v>
      </c>
      <c r="M50" s="12" t="n">
        <v>1</v>
      </c>
    </row>
    <row r="51">
      <c r="A51" s="4" t="inlineStr">
        <is>
          <t>MAT-02-041</t>
        </is>
      </c>
      <c r="B51" s="5" t="inlineStr">
        <is>
          <t>Mortero Ceramica Mapei Ultraflex LFT Polimero Blanco 50 lb</t>
        </is>
      </c>
      <c r="C51" s="4" t="inlineStr">
        <is>
          <t>unidad</t>
        </is>
      </c>
      <c r="D51" s="10" t="n"/>
      <c r="E51" s="10" t="n">
        <v>2396</v>
      </c>
      <c r="F51" s="10" t="n"/>
      <c r="G51" s="10">
        <f>IF(COUNT(D51:F51)=0,"",MIN(D51:F51))</f>
        <v/>
      </c>
      <c r="H51" s="10">
        <f>IF(COUNT(D51:F51)=0,"",MEDIAN(D51:F51))</f>
        <v/>
      </c>
      <c r="I51" s="10">
        <f>IF(COUNT(D51:F51)=0,"",MAX(D51:F51))</f>
        <v/>
      </c>
      <c r="J51" s="11">
        <f>IF(OR(G51="",G51=0),"",(I51-G51)/G51)</f>
        <v/>
      </c>
      <c r="K51" s="4">
        <f>IF(COUNT(D51:F51)=0,"",INDEX($D$1:$F$1,MATCH(MIN(D51:F51),D51:F51,0)))</f>
        <v/>
      </c>
      <c r="L51" s="10" t="n">
        <v>2396</v>
      </c>
      <c r="M51" s="12" t="n">
        <v>1</v>
      </c>
    </row>
    <row r="52">
      <c r="A52" s="4" t="inlineStr">
        <is>
          <t>MAT-02-042</t>
        </is>
      </c>
      <c r="B52" s="5" t="inlineStr">
        <is>
          <t>Mortero Impermeabilizante Sika 101 Blanco 25 KG Tanques Piscinas</t>
        </is>
      </c>
      <c r="C52" s="4" t="inlineStr">
        <is>
          <t>unidad</t>
        </is>
      </c>
      <c r="D52" s="10" t="n"/>
      <c r="E52" s="10" t="n">
        <v>2715.75</v>
      </c>
      <c r="F52" s="10" t="n"/>
      <c r="G52" s="10">
        <f>IF(COUNT(D52:F52)=0,"",MIN(D52:F52))</f>
        <v/>
      </c>
      <c r="H52" s="10">
        <f>IF(COUNT(D52:F52)=0,"",MEDIAN(D52:F52))</f>
        <v/>
      </c>
      <c r="I52" s="10">
        <f>IF(COUNT(D52:F52)=0,"",MAX(D52:F52))</f>
        <v/>
      </c>
      <c r="J52" s="11">
        <f>IF(OR(G52="",G52=0),"",(I52-G52)/G52)</f>
        <v/>
      </c>
      <c r="K52" s="4">
        <f>IF(COUNT(D52:F52)=0,"",INDEX($D$1:$F$1,MATCH(MIN(D52:F52),D52:F52,0)))</f>
        <v/>
      </c>
      <c r="L52" s="10" t="n">
        <v>2715.75</v>
      </c>
      <c r="M52" s="12" t="n">
        <v>1</v>
      </c>
    </row>
    <row r="53">
      <c r="A53" s="4" t="inlineStr">
        <is>
          <t>MAT-02-043</t>
        </is>
      </c>
      <c r="B53" s="5" t="inlineStr">
        <is>
          <t>Mortero Mapei Planitop XS Gris 50 lb</t>
        </is>
      </c>
      <c r="C53" s="4" t="inlineStr">
        <is>
          <t>unidad</t>
        </is>
      </c>
      <c r="D53" s="10" t="n"/>
      <c r="E53" s="10" t="n">
        <v>1308</v>
      </c>
      <c r="F53" s="10" t="n"/>
      <c r="G53" s="10">
        <f>IF(COUNT(D53:F53)=0,"",MIN(D53:F53))</f>
        <v/>
      </c>
      <c r="H53" s="10">
        <f>IF(COUNT(D53:F53)=0,"",MEDIAN(D53:F53))</f>
        <v/>
      </c>
      <c r="I53" s="10">
        <f>IF(COUNT(D53:F53)=0,"",MAX(D53:F53))</f>
        <v/>
      </c>
      <c r="J53" s="11">
        <f>IF(OR(G53="",G53=0),"",(I53-G53)/G53)</f>
        <v/>
      </c>
      <c r="K53" s="4">
        <f>IF(COUNT(D53:F53)=0,"",INDEX($D$1:$F$1,MATCH(MIN(D53:F53),D53:F53,0)))</f>
        <v/>
      </c>
      <c r="L53" s="10" t="n">
        <v>1308</v>
      </c>
      <c r="M53" s="12" t="n">
        <v>1</v>
      </c>
    </row>
    <row r="54">
      <c r="A54" s="4" t="inlineStr">
        <is>
          <t>MAT-02-044</t>
        </is>
      </c>
      <c r="B54" s="5" t="inlineStr">
        <is>
          <t>Yeso Blanco Funda 10 lb</t>
        </is>
      </c>
      <c r="C54" s="4" t="inlineStr">
        <is>
          <t>unidad</t>
        </is>
      </c>
      <c r="D54" s="10" t="n"/>
      <c r="E54" s="10" t="n">
        <v>167</v>
      </c>
      <c r="F54" s="10" t="n"/>
      <c r="G54" s="10">
        <f>IF(COUNT(D54:F54)=0,"",MIN(D54:F54))</f>
        <v/>
      </c>
      <c r="H54" s="10">
        <f>IF(COUNT(D54:F54)=0,"",MEDIAN(D54:F54))</f>
        <v/>
      </c>
      <c r="I54" s="10">
        <f>IF(COUNT(D54:F54)=0,"",MAX(D54:F54))</f>
        <v/>
      </c>
      <c r="J54" s="11">
        <f>IF(OR(G54="",G54=0),"",(I54-G54)/G54)</f>
        <v/>
      </c>
      <c r="K54" s="4">
        <f>IF(COUNT(D54:F54)=0,"",INDEX($D$1:$F$1,MATCH(MIN(D54:F54),D54:F54,0)))</f>
        <v/>
      </c>
      <c r="L54" s="10" t="n">
        <v>167</v>
      </c>
      <c r="M54" s="12" t="n">
        <v>1</v>
      </c>
    </row>
    <row r="55">
      <c r="A55" s="4" t="inlineStr">
        <is>
          <t>MAT-02-045</t>
        </is>
      </c>
      <c r="B55" s="5" t="inlineStr">
        <is>
          <t>Yeso Blanco Funda 2 lb</t>
        </is>
      </c>
      <c r="C55" s="4" t="inlineStr">
        <is>
          <t>unidad</t>
        </is>
      </c>
      <c r="D55" s="10" t="n"/>
      <c r="E55" s="10" t="n">
        <v>28</v>
      </c>
      <c r="F55" s="10" t="n"/>
      <c r="G55" s="10">
        <f>IF(COUNT(D55:F55)=0,"",MIN(D55:F55))</f>
        <v/>
      </c>
      <c r="H55" s="10">
        <f>IF(COUNT(D55:F55)=0,"",MEDIAN(D55:F55))</f>
        <v/>
      </c>
      <c r="I55" s="10">
        <f>IF(COUNT(D55:F55)=0,"",MAX(D55:F55))</f>
        <v/>
      </c>
      <c r="J55" s="11">
        <f>IF(OR(G55="",G55=0),"",(I55-G55)/G55)</f>
        <v/>
      </c>
      <c r="K55" s="4">
        <f>IF(COUNT(D55:F55)=0,"",INDEX($D$1:$F$1,MATCH(MIN(D55:F55),D55:F55,0)))</f>
        <v/>
      </c>
      <c r="L55" s="10" t="n">
        <v>28</v>
      </c>
      <c r="M55" s="12" t="n">
        <v>1</v>
      </c>
    </row>
    <row r="56">
      <c r="A56" s="4" t="inlineStr">
        <is>
          <t>MAT-02-046</t>
        </is>
      </c>
      <c r="B56" s="5" t="inlineStr">
        <is>
          <t>Pegamento Ceramica Weco W-1000 WE0810501 Polimero Blanco 50 lb</t>
        </is>
      </c>
      <c r="C56" s="4" t="inlineStr">
        <is>
          <t>unidad</t>
        </is>
      </c>
      <c r="D56" s="10" t="n"/>
      <c r="E56" s="10" t="n">
        <v>1365.1</v>
      </c>
      <c r="F56" s="10" t="n"/>
      <c r="G56" s="10">
        <f>IF(COUNT(D56:F56)=0,"",MIN(D56:F56))</f>
        <v/>
      </c>
      <c r="H56" s="10">
        <f>IF(COUNT(D56:F56)=0,"",MEDIAN(D56:F56))</f>
        <v/>
      </c>
      <c r="I56" s="10">
        <f>IF(COUNT(D56:F56)=0,"",MAX(D56:F56))</f>
        <v/>
      </c>
      <c r="J56" s="11">
        <f>IF(OR(G56="",G56=0),"",(I56-G56)/G56)</f>
        <v/>
      </c>
      <c r="K56" s="4">
        <f>IF(COUNT(D56:F56)=0,"",INDEX($D$1:$F$1,MATCH(MIN(D56:F56),D56:F56,0)))</f>
        <v/>
      </c>
      <c r="L56" s="10" t="n">
        <v>1365.1</v>
      </c>
      <c r="M56" s="12" t="n">
        <v>1</v>
      </c>
    </row>
    <row r="57">
      <c r="A57" s="4" t="inlineStr">
        <is>
          <t>MAT-02-047</t>
        </is>
      </c>
      <c r="B57" s="5" t="inlineStr">
        <is>
          <t>Pegamento Ceramica Weco W-3000 Cero Polimero Blanco 10 lb</t>
        </is>
      </c>
      <c r="C57" s="4" t="inlineStr">
        <is>
          <t>unidad</t>
        </is>
      </c>
      <c r="D57" s="10" t="n"/>
      <c r="E57" s="10" t="n">
        <v>786.25</v>
      </c>
      <c r="F57" s="10" t="n"/>
      <c r="G57" s="10">
        <f>IF(COUNT(D57:F57)=0,"",MIN(D57:F57))</f>
        <v/>
      </c>
      <c r="H57" s="10">
        <f>IF(COUNT(D57:F57)=0,"",MEDIAN(D57:F57))</f>
        <v/>
      </c>
      <c r="I57" s="10">
        <f>IF(COUNT(D57:F57)=0,"",MAX(D57:F57))</f>
        <v/>
      </c>
      <c r="J57" s="11">
        <f>IF(OR(G57="",G57=0),"",(I57-G57)/G57)</f>
        <v/>
      </c>
      <c r="K57" s="4">
        <f>IF(COUNT(D57:F57)=0,"",INDEX($D$1:$F$1,MATCH(MIN(D57:F57),D57:F57,0)))</f>
        <v/>
      </c>
      <c r="L57" s="10" t="n">
        <v>786.25</v>
      </c>
      <c r="M57" s="12" t="n">
        <v>1</v>
      </c>
    </row>
    <row r="58">
      <c r="A58" s="4" t="inlineStr">
        <is>
          <t>MAT-02-048</t>
        </is>
      </c>
      <c r="B58" s="5" t="inlineStr">
        <is>
          <t>Pegamento Ceramica Lanco SM-502-4 Ceramic Tile Blanco 1 galón</t>
        </is>
      </c>
      <c r="C58" s="4" t="inlineStr">
        <is>
          <t>unidad</t>
        </is>
      </c>
      <c r="D58" s="10" t="n"/>
      <c r="E58" s="10" t="n">
        <v>1845</v>
      </c>
      <c r="F58" s="10" t="n"/>
      <c r="G58" s="10">
        <f>IF(COUNT(D58:F58)=0,"",MIN(D58:F58))</f>
        <v/>
      </c>
      <c r="H58" s="10">
        <f>IF(COUNT(D58:F58)=0,"",MEDIAN(D58:F58))</f>
        <v/>
      </c>
      <c r="I58" s="10">
        <f>IF(COUNT(D58:F58)=0,"",MAX(D58:F58))</f>
        <v/>
      </c>
      <c r="J58" s="11">
        <f>IF(OR(G58="",G58=0),"",(I58-G58)/G58)</f>
        <v/>
      </c>
      <c r="K58" s="4">
        <f>IF(COUNT(D58:F58)=0,"",INDEX($D$1:$F$1,MATCH(MIN(D58:F58),D58:F58,0)))</f>
        <v/>
      </c>
      <c r="L58" s="10" t="n">
        <v>1845</v>
      </c>
      <c r="M58" s="12" t="n">
        <v>1</v>
      </c>
    </row>
    <row r="59">
      <c r="A59" s="4" t="inlineStr">
        <is>
          <t>MAT-02-049</t>
        </is>
      </c>
      <c r="B59" s="5" t="inlineStr">
        <is>
          <t>Pegamento Ceramica Lanco SM-502-5 Ceramic Tile Blanco 1 / 4 galón</t>
        </is>
      </c>
      <c r="C59" s="4" t="inlineStr">
        <is>
          <t>unidad</t>
        </is>
      </c>
      <c r="D59" s="10" t="n"/>
      <c r="E59" s="10" t="n">
        <v>625</v>
      </c>
      <c r="F59" s="10" t="n"/>
      <c r="G59" s="10">
        <f>IF(COUNT(D59:F59)=0,"",MIN(D59:F59))</f>
        <v/>
      </c>
      <c r="H59" s="10">
        <f>IF(COUNT(D59:F59)=0,"",MEDIAN(D59:F59))</f>
        <v/>
      </c>
      <c r="I59" s="10">
        <f>IF(COUNT(D59:F59)=0,"",MAX(D59:F59))</f>
        <v/>
      </c>
      <c r="J59" s="11">
        <f>IF(OR(G59="",G59=0),"",(I59-G59)/G59)</f>
        <v/>
      </c>
      <c r="K59" s="4">
        <f>IF(COUNT(D59:F59)=0,"",INDEX($D$1:$F$1,MATCH(MIN(D59:F59),D59:F59,0)))</f>
        <v/>
      </c>
      <c r="L59" s="10" t="n">
        <v>625</v>
      </c>
      <c r="M59" s="12" t="n">
        <v>1</v>
      </c>
    </row>
    <row r="60">
      <c r="A60" s="4" t="inlineStr">
        <is>
          <t>MAT-02-050</t>
        </is>
      </c>
      <c r="B60" s="5" t="inlineStr">
        <is>
          <t>Pegamento Ceramica Weco W-2000 WE0810602 Polimero Gris 10 lb</t>
        </is>
      </c>
      <c r="C60" s="4" t="inlineStr">
        <is>
          <t>unidad</t>
        </is>
      </c>
      <c r="D60" s="10" t="n"/>
      <c r="E60" s="10" t="n">
        <v>610.3</v>
      </c>
      <c r="F60" s="10" t="n"/>
      <c r="G60" s="10">
        <f>IF(COUNT(D60:F60)=0,"",MIN(D60:F60))</f>
        <v/>
      </c>
      <c r="H60" s="10">
        <f>IF(COUNT(D60:F60)=0,"",MEDIAN(D60:F60))</f>
        <v/>
      </c>
      <c r="I60" s="10">
        <f>IF(COUNT(D60:F60)=0,"",MAX(D60:F60))</f>
        <v/>
      </c>
      <c r="J60" s="11">
        <f>IF(OR(G60="",G60=0),"",(I60-G60)/G60)</f>
        <v/>
      </c>
      <c r="K60" s="4">
        <f>IF(COUNT(D60:F60)=0,"",INDEX($D$1:$F$1,MATCH(MIN(D60:F60),D60:F60,0)))</f>
        <v/>
      </c>
      <c r="L60" s="10" t="n">
        <v>610.3</v>
      </c>
      <c r="M60" s="12" t="n">
        <v>1</v>
      </c>
    </row>
    <row r="61">
      <c r="A61" s="4" t="inlineStr">
        <is>
          <t>MAT-02-051</t>
        </is>
      </c>
      <c r="B61" s="5" t="inlineStr">
        <is>
          <t>Pegamento Ceramica Weco W-761 Blanco 10 lb</t>
        </is>
      </c>
      <c r="C61" s="4" t="inlineStr">
        <is>
          <t>unidad</t>
        </is>
      </c>
      <c r="D61" s="10" t="n"/>
      <c r="E61" s="10" t="n">
        <v>437.75</v>
      </c>
      <c r="F61" s="10" t="n"/>
      <c r="G61" s="10">
        <f>IF(COUNT(D61:F61)=0,"",MIN(D61:F61))</f>
        <v/>
      </c>
      <c r="H61" s="10">
        <f>IF(COUNT(D61:F61)=0,"",MEDIAN(D61:F61))</f>
        <v/>
      </c>
      <c r="I61" s="10">
        <f>IF(COUNT(D61:F61)=0,"",MAX(D61:F61))</f>
        <v/>
      </c>
      <c r="J61" s="11">
        <f>IF(OR(G61="",G61=0),"",(I61-G61)/G61)</f>
        <v/>
      </c>
      <c r="K61" s="4">
        <f>IF(COUNT(D61:F61)=0,"",INDEX($D$1:$F$1,MATCH(MIN(D61:F61),D61:F61,0)))</f>
        <v/>
      </c>
      <c r="L61" s="10" t="n">
        <v>437.75</v>
      </c>
      <c r="M61" s="12" t="n">
        <v>1</v>
      </c>
    </row>
    <row r="62">
      <c r="A62" s="4" t="inlineStr">
        <is>
          <t>MAT-02-052</t>
        </is>
      </c>
      <c r="B62" s="5" t="inlineStr">
        <is>
          <t>Pegamento Ceramica Weco W-900 WE0810454 Blanco 10 lb</t>
        </is>
      </c>
      <c r="C62" s="4" t="inlineStr">
        <is>
          <t>funda</t>
        </is>
      </c>
      <c r="D62" s="10" t="n"/>
      <c r="E62" s="10" t="n">
        <v>569.5</v>
      </c>
      <c r="F62" s="10" t="n"/>
      <c r="G62" s="10">
        <f>IF(COUNT(D62:F62)=0,"",MIN(D62:F62))</f>
        <v/>
      </c>
      <c r="H62" s="10">
        <f>IF(COUNT(D62:F62)=0,"",MEDIAN(D62:F62))</f>
        <v/>
      </c>
      <c r="I62" s="10">
        <f>IF(COUNT(D62:F62)=0,"",MAX(D62:F62))</f>
        <v/>
      </c>
      <c r="J62" s="11">
        <f>IF(OR(G62="",G62=0),"",(I62-G62)/G62)</f>
        <v/>
      </c>
      <c r="K62" s="4">
        <f>IF(COUNT(D62:F62)=0,"",INDEX($D$1:$F$1,MATCH(MIN(D62:F62),D62:F62,0)))</f>
        <v/>
      </c>
      <c r="L62" s="10" t="n">
        <v>569.5</v>
      </c>
      <c r="M62" s="12" t="n">
        <v>1</v>
      </c>
    </row>
    <row r="63">
      <c r="A63" s="4" t="inlineStr">
        <is>
          <t>MAT-02-053</t>
        </is>
      </c>
      <c r="B63" s="5" t="inlineStr">
        <is>
          <t>Derretido para cerámica, funda de 10 libras</t>
        </is>
      </c>
      <c r="C63" s="4" t="inlineStr">
        <is>
          <t>funda</t>
        </is>
      </c>
      <c r="D63" s="10" t="n"/>
      <c r="E63" s="10" t="n">
        <v>328</v>
      </c>
      <c r="F63" s="10" t="n"/>
      <c r="G63" s="10">
        <f>IF(COUNT(D63:F63)=0,"",MIN(D63:F63))</f>
        <v/>
      </c>
      <c r="H63" s="10">
        <f>IF(COUNT(D63:F63)=0,"",MEDIAN(D63:F63))</f>
        <v/>
      </c>
      <c r="I63" s="10">
        <f>IF(COUNT(D63:F63)=0,"",MAX(D63:F63))</f>
        <v/>
      </c>
      <c r="J63" s="11">
        <f>IF(OR(G63="",G63=0),"",(I63-G63)/G63)</f>
        <v/>
      </c>
      <c r="K63" s="4">
        <f>IF(COUNT(D63:F63)=0,"",INDEX($D$1:$F$1,MATCH(MIN(D63:F63),D63:F63,0)))</f>
        <v/>
      </c>
      <c r="L63" s="10" t="n">
        <v>553.35</v>
      </c>
      <c r="M63" s="12" t="n">
        <v>1</v>
      </c>
    </row>
    <row r="64">
      <c r="A64" s="4" t="inlineStr">
        <is>
          <t>MAT-02-054</t>
        </is>
      </c>
      <c r="B64" s="5" t="inlineStr">
        <is>
          <t>Pegamento de cerámica gris, funda 22.7 kg (50 lb)</t>
        </is>
      </c>
      <c r="C64" s="4" t="inlineStr">
        <is>
          <t>funda</t>
        </is>
      </c>
      <c r="D64" s="10" t="n"/>
      <c r="E64" s="10" t="n">
        <v>325</v>
      </c>
      <c r="F64" s="10" t="n"/>
      <c r="G64" s="10">
        <f>IF(COUNT(D64:F64)=0,"",MIN(D64:F64))</f>
        <v/>
      </c>
      <c r="H64" s="10">
        <f>IF(COUNT(D64:F64)=0,"",MEDIAN(D64:F64))</f>
        <v/>
      </c>
      <c r="I64" s="10">
        <f>IF(COUNT(D64:F64)=0,"",MAX(D64:F64))</f>
        <v/>
      </c>
      <c r="J64" s="11">
        <f>IF(OR(G64="",G64=0),"",(I64-G64)/G64)</f>
        <v/>
      </c>
      <c r="K64" s="4">
        <f>IF(COUNT(D64:F64)=0,"",INDEX($D$1:$F$1,MATCH(MIN(D64:F64),D64:F64,0)))</f>
        <v/>
      </c>
      <c r="L64" s="10" t="n">
        <v>330.5</v>
      </c>
      <c r="M64" s="12" t="n">
        <v>1</v>
      </c>
    </row>
    <row r="65">
      <c r="A65" s="4" t="inlineStr">
        <is>
          <t>MAT-02-055</t>
        </is>
      </c>
      <c r="B65" s="5" t="inlineStr">
        <is>
          <t>Cemento gris, funda de 5 libras</t>
        </is>
      </c>
      <c r="C65" s="4" t="inlineStr">
        <is>
          <t>funda</t>
        </is>
      </c>
      <c r="D65" s="10" t="n">
        <v>34.36</v>
      </c>
      <c r="E65" s="10" t="n"/>
      <c r="F65" s="10" t="n"/>
      <c r="G65" s="10">
        <f>IF(COUNT(D65:F65)=0,"",MIN(D65:F65))</f>
        <v/>
      </c>
      <c r="H65" s="10">
        <f>IF(COUNT(D65:F65)=0,"",MEDIAN(D65:F65))</f>
        <v/>
      </c>
      <c r="I65" s="10">
        <f>IF(COUNT(D65:F65)=0,"",MAX(D65:F65))</f>
        <v/>
      </c>
      <c r="J65" s="11">
        <f>IF(OR(G65="",G65=0),"",(I65-G65)/G65)</f>
        <v/>
      </c>
      <c r="K65" s="4">
        <f>IF(COUNT(D65:F65)=0,"",INDEX($D$1:$F$1,MATCH(MIN(D65:F65),D65:F65,0)))</f>
        <v/>
      </c>
      <c r="L65" s="10" t="n">
        <v>34.36</v>
      </c>
      <c r="M65" s="12" t="n">
        <v>1</v>
      </c>
    </row>
    <row r="66">
      <c r="A66" s="4" t="inlineStr">
        <is>
          <t>MAT-02-056</t>
        </is>
      </c>
      <c r="B66" s="5" t="inlineStr">
        <is>
          <t>Cemento gris, funda de 10 libras</t>
        </is>
      </c>
      <c r="C66" s="4" t="inlineStr">
        <is>
          <t>funda</t>
        </is>
      </c>
      <c r="D66" s="10" t="n">
        <v>65.95999999999999</v>
      </c>
      <c r="E66" s="10" t="n">
        <v>173</v>
      </c>
      <c r="F66" s="10" t="n"/>
      <c r="G66" s="10">
        <f>IF(COUNT(D66:F66)=0,"",MIN(D66:F66))</f>
        <v/>
      </c>
      <c r="H66" s="10">
        <f>IF(COUNT(D66:F66)=0,"",MEDIAN(D66:F66))</f>
        <v/>
      </c>
      <c r="I66" s="10">
        <f>IF(COUNT(D66:F66)=0,"",MAX(D66:F66))</f>
        <v/>
      </c>
      <c r="J66" s="11">
        <f>IF(OR(G66="",G66=0),"",(I66-G66)/G66)</f>
        <v/>
      </c>
      <c r="K66" s="4">
        <f>IF(COUNT(D66:F66)=0,"",INDEX($D$1:$F$1,MATCH(MIN(D66:F66),D66:F66,0)))</f>
        <v/>
      </c>
      <c r="L66" s="10" t="n">
        <v>119.48</v>
      </c>
      <c r="M66" s="12" t="n">
        <v>2</v>
      </c>
    </row>
    <row r="67">
      <c r="A67" s="4" t="inlineStr">
        <is>
          <t>MAT-02-057</t>
        </is>
      </c>
      <c r="B67" s="5" t="inlineStr">
        <is>
          <t>Cemento blanco, funda de 2 libras</t>
        </is>
      </c>
      <c r="C67" s="4" t="inlineStr">
        <is>
          <t>funda</t>
        </is>
      </c>
      <c r="D67" s="10" t="n">
        <v>49.97</v>
      </c>
      <c r="E67" s="10" t="n">
        <v>57</v>
      </c>
      <c r="F67" s="10" t="n"/>
      <c r="G67" s="10">
        <f>IF(COUNT(D67:F67)=0,"",MIN(D67:F67))</f>
        <v/>
      </c>
      <c r="H67" s="10">
        <f>IF(COUNT(D67:F67)=0,"",MEDIAN(D67:F67))</f>
        <v/>
      </c>
      <c r="I67" s="10">
        <f>IF(COUNT(D67:F67)=0,"",MAX(D67:F67))</f>
        <v/>
      </c>
      <c r="J67" s="11">
        <f>IF(OR(G67="",G67=0),"",(I67-G67)/G67)</f>
        <v/>
      </c>
      <c r="K67" s="4">
        <f>IF(COUNT(D67:F67)=0,"",INDEX($D$1:$F$1,MATCH(MIN(D67:F67),D67:F67,0)))</f>
        <v/>
      </c>
      <c r="L67" s="10" t="n">
        <v>53.49</v>
      </c>
      <c r="M67" s="12" t="n">
        <v>2</v>
      </c>
    </row>
    <row r="68">
      <c r="A68" s="4" t="inlineStr">
        <is>
          <t>MAT-02-058</t>
        </is>
      </c>
      <c r="B68" s="5" t="inlineStr">
        <is>
          <t>Cemento blanco, funda de 5 libras</t>
        </is>
      </c>
      <c r="C68" s="4" t="inlineStr">
        <is>
          <t>funda</t>
        </is>
      </c>
      <c r="D68" s="10" t="n">
        <v>109.93</v>
      </c>
      <c r="E68" s="10" t="n">
        <v>132</v>
      </c>
      <c r="F68" s="10" t="n"/>
      <c r="G68" s="10">
        <f>IF(COUNT(D68:F68)=0,"",MIN(D68:F68))</f>
        <v/>
      </c>
      <c r="H68" s="10">
        <f>IF(COUNT(D68:F68)=0,"",MEDIAN(D68:F68))</f>
        <v/>
      </c>
      <c r="I68" s="10">
        <f>IF(COUNT(D68:F68)=0,"",MAX(D68:F68))</f>
        <v/>
      </c>
      <c r="J68" s="11">
        <f>IF(OR(G68="",G68=0),"",(I68-G68)/G68)</f>
        <v/>
      </c>
      <c r="K68" s="4">
        <f>IF(COUNT(D68:F68)=0,"",INDEX($D$1:$F$1,MATCH(MIN(D68:F68),D68:F68,0)))</f>
        <v/>
      </c>
      <c r="L68" s="10" t="n">
        <v>120.97</v>
      </c>
      <c r="M68" s="12" t="n">
        <v>2</v>
      </c>
    </row>
    <row r="69">
      <c r="A69" s="4" t="inlineStr">
        <is>
          <t>MAT-02-059</t>
        </is>
      </c>
      <c r="B69" s="5" t="inlineStr">
        <is>
          <t>Cemento blanco, funda de 10 libras</t>
        </is>
      </c>
      <c r="C69" s="4" t="inlineStr">
        <is>
          <t>funda</t>
        </is>
      </c>
      <c r="D69" s="10" t="n">
        <v>159.1</v>
      </c>
      <c r="E69" s="10" t="n"/>
      <c r="F69" s="10" t="n"/>
      <c r="G69" s="10">
        <f>IF(COUNT(D69:F69)=0,"",MIN(D69:F69))</f>
        <v/>
      </c>
      <c r="H69" s="10">
        <f>IF(COUNT(D69:F69)=0,"",MEDIAN(D69:F69))</f>
        <v/>
      </c>
      <c r="I69" s="10">
        <f>IF(COUNT(D69:F69)=0,"",MAX(D69:F69))</f>
        <v/>
      </c>
      <c r="J69" s="11">
        <f>IF(OR(G69="",G69=0),"",(I69-G69)/G69)</f>
        <v/>
      </c>
      <c r="K69" s="4">
        <f>IF(COUNT(D69:F69)=0,"",INDEX($D$1:$F$1,MATCH(MIN(D69:F69),D69:F69,0)))</f>
        <v/>
      </c>
      <c r="L69" s="10" t="n">
        <v>159.1</v>
      </c>
      <c r="M69" s="12" t="n">
        <v>1</v>
      </c>
    </row>
    <row r="70">
      <c r="A70" s="4" t="inlineStr">
        <is>
          <t>MAT-02-060</t>
        </is>
      </c>
      <c r="B70" s="5" t="inlineStr">
        <is>
          <t>Yeso en polvo, por libra</t>
        </is>
      </c>
      <c r="C70" s="4" t="inlineStr">
        <is>
          <t>lb</t>
        </is>
      </c>
      <c r="D70" s="10" t="n">
        <v>4.8</v>
      </c>
      <c r="E70" s="10" t="n"/>
      <c r="F70" s="10" t="n"/>
      <c r="G70" s="10">
        <f>IF(COUNT(D70:F70)=0,"",MIN(D70:F70))</f>
        <v/>
      </c>
      <c r="H70" s="10">
        <f>IF(COUNT(D70:F70)=0,"",MEDIAN(D70:F70))</f>
        <v/>
      </c>
      <c r="I70" s="10">
        <f>IF(COUNT(D70:F70)=0,"",MAX(D70:F70))</f>
        <v/>
      </c>
      <c r="J70" s="11">
        <f>IF(OR(G70="",G70=0),"",(I70-G70)/G70)</f>
        <v/>
      </c>
      <c r="K70" s="4">
        <f>IF(COUNT(D70:F70)=0,"",INDEX($D$1:$F$1,MATCH(MIN(D70:F70),D70:F70,0)))</f>
        <v/>
      </c>
      <c r="L70" s="10" t="n">
        <v>4.8</v>
      </c>
      <c r="M70" s="12" t="n">
        <v>1</v>
      </c>
    </row>
    <row r="71">
      <c r="A71" s="4" t="inlineStr">
        <is>
          <t>MAT-02-061</t>
        </is>
      </c>
      <c r="B71" s="5" t="inlineStr">
        <is>
          <t>Yeso en polvo, funda de 5 libras</t>
        </is>
      </c>
      <c r="C71" s="4" t="inlineStr">
        <is>
          <t>funda</t>
        </is>
      </c>
      <c r="D71" s="10" t="n">
        <v>37.93</v>
      </c>
      <c r="E71" s="10" t="n"/>
      <c r="F71" s="10" t="n"/>
      <c r="G71" s="10">
        <f>IF(COUNT(D71:F71)=0,"",MIN(D71:F71))</f>
        <v/>
      </c>
      <c r="H71" s="10">
        <f>IF(COUNT(D71:F71)=0,"",MEDIAN(D71:F71))</f>
        <v/>
      </c>
      <c r="I71" s="10">
        <f>IF(COUNT(D71:F71)=0,"",MAX(D71:F71))</f>
        <v/>
      </c>
      <c r="J71" s="11">
        <f>IF(OR(G71="",G71=0),"",(I71-G71)/G71)</f>
        <v/>
      </c>
      <c r="K71" s="4">
        <f>IF(COUNT(D71:F71)=0,"",INDEX($D$1:$F$1,MATCH(MIN(D71:F71),D71:F71,0)))</f>
        <v/>
      </c>
      <c r="L71" s="10" t="n">
        <v>37.93</v>
      </c>
      <c r="M71" s="12" t="n">
        <v>1</v>
      </c>
    </row>
    <row r="72">
      <c r="A72" s="4" t="inlineStr">
        <is>
          <t>MAT-02-062</t>
        </is>
      </c>
      <c r="B72" s="5" t="inlineStr">
        <is>
          <t>Yeso en polvo Paloma, funda de 65 libras</t>
        </is>
      </c>
      <c r="C72" s="4" t="inlineStr">
        <is>
          <t>funda</t>
        </is>
      </c>
      <c r="D72" s="10" t="n">
        <v>373.64</v>
      </c>
      <c r="E72" s="10" t="n"/>
      <c r="F72" s="10" t="n"/>
      <c r="G72" s="10">
        <f>IF(COUNT(D72:F72)=0,"",MIN(D72:F72))</f>
        <v/>
      </c>
      <c r="H72" s="10">
        <f>IF(COUNT(D72:F72)=0,"",MEDIAN(D72:F72))</f>
        <v/>
      </c>
      <c r="I72" s="10">
        <f>IF(COUNT(D72:F72)=0,"",MAX(D72:F72))</f>
        <v/>
      </c>
      <c r="J72" s="11">
        <f>IF(OR(G72="",G72=0),"",(I72-G72)/G72)</f>
        <v/>
      </c>
      <c r="K72" s="4">
        <f>IF(COUNT(D72:F72)=0,"",INDEX($D$1:$F$1,MATCH(MIN(D72:F72),D72:F72,0)))</f>
        <v/>
      </c>
      <c r="L72" s="10" t="n">
        <v>373.64</v>
      </c>
      <c r="M72" s="12" t="n">
        <v>1</v>
      </c>
    </row>
    <row r="73">
      <c r="A73" s="4" t="inlineStr">
        <is>
          <t>MAT-02-063</t>
        </is>
      </c>
      <c r="B73" s="5" t="inlineStr">
        <is>
          <t>Fibra de acero para hormigón, funda de 5.3 kg</t>
        </is>
      </c>
      <c r="C73" s="4" t="inlineStr">
        <is>
          <t>funda</t>
        </is>
      </c>
      <c r="D73" s="10" t="n">
        <v>1295.68</v>
      </c>
      <c r="E73" s="10" t="n"/>
      <c r="F73" s="10" t="n"/>
      <c r="G73" s="10">
        <f>IF(COUNT(D73:F73)=0,"",MIN(D73:F73))</f>
        <v/>
      </c>
      <c r="H73" s="10">
        <f>IF(COUNT(D73:F73)=0,"",MEDIAN(D73:F73))</f>
        <v/>
      </c>
      <c r="I73" s="10">
        <f>IF(COUNT(D73:F73)=0,"",MAX(D73:F73))</f>
        <v/>
      </c>
      <c r="J73" s="11">
        <f>IF(OR(G73="",G73=0),"",(I73-G73)/G73)</f>
        <v/>
      </c>
      <c r="K73" s="4">
        <f>IF(COUNT(D73:F73)=0,"",INDEX($D$1:$F$1,MATCH(MIN(D73:F73),D73:F73,0)))</f>
        <v/>
      </c>
      <c r="L73" s="10" t="n">
        <v>1295.68</v>
      </c>
      <c r="M73" s="12" t="n">
        <v>1</v>
      </c>
    </row>
    <row r="74">
      <c r="A74" s="4" t="inlineStr">
        <is>
          <t>MAT-02-064</t>
        </is>
      </c>
      <c r="B74" s="5" t="inlineStr">
        <is>
          <t>Macrofibra sintética para hormigón, funda de 1.5 kg</t>
        </is>
      </c>
      <c r="C74" s="4" t="inlineStr">
        <is>
          <t>funda</t>
        </is>
      </c>
      <c r="D74" s="10" t="n">
        <v>807.79</v>
      </c>
      <c r="E74" s="10" t="n"/>
      <c r="F74" s="10" t="n"/>
      <c r="G74" s="10">
        <f>IF(COUNT(D74:F74)=0,"",MIN(D74:F74))</f>
        <v/>
      </c>
      <c r="H74" s="10">
        <f>IF(COUNT(D74:F74)=0,"",MEDIAN(D74:F74))</f>
        <v/>
      </c>
      <c r="I74" s="10">
        <f>IF(COUNT(D74:F74)=0,"",MAX(D74:F74))</f>
        <v/>
      </c>
      <c r="J74" s="11">
        <f>IF(OR(G74="",G74=0),"",(I74-G74)/G74)</f>
        <v/>
      </c>
      <c r="K74" s="4">
        <f>IF(COUNT(D74:F74)=0,"",INDEX($D$1:$F$1,MATCH(MIN(D74:F74),D74:F74,0)))</f>
        <v/>
      </c>
      <c r="L74" s="10" t="n">
        <v>807.79</v>
      </c>
      <c r="M74" s="12" t="n">
        <v>1</v>
      </c>
    </row>
    <row r="75">
      <c r="A75" s="4" t="inlineStr">
        <is>
          <t>MAT-04-027</t>
        </is>
      </c>
      <c r="B75" s="5" t="inlineStr">
        <is>
          <t>Alambre liso galvanizado calibre 10</t>
        </is>
      </c>
      <c r="C75" s="4" t="inlineStr">
        <is>
          <t>lb</t>
        </is>
      </c>
      <c r="D75" s="10" t="n">
        <v>61.12</v>
      </c>
      <c r="E75" s="10" t="n"/>
      <c r="F75" s="10" t="n"/>
      <c r="G75" s="10">
        <f>IF(COUNT(D75:F75)=0,"",MIN(D75:F75))</f>
        <v/>
      </c>
      <c r="H75" s="10">
        <f>IF(COUNT(D75:F75)=0,"",MEDIAN(D75:F75))</f>
        <v/>
      </c>
      <c r="I75" s="10">
        <f>IF(COUNT(D75:F75)=0,"",MAX(D75:F75))</f>
        <v/>
      </c>
      <c r="J75" s="11">
        <f>IF(OR(G75="",G75=0),"",(I75-G75)/G75)</f>
        <v/>
      </c>
      <c r="K75" s="4">
        <f>IF(COUNT(D75:F75)=0,"",INDEX($D$1:$F$1,MATCH(MIN(D75:F75),D75:F75,0)))</f>
        <v/>
      </c>
      <c r="L75" s="10" t="n">
        <v>61.12</v>
      </c>
      <c r="M75" s="12" t="n">
        <v>1</v>
      </c>
    </row>
    <row r="76">
      <c r="A76" s="4" t="inlineStr">
        <is>
          <t>MAT-04-028</t>
        </is>
      </c>
      <c r="B76" s="5" t="inlineStr">
        <is>
          <t>Alambre liso galvanizado calibre 12</t>
        </is>
      </c>
      <c r="C76" s="4" t="inlineStr">
        <is>
          <t>lb</t>
        </is>
      </c>
      <c r="D76" s="10" t="n">
        <v>61.12</v>
      </c>
      <c r="E76" s="10" t="n"/>
      <c r="F76" s="10" t="n"/>
      <c r="G76" s="10">
        <f>IF(COUNT(D76:F76)=0,"",MIN(D76:F76))</f>
        <v/>
      </c>
      <c r="H76" s="10">
        <f>IF(COUNT(D76:F76)=0,"",MEDIAN(D76:F76))</f>
        <v/>
      </c>
      <c r="I76" s="10">
        <f>IF(COUNT(D76:F76)=0,"",MAX(D76:F76))</f>
        <v/>
      </c>
      <c r="J76" s="11">
        <f>IF(OR(G76="",G76=0),"",(I76-G76)/G76)</f>
        <v/>
      </c>
      <c r="K76" s="4">
        <f>IF(COUNT(D76:F76)=0,"",INDEX($D$1:$F$1,MATCH(MIN(D76:F76),D76:F76,0)))</f>
        <v/>
      </c>
      <c r="L76" s="10" t="n">
        <v>61.12</v>
      </c>
      <c r="M76" s="12" t="n">
        <v>1</v>
      </c>
    </row>
    <row r="77">
      <c r="A77" s="4" t="inlineStr">
        <is>
          <t>MAT-04-029</t>
        </is>
      </c>
      <c r="B77" s="5" t="inlineStr">
        <is>
          <t>Alambre liso galvanizado calibre 16</t>
        </is>
      </c>
      <c r="C77" s="4" t="inlineStr">
        <is>
          <t>lb</t>
        </is>
      </c>
      <c r="D77" s="10" t="n">
        <v>56.59</v>
      </c>
      <c r="E77" s="10" t="n"/>
      <c r="F77" s="10" t="n"/>
      <c r="G77" s="10">
        <f>IF(COUNT(D77:F77)=0,"",MIN(D77:F77))</f>
        <v/>
      </c>
      <c r="H77" s="10">
        <f>IF(COUNT(D77:F77)=0,"",MEDIAN(D77:F77))</f>
        <v/>
      </c>
      <c r="I77" s="10">
        <f>IF(COUNT(D77:F77)=0,"",MAX(D77:F77))</f>
        <v/>
      </c>
      <c r="J77" s="11">
        <f>IF(OR(G77="",G77=0),"",(I77-G77)/G77)</f>
        <v/>
      </c>
      <c r="K77" s="4">
        <f>IF(COUNT(D77:F77)=0,"",INDEX($D$1:$F$1,MATCH(MIN(D77:F77),D77:F77,0)))</f>
        <v/>
      </c>
      <c r="L77" s="10" t="n">
        <v>56.59</v>
      </c>
      <c r="M77" s="12" t="n">
        <v>1</v>
      </c>
    </row>
    <row r="78">
      <c r="A78" s="4" t="inlineStr">
        <is>
          <t>MAT-04-030</t>
        </is>
      </c>
      <c r="B78" s="5" t="inlineStr">
        <is>
          <t>Separador plástico para varilla 3/8"</t>
        </is>
      </c>
      <c r="C78" s="4" t="inlineStr">
        <is>
          <t>unidad</t>
        </is>
      </c>
      <c r="D78" s="10" t="n">
        <v>30.48</v>
      </c>
      <c r="E78" s="10" t="n"/>
      <c r="F78" s="10" t="n"/>
      <c r="G78" s="10">
        <f>IF(COUNT(D78:F78)=0,"",MIN(D78:F78))</f>
        <v/>
      </c>
      <c r="H78" s="10">
        <f>IF(COUNT(D78:F78)=0,"",MEDIAN(D78:F78))</f>
        <v/>
      </c>
      <c r="I78" s="10">
        <f>IF(COUNT(D78:F78)=0,"",MAX(D78:F78))</f>
        <v/>
      </c>
      <c r="J78" s="11">
        <f>IF(OR(G78="",G78=0),"",(I78-G78)/G78)</f>
        <v/>
      </c>
      <c r="K78" s="4">
        <f>IF(COUNT(D78:F78)=0,"",INDEX($D$1:$F$1,MATCH(MIN(D78:F78),D78:F78,0)))</f>
        <v/>
      </c>
      <c r="L78" s="10" t="n">
        <v>30.48</v>
      </c>
      <c r="M78" s="12" t="n">
        <v>1</v>
      </c>
    </row>
    <row r="79">
      <c r="A79" s="4" t="inlineStr">
        <is>
          <t>MAT-04-031</t>
        </is>
      </c>
      <c r="B79" s="5" t="inlineStr">
        <is>
          <t>Separador plástico para varilla 1/2"</t>
        </is>
      </c>
      <c r="C79" s="4" t="inlineStr">
        <is>
          <t>unidad</t>
        </is>
      </c>
      <c r="D79" s="10" t="n">
        <v>45.71</v>
      </c>
      <c r="E79" s="10" t="n"/>
      <c r="F79" s="10" t="n"/>
      <c r="G79" s="10">
        <f>IF(COUNT(D79:F79)=0,"",MIN(D79:F79))</f>
        <v/>
      </c>
      <c r="H79" s="10">
        <f>IF(COUNT(D79:F79)=0,"",MEDIAN(D79:F79))</f>
        <v/>
      </c>
      <c r="I79" s="10">
        <f>IF(COUNT(D79:F79)=0,"",MAX(D79:F79))</f>
        <v/>
      </c>
      <c r="J79" s="11">
        <f>IF(OR(G79="",G79=0),"",(I79-G79)/G79)</f>
        <v/>
      </c>
      <c r="K79" s="4">
        <f>IF(COUNT(D79:F79)=0,"",INDEX($D$1:$F$1,MATCH(MIN(D79:F79),D79:F79,0)))</f>
        <v/>
      </c>
      <c r="L79" s="10" t="n">
        <v>45.71</v>
      </c>
      <c r="M79" s="12" t="n">
        <v>1</v>
      </c>
    </row>
    <row r="80">
      <c r="A80" s="4" t="inlineStr">
        <is>
          <t>MAT-04-032</t>
        </is>
      </c>
      <c r="B80" s="5" t="inlineStr">
        <is>
          <t>Separador plástico para varilla 5/8"</t>
        </is>
      </c>
      <c r="C80" s="4" t="inlineStr">
        <is>
          <t>unidad</t>
        </is>
      </c>
      <c r="D80" s="10" t="n">
        <v>54.43</v>
      </c>
      <c r="E80" s="10" t="n"/>
      <c r="F80" s="10" t="n"/>
      <c r="G80" s="10">
        <f>IF(COUNT(D80:F80)=0,"",MIN(D80:F80))</f>
        <v/>
      </c>
      <c r="H80" s="10">
        <f>IF(COUNT(D80:F80)=0,"",MEDIAN(D80:F80))</f>
        <v/>
      </c>
      <c r="I80" s="10">
        <f>IF(COUNT(D80:F80)=0,"",MAX(D80:F80))</f>
        <v/>
      </c>
      <c r="J80" s="11">
        <f>IF(OR(G80="",G80=0),"",(I80-G80)/G80)</f>
        <v/>
      </c>
      <c r="K80" s="4">
        <f>IF(COUNT(D80:F80)=0,"",INDEX($D$1:$F$1,MATCH(MIN(D80:F80),D80:F80,0)))</f>
        <v/>
      </c>
      <c r="L80" s="10" t="n">
        <v>54.43</v>
      </c>
      <c r="M80" s="12" t="n">
        <v>1</v>
      </c>
    </row>
    <row r="81">
      <c r="A81" s="4" t="inlineStr">
        <is>
          <t>MAT-04-033</t>
        </is>
      </c>
      <c r="B81" s="5" t="inlineStr">
        <is>
          <t>Separador plástico para varilla 3/4"</t>
        </is>
      </c>
      <c r="C81" s="4" t="inlineStr">
        <is>
          <t>unidad</t>
        </is>
      </c>
      <c r="D81" s="10" t="n">
        <v>63.13</v>
      </c>
      <c r="E81" s="10" t="n"/>
      <c r="F81" s="10" t="n"/>
      <c r="G81" s="10">
        <f>IF(COUNT(D81:F81)=0,"",MIN(D81:F81))</f>
        <v/>
      </c>
      <c r="H81" s="10">
        <f>IF(COUNT(D81:F81)=0,"",MEDIAN(D81:F81))</f>
        <v/>
      </c>
      <c r="I81" s="10">
        <f>IF(COUNT(D81:F81)=0,"",MAX(D81:F81))</f>
        <v/>
      </c>
      <c r="J81" s="11">
        <f>IF(OR(G81="",G81=0),"",(I81-G81)/G81)</f>
        <v/>
      </c>
      <c r="K81" s="4">
        <f>IF(COUNT(D81:F81)=0,"",INDEX($D$1:$F$1,MATCH(MIN(D81:F81),D81:F81,0)))</f>
        <v/>
      </c>
      <c r="L81" s="10" t="n">
        <v>63.13</v>
      </c>
      <c r="M81" s="12" t="n">
        <v>1</v>
      </c>
    </row>
    <row r="82">
      <c r="A82" s="4" t="inlineStr">
        <is>
          <t>MAT-04-034</t>
        </is>
      </c>
      <c r="B82" s="5" t="inlineStr">
        <is>
          <t>Separador plástico para varilla 1"</t>
        </is>
      </c>
      <c r="C82" s="4" t="inlineStr">
        <is>
          <t>unidad</t>
        </is>
      </c>
      <c r="D82" s="10" t="n">
        <v>70.75</v>
      </c>
      <c r="E82" s="10" t="n"/>
      <c r="F82" s="10" t="n"/>
      <c r="G82" s="10">
        <f>IF(COUNT(D82:F82)=0,"",MIN(D82:F82))</f>
        <v/>
      </c>
      <c r="H82" s="10">
        <f>IF(COUNT(D82:F82)=0,"",MEDIAN(D82:F82))</f>
        <v/>
      </c>
      <c r="I82" s="10">
        <f>IF(COUNT(D82:F82)=0,"",MAX(D82:F82))</f>
        <v/>
      </c>
      <c r="J82" s="11">
        <f>IF(OR(G82="",G82=0),"",(I82-G82)/G82)</f>
        <v/>
      </c>
      <c r="K82" s="4">
        <f>IF(COUNT(D82:F82)=0,"",INDEX($D$1:$F$1,MATCH(MIN(D82:F82),D82:F82,0)))</f>
        <v/>
      </c>
      <c r="L82" s="10" t="n">
        <v>70.75</v>
      </c>
      <c r="M82" s="12" t="n">
        <v>1</v>
      </c>
    </row>
    <row r="83">
      <c r="A83" s="4" t="inlineStr">
        <is>
          <t>MAT-04-035</t>
        </is>
      </c>
      <c r="B83" s="5" t="inlineStr">
        <is>
          <t>Separador plástico para varilla 1 1/4"</t>
        </is>
      </c>
      <c r="C83" s="4" t="inlineStr">
        <is>
          <t>unidad</t>
        </is>
      </c>
      <c r="D83" s="10" t="n">
        <v>78.36</v>
      </c>
      <c r="E83" s="10" t="n"/>
      <c r="F83" s="10" t="n"/>
      <c r="G83" s="10">
        <f>IF(COUNT(D83:F83)=0,"",MIN(D83:F83))</f>
        <v/>
      </c>
      <c r="H83" s="10">
        <f>IF(COUNT(D83:F83)=0,"",MEDIAN(D83:F83))</f>
        <v/>
      </c>
      <c r="I83" s="10">
        <f>IF(COUNT(D83:F83)=0,"",MAX(D83:F83))</f>
        <v/>
      </c>
      <c r="J83" s="11">
        <f>IF(OR(G83="",G83=0),"",(I83-G83)/G83)</f>
        <v/>
      </c>
      <c r="K83" s="4">
        <f>IF(COUNT(D83:F83)=0,"",INDEX($D$1:$F$1,MATCH(MIN(D83:F83),D83:F83,0)))</f>
        <v/>
      </c>
      <c r="L83" s="10" t="n">
        <v>78.36</v>
      </c>
      <c r="M83" s="12" t="n">
        <v>1</v>
      </c>
    </row>
    <row r="84">
      <c r="A84" s="4" t="inlineStr">
        <is>
          <t>MAT-04-036</t>
        </is>
      </c>
      <c r="B84" s="5" t="inlineStr">
        <is>
          <t>Coupler mecánico para varilla 3/4"</t>
        </is>
      </c>
      <c r="C84" s="4" t="inlineStr">
        <is>
          <t>unidad</t>
        </is>
      </c>
      <c r="D84" s="10" t="n">
        <v>228.57</v>
      </c>
      <c r="E84" s="10" t="n"/>
      <c r="F84" s="10" t="n"/>
      <c r="G84" s="10">
        <f>IF(COUNT(D84:F84)=0,"",MIN(D84:F84))</f>
        <v/>
      </c>
      <c r="H84" s="10">
        <f>IF(COUNT(D84:F84)=0,"",MEDIAN(D84:F84))</f>
        <v/>
      </c>
      <c r="I84" s="10">
        <f>IF(COUNT(D84:F84)=0,"",MAX(D84:F84))</f>
        <v/>
      </c>
      <c r="J84" s="11">
        <f>IF(OR(G84="",G84=0),"",(I84-G84)/G84)</f>
        <v/>
      </c>
      <c r="K84" s="4">
        <f>IF(COUNT(D84:F84)=0,"",INDEX($D$1:$F$1,MATCH(MIN(D84:F84),D84:F84,0)))</f>
        <v/>
      </c>
      <c r="L84" s="10" t="n">
        <v>228.57</v>
      </c>
      <c r="M84" s="12" t="n">
        <v>1</v>
      </c>
    </row>
    <row r="85">
      <c r="A85" s="4" t="inlineStr">
        <is>
          <t>MAT-04-037</t>
        </is>
      </c>
      <c r="B85" s="5" t="inlineStr">
        <is>
          <t>Coupler mecánico para varilla 1"</t>
        </is>
      </c>
      <c r="C85" s="4" t="inlineStr">
        <is>
          <t>unidad</t>
        </is>
      </c>
      <c r="D85" s="10" t="n">
        <v>434.26</v>
      </c>
      <c r="E85" s="10" t="n"/>
      <c r="F85" s="10" t="n"/>
      <c r="G85" s="10">
        <f>IF(COUNT(D85:F85)=0,"",MIN(D85:F85))</f>
        <v/>
      </c>
      <c r="H85" s="10">
        <f>IF(COUNT(D85:F85)=0,"",MEDIAN(D85:F85))</f>
        <v/>
      </c>
      <c r="I85" s="10">
        <f>IF(COUNT(D85:F85)=0,"",MAX(D85:F85))</f>
        <v/>
      </c>
      <c r="J85" s="11">
        <f>IF(OR(G85="",G85=0),"",(I85-G85)/G85)</f>
        <v/>
      </c>
      <c r="K85" s="4">
        <f>IF(COUNT(D85:F85)=0,"",INDEX($D$1:$F$1,MATCH(MIN(D85:F85),D85:F85,0)))</f>
        <v/>
      </c>
      <c r="L85" s="10" t="n">
        <v>434.26</v>
      </c>
      <c r="M85" s="12" t="n">
        <v>1</v>
      </c>
    </row>
    <row r="86">
      <c r="A86" s="4" t="inlineStr">
        <is>
          <t>MAT-04-038</t>
        </is>
      </c>
      <c r="B86" s="5" t="inlineStr">
        <is>
          <t>Coupler mecánico para varilla 1 1/8"</t>
        </is>
      </c>
      <c r="C86" s="4" t="inlineStr">
        <is>
          <t>unidad</t>
        </is>
      </c>
      <c r="D86" s="10" t="n">
        <v>697.6799999999999</v>
      </c>
      <c r="E86" s="10" t="n"/>
      <c r="F86" s="10" t="n"/>
      <c r="G86" s="10">
        <f>IF(COUNT(D86:F86)=0,"",MIN(D86:F86))</f>
        <v/>
      </c>
      <c r="H86" s="10">
        <f>IF(COUNT(D86:F86)=0,"",MEDIAN(D86:F86))</f>
        <v/>
      </c>
      <c r="I86" s="10">
        <f>IF(COUNT(D86:F86)=0,"",MAX(D86:F86))</f>
        <v/>
      </c>
      <c r="J86" s="11">
        <f>IF(OR(G86="",G86=0),"",(I86-G86)/G86)</f>
        <v/>
      </c>
      <c r="K86" s="4">
        <f>IF(COUNT(D86:F86)=0,"",INDEX($D$1:$F$1,MATCH(MIN(D86:F86),D86:F86,0)))</f>
        <v/>
      </c>
      <c r="L86" s="10" t="n">
        <v>697.6799999999999</v>
      </c>
      <c r="M86" s="12" t="n">
        <v>1</v>
      </c>
    </row>
    <row r="87">
      <c r="A87" s="4" t="inlineStr">
        <is>
          <t>MAT-04-039</t>
        </is>
      </c>
      <c r="B87" s="5" t="inlineStr">
        <is>
          <t>Coupler mecánico para varilla 1 1/4"</t>
        </is>
      </c>
      <c r="C87" s="4" t="inlineStr">
        <is>
          <t>unidad</t>
        </is>
      </c>
      <c r="D87" s="10" t="n">
        <v>854.4</v>
      </c>
      <c r="E87" s="10" t="n"/>
      <c r="F87" s="10" t="n"/>
      <c r="G87" s="10">
        <f>IF(COUNT(D87:F87)=0,"",MIN(D87:F87))</f>
        <v/>
      </c>
      <c r="H87" s="10">
        <f>IF(COUNT(D87:F87)=0,"",MEDIAN(D87:F87))</f>
        <v/>
      </c>
      <c r="I87" s="10">
        <f>IF(COUNT(D87:F87)=0,"",MAX(D87:F87))</f>
        <v/>
      </c>
      <c r="J87" s="11">
        <f>IF(OR(G87="",G87=0),"",(I87-G87)/G87)</f>
        <v/>
      </c>
      <c r="K87" s="4">
        <f>IF(COUNT(D87:F87)=0,"",INDEX($D$1:$F$1,MATCH(MIN(D87:F87),D87:F87,0)))</f>
        <v/>
      </c>
      <c r="L87" s="10" t="n">
        <v>854.4</v>
      </c>
      <c r="M87" s="12" t="n">
        <v>1</v>
      </c>
    </row>
    <row r="88">
      <c r="A88" s="4" t="inlineStr">
        <is>
          <t>MAT-04-040</t>
        </is>
      </c>
      <c r="B88" s="5" t="inlineStr">
        <is>
          <t>Coupler mecánico para varilla 1 3/8"</t>
        </is>
      </c>
      <c r="C88" s="4" t="inlineStr">
        <is>
          <t>unidad</t>
        </is>
      </c>
      <c r="D88" s="10" t="n">
        <v>1066.64</v>
      </c>
      <c r="E88" s="10" t="n"/>
      <c r="F88" s="10" t="n"/>
      <c r="G88" s="10">
        <f>IF(COUNT(D88:F88)=0,"",MIN(D88:F88))</f>
        <v/>
      </c>
      <c r="H88" s="10">
        <f>IF(COUNT(D88:F88)=0,"",MEDIAN(D88:F88))</f>
        <v/>
      </c>
      <c r="I88" s="10">
        <f>IF(COUNT(D88:F88)=0,"",MAX(D88:F88))</f>
        <v/>
      </c>
      <c r="J88" s="11">
        <f>IF(OR(G88="",G88=0),"",(I88-G88)/G88)</f>
        <v/>
      </c>
      <c r="K88" s="4">
        <f>IF(COUNT(D88:F88)=0,"",INDEX($D$1:$F$1,MATCH(MIN(D88:F88),D88:F88,0)))</f>
        <v/>
      </c>
      <c r="L88" s="10" t="n">
        <v>1066.64</v>
      </c>
      <c r="M88" s="12" t="n">
        <v>1</v>
      </c>
    </row>
    <row r="89">
      <c r="A89" s="4" t="inlineStr">
        <is>
          <t>MAT-04-041</t>
        </is>
      </c>
      <c r="B89" s="5" t="inlineStr">
        <is>
          <t>Alambre galvanizado picado, caja de 50 lb</t>
        </is>
      </c>
      <c r="C89" s="4" t="inlineStr">
        <is>
          <t>caja</t>
        </is>
      </c>
      <c r="D89" s="10" t="n">
        <v>2488.96</v>
      </c>
      <c r="E89" s="10" t="n"/>
      <c r="F89" s="10" t="n"/>
      <c r="G89" s="10">
        <f>IF(COUNT(D89:F89)=0,"",MIN(D89:F89))</f>
        <v/>
      </c>
      <c r="H89" s="10">
        <f>IF(COUNT(D89:F89)=0,"",MEDIAN(D89:F89))</f>
        <v/>
      </c>
      <c r="I89" s="10">
        <f>IF(COUNT(D89:F89)=0,"",MAX(D89:F89))</f>
        <v/>
      </c>
      <c r="J89" s="11">
        <f>IF(OR(G89="",G89=0),"",(I89-G89)/G89)</f>
        <v/>
      </c>
      <c r="K89" s="4">
        <f>IF(COUNT(D89:F89)=0,"",INDEX($D$1:$F$1,MATCH(MIN(D89:F89),D89:F89,0)))</f>
        <v/>
      </c>
      <c r="L89" s="10" t="n">
        <v>2488.96</v>
      </c>
      <c r="M89" s="12" t="n">
        <v>1</v>
      </c>
    </row>
    <row r="90">
      <c r="A90" s="4" t="inlineStr">
        <is>
          <t>MAT-04-042</t>
        </is>
      </c>
      <c r="B90" s="5" t="inlineStr">
        <is>
          <t>Alambre liso galvanizado picado calibre 16, paquete de 10 lb</t>
        </is>
      </c>
      <c r="C90" s="4" t="inlineStr">
        <is>
          <t>paquete</t>
        </is>
      </c>
      <c r="D90" s="10" t="n">
        <v>619.63</v>
      </c>
      <c r="E90" s="10" t="n"/>
      <c r="F90" s="10" t="n"/>
      <c r="G90" s="10">
        <f>IF(COUNT(D90:F90)=0,"",MIN(D90:F90))</f>
        <v/>
      </c>
      <c r="H90" s="10">
        <f>IF(COUNT(D90:F90)=0,"",MEDIAN(D90:F90))</f>
        <v/>
      </c>
      <c r="I90" s="10">
        <f>IF(COUNT(D90:F90)=0,"",MAX(D90:F90))</f>
        <v/>
      </c>
      <c r="J90" s="11">
        <f>IF(OR(G90="",G90=0),"",(I90-G90)/G90)</f>
        <v/>
      </c>
      <c r="K90" s="4">
        <f>IF(COUNT(D90:F90)=0,"",INDEX($D$1:$F$1,MATCH(MIN(D90:F90),D90:F90,0)))</f>
        <v/>
      </c>
      <c r="L90" s="10" t="n">
        <v>619.63</v>
      </c>
      <c r="M90" s="12" t="n">
        <v>1</v>
      </c>
    </row>
    <row r="91">
      <c r="A91" s="4" t="inlineStr">
        <is>
          <t>MAT-06-018</t>
        </is>
      </c>
      <c r="B91" s="5" t="inlineStr">
        <is>
          <t>Plywood Okume 4'X8'X1 / 4"</t>
        </is>
      </c>
      <c r="C91" s="4" t="inlineStr">
        <is>
          <t>unidad</t>
        </is>
      </c>
      <c r="D91" s="10" t="n"/>
      <c r="E91" s="10" t="n">
        <v>780</v>
      </c>
      <c r="F91" s="10" t="n"/>
      <c r="G91" s="10">
        <f>IF(COUNT(D91:F91)=0,"",MIN(D91:F91))</f>
        <v/>
      </c>
      <c r="H91" s="10">
        <f>IF(COUNT(D91:F91)=0,"",MEDIAN(D91:F91))</f>
        <v/>
      </c>
      <c r="I91" s="10">
        <f>IF(COUNT(D91:F91)=0,"",MAX(D91:F91))</f>
        <v/>
      </c>
      <c r="J91" s="11">
        <f>IF(OR(G91="",G91=0),"",(I91-G91)/G91)</f>
        <v/>
      </c>
      <c r="K91" s="4">
        <f>IF(COUNT(D91:F91)=0,"",INDEX($D$1:$F$1,MATCH(MIN(D91:F91),D91:F91,0)))</f>
        <v/>
      </c>
      <c r="L91" s="10" t="n">
        <v>780</v>
      </c>
      <c r="M91" s="12" t="n">
        <v>1</v>
      </c>
    </row>
    <row r="92">
      <c r="A92" s="4" t="inlineStr">
        <is>
          <t>MAT-06-019</t>
        </is>
      </c>
      <c r="B92" s="5" t="inlineStr">
        <is>
          <t>Plywood Okume 4'X8'X1 / 8"</t>
        </is>
      </c>
      <c r="C92" s="4" t="inlineStr">
        <is>
          <t>unidad</t>
        </is>
      </c>
      <c r="D92" s="10" t="n"/>
      <c r="E92" s="10" t="n">
        <v>475</v>
      </c>
      <c r="F92" s="10" t="n"/>
      <c r="G92" s="10">
        <f>IF(COUNT(D92:F92)=0,"",MIN(D92:F92))</f>
        <v/>
      </c>
      <c r="H92" s="10">
        <f>IF(COUNT(D92:F92)=0,"",MEDIAN(D92:F92))</f>
        <v/>
      </c>
      <c r="I92" s="10">
        <f>IF(COUNT(D92:F92)=0,"",MAX(D92:F92))</f>
        <v/>
      </c>
      <c r="J92" s="11">
        <f>IF(OR(G92="",G92=0),"",(I92-G92)/G92)</f>
        <v/>
      </c>
      <c r="K92" s="4">
        <f>IF(COUNT(D92:F92)=0,"",INDEX($D$1:$F$1,MATCH(MIN(D92:F92),D92:F92,0)))</f>
        <v/>
      </c>
      <c r="L92" s="10" t="n">
        <v>475</v>
      </c>
      <c r="M92" s="12" t="n">
        <v>1</v>
      </c>
    </row>
    <row r="93">
      <c r="A93" s="4" t="inlineStr">
        <is>
          <t>MAT-06-020</t>
        </is>
      </c>
      <c r="B93" s="5" t="inlineStr">
        <is>
          <t>Plywood Okume 4'X8'X3 / 8"</t>
        </is>
      </c>
      <c r="C93" s="4" t="inlineStr">
        <is>
          <t>unidad</t>
        </is>
      </c>
      <c r="D93" s="10" t="n"/>
      <c r="E93" s="10" t="n">
        <v>1115</v>
      </c>
      <c r="F93" s="10" t="n"/>
      <c r="G93" s="10">
        <f>IF(COUNT(D93:F93)=0,"",MIN(D93:F93))</f>
        <v/>
      </c>
      <c r="H93" s="10">
        <f>IF(COUNT(D93:F93)=0,"",MEDIAN(D93:F93))</f>
        <v/>
      </c>
      <c r="I93" s="10">
        <f>IF(COUNT(D93:F93)=0,"",MAX(D93:F93))</f>
        <v/>
      </c>
      <c r="J93" s="11">
        <f>IF(OR(G93="",G93=0),"",(I93-G93)/G93)</f>
        <v/>
      </c>
      <c r="K93" s="4">
        <f>IF(COUNT(D93:F93)=0,"",INDEX($D$1:$F$1,MATCH(MIN(D93:F93),D93:F93,0)))</f>
        <v/>
      </c>
      <c r="L93" s="10" t="n">
        <v>1115</v>
      </c>
      <c r="M93" s="12" t="n">
        <v>1</v>
      </c>
    </row>
    <row r="94">
      <c r="A94" s="4" t="inlineStr">
        <is>
          <t>MAT-06-021</t>
        </is>
      </c>
      <c r="B94" s="5" t="inlineStr">
        <is>
          <t>Plywood Pino 4'X8'X1 / 4"</t>
        </is>
      </c>
      <c r="C94" s="4" t="inlineStr">
        <is>
          <t>unidad</t>
        </is>
      </c>
      <c r="D94" s="10" t="n"/>
      <c r="E94" s="10" t="n">
        <v>825</v>
      </c>
      <c r="F94" s="10" t="n"/>
      <c r="G94" s="10">
        <f>IF(COUNT(D94:F94)=0,"",MIN(D94:F94))</f>
        <v/>
      </c>
      <c r="H94" s="10">
        <f>IF(COUNT(D94:F94)=0,"",MEDIAN(D94:F94))</f>
        <v/>
      </c>
      <c r="I94" s="10">
        <f>IF(COUNT(D94:F94)=0,"",MAX(D94:F94))</f>
        <v/>
      </c>
      <c r="J94" s="11">
        <f>IF(OR(G94="",G94=0),"",(I94-G94)/G94)</f>
        <v/>
      </c>
      <c r="K94" s="4">
        <f>IF(COUNT(D94:F94)=0,"",INDEX($D$1:$F$1,MATCH(MIN(D94:F94),D94:F94,0)))</f>
        <v/>
      </c>
      <c r="L94" s="10" t="n">
        <v>825</v>
      </c>
      <c r="M94" s="12" t="n">
        <v>1</v>
      </c>
    </row>
    <row r="95">
      <c r="A95" s="4" t="inlineStr">
        <is>
          <t>MAT-06-022</t>
        </is>
      </c>
      <c r="B95" s="5" t="inlineStr">
        <is>
          <t>Plywood Pino 4'X8'X3 / 8"</t>
        </is>
      </c>
      <c r="C95" s="4" t="inlineStr">
        <is>
          <t>unidad</t>
        </is>
      </c>
      <c r="D95" s="10" t="n"/>
      <c r="E95" s="10" t="n">
        <v>1245</v>
      </c>
      <c r="F95" s="10" t="n"/>
      <c r="G95" s="10">
        <f>IF(COUNT(D95:F95)=0,"",MIN(D95:F95))</f>
        <v/>
      </c>
      <c r="H95" s="10">
        <f>IF(COUNT(D95:F95)=0,"",MEDIAN(D95:F95))</f>
        <v/>
      </c>
      <c r="I95" s="10">
        <f>IF(COUNT(D95:F95)=0,"",MAX(D95:F95))</f>
        <v/>
      </c>
      <c r="J95" s="11">
        <f>IF(OR(G95="",G95=0),"",(I95-G95)/G95)</f>
        <v/>
      </c>
      <c r="K95" s="4">
        <f>IF(COUNT(D95:F95)=0,"",INDEX($D$1:$F$1,MATCH(MIN(D95:F95),D95:F95,0)))</f>
        <v/>
      </c>
      <c r="L95" s="10" t="n">
        <v>1245</v>
      </c>
      <c r="M95" s="12" t="n">
        <v>1</v>
      </c>
    </row>
    <row r="96">
      <c r="A96" s="4" t="inlineStr">
        <is>
          <t>MAT-06-023</t>
        </is>
      </c>
      <c r="B96" s="5" t="inlineStr">
        <is>
          <t>Plywood Slatwall Decoratico blanco 4 x 8'</t>
        </is>
      </c>
      <c r="C96" s="4" t="inlineStr">
        <is>
          <t>unidad</t>
        </is>
      </c>
      <c r="D96" s="10" t="n"/>
      <c r="E96" s="10" t="n">
        <v>1995</v>
      </c>
      <c r="F96" s="10" t="n"/>
      <c r="G96" s="10">
        <f>IF(COUNT(D96:F96)=0,"",MIN(D96:F96))</f>
        <v/>
      </c>
      <c r="H96" s="10">
        <f>IF(COUNT(D96:F96)=0,"",MEDIAN(D96:F96))</f>
        <v/>
      </c>
      <c r="I96" s="10">
        <f>IF(COUNT(D96:F96)=0,"",MAX(D96:F96))</f>
        <v/>
      </c>
      <c r="J96" s="11">
        <f>IF(OR(G96="",G96=0),"",(I96-G96)/G96)</f>
        <v/>
      </c>
      <c r="K96" s="4">
        <f>IF(COUNT(D96:F96)=0,"",INDEX($D$1:$F$1,MATCH(MIN(D96:F96),D96:F96,0)))</f>
        <v/>
      </c>
      <c r="L96" s="10" t="n">
        <v>1995</v>
      </c>
      <c r="M96" s="12" t="n">
        <v>1</v>
      </c>
    </row>
    <row r="97">
      <c r="A97" s="4" t="inlineStr">
        <is>
          <t>MAT-07-011</t>
        </is>
      </c>
      <c r="B97" s="5" t="inlineStr">
        <is>
          <t>Caballete Fibraforte Rojo 0.76 x 0.6</t>
        </is>
      </c>
      <c r="C97" s="4" t="inlineStr">
        <is>
          <t>unidad</t>
        </is>
      </c>
      <c r="D97" s="10" t="n"/>
      <c r="E97" s="10" t="n">
        <v>1535</v>
      </c>
      <c r="F97" s="10" t="n"/>
      <c r="G97" s="10">
        <f>IF(COUNT(D97:F97)=0,"",MIN(D97:F97))</f>
        <v/>
      </c>
      <c r="H97" s="10">
        <f>IF(COUNT(D97:F97)=0,"",MEDIAN(D97:F97))</f>
        <v/>
      </c>
      <c r="I97" s="10">
        <f>IF(COUNT(D97:F97)=0,"",MAX(D97:F97))</f>
        <v/>
      </c>
      <c r="J97" s="11">
        <f>IF(OR(G97="",G97=0),"",(I97-G97)/G97)</f>
        <v/>
      </c>
      <c r="K97" s="4">
        <f>IF(COUNT(D97:F97)=0,"",INDEX($D$1:$F$1,MATCH(MIN(D97:F97),D97:F97,0)))</f>
        <v/>
      </c>
      <c r="L97" s="10" t="n">
        <v>1535</v>
      </c>
      <c r="M97" s="12" t="n">
        <v>1</v>
      </c>
    </row>
    <row r="98">
      <c r="A98" s="4" t="inlineStr">
        <is>
          <t>MAT-07-012</t>
        </is>
      </c>
      <c r="B98" s="5" t="inlineStr">
        <is>
          <t>Plancha Teja Fibraforte Rojo Opaco 0.76 Mx1.15M</t>
        </is>
      </c>
      <c r="C98" s="4" t="inlineStr">
        <is>
          <t>unidad</t>
        </is>
      </c>
      <c r="D98" s="10" t="n"/>
      <c r="E98" s="10" t="n">
        <v>1450</v>
      </c>
      <c r="F98" s="10" t="n"/>
      <c r="G98" s="10">
        <f>IF(COUNT(D98:F98)=0,"",MIN(D98:F98))</f>
        <v/>
      </c>
      <c r="H98" s="10">
        <f>IF(COUNT(D98:F98)=0,"",MEDIAN(D98:F98))</f>
        <v/>
      </c>
      <c r="I98" s="10">
        <f>IF(COUNT(D98:F98)=0,"",MAX(D98:F98))</f>
        <v/>
      </c>
      <c r="J98" s="11">
        <f>IF(OR(G98="",G98=0),"",(I98-G98)/G98)</f>
        <v/>
      </c>
      <c r="K98" s="4">
        <f>IF(COUNT(D98:F98)=0,"",INDEX($D$1:$F$1,MATCH(MIN(D98:F98),D98:F98,0)))</f>
        <v/>
      </c>
      <c r="L98" s="10" t="n">
        <v>1450</v>
      </c>
      <c r="M98" s="12" t="n">
        <v>1</v>
      </c>
    </row>
    <row r="99">
      <c r="A99" s="4" t="inlineStr">
        <is>
          <t>MAT-07-013</t>
        </is>
      </c>
      <c r="B99" s="5" t="inlineStr">
        <is>
          <t>Zinc acanalado calibre 29, 3 x 6 pies</t>
        </is>
      </c>
      <c r="C99" s="4" t="inlineStr">
        <is>
          <t>plancha</t>
        </is>
      </c>
      <c r="D99" s="10" t="n">
        <v>270.21</v>
      </c>
      <c r="E99" s="10" t="n">
        <v>338</v>
      </c>
      <c r="F99" s="10" t="n"/>
      <c r="G99" s="10">
        <f>IF(COUNT(D99:F99)=0,"",MIN(D99:F99))</f>
        <v/>
      </c>
      <c r="H99" s="10">
        <f>IF(COUNT(D99:F99)=0,"",MEDIAN(D99:F99))</f>
        <v/>
      </c>
      <c r="I99" s="10">
        <f>IF(COUNT(D99:F99)=0,"",MAX(D99:F99))</f>
        <v/>
      </c>
      <c r="J99" s="11">
        <f>IF(OR(G99="",G99=0),"",(I99-G99)/G99)</f>
        <v/>
      </c>
      <c r="K99" s="4">
        <f>IF(COUNT(D99:F99)=0,"",INDEX($D$1:$F$1,MATCH(MIN(D99:F99),D99:F99,0)))</f>
        <v/>
      </c>
      <c r="L99" s="10" t="n">
        <v>296.18</v>
      </c>
      <c r="M99" s="12" t="n">
        <v>2</v>
      </c>
    </row>
    <row r="100">
      <c r="A100" s="4" t="inlineStr">
        <is>
          <t>MAT-07-014</t>
        </is>
      </c>
      <c r="B100" s="5" t="inlineStr">
        <is>
          <t>Zinc acanalado calibre 29, 3 x 12 pies</t>
        </is>
      </c>
      <c r="C100" s="4" t="inlineStr">
        <is>
          <t>plancha</t>
        </is>
      </c>
      <c r="D100" s="10" t="n">
        <v>592.36</v>
      </c>
      <c r="E100" s="10" t="n"/>
      <c r="F100" s="10" t="n"/>
      <c r="G100" s="10">
        <f>IF(COUNT(D100:F100)=0,"",MIN(D100:F100))</f>
        <v/>
      </c>
      <c r="H100" s="10">
        <f>IF(COUNT(D100:F100)=0,"",MEDIAN(D100:F100))</f>
        <v/>
      </c>
      <c r="I100" s="10">
        <f>IF(COUNT(D100:F100)=0,"",MAX(D100:F100))</f>
        <v/>
      </c>
      <c r="J100" s="11">
        <f>IF(OR(G100="",G100=0),"",(I100-G100)/G100)</f>
        <v/>
      </c>
      <c r="K100" s="4">
        <f>IF(COUNT(D100:F100)=0,"",INDEX($D$1:$F$1,MATCH(MIN(D100:F100),D100:F100,0)))</f>
        <v/>
      </c>
      <c r="L100" s="10" t="n">
        <v>592.36</v>
      </c>
      <c r="M100" s="12" t="n">
        <v>1</v>
      </c>
    </row>
    <row r="101">
      <c r="A101" s="4" t="inlineStr">
        <is>
          <t>MAT-07-015</t>
        </is>
      </c>
      <c r="B101" s="5" t="inlineStr">
        <is>
          <t>Zinc acanalado calibre 34, 3 x 6 pies</t>
        </is>
      </c>
      <c r="C101" s="4" t="inlineStr">
        <is>
          <t>plancha</t>
        </is>
      </c>
      <c r="D101" s="10" t="n">
        <v>208.33</v>
      </c>
      <c r="E101" s="10" t="n">
        <v>245</v>
      </c>
      <c r="F101" s="10" t="n"/>
      <c r="G101" s="10">
        <f>IF(COUNT(D101:F101)=0,"",MIN(D101:F101))</f>
        <v/>
      </c>
      <c r="H101" s="10">
        <f>IF(COUNT(D101:F101)=0,"",MEDIAN(D101:F101))</f>
        <v/>
      </c>
      <c r="I101" s="10">
        <f>IF(COUNT(D101:F101)=0,"",MAX(D101:F101))</f>
        <v/>
      </c>
      <c r="J101" s="11">
        <f>IF(OR(G101="",G101=0),"",(I101-G101)/G101)</f>
        <v/>
      </c>
      <c r="K101" s="4">
        <f>IF(COUNT(D101:F101)=0,"",INDEX($D$1:$F$1,MATCH(MIN(D101:F101),D101:F101,0)))</f>
        <v/>
      </c>
      <c r="L101" s="10" t="n">
        <v>226.67</v>
      </c>
      <c r="M101" s="12" t="n">
        <v>2</v>
      </c>
    </row>
    <row r="102">
      <c r="A102" s="4" t="inlineStr">
        <is>
          <t>MAT-07-016</t>
        </is>
      </c>
      <c r="B102" s="5" t="inlineStr">
        <is>
          <t>Zinc acanalado calibre 34, 3 x 12 pies</t>
        </is>
      </c>
      <c r="C102" s="4" t="inlineStr">
        <is>
          <t>plancha</t>
        </is>
      </c>
      <c r="D102" s="10" t="n">
        <v>414.3</v>
      </c>
      <c r="E102" s="10" t="n"/>
      <c r="F102" s="10" t="n"/>
      <c r="G102" s="10">
        <f>IF(COUNT(D102:F102)=0,"",MIN(D102:F102))</f>
        <v/>
      </c>
      <c r="H102" s="10">
        <f>IF(COUNT(D102:F102)=0,"",MEDIAN(D102:F102))</f>
        <v/>
      </c>
      <c r="I102" s="10">
        <f>IF(COUNT(D102:F102)=0,"",MAX(D102:F102))</f>
        <v/>
      </c>
      <c r="J102" s="11">
        <f>IF(OR(G102="",G102=0),"",(I102-G102)/G102)</f>
        <v/>
      </c>
      <c r="K102" s="4">
        <f>IF(COUNT(D102:F102)=0,"",INDEX($D$1:$F$1,MATCH(MIN(D102:F102),D102:F102,0)))</f>
        <v/>
      </c>
      <c r="L102" s="10" t="n">
        <v>414.3</v>
      </c>
      <c r="M102" s="12" t="n">
        <v>1</v>
      </c>
    </row>
    <row r="103">
      <c r="A103" s="4" t="inlineStr">
        <is>
          <t>MAT-07-017</t>
        </is>
      </c>
      <c r="B103" s="5" t="inlineStr">
        <is>
          <t>Zinc liso calibre 29, 3 x 6 pies</t>
        </is>
      </c>
      <c r="C103" s="4" t="inlineStr">
        <is>
          <t>plancha</t>
        </is>
      </c>
      <c r="D103" s="10" t="n">
        <v>270.35</v>
      </c>
      <c r="E103" s="10" t="n"/>
      <c r="F103" s="10" t="n"/>
      <c r="G103" s="10">
        <f>IF(COUNT(D103:F103)=0,"",MIN(D103:F103))</f>
        <v/>
      </c>
      <c r="H103" s="10">
        <f>IF(COUNT(D103:F103)=0,"",MEDIAN(D103:F103))</f>
        <v/>
      </c>
      <c r="I103" s="10">
        <f>IF(COUNT(D103:F103)=0,"",MAX(D103:F103))</f>
        <v/>
      </c>
      <c r="J103" s="11">
        <f>IF(OR(G103="",G103=0),"",(I103-G103)/G103)</f>
        <v/>
      </c>
      <c r="K103" s="4">
        <f>IF(COUNT(D103:F103)=0,"",INDEX($D$1:$F$1,MATCH(MIN(D103:F103),D103:F103,0)))</f>
        <v/>
      </c>
      <c r="L103" s="10" t="n">
        <v>283.27</v>
      </c>
      <c r="M103" s="12" t="n">
        <v>1</v>
      </c>
    </row>
    <row r="104">
      <c r="A104" s="4" t="inlineStr">
        <is>
          <t>MAT-07-018</t>
        </is>
      </c>
      <c r="B104" s="5" t="inlineStr">
        <is>
          <t>Zinc liso calibre 34, 3 x 6 pies</t>
        </is>
      </c>
      <c r="C104" s="4" t="inlineStr">
        <is>
          <t>plancha</t>
        </is>
      </c>
      <c r="D104" s="10" t="n">
        <v>208.33</v>
      </c>
      <c r="E104" s="10" t="n"/>
      <c r="F104" s="10" t="n"/>
      <c r="G104" s="10">
        <f>IF(COUNT(D104:F104)=0,"",MIN(D104:F104))</f>
        <v/>
      </c>
      <c r="H104" s="10">
        <f>IF(COUNT(D104:F104)=0,"",MEDIAN(D104:F104))</f>
        <v/>
      </c>
      <c r="I104" s="10">
        <f>IF(COUNT(D104:F104)=0,"",MAX(D104:F104))</f>
        <v/>
      </c>
      <c r="J104" s="11">
        <f>IF(OR(G104="",G104=0),"",(I104-G104)/G104)</f>
        <v/>
      </c>
      <c r="K104" s="4">
        <f>IF(COUNT(D104:F104)=0,"",INDEX($D$1:$F$1,MATCH(MIN(D104:F104),D104:F104,0)))</f>
        <v/>
      </c>
      <c r="L104" s="10" t="n">
        <v>208.95</v>
      </c>
      <c r="M104" s="12" t="n">
        <v>1</v>
      </c>
    </row>
    <row r="105">
      <c r="A105" s="4" t="inlineStr">
        <is>
          <t>MAT-07-019</t>
        </is>
      </c>
      <c r="B105" s="5" t="inlineStr">
        <is>
          <t>Zinc translúcido 3 x 6 pies</t>
        </is>
      </c>
      <c r="C105" s="4" t="inlineStr">
        <is>
          <t>plancha</t>
        </is>
      </c>
      <c r="D105" s="10" t="n">
        <v>1127.34</v>
      </c>
      <c r="E105" s="10" t="n">
        <v>1195</v>
      </c>
      <c r="F105" s="10" t="n"/>
      <c r="G105" s="10">
        <f>IF(COUNT(D105:F105)=0,"",MIN(D105:F105))</f>
        <v/>
      </c>
      <c r="H105" s="10">
        <f>IF(COUNT(D105:F105)=0,"",MEDIAN(D105:F105))</f>
        <v/>
      </c>
      <c r="I105" s="10">
        <f>IF(COUNT(D105:F105)=0,"",MAX(D105:F105))</f>
        <v/>
      </c>
      <c r="J105" s="11">
        <f>IF(OR(G105="",G105=0),"",(I105-G105)/G105)</f>
        <v/>
      </c>
      <c r="K105" s="4">
        <f>IF(COUNT(D105:F105)=0,"",INDEX($D$1:$F$1,MATCH(MIN(D105:F105),D105:F105,0)))</f>
        <v/>
      </c>
      <c r="L105" s="10" t="n">
        <v>1195</v>
      </c>
      <c r="M105" s="12" t="n">
        <v>2</v>
      </c>
    </row>
    <row r="106">
      <c r="A106" s="4" t="inlineStr">
        <is>
          <t>MAT-07-020</t>
        </is>
      </c>
      <c r="B106" s="5" t="inlineStr">
        <is>
          <t>Caballete para aluzinc 21"</t>
        </is>
      </c>
      <c r="C106" s="4" t="inlineStr">
        <is>
          <t>unidad</t>
        </is>
      </c>
      <c r="D106" s="10" t="n">
        <v>660</v>
      </c>
      <c r="E106" s="10" t="n"/>
      <c r="F106" s="10" t="n"/>
      <c r="G106" s="10">
        <f>IF(COUNT(D106:F106)=0,"",MIN(D106:F106))</f>
        <v/>
      </c>
      <c r="H106" s="10">
        <f>IF(COUNT(D106:F106)=0,"",MEDIAN(D106:F106))</f>
        <v/>
      </c>
      <c r="I106" s="10">
        <f>IF(COUNT(D106:F106)=0,"",MAX(D106:F106))</f>
        <v/>
      </c>
      <c r="J106" s="11">
        <f>IF(OR(G106="",G106=0),"",(I106-G106)/G106)</f>
        <v/>
      </c>
      <c r="K106" s="4">
        <f>IF(COUNT(D106:F106)=0,"",INDEX($D$1:$F$1,MATCH(MIN(D106:F106),D106:F106,0)))</f>
        <v/>
      </c>
      <c r="L106" s="10" t="n">
        <v>660</v>
      </c>
      <c r="M106" s="12" t="n">
        <v>1</v>
      </c>
    </row>
    <row r="107">
      <c r="A107" s="4" t="inlineStr">
        <is>
          <t>MAT-07-021</t>
        </is>
      </c>
      <c r="B107" s="5" t="inlineStr">
        <is>
          <t>Caballete de zinc calibre 29, 6 pies</t>
        </is>
      </c>
      <c r="C107" s="4" t="inlineStr">
        <is>
          <t>unidad</t>
        </is>
      </c>
      <c r="D107" s="10" t="n">
        <v>141.1</v>
      </c>
      <c r="E107" s="10" t="n"/>
      <c r="F107" s="10" t="n"/>
      <c r="G107" s="10">
        <f>IF(COUNT(D107:F107)=0,"",MIN(D107:F107))</f>
        <v/>
      </c>
      <c r="H107" s="10">
        <f>IF(COUNT(D107:F107)=0,"",MEDIAN(D107:F107))</f>
        <v/>
      </c>
      <c r="I107" s="10">
        <f>IF(COUNT(D107:F107)=0,"",MAX(D107:F107))</f>
        <v/>
      </c>
      <c r="J107" s="11">
        <f>IF(OR(G107="",G107=0),"",(I107-G107)/G107)</f>
        <v/>
      </c>
      <c r="K107" s="4">
        <f>IF(COUNT(D107:F107)=0,"",INDEX($D$1:$F$1,MATCH(MIN(D107:F107),D107:F107,0)))</f>
        <v/>
      </c>
      <c r="L107" s="10" t="n">
        <v>141.1</v>
      </c>
      <c r="M107" s="12" t="n">
        <v>1</v>
      </c>
    </row>
    <row r="108">
      <c r="A108" s="4" t="inlineStr">
        <is>
          <t>MAT-07-022</t>
        </is>
      </c>
      <c r="B108" s="5" t="inlineStr">
        <is>
          <t>Caballete de zinc calibre 34, 6 pies</t>
        </is>
      </c>
      <c r="C108" s="4" t="inlineStr">
        <is>
          <t>unidad</t>
        </is>
      </c>
      <c r="D108" s="10" t="n">
        <v>104.29</v>
      </c>
      <c r="E108" s="10" t="n"/>
      <c r="F108" s="10" t="n"/>
      <c r="G108" s="10">
        <f>IF(COUNT(D108:F108)=0,"",MIN(D108:F108))</f>
        <v/>
      </c>
      <c r="H108" s="10">
        <f>IF(COUNT(D108:F108)=0,"",MEDIAN(D108:F108))</f>
        <v/>
      </c>
      <c r="I108" s="10">
        <f>IF(COUNT(D108:F108)=0,"",MAX(D108:F108))</f>
        <v/>
      </c>
      <c r="J108" s="11">
        <f>IF(OR(G108="",G108=0),"",(I108-G108)/G108)</f>
        <v/>
      </c>
      <c r="K108" s="4">
        <f>IF(COUNT(D108:F108)=0,"",INDEX($D$1:$F$1,MATCH(MIN(D108:F108),D108:F108,0)))</f>
        <v/>
      </c>
      <c r="L108" s="10" t="n">
        <v>104.29</v>
      </c>
      <c r="M108" s="12" t="n">
        <v>1</v>
      </c>
    </row>
    <row r="109">
      <c r="A109" s="4" t="inlineStr">
        <is>
          <t>MAT-07-023</t>
        </is>
      </c>
      <c r="B109" s="5" t="inlineStr">
        <is>
          <t>Caño para aluzinc 6" x 7" x 10 pies</t>
        </is>
      </c>
      <c r="C109" s="4" t="inlineStr">
        <is>
          <t>unidad</t>
        </is>
      </c>
      <c r="D109" s="10" t="n">
        <v>659.86</v>
      </c>
      <c r="E109" s="10" t="n"/>
      <c r="F109" s="10" t="n"/>
      <c r="G109" s="10">
        <f>IF(COUNT(D109:F109)=0,"",MIN(D109:F109))</f>
        <v/>
      </c>
      <c r="H109" s="10">
        <f>IF(COUNT(D109:F109)=0,"",MEDIAN(D109:F109))</f>
        <v/>
      </c>
      <c r="I109" s="10">
        <f>IF(COUNT(D109:F109)=0,"",MAX(D109:F109))</f>
        <v/>
      </c>
      <c r="J109" s="11">
        <f>IF(OR(G109="",G109=0),"",(I109-G109)/G109)</f>
        <v/>
      </c>
      <c r="K109" s="4">
        <f>IF(COUNT(D109:F109)=0,"",INDEX($D$1:$F$1,MATCH(MIN(D109:F109),D109:F109,0)))</f>
        <v/>
      </c>
      <c r="L109" s="10" t="n">
        <v>659.86</v>
      </c>
      <c r="M109" s="12" t="n">
        <v>1</v>
      </c>
    </row>
    <row r="110">
      <c r="A110" s="4" t="inlineStr">
        <is>
          <t>MAT-08-014</t>
        </is>
      </c>
      <c r="B110" s="5" t="inlineStr">
        <is>
          <t>Polvo de color para mosaico amarillo comercial, 1 lb</t>
        </is>
      </c>
      <c r="C110" s="4" t="inlineStr">
        <is>
          <t>unidad</t>
        </is>
      </c>
      <c r="D110" s="10" t="n">
        <v>55.94</v>
      </c>
      <c r="E110" s="10" t="n"/>
      <c r="F110" s="10" t="n"/>
      <c r="G110" s="10">
        <f>IF(COUNT(D110:F110)=0,"",MIN(D110:F110))</f>
        <v/>
      </c>
      <c r="H110" s="10">
        <f>IF(COUNT(D110:F110)=0,"",MEDIAN(D110:F110))</f>
        <v/>
      </c>
      <c r="I110" s="10">
        <f>IF(COUNT(D110:F110)=0,"",MAX(D110:F110))</f>
        <v/>
      </c>
      <c r="J110" s="11">
        <f>IF(OR(G110="",G110=0),"",(I110-G110)/G110)</f>
        <v/>
      </c>
      <c r="K110" s="4">
        <f>IF(COUNT(D110:F110)=0,"",INDEX($D$1:$F$1,MATCH(MIN(D110:F110),D110:F110,0)))</f>
        <v/>
      </c>
      <c r="L110" s="10" t="n">
        <v>55.94</v>
      </c>
      <c r="M110" s="12" t="n">
        <v>1</v>
      </c>
    </row>
    <row r="111">
      <c r="A111" s="4" t="inlineStr">
        <is>
          <t>MAT-08-015</t>
        </is>
      </c>
      <c r="B111" s="5" t="inlineStr">
        <is>
          <t>Polvo de color para mosaico amarillo industrial, 1 lb</t>
        </is>
      </c>
      <c r="C111" s="4" t="inlineStr">
        <is>
          <t>unidad</t>
        </is>
      </c>
      <c r="D111" s="10" t="n">
        <v>153.81</v>
      </c>
      <c r="E111" s="10" t="n"/>
      <c r="F111" s="10" t="n"/>
      <c r="G111" s="10">
        <f>IF(COUNT(D111:F111)=0,"",MIN(D111:F111))</f>
        <v/>
      </c>
      <c r="H111" s="10">
        <f>IF(COUNT(D111:F111)=0,"",MEDIAN(D111:F111))</f>
        <v/>
      </c>
      <c r="I111" s="10">
        <f>IF(COUNT(D111:F111)=0,"",MAX(D111:F111))</f>
        <v/>
      </c>
      <c r="J111" s="11">
        <f>IF(OR(G111="",G111=0),"",(I111-G111)/G111)</f>
        <v/>
      </c>
      <c r="K111" s="4">
        <f>IF(COUNT(D111:F111)=0,"",INDEX($D$1:$F$1,MATCH(MIN(D111:F111),D111:F111,0)))</f>
        <v/>
      </c>
      <c r="L111" s="10" t="n">
        <v>153.81</v>
      </c>
      <c r="M111" s="12" t="n">
        <v>1</v>
      </c>
    </row>
    <row r="112">
      <c r="A112" s="4" t="inlineStr">
        <is>
          <t>MAT-08-016</t>
        </is>
      </c>
      <c r="B112" s="5" t="inlineStr">
        <is>
          <t>Polvo de color para mosaico azul comercial, 1 lb</t>
        </is>
      </c>
      <c r="C112" s="4" t="inlineStr">
        <is>
          <t>unidad</t>
        </is>
      </c>
      <c r="D112" s="10" t="n">
        <v>82.72</v>
      </c>
      <c r="E112" s="10" t="n"/>
      <c r="F112" s="10" t="n"/>
      <c r="G112" s="10">
        <f>IF(COUNT(D112:F112)=0,"",MIN(D112:F112))</f>
        <v/>
      </c>
      <c r="H112" s="10">
        <f>IF(COUNT(D112:F112)=0,"",MEDIAN(D112:F112))</f>
        <v/>
      </c>
      <c r="I112" s="10">
        <f>IF(COUNT(D112:F112)=0,"",MAX(D112:F112))</f>
        <v/>
      </c>
      <c r="J112" s="11">
        <f>IF(OR(G112="",G112=0),"",(I112-G112)/G112)</f>
        <v/>
      </c>
      <c r="K112" s="4">
        <f>IF(COUNT(D112:F112)=0,"",INDEX($D$1:$F$1,MATCH(MIN(D112:F112),D112:F112,0)))</f>
        <v/>
      </c>
      <c r="L112" s="10" t="n">
        <v>82.72</v>
      </c>
      <c r="M112" s="12" t="n">
        <v>1</v>
      </c>
    </row>
    <row r="113">
      <c r="A113" s="4" t="inlineStr">
        <is>
          <t>MAT-08-017</t>
        </is>
      </c>
      <c r="B113" s="5" t="inlineStr">
        <is>
          <t>Polvo de color para mosaico azul industrial, 1 lb</t>
        </is>
      </c>
      <c r="C113" s="4" t="inlineStr">
        <is>
          <t>unidad</t>
        </is>
      </c>
      <c r="D113" s="10" t="n">
        <v>162.49</v>
      </c>
      <c r="E113" s="10" t="n"/>
      <c r="F113" s="10" t="n"/>
      <c r="G113" s="10">
        <f>IF(COUNT(D113:F113)=0,"",MIN(D113:F113))</f>
        <v/>
      </c>
      <c r="H113" s="10">
        <f>IF(COUNT(D113:F113)=0,"",MEDIAN(D113:F113))</f>
        <v/>
      </c>
      <c r="I113" s="10">
        <f>IF(COUNT(D113:F113)=0,"",MAX(D113:F113))</f>
        <v/>
      </c>
      <c r="J113" s="11">
        <f>IF(OR(G113="",G113=0),"",(I113-G113)/G113)</f>
        <v/>
      </c>
      <c r="K113" s="4">
        <f>IF(COUNT(D113:F113)=0,"",INDEX($D$1:$F$1,MATCH(MIN(D113:F113),D113:F113,0)))</f>
        <v/>
      </c>
      <c r="L113" s="10" t="n">
        <v>162.49</v>
      </c>
      <c r="M113" s="12" t="n">
        <v>1</v>
      </c>
    </row>
    <row r="114">
      <c r="A114" s="4" t="inlineStr">
        <is>
          <t>MAT-08-018</t>
        </is>
      </c>
      <c r="B114" s="5" t="inlineStr">
        <is>
          <t>Polvo de color para mosaico negro comercial, 1 lb</t>
        </is>
      </c>
      <c r="C114" s="4" t="inlineStr">
        <is>
          <t>unidad</t>
        </is>
      </c>
      <c r="D114" s="10" t="n">
        <v>90.79000000000001</v>
      </c>
      <c r="E114" s="10" t="n"/>
      <c r="F114" s="10" t="n"/>
      <c r="G114" s="10">
        <f>IF(COUNT(D114:F114)=0,"",MIN(D114:F114))</f>
        <v/>
      </c>
      <c r="H114" s="10">
        <f>IF(COUNT(D114:F114)=0,"",MEDIAN(D114:F114))</f>
        <v/>
      </c>
      <c r="I114" s="10">
        <f>IF(COUNT(D114:F114)=0,"",MAX(D114:F114))</f>
        <v/>
      </c>
      <c r="J114" s="11">
        <f>IF(OR(G114="",G114=0),"",(I114-G114)/G114)</f>
        <v/>
      </c>
      <c r="K114" s="4">
        <f>IF(COUNT(D114:F114)=0,"",INDEX($D$1:$F$1,MATCH(MIN(D114:F114),D114:F114,0)))</f>
        <v/>
      </c>
      <c r="L114" s="10" t="n">
        <v>90.79000000000001</v>
      </c>
      <c r="M114" s="12" t="n">
        <v>1</v>
      </c>
    </row>
    <row r="115">
      <c r="A115" s="4" t="inlineStr">
        <is>
          <t>MAT-08-019</t>
        </is>
      </c>
      <c r="B115" s="5" t="inlineStr">
        <is>
          <t>Polvo de color para mosaico negro industrial, 1 lb</t>
        </is>
      </c>
      <c r="C115" s="4" t="inlineStr">
        <is>
          <t>unidad</t>
        </is>
      </c>
      <c r="D115" s="10" t="n">
        <v>129.29</v>
      </c>
      <c r="E115" s="10" t="n"/>
      <c r="F115" s="10" t="n"/>
      <c r="G115" s="10">
        <f>IF(COUNT(D115:F115)=0,"",MIN(D115:F115))</f>
        <v/>
      </c>
      <c r="H115" s="10">
        <f>IF(COUNT(D115:F115)=0,"",MEDIAN(D115:F115))</f>
        <v/>
      </c>
      <c r="I115" s="10">
        <f>IF(COUNT(D115:F115)=0,"",MAX(D115:F115))</f>
        <v/>
      </c>
      <c r="J115" s="11">
        <f>IF(OR(G115="",G115=0),"",(I115-G115)/G115)</f>
        <v/>
      </c>
      <c r="K115" s="4">
        <f>IF(COUNT(D115:F115)=0,"",INDEX($D$1:$F$1,MATCH(MIN(D115:F115),D115:F115,0)))</f>
        <v/>
      </c>
      <c r="L115" s="10" t="n">
        <v>129.29</v>
      </c>
      <c r="M115" s="12" t="n">
        <v>1</v>
      </c>
    </row>
    <row r="116">
      <c r="A116" s="4" t="inlineStr">
        <is>
          <t>MAT-08-020</t>
        </is>
      </c>
      <c r="B116" s="5" t="inlineStr">
        <is>
          <t>Polvo de color para mosaico rojo comercial, 1 lb</t>
        </is>
      </c>
      <c r="C116" s="4" t="inlineStr">
        <is>
          <t>unidad</t>
        </is>
      </c>
      <c r="D116" s="10" t="n">
        <v>66.5</v>
      </c>
      <c r="E116" s="10" t="n"/>
      <c r="F116" s="10" t="n"/>
      <c r="G116" s="10">
        <f>IF(COUNT(D116:F116)=0,"",MIN(D116:F116))</f>
        <v/>
      </c>
      <c r="H116" s="10">
        <f>IF(COUNT(D116:F116)=0,"",MEDIAN(D116:F116))</f>
        <v/>
      </c>
      <c r="I116" s="10">
        <f>IF(COUNT(D116:F116)=0,"",MAX(D116:F116))</f>
        <v/>
      </c>
      <c r="J116" s="11">
        <f>IF(OR(G116="",G116=0),"",(I116-G116)/G116)</f>
        <v/>
      </c>
      <c r="K116" s="4">
        <f>IF(COUNT(D116:F116)=0,"",INDEX($D$1:$F$1,MATCH(MIN(D116:F116),D116:F116,0)))</f>
        <v/>
      </c>
      <c r="L116" s="10" t="n">
        <v>66.5</v>
      </c>
      <c r="M116" s="12" t="n">
        <v>1</v>
      </c>
    </row>
    <row r="117">
      <c r="A117" s="4" t="inlineStr">
        <is>
          <t>MAT-08-021</t>
        </is>
      </c>
      <c r="B117" s="5" t="inlineStr">
        <is>
          <t>Polvo de color para mosaico rojo industrial, 1 lb</t>
        </is>
      </c>
      <c r="C117" s="4" t="inlineStr">
        <is>
          <t>unidad</t>
        </is>
      </c>
      <c r="D117" s="10" t="n">
        <v>106.37</v>
      </c>
      <c r="E117" s="10" t="n"/>
      <c r="F117" s="10" t="n"/>
      <c r="G117" s="10">
        <f>IF(COUNT(D117:F117)=0,"",MIN(D117:F117))</f>
        <v/>
      </c>
      <c r="H117" s="10">
        <f>IF(COUNT(D117:F117)=0,"",MEDIAN(D117:F117))</f>
        <v/>
      </c>
      <c r="I117" s="10">
        <f>IF(COUNT(D117:F117)=0,"",MAX(D117:F117))</f>
        <v/>
      </c>
      <c r="J117" s="11">
        <f>IF(OR(G117="",G117=0),"",(I117-G117)/G117)</f>
        <v/>
      </c>
      <c r="K117" s="4">
        <f>IF(COUNT(D117:F117)=0,"",INDEX($D$1:$F$1,MATCH(MIN(D117:F117),D117:F117,0)))</f>
        <v/>
      </c>
      <c r="L117" s="10" t="n">
        <v>106.37</v>
      </c>
      <c r="M117" s="12" t="n">
        <v>1</v>
      </c>
    </row>
    <row r="118">
      <c r="A118" s="4" t="inlineStr">
        <is>
          <t>MAT-08-022</t>
        </is>
      </c>
      <c r="B118" s="5" t="inlineStr">
        <is>
          <t>Polvo de color para mosaico verde comercial, 1 lb</t>
        </is>
      </c>
      <c r="C118" s="4" t="inlineStr">
        <is>
          <t>unidad</t>
        </is>
      </c>
      <c r="D118" s="10" t="n">
        <v>78.84</v>
      </c>
      <c r="E118" s="10" t="n"/>
      <c r="F118" s="10" t="n"/>
      <c r="G118" s="10">
        <f>IF(COUNT(D118:F118)=0,"",MIN(D118:F118))</f>
        <v/>
      </c>
      <c r="H118" s="10">
        <f>IF(COUNT(D118:F118)=0,"",MEDIAN(D118:F118))</f>
        <v/>
      </c>
      <c r="I118" s="10">
        <f>IF(COUNT(D118:F118)=0,"",MAX(D118:F118))</f>
        <v/>
      </c>
      <c r="J118" s="11">
        <f>IF(OR(G118="",G118=0),"",(I118-G118)/G118)</f>
        <v/>
      </c>
      <c r="K118" s="4">
        <f>IF(COUNT(D118:F118)=0,"",INDEX($D$1:$F$1,MATCH(MIN(D118:F118),D118:F118,0)))</f>
        <v/>
      </c>
      <c r="L118" s="10" t="n">
        <v>78.84</v>
      </c>
      <c r="M118" s="12" t="n">
        <v>1</v>
      </c>
    </row>
    <row r="119">
      <c r="A119" s="4" t="inlineStr">
        <is>
          <t>MAT-08-023</t>
        </is>
      </c>
      <c r="B119" s="5" t="inlineStr">
        <is>
          <t>Polvo de color para mosaico verde industrial, 1 lb</t>
        </is>
      </c>
      <c r="C119" s="4" t="inlineStr">
        <is>
          <t>unidad</t>
        </is>
      </c>
      <c r="D119" s="10" t="n">
        <v>180.39</v>
      </c>
      <c r="E119" s="10" t="n"/>
      <c r="F119" s="10" t="n"/>
      <c r="G119" s="10">
        <f>IF(COUNT(D119:F119)=0,"",MIN(D119:F119))</f>
        <v/>
      </c>
      <c r="H119" s="10">
        <f>IF(COUNT(D119:F119)=0,"",MEDIAN(D119:F119))</f>
        <v/>
      </c>
      <c r="I119" s="10">
        <f>IF(COUNT(D119:F119)=0,"",MAX(D119:F119))</f>
        <v/>
      </c>
      <c r="J119" s="11">
        <f>IF(OR(G119="",G119=0),"",(I119-G119)/G119)</f>
        <v/>
      </c>
      <c r="K119" s="4">
        <f>IF(COUNT(D119:F119)=0,"",INDEX($D$1:$F$1,MATCH(MIN(D119:F119),D119:F119,0)))</f>
        <v/>
      </c>
      <c r="L119" s="10" t="n">
        <v>180.39</v>
      </c>
      <c r="M119" s="12" t="n">
        <v>1</v>
      </c>
    </row>
    <row r="120">
      <c r="A120" s="4" t="inlineStr">
        <is>
          <t>MAT-08-024</t>
        </is>
      </c>
      <c r="B120" s="5" t="inlineStr">
        <is>
          <t>Polvo de color para mosaico amarillo industrial, 3 lb</t>
        </is>
      </c>
      <c r="C120" s="4" t="inlineStr">
        <is>
          <t>unidad</t>
        </is>
      </c>
      <c r="D120" s="10" t="n">
        <v>460.92</v>
      </c>
      <c r="E120" s="10" t="n"/>
      <c r="F120" s="10" t="n"/>
      <c r="G120" s="10">
        <f>IF(COUNT(D120:F120)=0,"",MIN(D120:F120))</f>
        <v/>
      </c>
      <c r="H120" s="10">
        <f>IF(COUNT(D120:F120)=0,"",MEDIAN(D120:F120))</f>
        <v/>
      </c>
      <c r="I120" s="10">
        <f>IF(COUNT(D120:F120)=0,"",MAX(D120:F120))</f>
        <v/>
      </c>
      <c r="J120" s="11">
        <f>IF(OR(G120="",G120=0),"",(I120-G120)/G120)</f>
        <v/>
      </c>
      <c r="K120" s="4">
        <f>IF(COUNT(D120:F120)=0,"",INDEX($D$1:$F$1,MATCH(MIN(D120:F120),D120:F120,0)))</f>
        <v/>
      </c>
      <c r="L120" s="10" t="n">
        <v>460.92</v>
      </c>
      <c r="M120" s="12" t="n">
        <v>1</v>
      </c>
    </row>
    <row r="121">
      <c r="A121" s="4" t="inlineStr">
        <is>
          <t>MAT-08-025</t>
        </is>
      </c>
      <c r="B121" s="5" t="inlineStr">
        <is>
          <t>Polvo de color para mosaico amarillo comercial, 5 lb</t>
        </is>
      </c>
      <c r="C121" s="4" t="inlineStr">
        <is>
          <t>unidad</t>
        </is>
      </c>
      <c r="D121" s="10" t="n">
        <v>280.64</v>
      </c>
      <c r="E121" s="10" t="n"/>
      <c r="F121" s="10" t="n"/>
      <c r="G121" s="10">
        <f>IF(COUNT(D121:F121)=0,"",MIN(D121:F121))</f>
        <v/>
      </c>
      <c r="H121" s="10">
        <f>IF(COUNT(D121:F121)=0,"",MEDIAN(D121:F121))</f>
        <v/>
      </c>
      <c r="I121" s="10">
        <f>IF(COUNT(D121:F121)=0,"",MAX(D121:F121))</f>
        <v/>
      </c>
      <c r="J121" s="11">
        <f>IF(OR(G121="",G121=0),"",(I121-G121)/G121)</f>
        <v/>
      </c>
      <c r="K121" s="4">
        <f>IF(COUNT(D121:F121)=0,"",INDEX($D$1:$F$1,MATCH(MIN(D121:F121),D121:F121,0)))</f>
        <v/>
      </c>
      <c r="L121" s="10" t="n">
        <v>280.64</v>
      </c>
      <c r="M121" s="12" t="n">
        <v>1</v>
      </c>
    </row>
    <row r="122">
      <c r="A122" s="4" t="inlineStr">
        <is>
          <t>MAT-08-026</t>
        </is>
      </c>
      <c r="B122" s="5" t="inlineStr">
        <is>
          <t>Polvo de color para mosaico azul comercial, 5 lb</t>
        </is>
      </c>
      <c r="C122" s="4" t="inlineStr">
        <is>
          <t>unidad</t>
        </is>
      </c>
      <c r="D122" s="10" t="n">
        <v>367.96</v>
      </c>
      <c r="E122" s="10" t="n"/>
      <c r="F122" s="10" t="n"/>
      <c r="G122" s="10">
        <f>IF(COUNT(D122:F122)=0,"",MIN(D122:F122))</f>
        <v/>
      </c>
      <c r="H122" s="10">
        <f>IF(COUNT(D122:F122)=0,"",MEDIAN(D122:F122))</f>
        <v/>
      </c>
      <c r="I122" s="10">
        <f>IF(COUNT(D122:F122)=0,"",MAX(D122:F122))</f>
        <v/>
      </c>
      <c r="J122" s="11">
        <f>IF(OR(G122="",G122=0),"",(I122-G122)/G122)</f>
        <v/>
      </c>
      <c r="K122" s="4">
        <f>IF(COUNT(D122:F122)=0,"",INDEX($D$1:$F$1,MATCH(MIN(D122:F122),D122:F122,0)))</f>
        <v/>
      </c>
      <c r="L122" s="10" t="n">
        <v>367.96</v>
      </c>
      <c r="M122" s="12" t="n">
        <v>1</v>
      </c>
    </row>
    <row r="123">
      <c r="A123" s="4" t="inlineStr">
        <is>
          <t>MAT-08-027</t>
        </is>
      </c>
      <c r="B123" s="5" t="inlineStr">
        <is>
          <t>Polvo de color para mosaico azul industrial, 5 lb</t>
        </is>
      </c>
      <c r="C123" s="4" t="inlineStr">
        <is>
          <t>unidad</t>
        </is>
      </c>
      <c r="D123" s="10" t="n">
        <v>813.47</v>
      </c>
      <c r="E123" s="10" t="n"/>
      <c r="F123" s="10" t="n"/>
      <c r="G123" s="10">
        <f>IF(COUNT(D123:F123)=0,"",MIN(D123:F123))</f>
        <v/>
      </c>
      <c r="H123" s="10">
        <f>IF(COUNT(D123:F123)=0,"",MEDIAN(D123:F123))</f>
        <v/>
      </c>
      <c r="I123" s="10">
        <f>IF(COUNT(D123:F123)=0,"",MAX(D123:F123))</f>
        <v/>
      </c>
      <c r="J123" s="11">
        <f>IF(OR(G123="",G123=0),"",(I123-G123)/G123)</f>
        <v/>
      </c>
      <c r="K123" s="4">
        <f>IF(COUNT(D123:F123)=0,"",INDEX($D$1:$F$1,MATCH(MIN(D123:F123),D123:F123,0)))</f>
        <v/>
      </c>
      <c r="L123" s="10" t="n">
        <v>813.47</v>
      </c>
      <c r="M123" s="12" t="n">
        <v>1</v>
      </c>
    </row>
    <row r="124">
      <c r="A124" s="4" t="inlineStr">
        <is>
          <t>MAT-08-028</t>
        </is>
      </c>
      <c r="B124" s="5" t="inlineStr">
        <is>
          <t>Polvo de color para mosaico negro comercial, 5 lb</t>
        </is>
      </c>
      <c r="C124" s="4" t="inlineStr">
        <is>
          <t>unidad</t>
        </is>
      </c>
      <c r="D124" s="10" t="n">
        <v>406.73</v>
      </c>
      <c r="E124" s="10" t="n"/>
      <c r="F124" s="10" t="n"/>
      <c r="G124" s="10">
        <f>IF(COUNT(D124:F124)=0,"",MIN(D124:F124))</f>
        <v/>
      </c>
      <c r="H124" s="10">
        <f>IF(COUNT(D124:F124)=0,"",MEDIAN(D124:F124))</f>
        <v/>
      </c>
      <c r="I124" s="10">
        <f>IF(COUNT(D124:F124)=0,"",MAX(D124:F124))</f>
        <v/>
      </c>
      <c r="J124" s="11">
        <f>IF(OR(G124="",G124=0),"",(I124-G124)/G124)</f>
        <v/>
      </c>
      <c r="K124" s="4">
        <f>IF(COUNT(D124:F124)=0,"",INDEX($D$1:$F$1,MATCH(MIN(D124:F124),D124:F124,0)))</f>
        <v/>
      </c>
      <c r="L124" s="10" t="n">
        <v>406.73</v>
      </c>
      <c r="M124" s="12" t="n">
        <v>1</v>
      </c>
    </row>
    <row r="125">
      <c r="A125" s="4" t="inlineStr">
        <is>
          <t>MAT-08-029</t>
        </is>
      </c>
      <c r="B125" s="5" t="inlineStr">
        <is>
          <t>Polvo de color para mosaico negro industrial, 5 lb</t>
        </is>
      </c>
      <c r="C125" s="4" t="inlineStr">
        <is>
          <t>unidad</t>
        </is>
      </c>
      <c r="D125" s="10" t="n">
        <v>647.51</v>
      </c>
      <c r="E125" s="10" t="n"/>
      <c r="F125" s="10" t="n"/>
      <c r="G125" s="10">
        <f>IF(COUNT(D125:F125)=0,"",MIN(D125:F125))</f>
        <v/>
      </c>
      <c r="H125" s="10">
        <f>IF(COUNT(D125:F125)=0,"",MEDIAN(D125:F125))</f>
        <v/>
      </c>
      <c r="I125" s="10">
        <f>IF(COUNT(D125:F125)=0,"",MAX(D125:F125))</f>
        <v/>
      </c>
      <c r="J125" s="11">
        <f>IF(OR(G125="",G125=0),"",(I125-G125)/G125)</f>
        <v/>
      </c>
      <c r="K125" s="4">
        <f>IF(COUNT(D125:F125)=0,"",INDEX($D$1:$F$1,MATCH(MIN(D125:F125),D125:F125,0)))</f>
        <v/>
      </c>
      <c r="L125" s="10" t="n">
        <v>647.51</v>
      </c>
      <c r="M125" s="12" t="n">
        <v>1</v>
      </c>
    </row>
    <row r="126">
      <c r="A126" s="4" t="inlineStr">
        <is>
          <t>MAT-08-030</t>
        </is>
      </c>
      <c r="B126" s="5" t="inlineStr">
        <is>
          <t>Polvo de color para mosaico rojo comercial, 5 lb</t>
        </is>
      </c>
      <c r="C126" s="4" t="inlineStr">
        <is>
          <t>unidad</t>
        </is>
      </c>
      <c r="D126" s="10" t="n">
        <v>333.56</v>
      </c>
      <c r="E126" s="10" t="n"/>
      <c r="F126" s="10" t="n"/>
      <c r="G126" s="10">
        <f>IF(COUNT(D126:F126)=0,"",MIN(D126:F126))</f>
        <v/>
      </c>
      <c r="H126" s="10">
        <f>IF(COUNT(D126:F126)=0,"",MEDIAN(D126:F126))</f>
        <v/>
      </c>
      <c r="I126" s="10">
        <f>IF(COUNT(D126:F126)=0,"",MAX(D126:F126))</f>
        <v/>
      </c>
      <c r="J126" s="11">
        <f>IF(OR(G126="",G126=0),"",(I126-G126)/G126)</f>
        <v/>
      </c>
      <c r="K126" s="4">
        <f>IF(COUNT(D126:F126)=0,"",INDEX($D$1:$F$1,MATCH(MIN(D126:F126),D126:F126,0)))</f>
        <v/>
      </c>
      <c r="L126" s="10" t="n">
        <v>333.56</v>
      </c>
      <c r="M126" s="12" t="n">
        <v>1</v>
      </c>
    </row>
    <row r="127">
      <c r="A127" s="4" t="inlineStr">
        <is>
          <t>MAT-08-031</t>
        </is>
      </c>
      <c r="B127" s="5" t="inlineStr">
        <is>
          <t>Polvo de color para mosaico rojo industrial, 5 lb</t>
        </is>
      </c>
      <c r="C127" s="4" t="inlineStr">
        <is>
          <t>unidad</t>
        </is>
      </c>
      <c r="D127" s="10" t="n">
        <v>472.9</v>
      </c>
      <c r="E127" s="10" t="n"/>
      <c r="F127" s="10" t="n"/>
      <c r="G127" s="10">
        <f>IF(COUNT(D127:F127)=0,"",MIN(D127:F127))</f>
        <v/>
      </c>
      <c r="H127" s="10">
        <f>IF(COUNT(D127:F127)=0,"",MEDIAN(D127:F127))</f>
        <v/>
      </c>
      <c r="I127" s="10">
        <f>IF(COUNT(D127:F127)=0,"",MAX(D127:F127))</f>
        <v/>
      </c>
      <c r="J127" s="11">
        <f>IF(OR(G127="",G127=0),"",(I127-G127)/G127)</f>
        <v/>
      </c>
      <c r="K127" s="4">
        <f>IF(COUNT(D127:F127)=0,"",INDEX($D$1:$F$1,MATCH(MIN(D127:F127),D127:F127,0)))</f>
        <v/>
      </c>
      <c r="L127" s="10" t="n">
        <v>472.9</v>
      </c>
      <c r="M127" s="12" t="n">
        <v>1</v>
      </c>
    </row>
    <row r="128">
      <c r="A128" s="4" t="inlineStr">
        <is>
          <t>MAT-08-032</t>
        </is>
      </c>
      <c r="B128" s="5" t="inlineStr">
        <is>
          <t>Polvo de color para mosaico verde comercial, 5 lb</t>
        </is>
      </c>
      <c r="C128" s="4" t="inlineStr">
        <is>
          <t>unidad</t>
        </is>
      </c>
      <c r="D128" s="10" t="n">
        <v>350.7</v>
      </c>
      <c r="E128" s="10" t="n"/>
      <c r="F128" s="10" t="n"/>
      <c r="G128" s="10">
        <f>IF(COUNT(D128:F128)=0,"",MIN(D128:F128))</f>
        <v/>
      </c>
      <c r="H128" s="10">
        <f>IF(COUNT(D128:F128)=0,"",MEDIAN(D128:F128))</f>
        <v/>
      </c>
      <c r="I128" s="10">
        <f>IF(COUNT(D128:F128)=0,"",MAX(D128:F128))</f>
        <v/>
      </c>
      <c r="J128" s="11">
        <f>IF(OR(G128="",G128=0),"",(I128-G128)/G128)</f>
        <v/>
      </c>
      <c r="K128" s="4">
        <f>IF(COUNT(D128:F128)=0,"",INDEX($D$1:$F$1,MATCH(MIN(D128:F128),D128:F128,0)))</f>
        <v/>
      </c>
      <c r="L128" s="10" t="n">
        <v>350.7</v>
      </c>
      <c r="M128" s="12" t="n">
        <v>1</v>
      </c>
    </row>
    <row r="129">
      <c r="A129" s="4" t="inlineStr">
        <is>
          <t>MAT-08-033</t>
        </is>
      </c>
      <c r="B129" s="5" t="inlineStr">
        <is>
          <t>Polvo de color para mosaico verde industrial, 5 lb</t>
        </is>
      </c>
      <c r="C129" s="4" t="inlineStr">
        <is>
          <t>unidad</t>
        </is>
      </c>
      <c r="D129" s="10" t="n">
        <v>902.88</v>
      </c>
      <c r="E129" s="10" t="n"/>
      <c r="F129" s="10" t="n"/>
      <c r="G129" s="10">
        <f>IF(COUNT(D129:F129)=0,"",MIN(D129:F129))</f>
        <v/>
      </c>
      <c r="H129" s="10">
        <f>IF(COUNT(D129:F129)=0,"",MEDIAN(D129:F129))</f>
        <v/>
      </c>
      <c r="I129" s="10">
        <f>IF(COUNT(D129:F129)=0,"",MAX(D129:F129))</f>
        <v/>
      </c>
      <c r="J129" s="11">
        <f>IF(OR(G129="",G129=0),"",(I129-G129)/G129)</f>
        <v/>
      </c>
      <c r="K129" s="4">
        <f>IF(COUNT(D129:F129)=0,"",INDEX($D$1:$F$1,MATCH(MIN(D129:F129),D129:F129,0)))</f>
        <v/>
      </c>
      <c r="L129" s="10" t="n">
        <v>902.88</v>
      </c>
      <c r="M129" s="12" t="n">
        <v>1</v>
      </c>
    </row>
    <row r="130">
      <c r="A130" s="4" t="inlineStr">
        <is>
          <t>MAT-08-034</t>
        </is>
      </c>
      <c r="B130" s="5" t="inlineStr">
        <is>
          <t>Polvo de color para mosaico amarillo comercial, 55 lb</t>
        </is>
      </c>
      <c r="C130" s="4" t="inlineStr">
        <is>
          <t>funda</t>
        </is>
      </c>
      <c r="D130" s="10" t="n">
        <v>3195.68</v>
      </c>
      <c r="E130" s="10" t="n"/>
      <c r="F130" s="10" t="n"/>
      <c r="G130" s="10">
        <f>IF(COUNT(D130:F130)=0,"",MIN(D130:F130))</f>
        <v/>
      </c>
      <c r="H130" s="10">
        <f>IF(COUNT(D130:F130)=0,"",MEDIAN(D130:F130))</f>
        <v/>
      </c>
      <c r="I130" s="10">
        <f>IF(COUNT(D130:F130)=0,"",MAX(D130:F130))</f>
        <v/>
      </c>
      <c r="J130" s="11">
        <f>IF(OR(G130="",G130=0),"",(I130-G130)/G130)</f>
        <v/>
      </c>
      <c r="K130" s="4">
        <f>IF(COUNT(D130:F130)=0,"",INDEX($D$1:$F$1,MATCH(MIN(D130:F130),D130:F130,0)))</f>
        <v/>
      </c>
      <c r="L130" s="10" t="n">
        <v>3195.68</v>
      </c>
      <c r="M130" s="12" t="n">
        <v>1</v>
      </c>
    </row>
    <row r="131">
      <c r="A131" s="4" t="inlineStr">
        <is>
          <t>MAT-08-035</t>
        </is>
      </c>
      <c r="B131" s="5" t="inlineStr">
        <is>
          <t>Polvo de color para mosaico amarillo industrial, 55 lb</t>
        </is>
      </c>
      <c r="C131" s="4" t="inlineStr">
        <is>
          <t>funda</t>
        </is>
      </c>
      <c r="D131" s="10" t="n">
        <v>7742.13</v>
      </c>
      <c r="E131" s="10" t="n"/>
      <c r="F131" s="10" t="n"/>
      <c r="G131" s="10">
        <f>IF(COUNT(D131:F131)=0,"",MIN(D131:F131))</f>
        <v/>
      </c>
      <c r="H131" s="10">
        <f>IF(COUNT(D131:F131)=0,"",MEDIAN(D131:F131))</f>
        <v/>
      </c>
      <c r="I131" s="10">
        <f>IF(COUNT(D131:F131)=0,"",MAX(D131:F131))</f>
        <v/>
      </c>
      <c r="J131" s="11">
        <f>IF(OR(G131="",G131=0),"",(I131-G131)/G131)</f>
        <v/>
      </c>
      <c r="K131" s="4">
        <f>IF(COUNT(D131:F131)=0,"",INDEX($D$1:$F$1,MATCH(MIN(D131:F131),D131:F131,0)))</f>
        <v/>
      </c>
      <c r="L131" s="10" t="n">
        <v>7742.13</v>
      </c>
      <c r="M131" s="12" t="n">
        <v>1</v>
      </c>
    </row>
    <row r="132">
      <c r="A132" s="4" t="inlineStr">
        <is>
          <t>MAT-08-036</t>
        </is>
      </c>
      <c r="B132" s="5" t="inlineStr">
        <is>
          <t>Polvo de color para mosaico azul comercial, 55 lb</t>
        </is>
      </c>
      <c r="C132" s="4" t="inlineStr">
        <is>
          <t>funda</t>
        </is>
      </c>
      <c r="D132" s="10" t="n">
        <v>4220.23</v>
      </c>
      <c r="E132" s="10" t="n"/>
      <c r="F132" s="10" t="n"/>
      <c r="G132" s="10">
        <f>IF(COUNT(D132:F132)=0,"",MIN(D132:F132))</f>
        <v/>
      </c>
      <c r="H132" s="10">
        <f>IF(COUNT(D132:F132)=0,"",MEDIAN(D132:F132))</f>
        <v/>
      </c>
      <c r="I132" s="10">
        <f>IF(COUNT(D132:F132)=0,"",MAX(D132:F132))</f>
        <v/>
      </c>
      <c r="J132" s="11">
        <f>IF(OR(G132="",G132=0),"",(I132-G132)/G132)</f>
        <v/>
      </c>
      <c r="K132" s="4">
        <f>IF(COUNT(D132:F132)=0,"",INDEX($D$1:$F$1,MATCH(MIN(D132:F132),D132:F132,0)))</f>
        <v/>
      </c>
      <c r="L132" s="10" t="n">
        <v>4220.23</v>
      </c>
      <c r="M132" s="12" t="n">
        <v>1</v>
      </c>
    </row>
    <row r="133">
      <c r="A133" s="4" t="inlineStr">
        <is>
          <t>MAT-08-037</t>
        </is>
      </c>
      <c r="B133" s="5" t="inlineStr">
        <is>
          <t>Polvo de color para mosaico azul industrial, 55 lb</t>
        </is>
      </c>
      <c r="C133" s="4" t="inlineStr">
        <is>
          <t>funda</t>
        </is>
      </c>
      <c r="D133" s="10" t="n">
        <v>8183.45</v>
      </c>
      <c r="E133" s="10" t="n"/>
      <c r="F133" s="10" t="n"/>
      <c r="G133" s="10">
        <f>IF(COUNT(D133:F133)=0,"",MIN(D133:F133))</f>
        <v/>
      </c>
      <c r="H133" s="10">
        <f>IF(COUNT(D133:F133)=0,"",MEDIAN(D133:F133))</f>
        <v/>
      </c>
      <c r="I133" s="10">
        <f>IF(COUNT(D133:F133)=0,"",MAX(D133:F133))</f>
        <v/>
      </c>
      <c r="J133" s="11">
        <f>IF(OR(G133="",G133=0),"",(I133-G133)/G133)</f>
        <v/>
      </c>
      <c r="K133" s="4">
        <f>IF(COUNT(D133:F133)=0,"",INDEX($D$1:$F$1,MATCH(MIN(D133:F133),D133:F133,0)))</f>
        <v/>
      </c>
      <c r="L133" s="10" t="n">
        <v>8183.45</v>
      </c>
      <c r="M133" s="12" t="n">
        <v>1</v>
      </c>
    </row>
    <row r="134">
      <c r="A134" s="4" t="inlineStr">
        <is>
          <t>MAT-08-038</t>
        </is>
      </c>
      <c r="B134" s="5" t="inlineStr">
        <is>
          <t>Polvo de color para mosaico negro comercial, 55 lb</t>
        </is>
      </c>
      <c r="C134" s="4" t="inlineStr">
        <is>
          <t>funda</t>
        </is>
      </c>
      <c r="D134" s="10" t="n">
        <v>4640.79</v>
      </c>
      <c r="E134" s="10" t="n"/>
      <c r="F134" s="10" t="n"/>
      <c r="G134" s="10">
        <f>IF(COUNT(D134:F134)=0,"",MIN(D134:F134))</f>
        <v/>
      </c>
      <c r="H134" s="10">
        <f>IF(COUNT(D134:F134)=0,"",MEDIAN(D134:F134))</f>
        <v/>
      </c>
      <c r="I134" s="10">
        <f>IF(COUNT(D134:F134)=0,"",MAX(D134:F134))</f>
        <v/>
      </c>
      <c r="J134" s="11">
        <f>IF(OR(G134="",G134=0),"",(I134-G134)/G134)</f>
        <v/>
      </c>
      <c r="K134" s="4">
        <f>IF(COUNT(D134:F134)=0,"",INDEX($D$1:$F$1,MATCH(MIN(D134:F134),D134:F134,0)))</f>
        <v/>
      </c>
      <c r="L134" s="10" t="n">
        <v>4640.79</v>
      </c>
      <c r="M134" s="12" t="n">
        <v>1</v>
      </c>
    </row>
    <row r="135">
      <c r="A135" s="4" t="inlineStr">
        <is>
          <t>MAT-08-039</t>
        </is>
      </c>
      <c r="B135" s="5" t="inlineStr">
        <is>
          <t>Polvo de color para mosaico negro industrial, 55 lb</t>
        </is>
      </c>
      <c r="C135" s="4" t="inlineStr">
        <is>
          <t>funda</t>
        </is>
      </c>
      <c r="D135" s="10" t="n">
        <v>6521.15</v>
      </c>
      <c r="E135" s="10" t="n"/>
      <c r="F135" s="10" t="n"/>
      <c r="G135" s="10">
        <f>IF(COUNT(D135:F135)=0,"",MIN(D135:F135))</f>
        <v/>
      </c>
      <c r="H135" s="10">
        <f>IF(COUNT(D135:F135)=0,"",MEDIAN(D135:F135))</f>
        <v/>
      </c>
      <c r="I135" s="10">
        <f>IF(COUNT(D135:F135)=0,"",MAX(D135:F135))</f>
        <v/>
      </c>
      <c r="J135" s="11">
        <f>IF(OR(G135="",G135=0),"",(I135-G135)/G135)</f>
        <v/>
      </c>
      <c r="K135" s="4">
        <f>IF(COUNT(D135:F135)=0,"",INDEX($D$1:$F$1,MATCH(MIN(D135:F135),D135:F135,0)))</f>
        <v/>
      </c>
      <c r="L135" s="10" t="n">
        <v>6521.15</v>
      </c>
      <c r="M135" s="12" t="n">
        <v>1</v>
      </c>
    </row>
    <row r="136">
      <c r="A136" s="4" t="inlineStr">
        <is>
          <t>MAT-08-040</t>
        </is>
      </c>
      <c r="B136" s="5" t="inlineStr">
        <is>
          <t>Polvo de color para mosaico rojo comercial, 55 lb</t>
        </is>
      </c>
      <c r="C136" s="4" t="inlineStr">
        <is>
          <t>funda</t>
        </is>
      </c>
      <c r="D136" s="10" t="n">
        <v>3350.57</v>
      </c>
      <c r="E136" s="10" t="n"/>
      <c r="F136" s="10" t="n"/>
      <c r="G136" s="10">
        <f>IF(COUNT(D136:F136)=0,"",MIN(D136:F136))</f>
        <v/>
      </c>
      <c r="H136" s="10">
        <f>IF(COUNT(D136:F136)=0,"",MEDIAN(D136:F136))</f>
        <v/>
      </c>
      <c r="I136" s="10">
        <f>IF(COUNT(D136:F136)=0,"",MAX(D136:F136))</f>
        <v/>
      </c>
      <c r="J136" s="11">
        <f>IF(OR(G136="",G136=0),"",(I136-G136)/G136)</f>
        <v/>
      </c>
      <c r="K136" s="4">
        <f>IF(COUNT(D136:F136)=0,"",INDEX($D$1:$F$1,MATCH(MIN(D136:F136),D136:F136,0)))</f>
        <v/>
      </c>
      <c r="L136" s="10" t="n">
        <v>3350.57</v>
      </c>
      <c r="M136" s="12" t="n">
        <v>1</v>
      </c>
    </row>
    <row r="137">
      <c r="A137" s="4" t="inlineStr">
        <is>
          <t>MAT-08-041</t>
        </is>
      </c>
      <c r="B137" s="5" t="inlineStr">
        <is>
          <t>Polvo de color para mosaico rojo industrial, 55 lb</t>
        </is>
      </c>
      <c r="C137" s="4" t="inlineStr">
        <is>
          <t>funda</t>
        </is>
      </c>
      <c r="D137" s="10" t="n">
        <v>5451.6</v>
      </c>
      <c r="E137" s="10" t="n"/>
      <c r="F137" s="10" t="n"/>
      <c r="G137" s="10">
        <f>IF(COUNT(D137:F137)=0,"",MIN(D137:F137))</f>
        <v/>
      </c>
      <c r="H137" s="10">
        <f>IF(COUNT(D137:F137)=0,"",MEDIAN(D137:F137))</f>
        <v/>
      </c>
      <c r="I137" s="10">
        <f>IF(COUNT(D137:F137)=0,"",MAX(D137:F137))</f>
        <v/>
      </c>
      <c r="J137" s="11">
        <f>IF(OR(G137="",G137=0),"",(I137-G137)/G137)</f>
        <v/>
      </c>
      <c r="K137" s="4">
        <f>IF(COUNT(D137:F137)=0,"",INDEX($D$1:$F$1,MATCH(MIN(D137:F137),D137:F137,0)))</f>
        <v/>
      </c>
      <c r="L137" s="10" t="n">
        <v>5451.6</v>
      </c>
      <c r="M137" s="12" t="n">
        <v>1</v>
      </c>
    </row>
    <row r="138">
      <c r="A138" s="4" t="inlineStr">
        <is>
          <t>MAT-08-042</t>
        </is>
      </c>
      <c r="B138" s="5" t="inlineStr">
        <is>
          <t>Polvo de color para mosaico verde comercial, 55 lb</t>
        </is>
      </c>
      <c r="C138" s="4" t="inlineStr">
        <is>
          <t>funda</t>
        </is>
      </c>
      <c r="D138" s="10" t="n">
        <v>4017.75</v>
      </c>
      <c r="E138" s="10" t="n"/>
      <c r="F138" s="10" t="n"/>
      <c r="G138" s="10">
        <f>IF(COUNT(D138:F138)=0,"",MIN(D138:F138))</f>
        <v/>
      </c>
      <c r="H138" s="10">
        <f>IF(COUNT(D138:F138)=0,"",MEDIAN(D138:F138))</f>
        <v/>
      </c>
      <c r="I138" s="10">
        <f>IF(COUNT(D138:F138)=0,"",MAX(D138:F138))</f>
        <v/>
      </c>
      <c r="J138" s="11">
        <f>IF(OR(G138="",G138=0),"",(I138-G138)/G138)</f>
        <v/>
      </c>
      <c r="K138" s="4">
        <f>IF(COUNT(D138:F138)=0,"",INDEX($D$1:$F$1,MATCH(MIN(D138:F138),D138:F138,0)))</f>
        <v/>
      </c>
      <c r="L138" s="10" t="n">
        <v>4017.75</v>
      </c>
      <c r="M138" s="12" t="n">
        <v>1</v>
      </c>
    </row>
    <row r="139">
      <c r="A139" s="4" t="inlineStr">
        <is>
          <t>MAT-08-043</t>
        </is>
      </c>
      <c r="B139" s="5" t="inlineStr">
        <is>
          <t>Polvo de color para mosaico verde industrial, 55 lb</t>
        </is>
      </c>
      <c r="C139" s="4" t="inlineStr">
        <is>
          <t>funda</t>
        </is>
      </c>
      <c r="D139" s="10" t="n">
        <v>9092.93</v>
      </c>
      <c r="E139" s="10" t="n"/>
      <c r="F139" s="10" t="n"/>
      <c r="G139" s="10">
        <f>IF(COUNT(D139:F139)=0,"",MIN(D139:F139))</f>
        <v/>
      </c>
      <c r="H139" s="10">
        <f>IF(COUNT(D139:F139)=0,"",MEDIAN(D139:F139))</f>
        <v/>
      </c>
      <c r="I139" s="10">
        <f>IF(COUNT(D139:F139)=0,"",MAX(D139:F139))</f>
        <v/>
      </c>
      <c r="J139" s="11">
        <f>IF(OR(G139="",G139=0),"",(I139-G139)/G139)</f>
        <v/>
      </c>
      <c r="K139" s="4">
        <f>IF(COUNT(D139:F139)=0,"",INDEX($D$1:$F$1,MATCH(MIN(D139:F139),D139:F139,0)))</f>
        <v/>
      </c>
      <c r="L139" s="10" t="n">
        <v>9092.93</v>
      </c>
      <c r="M139" s="12" t="n">
        <v>1</v>
      </c>
    </row>
    <row r="140">
      <c r="A140" s="4" t="inlineStr">
        <is>
          <t>MAT-09-016</t>
        </is>
      </c>
      <c r="B140" s="5" t="inlineStr">
        <is>
          <t>Brazo De Ducha Con Cubrefalta</t>
        </is>
      </c>
      <c r="C140" s="4" t="inlineStr">
        <is>
          <t>unidad</t>
        </is>
      </c>
      <c r="D140" s="10" t="n">
        <v>108.23</v>
      </c>
      <c r="E140" s="10" t="n"/>
      <c r="F140" s="10" t="n"/>
      <c r="G140" s="10">
        <f>IF(COUNT(D140:F140)=0,"",MIN(D140:F140))</f>
        <v/>
      </c>
      <c r="H140" s="10">
        <f>IF(COUNT(D140:F140)=0,"",MEDIAN(D140:F140))</f>
        <v/>
      </c>
      <c r="I140" s="10">
        <f>IF(COUNT(D140:F140)=0,"",MAX(D140:F140))</f>
        <v/>
      </c>
      <c r="J140" s="11">
        <f>IF(OR(G140="",G140=0),"",(I140-G140)/G140)</f>
        <v/>
      </c>
      <c r="K140" s="4">
        <f>IF(COUNT(D140:F140)=0,"",INDEX($D$1:$F$1,MATCH(MIN(D140:F140),D140:F140,0)))</f>
        <v/>
      </c>
      <c r="L140" s="10" t="n">
        <v>108.23</v>
      </c>
      <c r="M140" s="12" t="n">
        <v>1</v>
      </c>
    </row>
    <row r="141">
      <c r="A141" s="4" t="inlineStr">
        <is>
          <t>MAT-09-017</t>
        </is>
      </c>
      <c r="B141" s="5" t="inlineStr">
        <is>
          <t>Ducha Giratoria Brazo / Cubrefalta</t>
        </is>
      </c>
      <c r="C141" s="4" t="inlineStr">
        <is>
          <t>unidad</t>
        </is>
      </c>
      <c r="D141" s="10" t="n">
        <v>124.58</v>
      </c>
      <c r="E141" s="10" t="n"/>
      <c r="F141" s="10" t="n"/>
      <c r="G141" s="10">
        <f>IF(COUNT(D141:F141)=0,"",MIN(D141:F141))</f>
        <v/>
      </c>
      <c r="H141" s="10">
        <f>IF(COUNT(D141:F141)=0,"",MEDIAN(D141:F141))</f>
        <v/>
      </c>
      <c r="I141" s="10">
        <f>IF(COUNT(D141:F141)=0,"",MAX(D141:F141))</f>
        <v/>
      </c>
      <c r="J141" s="11">
        <f>IF(OR(G141="",G141=0),"",(I141-G141)/G141)</f>
        <v/>
      </c>
      <c r="K141" s="4">
        <f>IF(COUNT(D141:F141)=0,"",INDEX($D$1:$F$1,MATCH(MIN(D141:F141),D141:F141,0)))</f>
        <v/>
      </c>
      <c r="L141" s="10" t="n">
        <v>124.58</v>
      </c>
      <c r="M141" s="12" t="n">
        <v>1</v>
      </c>
    </row>
    <row r="142">
      <c r="A142" s="4" t="inlineStr">
        <is>
          <t>MAT-09-018</t>
        </is>
      </c>
      <c r="B142" s="5" t="inlineStr">
        <is>
          <t>Soporte Ducha para Pared Maldivas</t>
        </is>
      </c>
      <c r="C142" s="4" t="inlineStr">
        <is>
          <t>unidad</t>
        </is>
      </c>
      <c r="D142" s="10" t="n">
        <v>126.44</v>
      </c>
      <c r="E142" s="10" t="n"/>
      <c r="F142" s="10" t="n"/>
      <c r="G142" s="10">
        <f>IF(COUNT(D142:F142)=0,"",MIN(D142:F142))</f>
        <v/>
      </c>
      <c r="H142" s="10">
        <f>IF(COUNT(D142:F142)=0,"",MEDIAN(D142:F142))</f>
        <v/>
      </c>
      <c r="I142" s="10">
        <f>IF(COUNT(D142:F142)=0,"",MAX(D142:F142))</f>
        <v/>
      </c>
      <c r="J142" s="11">
        <f>IF(OR(G142="",G142=0),"",(I142-G142)/G142)</f>
        <v/>
      </c>
      <c r="K142" s="4">
        <f>IF(COUNT(D142:F142)=0,"",INDEX($D$1:$F$1,MATCH(MIN(D142:F142),D142:F142,0)))</f>
        <v/>
      </c>
      <c r="L142" s="10" t="n">
        <v>126.44</v>
      </c>
      <c r="M142" s="12" t="n">
        <v>1</v>
      </c>
    </row>
    <row r="143">
      <c r="A143" s="4" t="inlineStr">
        <is>
          <t>MAT-09-019</t>
        </is>
      </c>
      <c r="B143" s="5" t="inlineStr">
        <is>
          <t>Soporte de Fijacion para Ducha</t>
        </is>
      </c>
      <c r="C143" s="4" t="inlineStr">
        <is>
          <t>unidad</t>
        </is>
      </c>
      <c r="D143" s="10" t="n">
        <v>218.18</v>
      </c>
      <c r="E143" s="10" t="n"/>
      <c r="F143" s="10" t="n"/>
      <c r="G143" s="10">
        <f>IF(COUNT(D143:F143)=0,"",MIN(D143:F143))</f>
        <v/>
      </c>
      <c r="H143" s="10">
        <f>IF(COUNT(D143:F143)=0,"",MEDIAN(D143:F143))</f>
        <v/>
      </c>
      <c r="I143" s="10">
        <f>IF(COUNT(D143:F143)=0,"",MAX(D143:F143))</f>
        <v/>
      </c>
      <c r="J143" s="11">
        <f>IF(OR(G143="",G143=0),"",(I143-G143)/G143)</f>
        <v/>
      </c>
      <c r="K143" s="4">
        <f>IF(COUNT(D143:F143)=0,"",INDEX($D$1:$F$1,MATCH(MIN(D143:F143),D143:F143,0)))</f>
        <v/>
      </c>
      <c r="L143" s="10" t="n">
        <v>218.18</v>
      </c>
      <c r="M143" s="12" t="n">
        <v>1</v>
      </c>
    </row>
    <row r="144">
      <c r="A144" s="4" t="inlineStr">
        <is>
          <t>MAT-09-020</t>
        </is>
      </c>
      <c r="B144" s="5" t="inlineStr">
        <is>
          <t>Manguera para Fregadero</t>
        </is>
      </c>
      <c r="C144" s="4" t="inlineStr">
        <is>
          <t>unidad</t>
        </is>
      </c>
      <c r="D144" s="10" t="n">
        <v>256.18</v>
      </c>
      <c r="E144" s="10" t="n"/>
      <c r="F144" s="10" t="n"/>
      <c r="G144" s="10">
        <f>IF(COUNT(D144:F144)=0,"",MIN(D144:F144))</f>
        <v/>
      </c>
      <c r="H144" s="10">
        <f>IF(COUNT(D144:F144)=0,"",MEDIAN(D144:F144))</f>
        <v/>
      </c>
      <c r="I144" s="10">
        <f>IF(COUNT(D144:F144)=0,"",MAX(D144:F144))</f>
        <v/>
      </c>
      <c r="J144" s="11">
        <f>IF(OR(G144="",G144=0),"",(I144-G144)/G144)</f>
        <v/>
      </c>
      <c r="K144" s="4">
        <f>IF(COUNT(D144:F144)=0,"",INDEX($D$1:$F$1,MATCH(MIN(D144:F144),D144:F144,0)))</f>
        <v/>
      </c>
      <c r="L144" s="10" t="n">
        <v>256.18</v>
      </c>
      <c r="M144" s="12" t="n">
        <v>1</v>
      </c>
    </row>
    <row r="145">
      <c r="A145" s="4" t="inlineStr">
        <is>
          <t>MAT-09-021</t>
        </is>
      </c>
      <c r="B145" s="5" t="inlineStr">
        <is>
          <t>Ducha De Mano Cromo / Rojo</t>
        </is>
      </c>
      <c r="C145" s="4" t="inlineStr">
        <is>
          <t>unidad</t>
        </is>
      </c>
      <c r="D145" s="10" t="n">
        <v>267.91</v>
      </c>
      <c r="E145" s="10" t="n"/>
      <c r="F145" s="10" t="n"/>
      <c r="G145" s="10">
        <f>IF(COUNT(D145:F145)=0,"",MIN(D145:F145))</f>
        <v/>
      </c>
      <c r="H145" s="10">
        <f>IF(COUNT(D145:F145)=0,"",MEDIAN(D145:F145))</f>
        <v/>
      </c>
      <c r="I145" s="10">
        <f>IF(COUNT(D145:F145)=0,"",MAX(D145:F145))</f>
        <v/>
      </c>
      <c r="J145" s="11">
        <f>IF(OR(G145="",G145=0),"",(I145-G145)/G145)</f>
        <v/>
      </c>
      <c r="K145" s="4">
        <f>IF(COUNT(D145:F145)=0,"",INDEX($D$1:$F$1,MATCH(MIN(D145:F145),D145:F145,0)))</f>
        <v/>
      </c>
      <c r="L145" s="10" t="n">
        <v>267.91</v>
      </c>
      <c r="M145" s="12" t="n">
        <v>1</v>
      </c>
    </row>
    <row r="146">
      <c r="A146" s="4" t="inlineStr">
        <is>
          <t>MAT-09-022</t>
        </is>
      </c>
      <c r="B146" s="5" t="inlineStr">
        <is>
          <t>Cabeza De Ducha 2"</t>
        </is>
      </c>
      <c r="C146" s="4" t="inlineStr">
        <is>
          <t>unidad</t>
        </is>
      </c>
      <c r="D146" s="10" t="n">
        <v>283.72</v>
      </c>
      <c r="E146" s="10" t="n"/>
      <c r="F146" s="10" t="n"/>
      <c r="G146" s="10">
        <f>IF(COUNT(D146:F146)=0,"",MIN(D146:F146))</f>
        <v/>
      </c>
      <c r="H146" s="10">
        <f>IF(COUNT(D146:F146)=0,"",MEDIAN(D146:F146))</f>
        <v/>
      </c>
      <c r="I146" s="10">
        <f>IF(COUNT(D146:F146)=0,"",MAX(D146:F146))</f>
        <v/>
      </c>
      <c r="J146" s="11">
        <f>IF(OR(G146="",G146=0),"",(I146-G146)/G146)</f>
        <v/>
      </c>
      <c r="K146" s="4">
        <f>IF(COUNT(D146:F146)=0,"",INDEX($D$1:$F$1,MATCH(MIN(D146:F146),D146:F146,0)))</f>
        <v/>
      </c>
      <c r="L146" s="10" t="n">
        <v>283.72</v>
      </c>
      <c r="M146" s="12" t="n">
        <v>1</v>
      </c>
    </row>
    <row r="147">
      <c r="A147" s="4" t="inlineStr">
        <is>
          <t>MAT-09-023</t>
        </is>
      </c>
      <c r="B147" s="5" t="inlineStr">
        <is>
          <t>Cabeza para Ducha Telefono 1 Funcion</t>
        </is>
      </c>
      <c r="C147" s="4" t="inlineStr">
        <is>
          <t>unidad</t>
        </is>
      </c>
      <c r="D147" s="10" t="n">
        <v>307.94</v>
      </c>
      <c r="E147" s="10" t="n"/>
      <c r="F147" s="10" t="n"/>
      <c r="G147" s="10">
        <f>IF(COUNT(D147:F147)=0,"",MIN(D147:F147))</f>
        <v/>
      </c>
      <c r="H147" s="10">
        <f>IF(COUNT(D147:F147)=0,"",MEDIAN(D147:F147))</f>
        <v/>
      </c>
      <c r="I147" s="10">
        <f>IF(COUNT(D147:F147)=0,"",MAX(D147:F147))</f>
        <v/>
      </c>
      <c r="J147" s="11">
        <f>IF(OR(G147="",G147=0),"",(I147-G147)/G147)</f>
        <v/>
      </c>
      <c r="K147" s="4">
        <f>IF(COUNT(D147:F147)=0,"",INDEX($D$1:$F$1,MATCH(MIN(D147:F147),D147:F147,0)))</f>
        <v/>
      </c>
      <c r="L147" s="10" t="n">
        <v>307.94</v>
      </c>
      <c r="M147" s="12" t="n">
        <v>1</v>
      </c>
    </row>
    <row r="148">
      <c r="A148" s="4" t="inlineStr">
        <is>
          <t>MAT-09-024</t>
        </is>
      </c>
      <c r="B148" s="5" t="inlineStr">
        <is>
          <t>Ducha con Brazo Redonda</t>
        </is>
      </c>
      <c r="C148" s="4" t="inlineStr">
        <is>
          <t>unidad</t>
        </is>
      </c>
      <c r="D148" s="10" t="n">
        <v>331.14</v>
      </c>
      <c r="E148" s="10" t="n"/>
      <c r="F148" s="10" t="n"/>
      <c r="G148" s="10">
        <f>IF(COUNT(D148:F148)=0,"",MIN(D148:F148))</f>
        <v/>
      </c>
      <c r="H148" s="10">
        <f>IF(COUNT(D148:F148)=0,"",MEDIAN(D148:F148))</f>
        <v/>
      </c>
      <c r="I148" s="10">
        <f>IF(COUNT(D148:F148)=0,"",MAX(D148:F148))</f>
        <v/>
      </c>
      <c r="J148" s="11">
        <f>IF(OR(G148="",G148=0),"",(I148-G148)/G148)</f>
        <v/>
      </c>
      <c r="K148" s="4">
        <f>IF(COUNT(D148:F148)=0,"",INDEX($D$1:$F$1,MATCH(MIN(D148:F148),D148:F148,0)))</f>
        <v/>
      </c>
      <c r="L148" s="10" t="n">
        <v>331.14</v>
      </c>
      <c r="M148" s="12" t="n">
        <v>1</v>
      </c>
    </row>
    <row r="149">
      <c r="A149" s="4" t="inlineStr">
        <is>
          <t>MAT-09-025</t>
        </is>
      </c>
      <c r="B149" s="5" t="inlineStr">
        <is>
          <t>Ducha Con Brazo</t>
        </is>
      </c>
      <c r="C149" s="4" t="inlineStr">
        <is>
          <t>unidad</t>
        </is>
      </c>
      <c r="D149" s="10" t="n">
        <v>335.08</v>
      </c>
      <c r="E149" s="10" t="n"/>
      <c r="F149" s="10" t="n"/>
      <c r="G149" s="10">
        <f>IF(COUNT(D149:F149)=0,"",MIN(D149:F149))</f>
        <v/>
      </c>
      <c r="H149" s="10">
        <f>IF(COUNT(D149:F149)=0,"",MEDIAN(D149:F149))</f>
        <v/>
      </c>
      <c r="I149" s="10">
        <f>IF(COUNT(D149:F149)=0,"",MAX(D149:F149))</f>
        <v/>
      </c>
      <c r="J149" s="11">
        <f>IF(OR(G149="",G149=0),"",(I149-G149)/G149)</f>
        <v/>
      </c>
      <c r="K149" s="4">
        <f>IF(COUNT(D149:F149)=0,"",INDEX($D$1:$F$1,MATCH(MIN(D149:F149),D149:F149,0)))</f>
        <v/>
      </c>
      <c r="L149" s="10" t="n">
        <v>335.08</v>
      </c>
      <c r="M149" s="12" t="n">
        <v>1</v>
      </c>
    </row>
    <row r="150">
      <c r="A150" s="4" t="inlineStr">
        <is>
          <t>MAT-09-026</t>
        </is>
      </c>
      <c r="B150" s="5" t="inlineStr">
        <is>
          <t>Ducha con Brazo Cuadrada</t>
        </is>
      </c>
      <c r="C150" s="4" t="inlineStr">
        <is>
          <t>unidad</t>
        </is>
      </c>
      <c r="D150" s="10" t="n">
        <v>334.59</v>
      </c>
      <c r="E150" s="10" t="n"/>
      <c r="F150" s="10" t="n"/>
      <c r="G150" s="10">
        <f>IF(COUNT(D150:F150)=0,"",MIN(D150:F150))</f>
        <v/>
      </c>
      <c r="H150" s="10">
        <f>IF(COUNT(D150:F150)=0,"",MEDIAN(D150:F150))</f>
        <v/>
      </c>
      <c r="I150" s="10">
        <f>IF(COUNT(D150:F150)=0,"",MAX(D150:F150))</f>
        <v/>
      </c>
      <c r="J150" s="11">
        <f>IF(OR(G150="",G150=0),"",(I150-G150)/G150)</f>
        <v/>
      </c>
      <c r="K150" s="4">
        <f>IF(COUNT(D150:F150)=0,"",INDEX($D$1:$F$1,MATCH(MIN(D150:F150),D150:F150,0)))</f>
        <v/>
      </c>
      <c r="L150" s="10" t="n">
        <v>334.59</v>
      </c>
      <c r="M150" s="12" t="n">
        <v>1</v>
      </c>
    </row>
    <row r="151">
      <c r="A151" s="4" t="inlineStr">
        <is>
          <t>MAT-09-027</t>
        </is>
      </c>
      <c r="B151" s="5" t="inlineStr">
        <is>
          <t>Cabeza para Ducha Cuadrada</t>
        </is>
      </c>
      <c r="C151" s="4" t="inlineStr">
        <is>
          <t>unidad</t>
        </is>
      </c>
      <c r="D151" s="10" t="n">
        <v>336.35</v>
      </c>
      <c r="E151" s="10" t="n"/>
      <c r="F151" s="10" t="n"/>
      <c r="G151" s="10">
        <f>IF(COUNT(D151:F151)=0,"",MIN(D151:F151))</f>
        <v/>
      </c>
      <c r="H151" s="10">
        <f>IF(COUNT(D151:F151)=0,"",MEDIAN(D151:F151))</f>
        <v/>
      </c>
      <c r="I151" s="10">
        <f>IF(COUNT(D151:F151)=0,"",MAX(D151:F151))</f>
        <v/>
      </c>
      <c r="J151" s="11">
        <f>IF(OR(G151="",G151=0),"",(I151-G151)/G151)</f>
        <v/>
      </c>
      <c r="K151" s="4">
        <f>IF(COUNT(D151:F151)=0,"",INDEX($D$1:$F$1,MATCH(MIN(D151:F151),D151:F151,0)))</f>
        <v/>
      </c>
      <c r="L151" s="10" t="n">
        <v>336.35</v>
      </c>
      <c r="M151" s="12" t="n">
        <v>1</v>
      </c>
    </row>
    <row r="152">
      <c r="A152" s="4" t="inlineStr">
        <is>
          <t>MAT-09-028</t>
        </is>
      </c>
      <c r="B152" s="5" t="inlineStr">
        <is>
          <t>Ducha con Brazo con Cubrefalta Redonda</t>
        </is>
      </c>
      <c r="C152" s="4" t="inlineStr">
        <is>
          <t>unidad</t>
        </is>
      </c>
      <c r="D152" s="10" t="n">
        <v>345.56</v>
      </c>
      <c r="E152" s="10" t="n"/>
      <c r="F152" s="10" t="n"/>
      <c r="G152" s="10">
        <f>IF(COUNT(D152:F152)=0,"",MIN(D152:F152))</f>
        <v/>
      </c>
      <c r="H152" s="10">
        <f>IF(COUNT(D152:F152)=0,"",MEDIAN(D152:F152))</f>
        <v/>
      </c>
      <c r="I152" s="10">
        <f>IF(COUNT(D152:F152)=0,"",MAX(D152:F152))</f>
        <v/>
      </c>
      <c r="J152" s="11">
        <f>IF(OR(G152="",G152=0),"",(I152-G152)/G152)</f>
        <v/>
      </c>
      <c r="K152" s="4">
        <f>IF(COUNT(D152:F152)=0,"",INDEX($D$1:$F$1,MATCH(MIN(D152:F152),D152:F152,0)))</f>
        <v/>
      </c>
      <c r="L152" s="10" t="n">
        <v>345.56</v>
      </c>
      <c r="M152" s="12" t="n">
        <v>1</v>
      </c>
    </row>
    <row r="153">
      <c r="A153" s="4" t="inlineStr">
        <is>
          <t>MAT-09-029</t>
        </is>
      </c>
      <c r="B153" s="5" t="inlineStr">
        <is>
          <t>Brazo De Ducha</t>
        </is>
      </c>
      <c r="C153" s="4" t="inlineStr">
        <is>
          <t>unidad</t>
        </is>
      </c>
      <c r="D153" s="10" t="n">
        <v>361.27</v>
      </c>
      <c r="E153" s="10" t="n"/>
      <c r="F153" s="10" t="n"/>
      <c r="G153" s="10">
        <f>IF(COUNT(D153:F153)=0,"",MIN(D153:F153))</f>
        <v/>
      </c>
      <c r="H153" s="10">
        <f>IF(COUNT(D153:F153)=0,"",MEDIAN(D153:F153))</f>
        <v/>
      </c>
      <c r="I153" s="10">
        <f>IF(COUNT(D153:F153)=0,"",MAX(D153:F153))</f>
        <v/>
      </c>
      <c r="J153" s="11">
        <f>IF(OR(G153="",G153=0),"",(I153-G153)/G153)</f>
        <v/>
      </c>
      <c r="K153" s="4">
        <f>IF(COUNT(D153:F153)=0,"",INDEX($D$1:$F$1,MATCH(MIN(D153:F153),D153:F153,0)))</f>
        <v/>
      </c>
      <c r="L153" s="10" t="n">
        <v>361.27</v>
      </c>
      <c r="M153" s="12" t="n">
        <v>1</v>
      </c>
    </row>
    <row r="154">
      <c r="A154" s="4" t="inlineStr">
        <is>
          <t>MAT-09-030</t>
        </is>
      </c>
      <c r="B154" s="5" t="inlineStr">
        <is>
          <t>Manguera De Metal para Ducha 1.5 Mts</t>
        </is>
      </c>
      <c r="C154" s="4" t="inlineStr">
        <is>
          <t>unidad</t>
        </is>
      </c>
      <c r="D154" s="10" t="n">
        <v>363.69</v>
      </c>
      <c r="E154" s="10" t="n"/>
      <c r="F154" s="10" t="n"/>
      <c r="G154" s="10">
        <f>IF(COUNT(D154:F154)=0,"",MIN(D154:F154))</f>
        <v/>
      </c>
      <c r="H154" s="10">
        <f>IF(COUNT(D154:F154)=0,"",MEDIAN(D154:F154))</f>
        <v/>
      </c>
      <c r="I154" s="10">
        <f>IF(COUNT(D154:F154)=0,"",MAX(D154:F154))</f>
        <v/>
      </c>
      <c r="J154" s="11">
        <f>IF(OR(G154="",G154=0),"",(I154-G154)/G154)</f>
        <v/>
      </c>
      <c r="K154" s="4">
        <f>IF(COUNT(D154:F154)=0,"",INDEX($D$1:$F$1,MATCH(MIN(D154:F154),D154:F154,0)))</f>
        <v/>
      </c>
      <c r="L154" s="10" t="n">
        <v>363.69</v>
      </c>
      <c r="M154" s="12" t="n">
        <v>1</v>
      </c>
    </row>
    <row r="155">
      <c r="A155" s="4" t="inlineStr">
        <is>
          <t>MAT-09-031</t>
        </is>
      </c>
      <c r="B155" s="5" t="inlineStr">
        <is>
          <t>Ducha tipo Telefono para baño Completa</t>
        </is>
      </c>
      <c r="C155" s="4" t="inlineStr">
        <is>
          <t>unidad</t>
        </is>
      </c>
      <c r="D155" s="10" t="n">
        <v>365.37</v>
      </c>
      <c r="E155" s="10" t="n"/>
      <c r="F155" s="10" t="n"/>
      <c r="G155" s="10">
        <f>IF(COUNT(D155:F155)=0,"",MIN(D155:F155))</f>
        <v/>
      </c>
      <c r="H155" s="10">
        <f>IF(COUNT(D155:F155)=0,"",MEDIAN(D155:F155))</f>
        <v/>
      </c>
      <c r="I155" s="10">
        <f>IF(COUNT(D155:F155)=0,"",MAX(D155:F155))</f>
        <v/>
      </c>
      <c r="J155" s="11">
        <f>IF(OR(G155="",G155=0),"",(I155-G155)/G155)</f>
        <v/>
      </c>
      <c r="K155" s="4">
        <f>IF(COUNT(D155:F155)=0,"",INDEX($D$1:$F$1,MATCH(MIN(D155:F155),D155:F155,0)))</f>
        <v/>
      </c>
      <c r="L155" s="10" t="n">
        <v>365.37</v>
      </c>
      <c r="M155" s="12" t="n">
        <v>1</v>
      </c>
    </row>
    <row r="156">
      <c r="A156" s="4" t="inlineStr">
        <is>
          <t>MAT-09-032</t>
        </is>
      </c>
      <c r="B156" s="5" t="inlineStr">
        <is>
          <t>Cabeza De Ducha 3"</t>
        </is>
      </c>
      <c r="C156" s="4" t="inlineStr">
        <is>
          <t>unidad</t>
        </is>
      </c>
      <c r="D156" s="10" t="n">
        <v>373.94</v>
      </c>
      <c r="E156" s="10" t="n"/>
      <c r="F156" s="10" t="n"/>
      <c r="G156" s="10">
        <f>IF(COUNT(D156:F156)=0,"",MIN(D156:F156))</f>
        <v/>
      </c>
      <c r="H156" s="10">
        <f>IF(COUNT(D156:F156)=0,"",MEDIAN(D156:F156))</f>
        <v/>
      </c>
      <c r="I156" s="10">
        <f>IF(COUNT(D156:F156)=0,"",MAX(D156:F156))</f>
        <v/>
      </c>
      <c r="J156" s="11">
        <f>IF(OR(G156="",G156=0),"",(I156-G156)/G156)</f>
        <v/>
      </c>
      <c r="K156" s="4">
        <f>IF(COUNT(D156:F156)=0,"",INDEX($D$1:$F$1,MATCH(MIN(D156:F156),D156:F156,0)))</f>
        <v/>
      </c>
      <c r="L156" s="10" t="n">
        <v>373.94</v>
      </c>
      <c r="M156" s="12" t="n">
        <v>1</v>
      </c>
    </row>
    <row r="157">
      <c r="A157" s="4" t="inlineStr">
        <is>
          <t>MAT-09-033</t>
        </is>
      </c>
      <c r="B157" s="5" t="inlineStr">
        <is>
          <t>Cabeza para Ducha 5 Funciones</t>
        </is>
      </c>
      <c r="C157" s="4" t="inlineStr">
        <is>
          <t>unidad</t>
        </is>
      </c>
      <c r="D157" s="10" t="n">
        <v>401.38</v>
      </c>
      <c r="E157" s="10" t="n"/>
      <c r="F157" s="10" t="n"/>
      <c r="G157" s="10">
        <f>IF(COUNT(D157:F157)=0,"",MIN(D157:F157))</f>
        <v/>
      </c>
      <c r="H157" s="10">
        <f>IF(COUNT(D157:F157)=0,"",MEDIAN(D157:F157))</f>
        <v/>
      </c>
      <c r="I157" s="10">
        <f>IF(COUNT(D157:F157)=0,"",MAX(D157:F157))</f>
        <v/>
      </c>
      <c r="J157" s="11">
        <f>IF(OR(G157="",G157=0),"",(I157-G157)/G157)</f>
        <v/>
      </c>
      <c r="K157" s="4">
        <f>IF(COUNT(D157:F157)=0,"",INDEX($D$1:$F$1,MATCH(MIN(D157:F157),D157:F157,0)))</f>
        <v/>
      </c>
      <c r="L157" s="10" t="n">
        <v>401.38</v>
      </c>
      <c r="M157" s="12" t="n">
        <v>1</v>
      </c>
    </row>
    <row r="158">
      <c r="A158" s="4" t="inlineStr">
        <is>
          <t>MAT-09-034</t>
        </is>
      </c>
      <c r="B158" s="5" t="inlineStr">
        <is>
          <t>Cabeza De Ducha Red Cromo / Verde</t>
        </is>
      </c>
      <c r="C158" s="4" t="inlineStr">
        <is>
          <t>unidad</t>
        </is>
      </c>
      <c r="D158" s="10" t="n">
        <v>404.04</v>
      </c>
      <c r="E158" s="10" t="n"/>
      <c r="F158" s="10" t="n"/>
      <c r="G158" s="10">
        <f>IF(COUNT(D158:F158)=0,"",MIN(D158:F158))</f>
        <v/>
      </c>
      <c r="H158" s="10">
        <f>IF(COUNT(D158:F158)=0,"",MEDIAN(D158:F158))</f>
        <v/>
      </c>
      <c r="I158" s="10">
        <f>IF(COUNT(D158:F158)=0,"",MAX(D158:F158))</f>
        <v/>
      </c>
      <c r="J158" s="11">
        <f>IF(OR(G158="",G158=0),"",(I158-G158)/G158)</f>
        <v/>
      </c>
      <c r="K158" s="4">
        <f>IF(COUNT(D158:F158)=0,"",INDEX($D$1:$F$1,MATCH(MIN(D158:F158),D158:F158,0)))</f>
        <v/>
      </c>
      <c r="L158" s="10" t="n">
        <v>404.04</v>
      </c>
      <c r="M158" s="12" t="n">
        <v>1</v>
      </c>
    </row>
    <row r="159">
      <c r="A159" s="4" t="inlineStr">
        <is>
          <t>MAT-09-035</t>
        </is>
      </c>
      <c r="B159" s="5" t="inlineStr">
        <is>
          <t>Ducha para bañera</t>
        </is>
      </c>
      <c r="C159" s="4" t="inlineStr">
        <is>
          <t>unidad</t>
        </is>
      </c>
      <c r="D159" s="10" t="n">
        <v>501.54</v>
      </c>
      <c r="E159" s="10" t="n"/>
      <c r="F159" s="10" t="n"/>
      <c r="G159" s="10">
        <f>IF(COUNT(D159:F159)=0,"",MIN(D159:F159))</f>
        <v/>
      </c>
      <c r="H159" s="10">
        <f>IF(COUNT(D159:F159)=0,"",MEDIAN(D159:F159))</f>
        <v/>
      </c>
      <c r="I159" s="10">
        <f>IF(COUNT(D159:F159)=0,"",MAX(D159:F159))</f>
        <v/>
      </c>
      <c r="J159" s="11">
        <f>IF(OR(G159="",G159=0),"",(I159-G159)/G159)</f>
        <v/>
      </c>
      <c r="K159" s="4">
        <f>IF(COUNT(D159:F159)=0,"",INDEX($D$1:$F$1,MATCH(MIN(D159:F159),D159:F159,0)))</f>
        <v/>
      </c>
      <c r="L159" s="10" t="n">
        <v>501.54</v>
      </c>
      <c r="M159" s="12" t="n">
        <v>1</v>
      </c>
    </row>
    <row r="160">
      <c r="A160" s="4" t="inlineStr">
        <is>
          <t>MAT-09-036</t>
        </is>
      </c>
      <c r="B160" s="5" t="inlineStr">
        <is>
          <t>Cabeza De Ducha</t>
        </is>
      </c>
      <c r="C160" s="4" t="inlineStr">
        <is>
          <t>unidad</t>
        </is>
      </c>
      <c r="D160" s="10" t="n">
        <v>195.95</v>
      </c>
      <c r="E160" s="10" t="n"/>
      <c r="F160" s="10" t="n"/>
      <c r="G160" s="10">
        <f>IF(COUNT(D160:F160)=0,"",MIN(D160:F160))</f>
        <v/>
      </c>
      <c r="H160" s="10">
        <f>IF(COUNT(D160:F160)=0,"",MEDIAN(D160:F160))</f>
        <v/>
      </c>
      <c r="I160" s="10">
        <f>IF(COUNT(D160:F160)=0,"",MAX(D160:F160))</f>
        <v/>
      </c>
      <c r="J160" s="11">
        <f>IF(OR(G160="",G160=0),"",(I160-G160)/G160)</f>
        <v/>
      </c>
      <c r="K160" s="4">
        <f>IF(COUNT(D160:F160)=0,"",INDEX($D$1:$F$1,MATCH(MIN(D160:F160),D160:F160,0)))</f>
        <v/>
      </c>
      <c r="L160" s="10" t="n">
        <v>352.19</v>
      </c>
      <c r="M160" s="12" t="n">
        <v>1</v>
      </c>
    </row>
    <row r="161">
      <c r="A161" s="4" t="inlineStr">
        <is>
          <t>MAT-09-037</t>
        </is>
      </c>
      <c r="B161" s="5" t="inlineStr">
        <is>
          <t>Manguera Cromada Plastica</t>
        </is>
      </c>
      <c r="C161" s="4" t="inlineStr">
        <is>
          <t>unidad</t>
        </is>
      </c>
      <c r="D161" s="10" t="n">
        <v>511.64</v>
      </c>
      <c r="E161" s="10" t="n"/>
      <c r="F161" s="10" t="n"/>
      <c r="G161" s="10">
        <f>IF(COUNT(D161:F161)=0,"",MIN(D161:F161))</f>
        <v/>
      </c>
      <c r="H161" s="10">
        <f>IF(COUNT(D161:F161)=0,"",MEDIAN(D161:F161))</f>
        <v/>
      </c>
      <c r="I161" s="10">
        <f>IF(COUNT(D161:F161)=0,"",MAX(D161:F161))</f>
        <v/>
      </c>
      <c r="J161" s="11">
        <f>IF(OR(G161="",G161=0),"",(I161-G161)/G161)</f>
        <v/>
      </c>
      <c r="K161" s="4">
        <f>IF(COUNT(D161:F161)=0,"",INDEX($D$1:$F$1,MATCH(MIN(D161:F161),D161:F161,0)))</f>
        <v/>
      </c>
      <c r="L161" s="10" t="n">
        <v>511.64</v>
      </c>
      <c r="M161" s="12" t="n">
        <v>1</v>
      </c>
    </row>
    <row r="162">
      <c r="A162" s="4" t="inlineStr">
        <is>
          <t>MAT-09-038</t>
        </is>
      </c>
      <c r="B162" s="5" t="inlineStr">
        <is>
          <t>Cabeza De Ducha Red + D. Mano</t>
        </is>
      </c>
      <c r="C162" s="4" t="inlineStr">
        <is>
          <t>unidad</t>
        </is>
      </c>
      <c r="D162" s="10" t="n">
        <v>535.05</v>
      </c>
      <c r="E162" s="10" t="n"/>
      <c r="F162" s="10" t="n"/>
      <c r="G162" s="10">
        <f>IF(COUNT(D162:F162)=0,"",MIN(D162:F162))</f>
        <v/>
      </c>
      <c r="H162" s="10">
        <f>IF(COUNT(D162:F162)=0,"",MEDIAN(D162:F162))</f>
        <v/>
      </c>
      <c r="I162" s="10">
        <f>IF(COUNT(D162:F162)=0,"",MAX(D162:F162))</f>
        <v/>
      </c>
      <c r="J162" s="11">
        <f>IF(OR(G162="",G162=0),"",(I162-G162)/G162)</f>
        <v/>
      </c>
      <c r="K162" s="4">
        <f>IF(COUNT(D162:F162)=0,"",INDEX($D$1:$F$1,MATCH(MIN(D162:F162),D162:F162,0)))</f>
        <v/>
      </c>
      <c r="L162" s="10" t="n">
        <v>535.05</v>
      </c>
      <c r="M162" s="12" t="n">
        <v>1</v>
      </c>
    </row>
    <row r="163">
      <c r="A163" s="4" t="inlineStr">
        <is>
          <t>MAT-09-039</t>
        </is>
      </c>
      <c r="B163" s="5" t="inlineStr">
        <is>
          <t>Barra Deslizable para Ducha Negra</t>
        </is>
      </c>
      <c r="C163" s="4" t="inlineStr">
        <is>
          <t>unidad</t>
        </is>
      </c>
      <c r="D163" s="10" t="n">
        <v>553.61</v>
      </c>
      <c r="E163" s="10" t="n"/>
      <c r="F163" s="10" t="n"/>
      <c r="G163" s="10">
        <f>IF(COUNT(D163:F163)=0,"",MIN(D163:F163))</f>
        <v/>
      </c>
      <c r="H163" s="10">
        <f>IF(COUNT(D163:F163)=0,"",MEDIAN(D163:F163))</f>
        <v/>
      </c>
      <c r="I163" s="10">
        <f>IF(COUNT(D163:F163)=0,"",MAX(D163:F163))</f>
        <v/>
      </c>
      <c r="J163" s="11">
        <f>IF(OR(G163="",G163=0),"",(I163-G163)/G163)</f>
        <v/>
      </c>
      <c r="K163" s="4">
        <f>IF(COUNT(D163:F163)=0,"",INDEX($D$1:$F$1,MATCH(MIN(D163:F163),D163:F163,0)))</f>
        <v/>
      </c>
      <c r="L163" s="10" t="n">
        <v>553.61</v>
      </c>
      <c r="M163" s="12" t="n">
        <v>1</v>
      </c>
    </row>
    <row r="164">
      <c r="A164" s="4" t="inlineStr">
        <is>
          <t>MAT-09-040</t>
        </is>
      </c>
      <c r="B164" s="5" t="inlineStr">
        <is>
          <t>Ducha Tipo Teléfono P01720</t>
        </is>
      </c>
      <c r="C164" s="4" t="inlineStr">
        <is>
          <t>unidad</t>
        </is>
      </c>
      <c r="D164" s="10" t="n">
        <v>559.28</v>
      </c>
      <c r="E164" s="10" t="n"/>
      <c r="F164" s="10" t="n"/>
      <c r="G164" s="10">
        <f>IF(COUNT(D164:F164)=0,"",MIN(D164:F164))</f>
        <v/>
      </c>
      <c r="H164" s="10">
        <f>IF(COUNT(D164:F164)=0,"",MEDIAN(D164:F164))</f>
        <v/>
      </c>
      <c r="I164" s="10">
        <f>IF(COUNT(D164:F164)=0,"",MAX(D164:F164))</f>
        <v/>
      </c>
      <c r="J164" s="11">
        <f>IF(OR(G164="",G164=0),"",(I164-G164)/G164)</f>
        <v/>
      </c>
      <c r="K164" s="4">
        <f>IF(COUNT(D164:F164)=0,"",INDEX($D$1:$F$1,MATCH(MIN(D164:F164),D164:F164,0)))</f>
        <v/>
      </c>
      <c r="L164" s="10" t="n">
        <v>559.28</v>
      </c>
      <c r="M164" s="12" t="n">
        <v>1</v>
      </c>
    </row>
    <row r="165">
      <c r="A165" s="4" t="inlineStr">
        <is>
          <t>MAT-09-041</t>
        </is>
      </c>
      <c r="B165" s="5" t="inlineStr">
        <is>
          <t>Cabeza De Ducha Cuadrada</t>
        </is>
      </c>
      <c r="C165" s="4" t="inlineStr">
        <is>
          <t>unidad</t>
        </is>
      </c>
      <c r="D165" s="10" t="n">
        <v>562.46</v>
      </c>
      <c r="E165" s="10" t="n"/>
      <c r="F165" s="10" t="n"/>
      <c r="G165" s="10">
        <f>IF(COUNT(D165:F165)=0,"",MIN(D165:F165))</f>
        <v/>
      </c>
      <c r="H165" s="10">
        <f>IF(COUNT(D165:F165)=0,"",MEDIAN(D165:F165))</f>
        <v/>
      </c>
      <c r="I165" s="10">
        <f>IF(COUNT(D165:F165)=0,"",MAX(D165:F165))</f>
        <v/>
      </c>
      <c r="J165" s="11">
        <f>IF(OR(G165="",G165=0),"",(I165-G165)/G165)</f>
        <v/>
      </c>
      <c r="K165" s="4">
        <f>IF(COUNT(D165:F165)=0,"",INDEX($D$1:$F$1,MATCH(MIN(D165:F165),D165:F165,0)))</f>
        <v/>
      </c>
      <c r="L165" s="10" t="n">
        <v>562.46</v>
      </c>
      <c r="M165" s="12" t="n">
        <v>1</v>
      </c>
    </row>
    <row r="166">
      <c r="A166" s="4" t="inlineStr">
        <is>
          <t>MAT-09-042</t>
        </is>
      </c>
      <c r="B166" s="5" t="inlineStr">
        <is>
          <t>Cabeza para Ducha Redonda</t>
        </is>
      </c>
      <c r="C166" s="4" t="inlineStr">
        <is>
          <t>unidad</t>
        </is>
      </c>
      <c r="D166" s="10" t="n">
        <v>678.49</v>
      </c>
      <c r="E166" s="10" t="n"/>
      <c r="F166" s="10" t="n"/>
      <c r="G166" s="10">
        <f>IF(COUNT(D166:F166)=0,"",MIN(D166:F166))</f>
        <v/>
      </c>
      <c r="H166" s="10">
        <f>IF(COUNT(D166:F166)=0,"",MEDIAN(D166:F166))</f>
        <v/>
      </c>
      <c r="I166" s="10">
        <f>IF(COUNT(D166:F166)=0,"",MAX(D166:F166))</f>
        <v/>
      </c>
      <c r="J166" s="11">
        <f>IF(OR(G166="",G166=0),"",(I166-G166)/G166)</f>
        <v/>
      </c>
      <c r="K166" s="4">
        <f>IF(COUNT(D166:F166)=0,"",INDEX($D$1:$F$1,MATCH(MIN(D166:F166),D166:F166,0)))</f>
        <v/>
      </c>
      <c r="L166" s="10" t="n">
        <v>678.49</v>
      </c>
      <c r="M166" s="12" t="n">
        <v>1</v>
      </c>
    </row>
    <row r="167">
      <c r="A167" s="4" t="inlineStr">
        <is>
          <t>MAT-09-043</t>
        </is>
      </c>
      <c r="B167" s="5" t="inlineStr">
        <is>
          <t>Ducha tipo Telefono Completa</t>
        </is>
      </c>
      <c r="C167" s="4" t="inlineStr">
        <is>
          <t>unidad</t>
        </is>
      </c>
      <c r="D167" s="10" t="n">
        <v>475.26</v>
      </c>
      <c r="E167" s="10" t="n"/>
      <c r="F167" s="10" t="n"/>
      <c r="G167" s="10">
        <f>IF(COUNT(D167:F167)=0,"",MIN(D167:F167))</f>
        <v/>
      </c>
      <c r="H167" s="10">
        <f>IF(COUNT(D167:F167)=0,"",MEDIAN(D167:F167))</f>
        <v/>
      </c>
      <c r="I167" s="10">
        <f>IF(COUNT(D167:F167)=0,"",MAX(D167:F167))</f>
        <v/>
      </c>
      <c r="J167" s="11">
        <f>IF(OR(G167="",G167=0),"",(I167-G167)/G167)</f>
        <v/>
      </c>
      <c r="K167" s="4">
        <f>IF(COUNT(D167:F167)=0,"",INDEX($D$1:$F$1,MATCH(MIN(D167:F167),D167:F167,0)))</f>
        <v/>
      </c>
      <c r="L167" s="10" t="n">
        <v>712.46</v>
      </c>
      <c r="M167" s="12" t="n">
        <v>1</v>
      </c>
    </row>
    <row r="168">
      <c r="A168" s="4" t="inlineStr">
        <is>
          <t>MAT-09-044</t>
        </is>
      </c>
      <c r="B168" s="5" t="inlineStr">
        <is>
          <t>Ducha Telefono con Manguera 8 Funciones</t>
        </is>
      </c>
      <c r="C168" s="4" t="inlineStr">
        <is>
          <t>unidad</t>
        </is>
      </c>
      <c r="D168" s="10" t="n">
        <v>730.86</v>
      </c>
      <c r="E168" s="10" t="n"/>
      <c r="F168" s="10" t="n"/>
      <c r="G168" s="10">
        <f>IF(COUNT(D168:F168)=0,"",MIN(D168:F168))</f>
        <v/>
      </c>
      <c r="H168" s="10">
        <f>IF(COUNT(D168:F168)=0,"",MEDIAN(D168:F168))</f>
        <v/>
      </c>
      <c r="I168" s="10">
        <f>IF(COUNT(D168:F168)=0,"",MAX(D168:F168))</f>
        <v/>
      </c>
      <c r="J168" s="11">
        <f>IF(OR(G168="",G168=0),"",(I168-G168)/G168)</f>
        <v/>
      </c>
      <c r="K168" s="4">
        <f>IF(COUNT(D168:F168)=0,"",INDEX($D$1:$F$1,MATCH(MIN(D168:F168),D168:F168,0)))</f>
        <v/>
      </c>
      <c r="L168" s="10" t="n">
        <v>730.86</v>
      </c>
      <c r="M168" s="12" t="n">
        <v>1</v>
      </c>
    </row>
    <row r="169">
      <c r="A169" s="4" t="inlineStr">
        <is>
          <t>MAT-09-045</t>
        </is>
      </c>
      <c r="B169" s="5" t="inlineStr">
        <is>
          <t>Ducha Telefono con Manguera 3 Funciones</t>
        </is>
      </c>
      <c r="C169" s="4" t="inlineStr">
        <is>
          <t>unidad</t>
        </is>
      </c>
      <c r="D169" s="10" t="n">
        <v>764.03</v>
      </c>
      <c r="E169" s="10" t="n"/>
      <c r="F169" s="10" t="n"/>
      <c r="G169" s="10">
        <f>IF(COUNT(D169:F169)=0,"",MIN(D169:F169))</f>
        <v/>
      </c>
      <c r="H169" s="10">
        <f>IF(COUNT(D169:F169)=0,"",MEDIAN(D169:F169))</f>
        <v/>
      </c>
      <c r="I169" s="10">
        <f>IF(COUNT(D169:F169)=0,"",MAX(D169:F169))</f>
        <v/>
      </c>
      <c r="J169" s="11">
        <f>IF(OR(G169="",G169=0),"",(I169-G169)/G169)</f>
        <v/>
      </c>
      <c r="K169" s="4">
        <f>IF(COUNT(D169:F169)=0,"",INDEX($D$1:$F$1,MATCH(MIN(D169:F169),D169:F169,0)))</f>
        <v/>
      </c>
      <c r="L169" s="10" t="n">
        <v>924.2</v>
      </c>
      <c r="M169" s="12" t="n">
        <v>1</v>
      </c>
    </row>
    <row r="170">
      <c r="A170" s="4" t="inlineStr">
        <is>
          <t>MAT-09-046</t>
        </is>
      </c>
      <c r="B170" s="5" t="inlineStr">
        <is>
          <t>Barra Deslizante Para Duchas</t>
        </is>
      </c>
      <c r="C170" s="4" t="inlineStr">
        <is>
          <t>unidad</t>
        </is>
      </c>
      <c r="D170" s="10" t="n">
        <v>783.73</v>
      </c>
      <c r="E170" s="10" t="n"/>
      <c r="F170" s="10" t="n"/>
      <c r="G170" s="10">
        <f>IF(COUNT(D170:F170)=0,"",MIN(D170:F170))</f>
        <v/>
      </c>
      <c r="H170" s="10">
        <f>IF(COUNT(D170:F170)=0,"",MEDIAN(D170:F170))</f>
        <v/>
      </c>
      <c r="I170" s="10">
        <f>IF(COUNT(D170:F170)=0,"",MAX(D170:F170))</f>
        <v/>
      </c>
      <c r="J170" s="11">
        <f>IF(OR(G170="",G170=0),"",(I170-G170)/G170)</f>
        <v/>
      </c>
      <c r="K170" s="4">
        <f>IF(COUNT(D170:F170)=0,"",INDEX($D$1:$F$1,MATCH(MIN(D170:F170),D170:F170,0)))</f>
        <v/>
      </c>
      <c r="L170" s="10" t="n">
        <v>783.73</v>
      </c>
      <c r="M170" s="12" t="n">
        <v>1</v>
      </c>
    </row>
    <row r="171">
      <c r="A171" s="4" t="inlineStr">
        <is>
          <t>MAT-09-047</t>
        </is>
      </c>
      <c r="B171" s="5" t="inlineStr">
        <is>
          <t>Ducha Redonda 5 Funciones</t>
        </is>
      </c>
      <c r="C171" s="4" t="inlineStr">
        <is>
          <t>unidad</t>
        </is>
      </c>
      <c r="D171" s="10" t="n">
        <v>835.29</v>
      </c>
      <c r="E171" s="10" t="n"/>
      <c r="F171" s="10" t="n"/>
      <c r="G171" s="10">
        <f>IF(COUNT(D171:F171)=0,"",MIN(D171:F171))</f>
        <v/>
      </c>
      <c r="H171" s="10">
        <f>IF(COUNT(D171:F171)=0,"",MEDIAN(D171:F171))</f>
        <v/>
      </c>
      <c r="I171" s="10">
        <f>IF(COUNT(D171:F171)=0,"",MAX(D171:F171))</f>
        <v/>
      </c>
      <c r="J171" s="11">
        <f>IF(OR(G171="",G171=0),"",(I171-G171)/G171)</f>
        <v/>
      </c>
      <c r="K171" s="4">
        <f>IF(COUNT(D171:F171)=0,"",INDEX($D$1:$F$1,MATCH(MIN(D171:F171),D171:F171,0)))</f>
        <v/>
      </c>
      <c r="L171" s="10" t="n">
        <v>835.29</v>
      </c>
      <c r="M171" s="12" t="n">
        <v>1</v>
      </c>
    </row>
    <row r="172">
      <c r="A172" s="4" t="inlineStr">
        <is>
          <t>MAT-09-048</t>
        </is>
      </c>
      <c r="B172" s="5" t="inlineStr">
        <is>
          <t>Ducha con Brazo Y Cubrefalta</t>
        </is>
      </c>
      <c r="C172" s="4" t="inlineStr">
        <is>
          <t>unidad</t>
        </is>
      </c>
      <c r="D172" s="10" t="n">
        <v>895.38</v>
      </c>
      <c r="E172" s="10" t="n"/>
      <c r="F172" s="10" t="n"/>
      <c r="G172" s="10">
        <f>IF(COUNT(D172:F172)=0,"",MIN(D172:F172))</f>
        <v/>
      </c>
      <c r="H172" s="10">
        <f>IF(COUNT(D172:F172)=0,"",MEDIAN(D172:F172))</f>
        <v/>
      </c>
      <c r="I172" s="10">
        <f>IF(COUNT(D172:F172)=0,"",MAX(D172:F172))</f>
        <v/>
      </c>
      <c r="J172" s="11">
        <f>IF(OR(G172="",G172=0),"",(I172-G172)/G172)</f>
        <v/>
      </c>
      <c r="K172" s="4">
        <f>IF(COUNT(D172:F172)=0,"",INDEX($D$1:$F$1,MATCH(MIN(D172:F172),D172:F172,0)))</f>
        <v/>
      </c>
      <c r="L172" s="10" t="n">
        <v>895.38</v>
      </c>
      <c r="M172" s="12" t="n">
        <v>1</v>
      </c>
    </row>
    <row r="173">
      <c r="A173" s="4" t="inlineStr">
        <is>
          <t>MAT-09-049</t>
        </is>
      </c>
      <c r="B173" s="5" t="inlineStr">
        <is>
          <t>Ducha Higienica 55-Chattaf-F</t>
        </is>
      </c>
      <c r="C173" s="4" t="inlineStr">
        <is>
          <t>unidad</t>
        </is>
      </c>
      <c r="D173" s="10" t="n">
        <v>1152.18</v>
      </c>
      <c r="E173" s="10" t="n"/>
      <c r="F173" s="10" t="n"/>
      <c r="G173" s="10">
        <f>IF(COUNT(D173:F173)=0,"",MIN(D173:F173))</f>
        <v/>
      </c>
      <c r="H173" s="10">
        <f>IF(COUNT(D173:F173)=0,"",MEDIAN(D173:F173))</f>
        <v/>
      </c>
      <c r="I173" s="10">
        <f>IF(COUNT(D173:F173)=0,"",MAX(D173:F173))</f>
        <v/>
      </c>
      <c r="J173" s="11">
        <f>IF(OR(G173="",G173=0),"",(I173-G173)/G173)</f>
        <v/>
      </c>
      <c r="K173" s="4">
        <f>IF(COUNT(D173:F173)=0,"",INDEX($D$1:$F$1,MATCH(MIN(D173:F173),D173:F173,0)))</f>
        <v/>
      </c>
      <c r="L173" s="10" t="n">
        <v>1152.18</v>
      </c>
      <c r="M173" s="12" t="n">
        <v>1</v>
      </c>
    </row>
    <row r="174">
      <c r="A174" s="4" t="inlineStr">
        <is>
          <t>MAT-09-050</t>
        </is>
      </c>
      <c r="B174" s="5" t="inlineStr">
        <is>
          <t>Ducha Telefono con Manguera 5 Funciones</t>
        </is>
      </c>
      <c r="C174" s="4" t="inlineStr">
        <is>
          <t>unidad</t>
        </is>
      </c>
      <c r="D174" s="10" t="n">
        <v>1338.18</v>
      </c>
      <c r="E174" s="10" t="n"/>
      <c r="F174" s="10" t="n"/>
      <c r="G174" s="10">
        <f>IF(COUNT(D174:F174)=0,"",MIN(D174:F174))</f>
        <v/>
      </c>
      <c r="H174" s="10">
        <f>IF(COUNT(D174:F174)=0,"",MEDIAN(D174:F174))</f>
        <v/>
      </c>
      <c r="I174" s="10">
        <f>IF(COUNT(D174:F174)=0,"",MAX(D174:F174))</f>
        <v/>
      </c>
      <c r="J174" s="11">
        <f>IF(OR(G174="",G174=0),"",(I174-G174)/G174)</f>
        <v/>
      </c>
      <c r="K174" s="4">
        <f>IF(COUNT(D174:F174)=0,"",INDEX($D$1:$F$1,MATCH(MIN(D174:F174),D174:F174,0)))</f>
        <v/>
      </c>
      <c r="L174" s="10" t="n">
        <v>1338.18</v>
      </c>
      <c r="M174" s="12" t="n">
        <v>1</v>
      </c>
    </row>
    <row r="175">
      <c r="A175" s="4" t="inlineStr">
        <is>
          <t>MAT-09-051</t>
        </is>
      </c>
      <c r="B175" s="5" t="inlineStr">
        <is>
          <t>Barra Deslizable para Ducha</t>
        </is>
      </c>
      <c r="C175" s="4" t="inlineStr">
        <is>
          <t>unidad</t>
        </is>
      </c>
      <c r="D175" s="10" t="n">
        <v>806.08</v>
      </c>
      <c r="E175" s="10" t="n"/>
      <c r="F175" s="10" t="n"/>
      <c r="G175" s="10">
        <f>IF(COUNT(D175:F175)=0,"",MIN(D175:F175))</f>
        <v/>
      </c>
      <c r="H175" s="10">
        <f>IF(COUNT(D175:F175)=0,"",MEDIAN(D175:F175))</f>
        <v/>
      </c>
      <c r="I175" s="10">
        <f>IF(COUNT(D175:F175)=0,"",MAX(D175:F175))</f>
        <v/>
      </c>
      <c r="J175" s="11">
        <f>IF(OR(G175="",G175=0),"",(I175-G175)/G175)</f>
        <v/>
      </c>
      <c r="K175" s="4">
        <f>IF(COUNT(D175:F175)=0,"",INDEX($D$1:$F$1,MATCH(MIN(D175:F175),D175:F175,0)))</f>
        <v/>
      </c>
      <c r="L175" s="10" t="n">
        <v>1110.55</v>
      </c>
      <c r="M175" s="12" t="n">
        <v>1</v>
      </c>
    </row>
    <row r="176">
      <c r="A176" s="4" t="inlineStr">
        <is>
          <t>MAT-09-052</t>
        </is>
      </c>
      <c r="B176" s="5" t="inlineStr">
        <is>
          <t>Cabeza De Ducha 4"</t>
        </is>
      </c>
      <c r="C176" s="4" t="inlineStr">
        <is>
          <t>unidad</t>
        </is>
      </c>
      <c r="D176" s="10" t="n">
        <v>1660.9</v>
      </c>
      <c r="E176" s="10" t="n"/>
      <c r="F176" s="10" t="n"/>
      <c r="G176" s="10">
        <f>IF(COUNT(D176:F176)=0,"",MIN(D176:F176))</f>
        <v/>
      </c>
      <c r="H176" s="10">
        <f>IF(COUNT(D176:F176)=0,"",MEDIAN(D176:F176))</f>
        <v/>
      </c>
      <c r="I176" s="10">
        <f>IF(COUNT(D176:F176)=0,"",MAX(D176:F176))</f>
        <v/>
      </c>
      <c r="J176" s="11">
        <f>IF(OR(G176="",G176=0),"",(I176-G176)/G176)</f>
        <v/>
      </c>
      <c r="K176" s="4">
        <f>IF(COUNT(D176:F176)=0,"",INDEX($D$1:$F$1,MATCH(MIN(D176:F176),D176:F176,0)))</f>
        <v/>
      </c>
      <c r="L176" s="10" t="n">
        <v>1660.9</v>
      </c>
      <c r="M176" s="12" t="n">
        <v>1</v>
      </c>
    </row>
    <row r="177">
      <c r="A177" s="4" t="inlineStr">
        <is>
          <t>MAT-09-053</t>
        </is>
      </c>
      <c r="B177" s="5" t="inlineStr">
        <is>
          <t>Ducha Barra Exter. Cabeza Red</t>
        </is>
      </c>
      <c r="C177" s="4" t="inlineStr">
        <is>
          <t>unidad</t>
        </is>
      </c>
      <c r="D177" s="10" t="n">
        <v>3180</v>
      </c>
      <c r="E177" s="10" t="n"/>
      <c r="F177" s="10" t="n"/>
      <c r="G177" s="10">
        <f>IF(COUNT(D177:F177)=0,"",MIN(D177:F177))</f>
        <v/>
      </c>
      <c r="H177" s="10">
        <f>IF(COUNT(D177:F177)=0,"",MEDIAN(D177:F177))</f>
        <v/>
      </c>
      <c r="I177" s="10">
        <f>IF(COUNT(D177:F177)=0,"",MAX(D177:F177))</f>
        <v/>
      </c>
      <c r="J177" s="11">
        <f>IF(OR(G177="",G177=0),"",(I177-G177)/G177)</f>
        <v/>
      </c>
      <c r="K177" s="4">
        <f>IF(COUNT(D177:F177)=0,"",INDEX($D$1:$F$1,MATCH(MIN(D177:F177),D177:F177,0)))</f>
        <v/>
      </c>
      <c r="L177" s="10" t="n">
        <v>3637.18</v>
      </c>
      <c r="M177" s="12" t="n">
        <v>1</v>
      </c>
    </row>
    <row r="178">
      <c r="A178" s="4" t="inlineStr">
        <is>
          <t>MAT-09-054</t>
        </is>
      </c>
      <c r="B178" s="5" t="inlineStr">
        <is>
          <t>Barra Ducha Ext 4 Op. Cabeza Cuad. Negro</t>
        </is>
      </c>
      <c r="C178" s="4" t="inlineStr">
        <is>
          <t>unidad</t>
        </is>
      </c>
      <c r="D178" s="10" t="n">
        <v>10189.3</v>
      </c>
      <c r="E178" s="10" t="n"/>
      <c r="F178" s="10" t="n"/>
      <c r="G178" s="10">
        <f>IF(COUNT(D178:F178)=0,"",MIN(D178:F178))</f>
        <v/>
      </c>
      <c r="H178" s="10">
        <f>IF(COUNT(D178:F178)=0,"",MEDIAN(D178:F178))</f>
        <v/>
      </c>
      <c r="I178" s="10">
        <f>IF(COUNT(D178:F178)=0,"",MAX(D178:F178))</f>
        <v/>
      </c>
      <c r="J178" s="11">
        <f>IF(OR(G178="",G178=0),"",(I178-G178)/G178)</f>
        <v/>
      </c>
      <c r="K178" s="4">
        <f>IF(COUNT(D178:F178)=0,"",INDEX($D$1:$F$1,MATCH(MIN(D178:F178),D178:F178,0)))</f>
        <v/>
      </c>
      <c r="L178" s="10" t="n">
        <v>10189.3</v>
      </c>
      <c r="M178" s="12" t="n">
        <v>1</v>
      </c>
    </row>
    <row r="179">
      <c r="A179" s="4" t="inlineStr">
        <is>
          <t>MAT-09-055</t>
        </is>
      </c>
      <c r="B179" s="5" t="inlineStr">
        <is>
          <t>Barra Ducha Ext 4 Op. Cabeza redondo Negro</t>
        </is>
      </c>
      <c r="C179" s="4" t="inlineStr">
        <is>
          <t>unidad</t>
        </is>
      </c>
      <c r="D179" s="10" t="n">
        <v>10200.42</v>
      </c>
      <c r="E179" s="10" t="n"/>
      <c r="F179" s="10" t="n"/>
      <c r="G179" s="10">
        <f>IF(COUNT(D179:F179)=0,"",MIN(D179:F179))</f>
        <v/>
      </c>
      <c r="H179" s="10">
        <f>IF(COUNT(D179:F179)=0,"",MEDIAN(D179:F179))</f>
        <v/>
      </c>
      <c r="I179" s="10">
        <f>IF(COUNT(D179:F179)=0,"",MAX(D179:F179))</f>
        <v/>
      </c>
      <c r="J179" s="11">
        <f>IF(OR(G179="",G179=0),"",(I179-G179)/G179)</f>
        <v/>
      </c>
      <c r="K179" s="4">
        <f>IF(COUNT(D179:F179)=0,"",INDEX($D$1:$F$1,MATCH(MIN(D179:F179),D179:F179,0)))</f>
        <v/>
      </c>
      <c r="L179" s="10" t="n">
        <v>10200.42</v>
      </c>
      <c r="M179" s="12" t="n">
        <v>1</v>
      </c>
    </row>
    <row r="180">
      <c r="A180" s="4" t="inlineStr">
        <is>
          <t>MAT-09-056</t>
        </is>
      </c>
      <c r="B180" s="5" t="inlineStr">
        <is>
          <t>Ducha Barra Ext Inx Pro 2 Op Gris Soporte</t>
        </is>
      </c>
      <c r="C180" s="4" t="inlineStr">
        <is>
          <t>unidad</t>
        </is>
      </c>
      <c r="D180" s="10" t="n">
        <v>10542.24</v>
      </c>
      <c r="E180" s="10" t="n"/>
      <c r="F180" s="10" t="n"/>
      <c r="G180" s="10">
        <f>IF(COUNT(D180:F180)=0,"",MIN(D180:F180))</f>
        <v/>
      </c>
      <c r="H180" s="10">
        <f>IF(COUNT(D180:F180)=0,"",MEDIAN(D180:F180))</f>
        <v/>
      </c>
      <c r="I180" s="10">
        <f>IF(COUNT(D180:F180)=0,"",MAX(D180:F180))</f>
        <v/>
      </c>
      <c r="J180" s="11">
        <f>IF(OR(G180="",G180=0),"",(I180-G180)/G180)</f>
        <v/>
      </c>
      <c r="K180" s="4">
        <f>IF(COUNT(D180:F180)=0,"",INDEX($D$1:$F$1,MATCH(MIN(D180:F180),D180:F180,0)))</f>
        <v/>
      </c>
      <c r="L180" s="10" t="n">
        <v>10542.24</v>
      </c>
      <c r="M180" s="12" t="n">
        <v>1</v>
      </c>
    </row>
    <row r="181">
      <c r="A181" s="4" t="inlineStr">
        <is>
          <t>MAT-09-057</t>
        </is>
      </c>
      <c r="B181" s="5" t="inlineStr">
        <is>
          <t>Ducha De Barra Exterior Paris</t>
        </is>
      </c>
      <c r="C181" s="4" t="inlineStr">
        <is>
          <t>unidad</t>
        </is>
      </c>
      <c r="D181" s="10" t="n">
        <v>12179.57</v>
      </c>
      <c r="E181" s="10" t="n"/>
      <c r="F181" s="10" t="n"/>
      <c r="G181" s="10">
        <f>IF(COUNT(D181:F181)=0,"",MIN(D181:F181))</f>
        <v/>
      </c>
      <c r="H181" s="10">
        <f>IF(COUNT(D181:F181)=0,"",MEDIAN(D181:F181))</f>
        <v/>
      </c>
      <c r="I181" s="10">
        <f>IF(COUNT(D181:F181)=0,"",MAX(D181:F181))</f>
        <v/>
      </c>
      <c r="J181" s="11">
        <f>IF(OR(G181="",G181=0),"",(I181-G181)/G181)</f>
        <v/>
      </c>
      <c r="K181" s="4">
        <f>IF(COUNT(D181:F181)=0,"",INDEX($D$1:$F$1,MATCH(MIN(D181:F181),D181:F181,0)))</f>
        <v/>
      </c>
      <c r="L181" s="10" t="n">
        <v>12179.57</v>
      </c>
      <c r="M181" s="12" t="n">
        <v>1</v>
      </c>
    </row>
    <row r="182">
      <c r="A182" s="4" t="inlineStr">
        <is>
          <t>MAT-09-058</t>
        </is>
      </c>
      <c r="B182" s="5" t="inlineStr">
        <is>
          <t>Ducha Barra Exter. Cab. Cuad. Cromo</t>
        </is>
      </c>
      <c r="C182" s="4" t="inlineStr">
        <is>
          <t>unidad</t>
        </is>
      </c>
      <c r="D182" s="10" t="n">
        <v>9360.4</v>
      </c>
      <c r="E182" s="10" t="n"/>
      <c r="F182" s="10" t="n"/>
      <c r="G182" s="10">
        <f>IF(COUNT(D182:F182)=0,"",MIN(D182:F182))</f>
        <v/>
      </c>
      <c r="H182" s="10">
        <f>IF(COUNT(D182:F182)=0,"",MEDIAN(D182:F182))</f>
        <v/>
      </c>
      <c r="I182" s="10">
        <f>IF(COUNT(D182:F182)=0,"",MAX(D182:F182))</f>
        <v/>
      </c>
      <c r="J182" s="11">
        <f>IF(OR(G182="",G182=0),"",(I182-G182)/G182)</f>
        <v/>
      </c>
      <c r="K182" s="4">
        <f>IF(COUNT(D182:F182)=0,"",INDEX($D$1:$F$1,MATCH(MIN(D182:F182),D182:F182,0)))</f>
        <v/>
      </c>
      <c r="L182" s="10" t="n">
        <v>9604.32</v>
      </c>
      <c r="M182" s="12" t="n">
        <v>1</v>
      </c>
    </row>
    <row r="183">
      <c r="A183" s="4" t="inlineStr">
        <is>
          <t>MAT-09-059</t>
        </is>
      </c>
      <c r="B183" s="5" t="inlineStr">
        <is>
          <t>Columna De Ducha 165 x 200 Mm</t>
        </is>
      </c>
      <c r="C183" s="4" t="inlineStr">
        <is>
          <t>unidad</t>
        </is>
      </c>
      <c r="D183" s="10" t="n">
        <v>15783.49</v>
      </c>
      <c r="E183" s="10" t="n"/>
      <c r="F183" s="10" t="n"/>
      <c r="G183" s="10">
        <f>IF(COUNT(D183:F183)=0,"",MIN(D183:F183))</f>
        <v/>
      </c>
      <c r="H183" s="10">
        <f>IF(COUNT(D183:F183)=0,"",MEDIAN(D183:F183))</f>
        <v/>
      </c>
      <c r="I183" s="10">
        <f>IF(COUNT(D183:F183)=0,"",MAX(D183:F183))</f>
        <v/>
      </c>
      <c r="J183" s="11">
        <f>IF(OR(G183="",G183=0),"",(I183-G183)/G183)</f>
        <v/>
      </c>
      <c r="K183" s="4">
        <f>IF(COUNT(D183:F183)=0,"",INDEX($D$1:$F$1,MATCH(MIN(D183:F183),D183:F183,0)))</f>
        <v/>
      </c>
      <c r="L183" s="10" t="n">
        <v>15783.49</v>
      </c>
      <c r="M183" s="12" t="n">
        <v>1</v>
      </c>
    </row>
    <row r="184">
      <c r="A184" s="4" t="inlineStr">
        <is>
          <t>MAT-09-060</t>
        </is>
      </c>
      <c r="B184" s="5" t="inlineStr">
        <is>
          <t>Ducha Barra Ext Inx Pro 4 Op Gris Cuad</t>
        </is>
      </c>
      <c r="C184" s="4" t="inlineStr">
        <is>
          <t>unidad</t>
        </is>
      </c>
      <c r="D184" s="10" t="n">
        <v>16111.04</v>
      </c>
      <c r="E184" s="10" t="n"/>
      <c r="F184" s="10" t="n"/>
      <c r="G184" s="10">
        <f>IF(COUNT(D184:F184)=0,"",MIN(D184:F184))</f>
        <v/>
      </c>
      <c r="H184" s="10">
        <f>IF(COUNT(D184:F184)=0,"",MEDIAN(D184:F184))</f>
        <v/>
      </c>
      <c r="I184" s="10">
        <f>IF(COUNT(D184:F184)=0,"",MAX(D184:F184))</f>
        <v/>
      </c>
      <c r="J184" s="11">
        <f>IF(OR(G184="",G184=0),"",(I184-G184)/G184)</f>
        <v/>
      </c>
      <c r="K184" s="4">
        <f>IF(COUNT(D184:F184)=0,"",INDEX($D$1:$F$1,MATCH(MIN(D184:F184),D184:F184,0)))</f>
        <v/>
      </c>
      <c r="L184" s="10" t="n">
        <v>16111.04</v>
      </c>
      <c r="M184" s="12" t="n">
        <v>1</v>
      </c>
    </row>
    <row r="185">
      <c r="A185" s="4" t="inlineStr">
        <is>
          <t>MAT-09-061</t>
        </is>
      </c>
      <c r="B185" s="5" t="inlineStr">
        <is>
          <t>Ducha Barra Ext Inx Pro 4 Op Gris Red</t>
        </is>
      </c>
      <c r="C185" s="4" t="inlineStr">
        <is>
          <t>unidad</t>
        </is>
      </c>
      <c r="D185" s="10" t="n">
        <v>16111.04</v>
      </c>
      <c r="E185" s="10" t="n"/>
      <c r="F185" s="10" t="n"/>
      <c r="G185" s="10">
        <f>IF(COUNT(D185:F185)=0,"",MIN(D185:F185))</f>
        <v/>
      </c>
      <c r="H185" s="10">
        <f>IF(COUNT(D185:F185)=0,"",MEDIAN(D185:F185))</f>
        <v/>
      </c>
      <c r="I185" s="10">
        <f>IF(COUNT(D185:F185)=0,"",MAX(D185:F185))</f>
        <v/>
      </c>
      <c r="J185" s="11">
        <f>IF(OR(G185="",G185=0),"",(I185-G185)/G185)</f>
        <v/>
      </c>
      <c r="K185" s="4">
        <f>IF(COUNT(D185:F185)=0,"",INDEX($D$1:$F$1,MATCH(MIN(D185:F185),D185:F185,0)))</f>
        <v/>
      </c>
      <c r="L185" s="10" t="n">
        <v>16111.04</v>
      </c>
      <c r="M185" s="12" t="n">
        <v>1</v>
      </c>
    </row>
    <row r="186">
      <c r="A186" s="4" t="inlineStr">
        <is>
          <t>MAT-09-062</t>
        </is>
      </c>
      <c r="B186" s="5" t="inlineStr">
        <is>
          <t>Columna De Ducha 155 x 210 Mm</t>
        </is>
      </c>
      <c r="C186" s="4" t="inlineStr">
        <is>
          <t>unidad</t>
        </is>
      </c>
      <c r="D186" s="10" t="n">
        <v>11281.28</v>
      </c>
      <c r="E186" s="10" t="n"/>
      <c r="F186" s="10" t="n"/>
      <c r="G186" s="10">
        <f>IF(COUNT(D186:F186)=0,"",MIN(D186:F186))</f>
        <v/>
      </c>
      <c r="H186" s="10">
        <f>IF(COUNT(D186:F186)=0,"",MEDIAN(D186:F186))</f>
        <v/>
      </c>
      <c r="I186" s="10">
        <f>IF(COUNT(D186:F186)=0,"",MAX(D186:F186))</f>
        <v/>
      </c>
      <c r="J186" s="11">
        <f>IF(OR(G186="",G186=0),"",(I186-G186)/G186)</f>
        <v/>
      </c>
      <c r="K186" s="4">
        <f>IF(COUNT(D186:F186)=0,"",INDEX($D$1:$F$1,MATCH(MIN(D186:F186),D186:F186,0)))</f>
        <v/>
      </c>
      <c r="L186" s="10" t="n">
        <v>13760.03</v>
      </c>
      <c r="M186" s="12" t="n">
        <v>1</v>
      </c>
    </row>
    <row r="187">
      <c r="A187" s="4" t="inlineStr">
        <is>
          <t>MAT-09-063</t>
        </is>
      </c>
      <c r="B187" s="5" t="inlineStr">
        <is>
          <t>Barra Exterior Minimalista Virgen Cromo</t>
        </is>
      </c>
      <c r="C187" s="4" t="inlineStr">
        <is>
          <t>unidad</t>
        </is>
      </c>
      <c r="D187" s="10" t="n">
        <v>25137.69</v>
      </c>
      <c r="E187" s="10" t="n"/>
      <c r="F187" s="10" t="n"/>
      <c r="G187" s="10">
        <f>IF(COUNT(D187:F187)=0,"",MIN(D187:F187))</f>
        <v/>
      </c>
      <c r="H187" s="10">
        <f>IF(COUNT(D187:F187)=0,"",MEDIAN(D187:F187))</f>
        <v/>
      </c>
      <c r="I187" s="10">
        <f>IF(COUNT(D187:F187)=0,"",MAX(D187:F187))</f>
        <v/>
      </c>
      <c r="J187" s="11">
        <f>IF(OR(G187="",G187=0),"",(I187-G187)/G187)</f>
        <v/>
      </c>
      <c r="K187" s="4">
        <f>IF(COUNT(D187:F187)=0,"",INDEX($D$1:$F$1,MATCH(MIN(D187:F187),D187:F187,0)))</f>
        <v/>
      </c>
      <c r="L187" s="10" t="n">
        <v>25137.69</v>
      </c>
      <c r="M187" s="12" t="n">
        <v>1</v>
      </c>
    </row>
    <row r="188">
      <c r="A188" s="4" t="inlineStr">
        <is>
          <t>MAT-09-064</t>
        </is>
      </c>
      <c r="B188" s="5" t="inlineStr">
        <is>
          <t>Barra De Ducha Coc Silver Chrome</t>
        </is>
      </c>
      <c r="C188" s="4" t="inlineStr">
        <is>
          <t>unidad</t>
        </is>
      </c>
      <c r="D188" s="10" t="n">
        <v>25445.08</v>
      </c>
      <c r="E188" s="10" t="n"/>
      <c r="F188" s="10" t="n"/>
      <c r="G188" s="10">
        <f>IF(COUNT(D188:F188)=0,"",MIN(D188:F188))</f>
        <v/>
      </c>
      <c r="H188" s="10">
        <f>IF(COUNT(D188:F188)=0,"",MEDIAN(D188:F188))</f>
        <v/>
      </c>
      <c r="I188" s="10">
        <f>IF(COUNT(D188:F188)=0,"",MAX(D188:F188))</f>
        <v/>
      </c>
      <c r="J188" s="11">
        <f>IF(OR(G188="",G188=0),"",(I188-G188)/G188)</f>
        <v/>
      </c>
      <c r="K188" s="4">
        <f>IF(COUNT(D188:F188)=0,"",INDEX($D$1:$F$1,MATCH(MIN(D188:F188),D188:F188,0)))</f>
        <v/>
      </c>
      <c r="L188" s="10" t="n">
        <v>25445.08</v>
      </c>
      <c r="M188" s="12" t="n">
        <v>1</v>
      </c>
    </row>
    <row r="189">
      <c r="A189" s="4" t="inlineStr">
        <is>
          <t>MAT-09-065</t>
        </is>
      </c>
      <c r="B189" s="5" t="inlineStr">
        <is>
          <t>Barra De Baño Ducha Coc Silver Chrome</t>
        </is>
      </c>
      <c r="C189" s="4" t="inlineStr">
        <is>
          <t>unidad</t>
        </is>
      </c>
      <c r="D189" s="10" t="n">
        <v>27491.73</v>
      </c>
      <c r="E189" s="10" t="n"/>
      <c r="F189" s="10" t="n"/>
      <c r="G189" s="10">
        <f>IF(COUNT(D189:F189)=0,"",MIN(D189:F189))</f>
        <v/>
      </c>
      <c r="H189" s="10">
        <f>IF(COUNT(D189:F189)=0,"",MEDIAN(D189:F189))</f>
        <v/>
      </c>
      <c r="I189" s="10">
        <f>IF(COUNT(D189:F189)=0,"",MAX(D189:F189))</f>
        <v/>
      </c>
      <c r="J189" s="11">
        <f>IF(OR(G189="",G189=0),"",(I189-G189)/G189)</f>
        <v/>
      </c>
      <c r="K189" s="4">
        <f>IF(COUNT(D189:F189)=0,"",INDEX($D$1:$F$1,MATCH(MIN(D189:F189),D189:F189,0)))</f>
        <v/>
      </c>
      <c r="L189" s="10" t="n">
        <v>27491.73</v>
      </c>
      <c r="M189" s="12" t="n">
        <v>1</v>
      </c>
    </row>
    <row r="190">
      <c r="A190" s="4" t="inlineStr">
        <is>
          <t>MAT-09-066</t>
        </is>
      </c>
      <c r="B190" s="5" t="inlineStr">
        <is>
          <t>Barra Exterior Minimalista Virgen Black</t>
        </is>
      </c>
      <c r="C190" s="4" t="inlineStr">
        <is>
          <t>unidad</t>
        </is>
      </c>
      <c r="D190" s="10" t="n">
        <v>28335.12</v>
      </c>
      <c r="E190" s="10" t="n"/>
      <c r="F190" s="10" t="n"/>
      <c r="G190" s="10">
        <f>IF(COUNT(D190:F190)=0,"",MIN(D190:F190))</f>
        <v/>
      </c>
      <c r="H190" s="10">
        <f>IF(COUNT(D190:F190)=0,"",MEDIAN(D190:F190))</f>
        <v/>
      </c>
      <c r="I190" s="10">
        <f>IF(COUNT(D190:F190)=0,"",MAX(D190:F190))</f>
        <v/>
      </c>
      <c r="J190" s="11">
        <f>IF(OR(G190="",G190=0),"",(I190-G190)/G190)</f>
        <v/>
      </c>
      <c r="K190" s="4">
        <f>IF(COUNT(D190:F190)=0,"",INDEX($D$1:$F$1,MATCH(MIN(D190:F190),D190:F190,0)))</f>
        <v/>
      </c>
      <c r="L190" s="10" t="n">
        <v>28335.12</v>
      </c>
      <c r="M190" s="12" t="n">
        <v>1</v>
      </c>
    </row>
    <row r="191">
      <c r="A191" s="4" t="inlineStr">
        <is>
          <t>MAT-09-067</t>
        </is>
      </c>
      <c r="B191" s="5" t="inlineStr">
        <is>
          <t>Barra De Baño Ducha Coc Negro Cobalto</t>
        </is>
      </c>
      <c r="C191" s="4" t="inlineStr">
        <is>
          <t>unidad</t>
        </is>
      </c>
      <c r="D191" s="10" t="n">
        <v>29022.19</v>
      </c>
      <c r="E191" s="10" t="n"/>
      <c r="F191" s="10" t="n"/>
      <c r="G191" s="10">
        <f>IF(COUNT(D191:F191)=0,"",MIN(D191:F191))</f>
        <v/>
      </c>
      <c r="H191" s="10">
        <f>IF(COUNT(D191:F191)=0,"",MEDIAN(D191:F191))</f>
        <v/>
      </c>
      <c r="I191" s="10">
        <f>IF(COUNT(D191:F191)=0,"",MAX(D191:F191))</f>
        <v/>
      </c>
      <c r="J191" s="11">
        <f>IF(OR(G191="",G191=0),"",(I191-G191)/G191)</f>
        <v/>
      </c>
      <c r="K191" s="4">
        <f>IF(COUNT(D191:F191)=0,"",INDEX($D$1:$F$1,MATCH(MIN(D191:F191),D191:F191,0)))</f>
        <v/>
      </c>
      <c r="L191" s="10" t="n">
        <v>29022.19</v>
      </c>
      <c r="M191" s="12" t="n">
        <v>1</v>
      </c>
    </row>
    <row r="192">
      <c r="A192" s="4" t="inlineStr">
        <is>
          <t>MAT-09-068</t>
        </is>
      </c>
      <c r="B192" s="5" t="inlineStr">
        <is>
          <t>Columna Ducha Expuesta con Regadera</t>
        </is>
      </c>
      <c r="C192" s="4" t="inlineStr">
        <is>
          <t>unidad</t>
        </is>
      </c>
      <c r="D192" s="10" t="n">
        <v>40738.17</v>
      </c>
      <c r="E192" s="10" t="n"/>
      <c r="F192" s="10" t="n"/>
      <c r="G192" s="10">
        <f>IF(COUNT(D192:F192)=0,"",MIN(D192:F192))</f>
        <v/>
      </c>
      <c r="H192" s="10">
        <f>IF(COUNT(D192:F192)=0,"",MEDIAN(D192:F192))</f>
        <v/>
      </c>
      <c r="I192" s="10">
        <f>IF(COUNT(D192:F192)=0,"",MAX(D192:F192))</f>
        <v/>
      </c>
      <c r="J192" s="11">
        <f>IF(OR(G192="",G192=0),"",(I192-G192)/G192)</f>
        <v/>
      </c>
      <c r="K192" s="4">
        <f>IF(COUNT(D192:F192)=0,"",INDEX($D$1:$F$1,MATCH(MIN(D192:F192),D192:F192,0)))</f>
        <v/>
      </c>
      <c r="L192" s="10" t="n">
        <v>40738.17</v>
      </c>
      <c r="M192" s="12" t="n">
        <v>1</v>
      </c>
    </row>
    <row r="193">
      <c r="A193" s="4" t="inlineStr">
        <is>
          <t>MAT-09-069</t>
        </is>
      </c>
      <c r="B193" s="5" t="inlineStr">
        <is>
          <t>Mezcladora Mono Ducha con Salida</t>
        </is>
      </c>
      <c r="C193" s="4" t="inlineStr">
        <is>
          <t>unidad</t>
        </is>
      </c>
      <c r="D193" s="10" t="n">
        <v>2603.89</v>
      </c>
      <c r="E193" s="10" t="n"/>
      <c r="F193" s="10" t="n"/>
      <c r="G193" s="10">
        <f>IF(COUNT(D193:F193)=0,"",MIN(D193:F193))</f>
        <v/>
      </c>
      <c r="H193" s="10">
        <f>IF(COUNT(D193:F193)=0,"",MEDIAN(D193:F193))</f>
        <v/>
      </c>
      <c r="I193" s="10">
        <f>IF(COUNT(D193:F193)=0,"",MAX(D193:F193))</f>
        <v/>
      </c>
      <c r="J193" s="11">
        <f>IF(OR(G193="",G193=0),"",(I193-G193)/G193)</f>
        <v/>
      </c>
      <c r="K193" s="4">
        <f>IF(COUNT(D193:F193)=0,"",INDEX($D$1:$F$1,MATCH(MIN(D193:F193),D193:F193,0)))</f>
        <v/>
      </c>
      <c r="L193" s="10" t="n">
        <v>2603.89</v>
      </c>
      <c r="M193" s="12" t="n">
        <v>1</v>
      </c>
    </row>
    <row r="194">
      <c r="A194" s="4" t="inlineStr">
        <is>
          <t>MAT-09-070</t>
        </is>
      </c>
      <c r="B194" s="5" t="inlineStr">
        <is>
          <t>Mezcladora Ducha Stelo Milan Gris Met</t>
        </is>
      </c>
      <c r="C194" s="4" t="inlineStr">
        <is>
          <t>unidad</t>
        </is>
      </c>
      <c r="D194" s="10" t="n">
        <v>5024.64</v>
      </c>
      <c r="E194" s="10" t="n"/>
      <c r="F194" s="10" t="n"/>
      <c r="G194" s="10">
        <f>IF(COUNT(D194:F194)=0,"",MIN(D194:F194))</f>
        <v/>
      </c>
      <c r="H194" s="10">
        <f>IF(COUNT(D194:F194)=0,"",MEDIAN(D194:F194))</f>
        <v/>
      </c>
      <c r="I194" s="10">
        <f>IF(COUNT(D194:F194)=0,"",MAX(D194:F194))</f>
        <v/>
      </c>
      <c r="J194" s="11">
        <f>IF(OR(G194="",G194=0),"",(I194-G194)/G194)</f>
        <v/>
      </c>
      <c r="K194" s="4">
        <f>IF(COUNT(D194:F194)=0,"",INDEX($D$1:$F$1,MATCH(MIN(D194:F194),D194:F194,0)))</f>
        <v/>
      </c>
      <c r="L194" s="10" t="n">
        <v>5024.64</v>
      </c>
      <c r="M194" s="12" t="n">
        <v>1</v>
      </c>
    </row>
    <row r="195">
      <c r="A195" s="4" t="inlineStr">
        <is>
          <t>MAT-09-071</t>
        </is>
      </c>
      <c r="B195" s="5" t="inlineStr">
        <is>
          <t>Mezcladora Ducha Stelo Milan Cromo</t>
        </is>
      </c>
      <c r="C195" s="4" t="inlineStr">
        <is>
          <t>unidad</t>
        </is>
      </c>
      <c r="D195" s="10" t="n">
        <v>5025.94</v>
      </c>
      <c r="E195" s="10" t="n"/>
      <c r="F195" s="10" t="n"/>
      <c r="G195" s="10">
        <f>IF(COUNT(D195:F195)=0,"",MIN(D195:F195))</f>
        <v/>
      </c>
      <c r="H195" s="10">
        <f>IF(COUNT(D195:F195)=0,"",MEDIAN(D195:F195))</f>
        <v/>
      </c>
      <c r="I195" s="10">
        <f>IF(COUNT(D195:F195)=0,"",MAX(D195:F195))</f>
        <v/>
      </c>
      <c r="J195" s="11">
        <f>IF(OR(G195="",G195=0),"",(I195-G195)/G195)</f>
        <v/>
      </c>
      <c r="K195" s="4">
        <f>IF(COUNT(D195:F195)=0,"",INDEX($D$1:$F$1,MATCH(MIN(D195:F195),D195:F195,0)))</f>
        <v/>
      </c>
      <c r="L195" s="10" t="n">
        <v>5025.94</v>
      </c>
      <c r="M195" s="12" t="n">
        <v>1</v>
      </c>
    </row>
    <row r="196">
      <c r="A196" s="4" t="inlineStr">
        <is>
          <t>MAT-09-072</t>
        </is>
      </c>
      <c r="B196" s="5" t="inlineStr">
        <is>
          <t>Mezcladora monomando Barra Ext. New Belice</t>
        </is>
      </c>
      <c r="C196" s="4" t="inlineStr">
        <is>
          <t>unidad</t>
        </is>
      </c>
      <c r="D196" s="10" t="n">
        <v>12165.91</v>
      </c>
      <c r="E196" s="10" t="n"/>
      <c r="F196" s="10" t="n"/>
      <c r="G196" s="10">
        <f>IF(COUNT(D196:F196)=0,"",MIN(D196:F196))</f>
        <v/>
      </c>
      <c r="H196" s="10">
        <f>IF(COUNT(D196:F196)=0,"",MEDIAN(D196:F196))</f>
        <v/>
      </c>
      <c r="I196" s="10">
        <f>IF(COUNT(D196:F196)=0,"",MAX(D196:F196))</f>
        <v/>
      </c>
      <c r="J196" s="11">
        <f>IF(OR(G196="",G196=0),"",(I196-G196)/G196)</f>
        <v/>
      </c>
      <c r="K196" s="4">
        <f>IF(COUNT(D196:F196)=0,"",INDEX($D$1:$F$1,MATCH(MIN(D196:F196),D196:F196,0)))</f>
        <v/>
      </c>
      <c r="L196" s="10" t="n">
        <v>12165.91</v>
      </c>
      <c r="M196" s="12" t="n">
        <v>1</v>
      </c>
    </row>
    <row r="197">
      <c r="A197" s="4" t="inlineStr">
        <is>
          <t>MAT-12-009</t>
        </is>
      </c>
      <c r="B197" s="5" t="inlineStr">
        <is>
          <t>Estuco para interiores, funda de 35 libras</t>
        </is>
      </c>
      <c r="C197" s="4" t="inlineStr">
        <is>
          <t>funda</t>
        </is>
      </c>
      <c r="D197" s="10" t="n">
        <v>331.11</v>
      </c>
      <c r="E197" s="10" t="n">
        <v>690</v>
      </c>
      <c r="F197" s="10" t="n"/>
      <c r="G197" s="10">
        <f>IF(COUNT(D197:F197)=0,"",MIN(D197:F197))</f>
        <v/>
      </c>
      <c r="H197" s="10">
        <f>IF(COUNT(D197:F197)=0,"",MEDIAN(D197:F197))</f>
        <v/>
      </c>
      <c r="I197" s="10">
        <f>IF(COUNT(D197:F197)=0,"",MAX(D197:F197))</f>
        <v/>
      </c>
      <c r="J197" s="11">
        <f>IF(OR(G197="",G197=0),"",(I197-G197)/G197)</f>
        <v/>
      </c>
      <c r="K197" s="4">
        <f>IF(COUNT(D197:F197)=0,"",INDEX($D$1:$F$1,MATCH(MIN(D197:F197),D197:F197,0)))</f>
        <v/>
      </c>
      <c r="L197" s="10" t="n">
        <v>510.56</v>
      </c>
      <c r="M197" s="12" t="n">
        <v>2</v>
      </c>
    </row>
    <row r="198">
      <c r="A198" s="4" t="inlineStr">
        <is>
          <t>MAT-13-011</t>
        </is>
      </c>
      <c r="B198" s="5" t="inlineStr">
        <is>
          <t>Angular 10' T-Grid Plafon</t>
        </is>
      </c>
      <c r="C198" s="4" t="inlineStr">
        <is>
          <t>unidad</t>
        </is>
      </c>
      <c r="D198" s="10" t="n"/>
      <c r="E198" s="10" t="n">
        <v>98</v>
      </c>
      <c r="F198" s="10" t="n"/>
      <c r="G198" s="10">
        <f>IF(COUNT(D198:F198)=0,"",MIN(D198:F198))</f>
        <v/>
      </c>
      <c r="H198" s="10">
        <f>IF(COUNT(D198:F198)=0,"",MEDIAN(D198:F198))</f>
        <v/>
      </c>
      <c r="I198" s="10">
        <f>IF(COUNT(D198:F198)=0,"",MAX(D198:F198))</f>
        <v/>
      </c>
      <c r="J198" s="11">
        <f>IF(OR(G198="",G198=0),"",(I198-G198)/G198)</f>
        <v/>
      </c>
      <c r="K198" s="4">
        <f>IF(COUNT(D198:F198)=0,"",INDEX($D$1:$F$1,MATCH(MIN(D198:F198),D198:F198,0)))</f>
        <v/>
      </c>
      <c r="L198" s="10" t="n">
        <v>98</v>
      </c>
      <c r="M198" s="12" t="n">
        <v>1</v>
      </c>
    </row>
    <row r="199">
      <c r="A199" s="4" t="inlineStr">
        <is>
          <t>MAT-13-012</t>
        </is>
      </c>
      <c r="B199" s="5" t="inlineStr">
        <is>
          <t>Cross Tee 2' T-Grid Plafon</t>
        </is>
      </c>
      <c r="C199" s="4" t="inlineStr">
        <is>
          <t>unidad</t>
        </is>
      </c>
      <c r="D199" s="10" t="n"/>
      <c r="E199" s="10" t="n">
        <v>26</v>
      </c>
      <c r="F199" s="10" t="n"/>
      <c r="G199" s="10">
        <f>IF(COUNT(D199:F199)=0,"",MIN(D199:F199))</f>
        <v/>
      </c>
      <c r="H199" s="10">
        <f>IF(COUNT(D199:F199)=0,"",MEDIAN(D199:F199))</f>
        <v/>
      </c>
      <c r="I199" s="10">
        <f>IF(COUNT(D199:F199)=0,"",MAX(D199:F199))</f>
        <v/>
      </c>
      <c r="J199" s="11">
        <f>IF(OR(G199="",G199=0),"",(I199-G199)/G199)</f>
        <v/>
      </c>
      <c r="K199" s="4">
        <f>IF(COUNT(D199:F199)=0,"",INDEX($D$1:$F$1,MATCH(MIN(D199:F199),D199:F199,0)))</f>
        <v/>
      </c>
      <c r="L199" s="10" t="n">
        <v>26</v>
      </c>
      <c r="M199" s="12" t="n">
        <v>1</v>
      </c>
    </row>
    <row r="200">
      <c r="A200" s="4" t="inlineStr">
        <is>
          <t>MAT-13-013</t>
        </is>
      </c>
      <c r="B200" s="5" t="inlineStr">
        <is>
          <t>Cross Tee 4' T-Grid Plafon</t>
        </is>
      </c>
      <c r="C200" s="4" t="inlineStr">
        <is>
          <t>unidad</t>
        </is>
      </c>
      <c r="D200" s="10" t="n"/>
      <c r="E200" s="10" t="n">
        <v>56</v>
      </c>
      <c r="F200" s="10" t="n"/>
      <c r="G200" s="10">
        <f>IF(COUNT(D200:F200)=0,"",MIN(D200:F200))</f>
        <v/>
      </c>
      <c r="H200" s="10">
        <f>IF(COUNT(D200:F200)=0,"",MEDIAN(D200:F200))</f>
        <v/>
      </c>
      <c r="I200" s="10">
        <f>IF(COUNT(D200:F200)=0,"",MAX(D200:F200))</f>
        <v/>
      </c>
      <c r="J200" s="11">
        <f>IF(OR(G200="",G200=0),"",(I200-G200)/G200)</f>
        <v/>
      </c>
      <c r="K200" s="4">
        <f>IF(COUNT(D200:F200)=0,"",INDEX($D$1:$F$1,MATCH(MIN(D200:F200),D200:F200,0)))</f>
        <v/>
      </c>
      <c r="L200" s="10" t="n">
        <v>56</v>
      </c>
      <c r="M200" s="12" t="n">
        <v>1</v>
      </c>
    </row>
    <row r="201">
      <c r="A201" s="4" t="inlineStr">
        <is>
          <t>MAT-13-014</t>
        </is>
      </c>
      <c r="B201" s="5" t="inlineStr">
        <is>
          <t>Durmiente Plafon 2-1 / 2" X 10 calibre 25</t>
        </is>
      </c>
      <c r="C201" s="4" t="inlineStr">
        <is>
          <t>unidad</t>
        </is>
      </c>
      <c r="D201" s="10" t="n"/>
      <c r="E201" s="10" t="n">
        <v>149</v>
      </c>
      <c r="F201" s="10" t="n"/>
      <c r="G201" s="10">
        <f>IF(COUNT(D201:F201)=0,"",MIN(D201:F201))</f>
        <v/>
      </c>
      <c r="H201" s="10">
        <f>IF(COUNT(D201:F201)=0,"",MEDIAN(D201:F201))</f>
        <v/>
      </c>
      <c r="I201" s="10">
        <f>IF(COUNT(D201:F201)=0,"",MAX(D201:F201))</f>
        <v/>
      </c>
      <c r="J201" s="11">
        <f>IF(OR(G201="",G201=0),"",(I201-G201)/G201)</f>
        <v/>
      </c>
      <c r="K201" s="4">
        <f>IF(COUNT(D201:F201)=0,"",INDEX($D$1:$F$1,MATCH(MIN(D201:F201),D201:F201,0)))</f>
        <v/>
      </c>
      <c r="L201" s="10" t="n">
        <v>149</v>
      </c>
      <c r="M201" s="12" t="n">
        <v>1</v>
      </c>
    </row>
    <row r="202">
      <c r="A202" s="4" t="inlineStr">
        <is>
          <t>MAT-13-015</t>
        </is>
      </c>
      <c r="B202" s="5" t="inlineStr">
        <is>
          <t>Main Tee 12' T-Grid Plafon</t>
        </is>
      </c>
      <c r="C202" s="4" t="inlineStr">
        <is>
          <t>unidad</t>
        </is>
      </c>
      <c r="D202" s="10" t="n"/>
      <c r="E202" s="10" t="n">
        <v>186</v>
      </c>
      <c r="F202" s="10" t="n"/>
      <c r="G202" s="10">
        <f>IF(COUNT(D202:F202)=0,"",MIN(D202:F202))</f>
        <v/>
      </c>
      <c r="H202" s="10">
        <f>IF(COUNT(D202:F202)=0,"",MEDIAN(D202:F202))</f>
        <v/>
      </c>
      <c r="I202" s="10">
        <f>IF(COUNT(D202:F202)=0,"",MAX(D202:F202))</f>
        <v/>
      </c>
      <c r="J202" s="11">
        <f>IF(OR(G202="",G202=0),"",(I202-G202)/G202)</f>
        <v/>
      </c>
      <c r="K202" s="4">
        <f>IF(COUNT(D202:F202)=0,"",INDEX($D$1:$F$1,MATCH(MIN(D202:F202),D202:F202,0)))</f>
        <v/>
      </c>
      <c r="L202" s="10" t="n">
        <v>186</v>
      </c>
      <c r="M202" s="12" t="n">
        <v>1</v>
      </c>
    </row>
    <row r="203">
      <c r="A203" s="4" t="inlineStr">
        <is>
          <t>MAT-13-016</t>
        </is>
      </c>
      <c r="B203" s="5" t="inlineStr">
        <is>
          <t>Parales 2-1 / 2"X10 calibre25 plafón</t>
        </is>
      </c>
      <c r="C203" s="4" t="inlineStr">
        <is>
          <t>unidad</t>
        </is>
      </c>
      <c r="D203" s="10" t="n"/>
      <c r="E203" s="10" t="n">
        <v>185</v>
      </c>
      <c r="F203" s="10" t="n"/>
      <c r="G203" s="10">
        <f>IF(COUNT(D203:F203)=0,"",MIN(D203:F203))</f>
        <v/>
      </c>
      <c r="H203" s="10">
        <f>IF(COUNT(D203:F203)=0,"",MEDIAN(D203:F203))</f>
        <v/>
      </c>
      <c r="I203" s="10">
        <f>IF(COUNT(D203:F203)=0,"",MAX(D203:F203))</f>
        <v/>
      </c>
      <c r="J203" s="11">
        <f>IF(OR(G203="",G203=0),"",(I203-G203)/G203)</f>
        <v/>
      </c>
      <c r="K203" s="4">
        <f>IF(COUNT(D203:F203)=0,"",INDEX($D$1:$F$1,MATCH(MIN(D203:F203),D203:F203,0)))</f>
        <v/>
      </c>
      <c r="L203" s="10" t="n">
        <v>185</v>
      </c>
      <c r="M203" s="12" t="n">
        <v>1</v>
      </c>
    </row>
    <row r="204">
      <c r="A204" s="4" t="inlineStr">
        <is>
          <t>MAT-13-017</t>
        </is>
      </c>
      <c r="B204" s="5" t="inlineStr">
        <is>
          <t>Plafon PVC Blanco 2 x 4' Cs-605 x 1219 x 7</t>
        </is>
      </c>
      <c r="C204" s="4" t="inlineStr">
        <is>
          <t>unidad</t>
        </is>
      </c>
      <c r="D204" s="10" t="n"/>
      <c r="E204" s="10" t="n">
        <v>202</v>
      </c>
      <c r="F204" s="10" t="n"/>
      <c r="G204" s="10">
        <f>IF(COUNT(D204:F204)=0,"",MIN(D204:F204))</f>
        <v/>
      </c>
      <c r="H204" s="10">
        <f>IF(COUNT(D204:F204)=0,"",MEDIAN(D204:F204))</f>
        <v/>
      </c>
      <c r="I204" s="10">
        <f>IF(COUNT(D204:F204)=0,"",MAX(D204:F204))</f>
        <v/>
      </c>
      <c r="J204" s="11">
        <f>IF(OR(G204="",G204=0),"",(I204-G204)/G204)</f>
        <v/>
      </c>
      <c r="K204" s="4">
        <f>IF(COUNT(D204:F204)=0,"",INDEX($D$1:$F$1,MATCH(MIN(D204:F204),D204:F204,0)))</f>
        <v/>
      </c>
      <c r="L204" s="10" t="n">
        <v>202</v>
      </c>
      <c r="M204" s="12" t="n">
        <v>1</v>
      </c>
    </row>
    <row r="205">
      <c r="A205" s="4" t="inlineStr">
        <is>
          <t>MAT-13-018</t>
        </is>
      </c>
      <c r="B205" s="5" t="inlineStr">
        <is>
          <t>Plafon PVC Blanco Machihembrado Cs-250 x 5800 x 7 Mm (19’)</t>
        </is>
      </c>
      <c r="C205" s="4" t="inlineStr">
        <is>
          <t>unidad</t>
        </is>
      </c>
      <c r="D205" s="10" t="n"/>
      <c r="E205" s="10" t="n">
        <v>375</v>
      </c>
      <c r="F205" s="10" t="n"/>
      <c r="G205" s="10">
        <f>IF(COUNT(D205:F205)=0,"",MIN(D205:F205))</f>
        <v/>
      </c>
      <c r="H205" s="10">
        <f>IF(COUNT(D205:F205)=0,"",MEDIAN(D205:F205))</f>
        <v/>
      </c>
      <c r="I205" s="10">
        <f>IF(COUNT(D205:F205)=0,"",MAX(D205:F205))</f>
        <v/>
      </c>
      <c r="J205" s="11">
        <f>IF(OR(G205="",G205=0),"",(I205-G205)/G205)</f>
        <v/>
      </c>
      <c r="K205" s="4">
        <f>IF(COUNT(D205:F205)=0,"",INDEX($D$1:$F$1,MATCH(MIN(D205:F205),D205:F205,0)))</f>
        <v/>
      </c>
      <c r="L205" s="10" t="n">
        <v>375</v>
      </c>
      <c r="M205" s="12" t="n">
        <v>1</v>
      </c>
    </row>
    <row r="206">
      <c r="A206" s="4" t="inlineStr">
        <is>
          <t>MAT-13-019</t>
        </is>
      </c>
      <c r="B206" s="5" t="inlineStr">
        <is>
          <t>Plafon Vinyl Yeso Liso 2 x 4' 7 mm A154</t>
        </is>
      </c>
      <c r="C206" s="4" t="inlineStr">
        <is>
          <t>unidad</t>
        </is>
      </c>
      <c r="D206" s="10" t="n"/>
      <c r="E206" s="10" t="n">
        <v>295</v>
      </c>
      <c r="F206" s="10" t="n"/>
      <c r="G206" s="10">
        <f>IF(COUNT(D206:F206)=0,"",MIN(D206:F206))</f>
        <v/>
      </c>
      <c r="H206" s="10">
        <f>IF(COUNT(D206:F206)=0,"",MEDIAN(D206:F206))</f>
        <v/>
      </c>
      <c r="I206" s="10">
        <f>IF(COUNT(D206:F206)=0,"",MAX(D206:F206))</f>
        <v/>
      </c>
      <c r="J206" s="11">
        <f>IF(OR(G206="",G206=0),"",(I206-G206)/G206)</f>
        <v/>
      </c>
      <c r="K206" s="4">
        <f>IF(COUNT(D206:F206)=0,"",INDEX($D$1:$F$1,MATCH(MIN(D206:F206),D206:F206,0)))</f>
        <v/>
      </c>
      <c r="L206" s="10" t="n">
        <v>295</v>
      </c>
      <c r="M206" s="12" t="n">
        <v>1</v>
      </c>
    </row>
    <row r="207">
      <c r="A207" s="4" t="inlineStr">
        <is>
          <t>MAT-13-020</t>
        </is>
      </c>
      <c r="B207" s="5" t="inlineStr">
        <is>
          <t>Carton Piedra 4'X8' 3.2 mm 1 / 8"</t>
        </is>
      </c>
      <c r="C207" s="4" t="inlineStr">
        <is>
          <t>unidad</t>
        </is>
      </c>
      <c r="D207" s="10" t="n"/>
      <c r="E207" s="10" t="n">
        <v>495</v>
      </c>
      <c r="F207" s="10" t="n"/>
      <c r="G207" s="10">
        <f>IF(COUNT(D207:F207)=0,"",MIN(D207:F207))</f>
        <v/>
      </c>
      <c r="H207" s="10">
        <f>IF(COUNT(D207:F207)=0,"",MEDIAN(D207:F207))</f>
        <v/>
      </c>
      <c r="I207" s="10">
        <f>IF(COUNT(D207:F207)=0,"",MAX(D207:F207))</f>
        <v/>
      </c>
      <c r="J207" s="11">
        <f>IF(OR(G207="",G207=0),"",(I207-G207)/G207)</f>
        <v/>
      </c>
      <c r="K207" s="4">
        <f>IF(COUNT(D207:F207)=0,"",INDEX($D$1:$F$1,MATCH(MIN(D207:F207),D207:F207,0)))</f>
        <v/>
      </c>
      <c r="L207" s="10" t="n">
        <v>495</v>
      </c>
      <c r="M207" s="12" t="n">
        <v>1</v>
      </c>
    </row>
    <row r="208">
      <c r="A208" s="4" t="inlineStr">
        <is>
          <t>MAT-16-003</t>
        </is>
      </c>
      <c r="B208" s="5" t="inlineStr">
        <is>
          <t>Camara Hdcvi Domo 2 Mp 2.8 Mm Cooper Sdl</t>
        </is>
      </c>
      <c r="C208" s="4" t="inlineStr">
        <is>
          <t>unidad</t>
        </is>
      </c>
      <c r="D208" s="10" t="n">
        <v>740.01</v>
      </c>
      <c r="E208" s="10" t="n"/>
      <c r="F208" s="10" t="n"/>
      <c r="G208" s="10">
        <f>IF(COUNT(D208:F208)=0,"",MIN(D208:F208))</f>
        <v/>
      </c>
      <c r="H208" s="10">
        <f>IF(COUNT(D208:F208)=0,"",MEDIAN(D208:F208))</f>
        <v/>
      </c>
      <c r="I208" s="10">
        <f>IF(COUNT(D208:F208)=0,"",MAX(D208:F208))</f>
        <v/>
      </c>
      <c r="J208" s="11">
        <f>IF(OR(G208="",G208=0),"",(I208-G208)/G208)</f>
        <v/>
      </c>
      <c r="K208" s="4">
        <f>IF(COUNT(D208:F208)=0,"",INDEX($D$1:$F$1,MATCH(MIN(D208:F208),D208:F208,0)))</f>
        <v/>
      </c>
      <c r="L208" s="10" t="n">
        <v>740.01</v>
      </c>
      <c r="M208" s="12" t="n">
        <v>1</v>
      </c>
    </row>
    <row r="209">
      <c r="A209" s="4" t="inlineStr">
        <is>
          <t>MAT-16-004</t>
        </is>
      </c>
      <c r="B209" s="5" t="inlineStr">
        <is>
          <t>Camara Hdcvi Domo 5 Mp 2.8 Mm Cooper Sdl</t>
        </is>
      </c>
      <c r="C209" s="4" t="inlineStr">
        <is>
          <t>unidad</t>
        </is>
      </c>
      <c r="D209" s="10" t="n">
        <v>1368.3</v>
      </c>
      <c r="E209" s="10" t="n"/>
      <c r="F209" s="10" t="n"/>
      <c r="G209" s="10">
        <f>IF(COUNT(D209:F209)=0,"",MIN(D209:F209))</f>
        <v/>
      </c>
      <c r="H209" s="10">
        <f>IF(COUNT(D209:F209)=0,"",MEDIAN(D209:F209))</f>
        <v/>
      </c>
      <c r="I209" s="10">
        <f>IF(COUNT(D209:F209)=0,"",MAX(D209:F209))</f>
        <v/>
      </c>
      <c r="J209" s="11">
        <f>IF(OR(G209="",G209=0),"",(I209-G209)/G209)</f>
        <v/>
      </c>
      <c r="K209" s="4">
        <f>IF(COUNT(D209:F209)=0,"",INDEX($D$1:$F$1,MATCH(MIN(D209:F209),D209:F209,0)))</f>
        <v/>
      </c>
      <c r="L209" s="10" t="n">
        <v>1368.3</v>
      </c>
      <c r="M209" s="12" t="n">
        <v>1</v>
      </c>
    </row>
    <row r="210">
      <c r="A210" s="4" t="inlineStr">
        <is>
          <t>MAT-16-005</t>
        </is>
      </c>
      <c r="B210" s="5" t="inlineStr">
        <is>
          <t>Camara Hdcvi Bullet 5 Mp 2.8 Mm Cooper Sdl</t>
        </is>
      </c>
      <c r="C210" s="4" t="inlineStr">
        <is>
          <t>unidad</t>
        </is>
      </c>
      <c r="D210" s="10" t="n">
        <v>1394.08</v>
      </c>
      <c r="E210" s="10" t="n"/>
      <c r="F210" s="10" t="n"/>
      <c r="G210" s="10">
        <f>IF(COUNT(D210:F210)=0,"",MIN(D210:F210))</f>
        <v/>
      </c>
      <c r="H210" s="10">
        <f>IF(COUNT(D210:F210)=0,"",MEDIAN(D210:F210))</f>
        <v/>
      </c>
      <c r="I210" s="10">
        <f>IF(COUNT(D210:F210)=0,"",MAX(D210:F210))</f>
        <v/>
      </c>
      <c r="J210" s="11">
        <f>IF(OR(G210="",G210=0),"",(I210-G210)/G210)</f>
        <v/>
      </c>
      <c r="K210" s="4">
        <f>IF(COUNT(D210:F210)=0,"",INDEX($D$1:$F$1,MATCH(MIN(D210:F210),D210:F210,0)))</f>
        <v/>
      </c>
      <c r="L210" s="10" t="n">
        <v>1394.08</v>
      </c>
      <c r="M210" s="12" t="n">
        <v>1</v>
      </c>
    </row>
    <row r="211">
      <c r="A211" s="4" t="inlineStr">
        <is>
          <t>MAT-16-006</t>
        </is>
      </c>
      <c r="B211" s="5" t="inlineStr">
        <is>
          <t>Camara Inalambr Smart Inte 2 Mp 1080P</t>
        </is>
      </c>
      <c r="C211" s="4" t="inlineStr">
        <is>
          <t>unidad</t>
        </is>
      </c>
      <c r="D211" s="10" t="n">
        <v>1576.87</v>
      </c>
      <c r="E211" s="10" t="n"/>
      <c r="F211" s="10" t="n"/>
      <c r="G211" s="10">
        <f>IF(COUNT(D211:F211)=0,"",MIN(D211:F211))</f>
        <v/>
      </c>
      <c r="H211" s="10">
        <f>IF(COUNT(D211:F211)=0,"",MEDIAN(D211:F211))</f>
        <v/>
      </c>
      <c r="I211" s="10">
        <f>IF(COUNT(D211:F211)=0,"",MAX(D211:F211))</f>
        <v/>
      </c>
      <c r="J211" s="11">
        <f>IF(OR(G211="",G211=0),"",(I211-G211)/G211)</f>
        <v/>
      </c>
      <c r="K211" s="4">
        <f>IF(COUNT(D211:F211)=0,"",INDEX($D$1:$F$1,MATCH(MIN(D211:F211),D211:F211,0)))</f>
        <v/>
      </c>
      <c r="L211" s="10" t="n">
        <v>1576.87</v>
      </c>
      <c r="M211" s="12" t="n">
        <v>1</v>
      </c>
    </row>
    <row r="212">
      <c r="A212" s="4" t="inlineStr">
        <is>
          <t>MAT-16-007</t>
        </is>
      </c>
      <c r="B212" s="5" t="inlineStr">
        <is>
          <t>Camara tipo Domo 2 Mp 3.6 Mm Exterior Serie4</t>
        </is>
      </c>
      <c r="C212" s="4" t="inlineStr">
        <is>
          <t>unidad</t>
        </is>
      </c>
      <c r="D212" s="10" t="n">
        <v>1649.1</v>
      </c>
      <c r="E212" s="10" t="n"/>
      <c r="F212" s="10" t="n"/>
      <c r="G212" s="10">
        <f>IF(COUNT(D212:F212)=0,"",MIN(D212:F212))</f>
        <v/>
      </c>
      <c r="H212" s="10">
        <f>IF(COUNT(D212:F212)=0,"",MEDIAN(D212:F212))</f>
        <v/>
      </c>
      <c r="I212" s="10">
        <f>IF(COUNT(D212:F212)=0,"",MAX(D212:F212))</f>
        <v/>
      </c>
      <c r="J212" s="11">
        <f>IF(OR(G212="",G212=0),"",(I212-G212)/G212)</f>
        <v/>
      </c>
      <c r="K212" s="4">
        <f>IF(COUNT(D212:F212)=0,"",INDEX($D$1:$F$1,MATCH(MIN(D212:F212),D212:F212,0)))</f>
        <v/>
      </c>
      <c r="L212" s="10" t="n">
        <v>1649.1</v>
      </c>
      <c r="M212" s="12" t="n">
        <v>1</v>
      </c>
    </row>
    <row r="213">
      <c r="A213" s="4" t="inlineStr">
        <is>
          <t>MAT-16-008</t>
        </is>
      </c>
      <c r="B213" s="5" t="inlineStr">
        <is>
          <t>Cam Hdcvi Bullet 2 Mp 2.8 Mm Sdl Mic Ir40M</t>
        </is>
      </c>
      <c r="C213" s="4" t="inlineStr">
        <is>
          <t>unidad</t>
        </is>
      </c>
      <c r="D213" s="10" t="n">
        <v>1784.16</v>
      </c>
      <c r="E213" s="10" t="n"/>
      <c r="F213" s="10" t="n"/>
      <c r="G213" s="10">
        <f>IF(COUNT(D213:F213)=0,"",MIN(D213:F213))</f>
        <v/>
      </c>
      <c r="H213" s="10">
        <f>IF(COUNT(D213:F213)=0,"",MEDIAN(D213:F213))</f>
        <v/>
      </c>
      <c r="I213" s="10">
        <f>IF(COUNT(D213:F213)=0,"",MAX(D213:F213))</f>
        <v/>
      </c>
      <c r="J213" s="11">
        <f>IF(OR(G213="",G213=0),"",(I213-G213)/G213)</f>
        <v/>
      </c>
      <c r="K213" s="4">
        <f>IF(COUNT(D213:F213)=0,"",INDEX($D$1:$F$1,MATCH(MIN(D213:F213),D213:F213,0)))</f>
        <v/>
      </c>
      <c r="L213" s="10" t="n">
        <v>1784.16</v>
      </c>
      <c r="M213" s="12" t="n">
        <v>1</v>
      </c>
    </row>
    <row r="214">
      <c r="A214" s="4" t="inlineStr">
        <is>
          <t>MAT-16-009</t>
        </is>
      </c>
      <c r="B214" s="5" t="inlineStr">
        <is>
          <t>Camara Seg. Bullet Hdcvi Hfw2220 Rn (2</t>
        </is>
      </c>
      <c r="C214" s="4" t="inlineStr">
        <is>
          <t>unidad</t>
        </is>
      </c>
      <c r="D214" s="10" t="n">
        <v>2191.4</v>
      </c>
      <c r="E214" s="10" t="n"/>
      <c r="F214" s="10" t="n"/>
      <c r="G214" s="10">
        <f>IF(COUNT(D214:F214)=0,"",MIN(D214:F214))</f>
        <v/>
      </c>
      <c r="H214" s="10">
        <f>IF(COUNT(D214:F214)=0,"",MEDIAN(D214:F214))</f>
        <v/>
      </c>
      <c r="I214" s="10">
        <f>IF(COUNT(D214:F214)=0,"",MAX(D214:F214))</f>
        <v/>
      </c>
      <c r="J214" s="11">
        <f>IF(OR(G214="",G214=0),"",(I214-G214)/G214)</f>
        <v/>
      </c>
      <c r="K214" s="4">
        <f>IF(COUNT(D214:F214)=0,"",INDEX($D$1:$F$1,MATCH(MIN(D214:F214),D214:F214,0)))</f>
        <v/>
      </c>
      <c r="L214" s="10" t="n">
        <v>2191.4</v>
      </c>
      <c r="M214" s="12" t="n">
        <v>1</v>
      </c>
    </row>
    <row r="215">
      <c r="A215" s="4" t="inlineStr">
        <is>
          <t>MAT-16-010</t>
        </is>
      </c>
      <c r="B215" s="5" t="inlineStr">
        <is>
          <t>Camara Seguridad Wi-Fi Hd 360 con Fuente</t>
        </is>
      </c>
      <c r="C215" s="4" t="inlineStr">
        <is>
          <t>unidad</t>
        </is>
      </c>
      <c r="D215" s="10" t="n">
        <v>2548.17</v>
      </c>
      <c r="E215" s="10" t="n"/>
      <c r="F215" s="10" t="n"/>
      <c r="G215" s="10">
        <f>IF(COUNT(D215:F215)=0,"",MIN(D215:F215))</f>
        <v/>
      </c>
      <c r="H215" s="10">
        <f>IF(COUNT(D215:F215)=0,"",MEDIAN(D215:F215))</f>
        <v/>
      </c>
      <c r="I215" s="10">
        <f>IF(COUNT(D215:F215)=0,"",MAX(D215:F215))</f>
        <v/>
      </c>
      <c r="J215" s="11">
        <f>IF(OR(G215="",G215=0),"",(I215-G215)/G215)</f>
        <v/>
      </c>
      <c r="K215" s="4">
        <f>IF(COUNT(D215:F215)=0,"",INDEX($D$1:$F$1,MATCH(MIN(D215:F215),D215:F215,0)))</f>
        <v/>
      </c>
      <c r="L215" s="10" t="n">
        <v>2548.17</v>
      </c>
      <c r="M215" s="12" t="n">
        <v>1</v>
      </c>
    </row>
    <row r="216">
      <c r="A216" s="4" t="inlineStr">
        <is>
          <t>MAT-16-011</t>
        </is>
      </c>
      <c r="B216" s="5" t="inlineStr">
        <is>
          <t>Camara Turr 2 Mp Lente Fijo Turrent 2.8 Mm</t>
        </is>
      </c>
      <c r="C216" s="4" t="inlineStr">
        <is>
          <t>unidad</t>
        </is>
      </c>
      <c r="D216" s="10" t="n">
        <v>2549.16</v>
      </c>
      <c r="E216" s="10" t="n"/>
      <c r="F216" s="10" t="n"/>
      <c r="G216" s="10">
        <f>IF(COUNT(D216:F216)=0,"",MIN(D216:F216))</f>
        <v/>
      </c>
      <c r="H216" s="10">
        <f>IF(COUNT(D216:F216)=0,"",MEDIAN(D216:F216))</f>
        <v/>
      </c>
      <c r="I216" s="10">
        <f>IF(COUNT(D216:F216)=0,"",MAX(D216:F216))</f>
        <v/>
      </c>
      <c r="J216" s="11">
        <f>IF(OR(G216="",G216=0),"",(I216-G216)/G216)</f>
        <v/>
      </c>
      <c r="K216" s="4">
        <f>IF(COUNT(D216:F216)=0,"",INDEX($D$1:$F$1,MATCH(MIN(D216:F216),D216:F216,0)))</f>
        <v/>
      </c>
      <c r="L216" s="10" t="n">
        <v>2549.16</v>
      </c>
      <c r="M216" s="12" t="n">
        <v>1</v>
      </c>
    </row>
    <row r="217">
      <c r="A217" s="4" t="inlineStr">
        <is>
          <t>MAT-16-012</t>
        </is>
      </c>
      <c r="B217" s="5" t="inlineStr">
        <is>
          <t>Camara tipo Bullet Anal. Hybrid Ahd 100' Ir</t>
        </is>
      </c>
      <c r="C217" s="4" t="inlineStr">
        <is>
          <t>unidad</t>
        </is>
      </c>
      <c r="D217" s="10" t="n">
        <v>2588.72</v>
      </c>
      <c r="E217" s="10" t="n"/>
      <c r="F217" s="10" t="n"/>
      <c r="G217" s="10">
        <f>IF(COUNT(D217:F217)=0,"",MIN(D217:F217))</f>
        <v/>
      </c>
      <c r="H217" s="10">
        <f>IF(COUNT(D217:F217)=0,"",MEDIAN(D217:F217))</f>
        <v/>
      </c>
      <c r="I217" s="10">
        <f>IF(COUNT(D217:F217)=0,"",MAX(D217:F217))</f>
        <v/>
      </c>
      <c r="J217" s="11">
        <f>IF(OR(G217="",G217=0),"",(I217-G217)/G217)</f>
        <v/>
      </c>
      <c r="K217" s="4">
        <f>IF(COUNT(D217:F217)=0,"",INDEX($D$1:$F$1,MATCH(MIN(D217:F217),D217:F217,0)))</f>
        <v/>
      </c>
      <c r="L217" s="10" t="n">
        <v>2588.72</v>
      </c>
      <c r="M217" s="12" t="n">
        <v>1</v>
      </c>
    </row>
    <row r="218">
      <c r="A218" s="4" t="inlineStr">
        <is>
          <t>MAT-16-013</t>
        </is>
      </c>
      <c r="B218" s="5" t="inlineStr">
        <is>
          <t>Camara Domo 2 Mp Lente Fijo 2.8 Mm</t>
        </is>
      </c>
      <c r="C218" s="4" t="inlineStr">
        <is>
          <t>unidad</t>
        </is>
      </c>
      <c r="D218" s="10" t="n">
        <v>2705.84</v>
      </c>
      <c r="E218" s="10" t="n"/>
      <c r="F218" s="10" t="n"/>
      <c r="G218" s="10">
        <f>IF(COUNT(D218:F218)=0,"",MIN(D218:F218))</f>
        <v/>
      </c>
      <c r="H218" s="10">
        <f>IF(COUNT(D218:F218)=0,"",MEDIAN(D218:F218))</f>
        <v/>
      </c>
      <c r="I218" s="10">
        <f>IF(COUNT(D218:F218)=0,"",MAX(D218:F218))</f>
        <v/>
      </c>
      <c r="J218" s="11">
        <f>IF(OR(G218="",G218=0),"",(I218-G218)/G218)</f>
        <v/>
      </c>
      <c r="K218" s="4">
        <f>IF(COUNT(D218:F218)=0,"",INDEX($D$1:$F$1,MATCH(MIN(D218:F218),D218:F218,0)))</f>
        <v/>
      </c>
      <c r="L218" s="10" t="n">
        <v>2705.84</v>
      </c>
      <c r="M218" s="12" t="n">
        <v>1</v>
      </c>
    </row>
    <row r="219">
      <c r="A219" s="4" t="inlineStr">
        <is>
          <t>MAT-16-014</t>
        </is>
      </c>
      <c r="B219" s="5" t="inlineStr">
        <is>
          <t>Camara 2 Mp 3.6 Mm Net PoE</t>
        </is>
      </c>
      <c r="C219" s="4" t="inlineStr">
        <is>
          <t>unidad</t>
        </is>
      </c>
      <c r="D219" s="10" t="n">
        <v>2810.59</v>
      </c>
      <c r="E219" s="10" t="n"/>
      <c r="F219" s="10" t="n"/>
      <c r="G219" s="10">
        <f>IF(COUNT(D219:F219)=0,"",MIN(D219:F219))</f>
        <v/>
      </c>
      <c r="H219" s="10">
        <f>IF(COUNT(D219:F219)=0,"",MEDIAN(D219:F219))</f>
        <v/>
      </c>
      <c r="I219" s="10">
        <f>IF(COUNT(D219:F219)=0,"",MAX(D219:F219))</f>
        <v/>
      </c>
      <c r="J219" s="11">
        <f>IF(OR(G219="",G219=0),"",(I219-G219)/G219)</f>
        <v/>
      </c>
      <c r="K219" s="4">
        <f>IF(COUNT(D219:F219)=0,"",INDEX($D$1:$F$1,MATCH(MIN(D219:F219),D219:F219,0)))</f>
        <v/>
      </c>
      <c r="L219" s="10" t="n">
        <v>2810.59</v>
      </c>
      <c r="M219" s="12" t="n">
        <v>1</v>
      </c>
    </row>
    <row r="220">
      <c r="A220" s="4" t="inlineStr">
        <is>
          <t>MAT-16-015</t>
        </is>
      </c>
      <c r="B220" s="5" t="inlineStr">
        <is>
          <t>Camara Turret 4 Mp Ip67 Smart Ir Uniarch</t>
        </is>
      </c>
      <c r="C220" s="4" t="inlineStr">
        <is>
          <t>unidad</t>
        </is>
      </c>
      <c r="D220" s="10" t="n">
        <v>3073.06</v>
      </c>
      <c r="E220" s="10" t="n"/>
      <c r="F220" s="10" t="n"/>
      <c r="G220" s="10">
        <f>IF(COUNT(D220:F220)=0,"",MIN(D220:F220))</f>
        <v/>
      </c>
      <c r="H220" s="10">
        <f>IF(COUNT(D220:F220)=0,"",MEDIAN(D220:F220))</f>
        <v/>
      </c>
      <c r="I220" s="10">
        <f>IF(COUNT(D220:F220)=0,"",MAX(D220:F220))</f>
        <v/>
      </c>
      <c r="J220" s="11">
        <f>IF(OR(G220="",G220=0),"",(I220-G220)/G220)</f>
        <v/>
      </c>
      <c r="K220" s="4">
        <f>IF(COUNT(D220:F220)=0,"",INDEX($D$1:$F$1,MATCH(MIN(D220:F220),D220:F220,0)))</f>
        <v/>
      </c>
      <c r="L220" s="10" t="n">
        <v>3073.06</v>
      </c>
      <c r="M220" s="12" t="n">
        <v>1</v>
      </c>
    </row>
    <row r="221">
      <c r="A221" s="4" t="inlineStr">
        <is>
          <t>MAT-16-016</t>
        </is>
      </c>
      <c r="B221" s="5" t="inlineStr">
        <is>
          <t>Camara Bullet Wifi IP 2 Mp 2,8 Mm Zoom 16X</t>
        </is>
      </c>
      <c r="C221" s="4" t="inlineStr">
        <is>
          <t>unidad</t>
        </is>
      </c>
      <c r="D221" s="10" t="n">
        <v>3079.43</v>
      </c>
      <c r="E221" s="10" t="n"/>
      <c r="F221" s="10" t="n"/>
      <c r="G221" s="10">
        <f>IF(COUNT(D221:F221)=0,"",MIN(D221:F221))</f>
        <v/>
      </c>
      <c r="H221" s="10">
        <f>IF(COUNT(D221:F221)=0,"",MEDIAN(D221:F221))</f>
        <v/>
      </c>
      <c r="I221" s="10">
        <f>IF(COUNT(D221:F221)=0,"",MAX(D221:F221))</f>
        <v/>
      </c>
      <c r="J221" s="11">
        <f>IF(OR(G221="",G221=0),"",(I221-G221)/G221)</f>
        <v/>
      </c>
      <c r="K221" s="4">
        <f>IF(COUNT(D221:F221)=0,"",INDEX($D$1:$F$1,MATCH(MIN(D221:F221),D221:F221,0)))</f>
        <v/>
      </c>
      <c r="L221" s="10" t="n">
        <v>3079.43</v>
      </c>
      <c r="M221" s="12" t="n">
        <v>1</v>
      </c>
    </row>
    <row r="222">
      <c r="A222" s="4" t="inlineStr">
        <is>
          <t>MAT-16-017</t>
        </is>
      </c>
      <c r="B222" s="5" t="inlineStr">
        <is>
          <t>Camara Bullet 4 Mp 2.8 Mm</t>
        </is>
      </c>
      <c r="C222" s="4" t="inlineStr">
        <is>
          <t>unidad</t>
        </is>
      </c>
      <c r="D222" s="10" t="n">
        <v>3087.35</v>
      </c>
      <c r="E222" s="10" t="n"/>
      <c r="F222" s="10" t="n"/>
      <c r="G222" s="10">
        <f>IF(COUNT(D222:F222)=0,"",MIN(D222:F222))</f>
        <v/>
      </c>
      <c r="H222" s="10">
        <f>IF(COUNT(D222:F222)=0,"",MEDIAN(D222:F222))</f>
        <v/>
      </c>
      <c r="I222" s="10">
        <f>IF(COUNT(D222:F222)=0,"",MAX(D222:F222))</f>
        <v/>
      </c>
      <c r="J222" s="11">
        <f>IF(OR(G222="",G222=0),"",(I222-G222)/G222)</f>
        <v/>
      </c>
      <c r="K222" s="4">
        <f>IF(COUNT(D222:F222)=0,"",INDEX($D$1:$F$1,MATCH(MIN(D222:F222),D222:F222,0)))</f>
        <v/>
      </c>
      <c r="L222" s="10" t="n">
        <v>3087.35</v>
      </c>
      <c r="M222" s="12" t="n">
        <v>1</v>
      </c>
    </row>
    <row r="223">
      <c r="A223" s="4" t="inlineStr">
        <is>
          <t>MAT-16-018</t>
        </is>
      </c>
      <c r="B223" s="5" t="inlineStr">
        <is>
          <t>Camara tipo Domo 5 Mp 2.8 Mm Wide Medallion</t>
        </is>
      </c>
      <c r="C223" s="4" t="inlineStr">
        <is>
          <t>unidad</t>
        </is>
      </c>
      <c r="D223" s="10" t="n">
        <v>3402.29</v>
      </c>
      <c r="E223" s="10" t="n"/>
      <c r="F223" s="10" t="n"/>
      <c r="G223" s="10">
        <f>IF(COUNT(D223:F223)=0,"",MIN(D223:F223))</f>
        <v/>
      </c>
      <c r="H223" s="10">
        <f>IF(COUNT(D223:F223)=0,"",MEDIAN(D223:F223))</f>
        <v/>
      </c>
      <c r="I223" s="10">
        <f>IF(COUNT(D223:F223)=0,"",MAX(D223:F223))</f>
        <v/>
      </c>
      <c r="J223" s="11">
        <f>IF(OR(G223="",G223=0),"",(I223-G223)/G223)</f>
        <v/>
      </c>
      <c r="K223" s="4">
        <f>IF(COUNT(D223:F223)=0,"",INDEX($D$1:$F$1,MATCH(MIN(D223:F223),D223:F223,0)))</f>
        <v/>
      </c>
      <c r="L223" s="10" t="n">
        <v>3402.29</v>
      </c>
      <c r="M223" s="12" t="n">
        <v>1</v>
      </c>
    </row>
    <row r="224">
      <c r="A224" s="4" t="inlineStr">
        <is>
          <t>MAT-16-019</t>
        </is>
      </c>
      <c r="B224" s="5" t="inlineStr">
        <is>
          <t>Camara IP Pt para Interior 5 Mp Bidirecional</t>
        </is>
      </c>
      <c r="C224" s="4" t="inlineStr">
        <is>
          <t>unidad</t>
        </is>
      </c>
      <c r="D224" s="10" t="n">
        <v>3414.74</v>
      </c>
      <c r="E224" s="10" t="n"/>
      <c r="F224" s="10" t="n"/>
      <c r="G224" s="10">
        <f>IF(COUNT(D224:F224)=0,"",MIN(D224:F224))</f>
        <v/>
      </c>
      <c r="H224" s="10">
        <f>IF(COUNT(D224:F224)=0,"",MEDIAN(D224:F224))</f>
        <v/>
      </c>
      <c r="I224" s="10">
        <f>IF(COUNT(D224:F224)=0,"",MAX(D224:F224))</f>
        <v/>
      </c>
      <c r="J224" s="11">
        <f>IF(OR(G224="",G224=0),"",(I224-G224)/G224)</f>
        <v/>
      </c>
      <c r="K224" s="4">
        <f>IF(COUNT(D224:F224)=0,"",INDEX($D$1:$F$1,MATCH(MIN(D224:F224),D224:F224,0)))</f>
        <v/>
      </c>
      <c r="L224" s="10" t="n">
        <v>3414.74</v>
      </c>
      <c r="M224" s="12" t="n">
        <v>1</v>
      </c>
    </row>
    <row r="225">
      <c r="A225" s="4" t="inlineStr">
        <is>
          <t>MAT-16-020</t>
        </is>
      </c>
      <c r="B225" s="5" t="inlineStr">
        <is>
          <t>Camara IP Domo 2 Mp Wifi Entry Full Color</t>
        </is>
      </c>
      <c r="C225" s="4" t="inlineStr">
        <is>
          <t>unidad</t>
        </is>
      </c>
      <c r="D225" s="10" t="n">
        <v>3433.59</v>
      </c>
      <c r="E225" s="10" t="n"/>
      <c r="F225" s="10" t="n"/>
      <c r="G225" s="10">
        <f>IF(COUNT(D225:F225)=0,"",MIN(D225:F225))</f>
        <v/>
      </c>
      <c r="H225" s="10">
        <f>IF(COUNT(D225:F225)=0,"",MEDIAN(D225:F225))</f>
        <v/>
      </c>
      <c r="I225" s="10">
        <f>IF(COUNT(D225:F225)=0,"",MAX(D225:F225))</f>
        <v/>
      </c>
      <c r="J225" s="11">
        <f>IF(OR(G225="",G225=0),"",(I225-G225)/G225)</f>
        <v/>
      </c>
      <c r="K225" s="4">
        <f>IF(COUNT(D225:F225)=0,"",INDEX($D$1:$F$1,MATCH(MIN(D225:F225),D225:F225,0)))</f>
        <v/>
      </c>
      <c r="L225" s="10" t="n">
        <v>3433.59</v>
      </c>
      <c r="M225" s="12" t="n">
        <v>1</v>
      </c>
    </row>
    <row r="226">
      <c r="A226" s="4" t="inlineStr">
        <is>
          <t>MAT-16-021</t>
        </is>
      </c>
      <c r="B226" s="5" t="inlineStr">
        <is>
          <t>Camara tipo Bullet 5 Mp exterior Medallion 2.8 Mm</t>
        </is>
      </c>
      <c r="C226" s="4" t="inlineStr">
        <is>
          <t>unidad</t>
        </is>
      </c>
      <c r="D226" s="10" t="n">
        <v>3442.71</v>
      </c>
      <c r="E226" s="10" t="n"/>
      <c r="F226" s="10" t="n"/>
      <c r="G226" s="10">
        <f>IF(COUNT(D226:F226)=0,"",MIN(D226:F226))</f>
        <v/>
      </c>
      <c r="H226" s="10">
        <f>IF(COUNT(D226:F226)=0,"",MEDIAN(D226:F226))</f>
        <v/>
      </c>
      <c r="I226" s="10">
        <f>IF(COUNT(D226:F226)=0,"",MAX(D226:F226))</f>
        <v/>
      </c>
      <c r="J226" s="11">
        <f>IF(OR(G226="",G226=0),"",(I226-G226)/G226)</f>
        <v/>
      </c>
      <c r="K226" s="4">
        <f>IF(COUNT(D226:F226)=0,"",INDEX($D$1:$F$1,MATCH(MIN(D226:F226),D226:F226,0)))</f>
        <v/>
      </c>
      <c r="L226" s="10" t="n">
        <v>3442.71</v>
      </c>
      <c r="M226" s="12" t="n">
        <v>1</v>
      </c>
    </row>
    <row r="227">
      <c r="A227" s="4" t="inlineStr">
        <is>
          <t>MAT-16-022</t>
        </is>
      </c>
      <c r="B227" s="5" t="inlineStr">
        <is>
          <t>Camara IP Domo 2 Mp 2.8 Mm Entry</t>
        </is>
      </c>
      <c r="C227" s="4" t="inlineStr">
        <is>
          <t>unidad</t>
        </is>
      </c>
      <c r="D227" s="10" t="n">
        <v>3489.15</v>
      </c>
      <c r="E227" s="10" t="n"/>
      <c r="F227" s="10" t="n"/>
      <c r="G227" s="10">
        <f>IF(COUNT(D227:F227)=0,"",MIN(D227:F227))</f>
        <v/>
      </c>
      <c r="H227" s="10">
        <f>IF(COUNT(D227:F227)=0,"",MEDIAN(D227:F227))</f>
        <v/>
      </c>
      <c r="I227" s="10">
        <f>IF(COUNT(D227:F227)=0,"",MAX(D227:F227))</f>
        <v/>
      </c>
      <c r="J227" s="11">
        <f>IF(OR(G227="",G227=0),"",(I227-G227)/G227)</f>
        <v/>
      </c>
      <c r="K227" s="4">
        <f>IF(COUNT(D227:F227)=0,"",INDEX($D$1:$F$1,MATCH(MIN(D227:F227),D227:F227,0)))</f>
        <v/>
      </c>
      <c r="L227" s="10" t="n">
        <v>3489.15</v>
      </c>
      <c r="M227" s="12" t="n">
        <v>1</v>
      </c>
    </row>
    <row r="228">
      <c r="A228" s="4" t="inlineStr">
        <is>
          <t>MAT-16-023</t>
        </is>
      </c>
      <c r="B228" s="5" t="inlineStr">
        <is>
          <t>Camara Domo IP 5 Mp 2.8 Mm Ip67 PoE con Mic</t>
        </is>
      </c>
      <c r="C228" s="4" t="inlineStr">
        <is>
          <t>unidad</t>
        </is>
      </c>
      <c r="D228" s="10" t="n">
        <v>3618.09</v>
      </c>
      <c r="E228" s="10" t="n"/>
      <c r="F228" s="10" t="n"/>
      <c r="G228" s="10">
        <f>IF(COUNT(D228:F228)=0,"",MIN(D228:F228))</f>
        <v/>
      </c>
      <c r="H228" s="10">
        <f>IF(COUNT(D228:F228)=0,"",MEDIAN(D228:F228))</f>
        <v/>
      </c>
      <c r="I228" s="10">
        <f>IF(COUNT(D228:F228)=0,"",MAX(D228:F228))</f>
        <v/>
      </c>
      <c r="J228" s="11">
        <f>IF(OR(G228="",G228=0),"",(I228-G228)/G228)</f>
        <v/>
      </c>
      <c r="K228" s="4">
        <f>IF(COUNT(D228:F228)=0,"",INDEX($D$1:$F$1,MATCH(MIN(D228:F228),D228:F228,0)))</f>
        <v/>
      </c>
      <c r="L228" s="10" t="n">
        <v>3618.09</v>
      </c>
      <c r="M228" s="12" t="n">
        <v>1</v>
      </c>
    </row>
    <row r="229">
      <c r="A229" s="4" t="inlineStr">
        <is>
          <t>MAT-16-024</t>
        </is>
      </c>
      <c r="B229" s="5" t="inlineStr">
        <is>
          <t>Camara Domo 4 Mp 2.8 Mm</t>
        </is>
      </c>
      <c r="C229" s="4" t="inlineStr">
        <is>
          <t>unidad</t>
        </is>
      </c>
      <c r="D229" s="10" t="n">
        <v>3695.82</v>
      </c>
      <c r="E229" s="10" t="n"/>
      <c r="F229" s="10" t="n"/>
      <c r="G229" s="10">
        <f>IF(COUNT(D229:F229)=0,"",MIN(D229:F229))</f>
        <v/>
      </c>
      <c r="H229" s="10">
        <f>IF(COUNT(D229:F229)=0,"",MEDIAN(D229:F229))</f>
        <v/>
      </c>
      <c r="I229" s="10">
        <f>IF(COUNT(D229:F229)=0,"",MAX(D229:F229))</f>
        <v/>
      </c>
      <c r="J229" s="11">
        <f>IF(OR(G229="",G229=0),"",(I229-G229)/G229)</f>
        <v/>
      </c>
      <c r="K229" s="4">
        <f>IF(COUNT(D229:F229)=0,"",INDEX($D$1:$F$1,MATCH(MIN(D229:F229),D229:F229,0)))</f>
        <v/>
      </c>
      <c r="L229" s="10" t="n">
        <v>3695.82</v>
      </c>
      <c r="M229" s="12" t="n">
        <v>1</v>
      </c>
    </row>
    <row r="230">
      <c r="A230" s="4" t="inlineStr">
        <is>
          <t>MAT-16-025</t>
        </is>
      </c>
      <c r="B230" s="5" t="inlineStr">
        <is>
          <t>Camara Turret 5 Mp Lente Fijo 2.8 Mm</t>
        </is>
      </c>
      <c r="C230" s="4" t="inlineStr">
        <is>
          <t>unidad</t>
        </is>
      </c>
      <c r="D230" s="10" t="n">
        <v>3714.5</v>
      </c>
      <c r="E230" s="10" t="n"/>
      <c r="F230" s="10" t="n"/>
      <c r="G230" s="10">
        <f>IF(COUNT(D230:F230)=0,"",MIN(D230:F230))</f>
        <v/>
      </c>
      <c r="H230" s="10">
        <f>IF(COUNT(D230:F230)=0,"",MEDIAN(D230:F230))</f>
        <v/>
      </c>
      <c r="I230" s="10">
        <f>IF(COUNT(D230:F230)=0,"",MAX(D230:F230))</f>
        <v/>
      </c>
      <c r="J230" s="11">
        <f>IF(OR(G230="",G230=0),"",(I230-G230)/G230)</f>
        <v/>
      </c>
      <c r="K230" s="4">
        <f>IF(COUNT(D230:F230)=0,"",INDEX($D$1:$F$1,MATCH(MIN(D230:F230),D230:F230,0)))</f>
        <v/>
      </c>
      <c r="L230" s="10" t="n">
        <v>3714.5</v>
      </c>
      <c r="M230" s="12" t="n">
        <v>1</v>
      </c>
    </row>
    <row r="231">
      <c r="A231" s="4" t="inlineStr">
        <is>
          <t>MAT-16-026</t>
        </is>
      </c>
      <c r="B231" s="5" t="inlineStr">
        <is>
          <t>Camara De Video Home Kit Hub G2H Pro</t>
        </is>
      </c>
      <c r="C231" s="4" t="inlineStr">
        <is>
          <t>unidad</t>
        </is>
      </c>
      <c r="D231" s="10" t="n">
        <v>4136.01</v>
      </c>
      <c r="E231" s="10" t="n"/>
      <c r="F231" s="10" t="n"/>
      <c r="G231" s="10">
        <f>IF(COUNT(D231:F231)=0,"",MIN(D231:F231))</f>
        <v/>
      </c>
      <c r="H231" s="10">
        <f>IF(COUNT(D231:F231)=0,"",MEDIAN(D231:F231))</f>
        <v/>
      </c>
      <c r="I231" s="10">
        <f>IF(COUNT(D231:F231)=0,"",MAX(D231:F231))</f>
        <v/>
      </c>
      <c r="J231" s="11">
        <f>IF(OR(G231="",G231=0),"",(I231-G231)/G231)</f>
        <v/>
      </c>
      <c r="K231" s="4">
        <f>IF(COUNT(D231:F231)=0,"",INDEX($D$1:$F$1,MATCH(MIN(D231:F231),D231:F231,0)))</f>
        <v/>
      </c>
      <c r="L231" s="10" t="n">
        <v>4136.01</v>
      </c>
      <c r="M231" s="12" t="n">
        <v>1</v>
      </c>
    </row>
    <row r="232">
      <c r="A232" s="4" t="inlineStr">
        <is>
          <t>MAT-16-027</t>
        </is>
      </c>
      <c r="B232" s="5" t="inlineStr">
        <is>
          <t>Camara Domo 2 Mp Vf 2.8-12 Mm</t>
        </is>
      </c>
      <c r="C232" s="4" t="inlineStr">
        <is>
          <t>unidad</t>
        </is>
      </c>
      <c r="D232" s="10" t="n">
        <v>4592.19</v>
      </c>
      <c r="E232" s="10" t="n"/>
      <c r="F232" s="10" t="n"/>
      <c r="G232" s="10">
        <f>IF(COUNT(D232:F232)=0,"",MIN(D232:F232))</f>
        <v/>
      </c>
      <c r="H232" s="10">
        <f>IF(COUNT(D232:F232)=0,"",MEDIAN(D232:F232))</f>
        <v/>
      </c>
      <c r="I232" s="10">
        <f>IF(COUNT(D232:F232)=0,"",MAX(D232:F232))</f>
        <v/>
      </c>
      <c r="J232" s="11">
        <f>IF(OR(G232="",G232=0),"",(I232-G232)/G232)</f>
        <v/>
      </c>
      <c r="K232" s="4">
        <f>IF(COUNT(D232:F232)=0,"",INDEX($D$1:$F$1,MATCH(MIN(D232:F232),D232:F232,0)))</f>
        <v/>
      </c>
      <c r="L232" s="10" t="n">
        <v>4592.19</v>
      </c>
      <c r="M232" s="12" t="n">
        <v>1</v>
      </c>
    </row>
    <row r="233">
      <c r="A233" s="4" t="inlineStr">
        <is>
          <t>MAT-16-028</t>
        </is>
      </c>
      <c r="B233" s="5" t="inlineStr">
        <is>
          <t>Camara IP Bullet 2 Mp 2.8 Mm Wizsense Sdl</t>
        </is>
      </c>
      <c r="C233" s="4" t="inlineStr">
        <is>
          <t>unidad</t>
        </is>
      </c>
      <c r="D233" s="10" t="n">
        <v>4606.9</v>
      </c>
      <c r="E233" s="10" t="n"/>
      <c r="F233" s="10" t="n"/>
      <c r="G233" s="10">
        <f>IF(COUNT(D233:F233)=0,"",MIN(D233:F233))</f>
        <v/>
      </c>
      <c r="H233" s="10">
        <f>IF(COUNT(D233:F233)=0,"",MEDIAN(D233:F233))</f>
        <v/>
      </c>
      <c r="I233" s="10">
        <f>IF(COUNT(D233:F233)=0,"",MAX(D233:F233))</f>
        <v/>
      </c>
      <c r="J233" s="11">
        <f>IF(OR(G233="",G233=0),"",(I233-G233)/G233)</f>
        <v/>
      </c>
      <c r="K233" s="4">
        <f>IF(COUNT(D233:F233)=0,"",INDEX($D$1:$F$1,MATCH(MIN(D233:F233),D233:F233,0)))</f>
        <v/>
      </c>
      <c r="L233" s="10" t="n">
        <v>4606.9</v>
      </c>
      <c r="M233" s="12" t="n">
        <v>1</v>
      </c>
    </row>
    <row r="234">
      <c r="A234" s="4" t="inlineStr">
        <is>
          <t>MAT-16-029</t>
        </is>
      </c>
      <c r="B234" s="5" t="inlineStr">
        <is>
          <t>Camara Turret 2 Mp Vf</t>
        </is>
      </c>
      <c r="C234" s="4" t="inlineStr">
        <is>
          <t>unidad</t>
        </is>
      </c>
      <c r="D234" s="10" t="n">
        <v>4679.99</v>
      </c>
      <c r="E234" s="10" t="n"/>
      <c r="F234" s="10" t="n"/>
      <c r="G234" s="10">
        <f>IF(COUNT(D234:F234)=0,"",MIN(D234:F234))</f>
        <v/>
      </c>
      <c r="H234" s="10">
        <f>IF(COUNT(D234:F234)=0,"",MEDIAN(D234:F234))</f>
        <v/>
      </c>
      <c r="I234" s="10">
        <f>IF(COUNT(D234:F234)=0,"",MAX(D234:F234))</f>
        <v/>
      </c>
      <c r="J234" s="11">
        <f>IF(OR(G234="",G234=0),"",(I234-G234)/G234)</f>
        <v/>
      </c>
      <c r="K234" s="4">
        <f>IF(COUNT(D234:F234)=0,"",INDEX($D$1:$F$1,MATCH(MIN(D234:F234),D234:F234,0)))</f>
        <v/>
      </c>
      <c r="L234" s="10" t="n">
        <v>4679.99</v>
      </c>
      <c r="M234" s="12" t="n">
        <v>1</v>
      </c>
    </row>
    <row r="235">
      <c r="A235" s="4" t="inlineStr">
        <is>
          <t>MAT-16-030</t>
        </is>
      </c>
      <c r="B235" s="5" t="inlineStr">
        <is>
          <t>Camara 2 Mp Net</t>
        </is>
      </c>
      <c r="C235" s="4" t="inlineStr">
        <is>
          <t>unidad</t>
        </is>
      </c>
      <c r="D235" s="10" t="n">
        <v>4807.61</v>
      </c>
      <c r="E235" s="10" t="n"/>
      <c r="F235" s="10" t="n"/>
      <c r="G235" s="10">
        <f>IF(COUNT(D235:F235)=0,"",MIN(D235:F235))</f>
        <v/>
      </c>
      <c r="H235" s="10">
        <f>IF(COUNT(D235:F235)=0,"",MEDIAN(D235:F235))</f>
        <v/>
      </c>
      <c r="I235" s="10">
        <f>IF(COUNT(D235:F235)=0,"",MAX(D235:F235))</f>
        <v/>
      </c>
      <c r="J235" s="11">
        <f>IF(OR(G235="",G235=0),"",(I235-G235)/G235)</f>
        <v/>
      </c>
      <c r="K235" s="4">
        <f>IF(COUNT(D235:F235)=0,"",INDEX($D$1:$F$1,MATCH(MIN(D235:F235),D235:F235,0)))</f>
        <v/>
      </c>
      <c r="L235" s="10" t="n">
        <v>4807.61</v>
      </c>
      <c r="M235" s="12" t="n">
        <v>1</v>
      </c>
    </row>
    <row r="236">
      <c r="A236" s="4" t="inlineStr">
        <is>
          <t>MAT-16-031</t>
        </is>
      </c>
      <c r="B236" s="5" t="inlineStr">
        <is>
          <t>Camara Bullet 2 Mp Lente Fija 2.8 Mm</t>
        </is>
      </c>
      <c r="C236" s="4" t="inlineStr">
        <is>
          <t>unidad</t>
        </is>
      </c>
      <c r="D236" s="10" t="n">
        <v>4918.58</v>
      </c>
      <c r="E236" s="10" t="n"/>
      <c r="F236" s="10" t="n"/>
      <c r="G236" s="10">
        <f>IF(COUNT(D236:F236)=0,"",MIN(D236:F236))</f>
        <v/>
      </c>
      <c r="H236" s="10">
        <f>IF(COUNT(D236:F236)=0,"",MEDIAN(D236:F236))</f>
        <v/>
      </c>
      <c r="I236" s="10">
        <f>IF(COUNT(D236:F236)=0,"",MAX(D236:F236))</f>
        <v/>
      </c>
      <c r="J236" s="11">
        <f>IF(OR(G236="",G236=0),"",(I236-G236)/G236)</f>
        <v/>
      </c>
      <c r="K236" s="4">
        <f>IF(COUNT(D236:F236)=0,"",INDEX($D$1:$F$1,MATCH(MIN(D236:F236),D236:F236,0)))</f>
        <v/>
      </c>
      <c r="L236" s="10" t="n">
        <v>4918.58</v>
      </c>
      <c r="M236" s="12" t="n">
        <v>1</v>
      </c>
    </row>
    <row r="237">
      <c r="A237" s="4" t="inlineStr">
        <is>
          <t>MAT-16-032</t>
        </is>
      </c>
      <c r="B237" s="5" t="inlineStr">
        <is>
          <t>Camara Domo Fixed Eyeball 4 Mp 2.8 Mm</t>
        </is>
      </c>
      <c r="C237" s="4" t="inlineStr">
        <is>
          <t>unidad</t>
        </is>
      </c>
      <c r="D237" s="10" t="n">
        <v>5009.67</v>
      </c>
      <c r="E237" s="10" t="n"/>
      <c r="F237" s="10" t="n"/>
      <c r="G237" s="10">
        <f>IF(COUNT(D237:F237)=0,"",MIN(D237:F237))</f>
        <v/>
      </c>
      <c r="H237" s="10">
        <f>IF(COUNT(D237:F237)=0,"",MEDIAN(D237:F237))</f>
        <v/>
      </c>
      <c r="I237" s="10">
        <f>IF(COUNT(D237:F237)=0,"",MAX(D237:F237))</f>
        <v/>
      </c>
      <c r="J237" s="11">
        <f>IF(OR(G237="",G237=0),"",(I237-G237)/G237)</f>
        <v/>
      </c>
      <c r="K237" s="4">
        <f>IF(COUNT(D237:F237)=0,"",INDEX($D$1:$F$1,MATCH(MIN(D237:F237),D237:F237,0)))</f>
        <v/>
      </c>
      <c r="L237" s="10" t="n">
        <v>5009.67</v>
      </c>
      <c r="M237" s="12" t="n">
        <v>1</v>
      </c>
    </row>
    <row r="238">
      <c r="A238" s="4" t="inlineStr">
        <is>
          <t>MAT-16-033</t>
        </is>
      </c>
      <c r="B238" s="5" t="inlineStr">
        <is>
          <t>Camara Domo Ir Fixed Eyeball 4 Mp</t>
        </is>
      </c>
      <c r="C238" s="4" t="inlineStr">
        <is>
          <t>unidad</t>
        </is>
      </c>
      <c r="D238" s="10" t="n">
        <v>5040.65</v>
      </c>
      <c r="E238" s="10" t="n"/>
      <c r="F238" s="10" t="n"/>
      <c r="G238" s="10">
        <f>IF(COUNT(D238:F238)=0,"",MIN(D238:F238))</f>
        <v/>
      </c>
      <c r="H238" s="10">
        <f>IF(COUNT(D238:F238)=0,"",MEDIAN(D238:F238))</f>
        <v/>
      </c>
      <c r="I238" s="10">
        <f>IF(COUNT(D238:F238)=0,"",MAX(D238:F238))</f>
        <v/>
      </c>
      <c r="J238" s="11">
        <f>IF(OR(G238="",G238=0),"",(I238-G238)/G238)</f>
        <v/>
      </c>
      <c r="K238" s="4">
        <f>IF(COUNT(D238:F238)=0,"",INDEX($D$1:$F$1,MATCH(MIN(D238:F238),D238:F238,0)))</f>
        <v/>
      </c>
      <c r="L238" s="10" t="n">
        <v>5040.65</v>
      </c>
      <c r="M238" s="12" t="n">
        <v>1</v>
      </c>
    </row>
    <row r="239">
      <c r="A239" s="4" t="inlineStr">
        <is>
          <t>MAT-16-034</t>
        </is>
      </c>
      <c r="B239" s="5" t="inlineStr">
        <is>
          <t>Camara Inala Smart Ext 2 Mp 1080P Reflect</t>
        </is>
      </c>
      <c r="C239" s="4" t="inlineStr">
        <is>
          <t>unidad</t>
        </is>
      </c>
      <c r="D239" s="10" t="n">
        <v>5421.17</v>
      </c>
      <c r="E239" s="10" t="n"/>
      <c r="F239" s="10" t="n"/>
      <c r="G239" s="10">
        <f>IF(COUNT(D239:F239)=0,"",MIN(D239:F239))</f>
        <v/>
      </c>
      <c r="H239" s="10">
        <f>IF(COUNT(D239:F239)=0,"",MEDIAN(D239:F239))</f>
        <v/>
      </c>
      <c r="I239" s="10">
        <f>IF(COUNT(D239:F239)=0,"",MAX(D239:F239))</f>
        <v/>
      </c>
      <c r="J239" s="11">
        <f>IF(OR(G239="",G239=0),"",(I239-G239)/G239)</f>
        <v/>
      </c>
      <c r="K239" s="4">
        <f>IF(COUNT(D239:F239)=0,"",INDEX($D$1:$F$1,MATCH(MIN(D239:F239),D239:F239,0)))</f>
        <v/>
      </c>
      <c r="L239" s="10" t="n">
        <v>5421.17</v>
      </c>
      <c r="M239" s="12" t="n">
        <v>1</v>
      </c>
    </row>
    <row r="240">
      <c r="A240" s="4" t="inlineStr">
        <is>
          <t>MAT-16-035</t>
        </is>
      </c>
      <c r="B240" s="5" t="inlineStr">
        <is>
          <t>Camara Turret 5 Mp Vf</t>
        </is>
      </c>
      <c r="C240" s="4" t="inlineStr">
        <is>
          <t>unidad</t>
        </is>
      </c>
      <c r="D240" s="10" t="n">
        <v>5427.13</v>
      </c>
      <c r="E240" s="10" t="n"/>
      <c r="F240" s="10" t="n"/>
      <c r="G240" s="10">
        <f>IF(COUNT(D240:F240)=0,"",MIN(D240:F240))</f>
        <v/>
      </c>
      <c r="H240" s="10">
        <f>IF(COUNT(D240:F240)=0,"",MEDIAN(D240:F240))</f>
        <v/>
      </c>
      <c r="I240" s="10">
        <f>IF(COUNT(D240:F240)=0,"",MAX(D240:F240))</f>
        <v/>
      </c>
      <c r="J240" s="11">
        <f>IF(OR(G240="",G240=0),"",(I240-G240)/G240)</f>
        <v/>
      </c>
      <c r="K240" s="4">
        <f>IF(COUNT(D240:F240)=0,"",INDEX($D$1:$F$1,MATCH(MIN(D240:F240),D240:F240,0)))</f>
        <v/>
      </c>
      <c r="L240" s="10" t="n">
        <v>5427.13</v>
      </c>
      <c r="M240" s="12" t="n">
        <v>1</v>
      </c>
    </row>
    <row r="241">
      <c r="A241" s="4" t="inlineStr">
        <is>
          <t>MAT-16-036</t>
        </is>
      </c>
      <c r="B241" s="5" t="inlineStr">
        <is>
          <t>Camara Domo 5 Mp Vf 2.8-12 Mm</t>
        </is>
      </c>
      <c r="C241" s="4" t="inlineStr">
        <is>
          <t>unidad</t>
        </is>
      </c>
      <c r="D241" s="10" t="n">
        <v>5448.59</v>
      </c>
      <c r="E241" s="10" t="n"/>
      <c r="F241" s="10" t="n"/>
      <c r="G241" s="10">
        <f>IF(COUNT(D241:F241)=0,"",MIN(D241:F241))</f>
        <v/>
      </c>
      <c r="H241" s="10">
        <f>IF(COUNT(D241:F241)=0,"",MEDIAN(D241:F241))</f>
        <v/>
      </c>
      <c r="I241" s="10">
        <f>IF(COUNT(D241:F241)=0,"",MAX(D241:F241))</f>
        <v/>
      </c>
      <c r="J241" s="11">
        <f>IF(OR(G241="",G241=0),"",(I241-G241)/G241)</f>
        <v/>
      </c>
      <c r="K241" s="4">
        <f>IF(COUNT(D241:F241)=0,"",INDEX($D$1:$F$1,MATCH(MIN(D241:F241),D241:F241,0)))</f>
        <v/>
      </c>
      <c r="L241" s="10" t="n">
        <v>5448.59</v>
      </c>
      <c r="M241" s="12" t="n">
        <v>1</v>
      </c>
    </row>
    <row r="242">
      <c r="A242" s="4" t="inlineStr">
        <is>
          <t>MAT-16-037</t>
        </is>
      </c>
      <c r="B242" s="5" t="inlineStr">
        <is>
          <t>Camara tipo Bullet Net exterior Ir 1920 Hx1080V</t>
        </is>
      </c>
      <c r="C242" s="4" t="inlineStr">
        <is>
          <t>unidad</t>
        </is>
      </c>
      <c r="D242" s="10" t="n">
        <v>5547.25</v>
      </c>
      <c r="E242" s="10" t="n"/>
      <c r="F242" s="10" t="n"/>
      <c r="G242" s="10">
        <f>IF(COUNT(D242:F242)=0,"",MIN(D242:F242))</f>
        <v/>
      </c>
      <c r="H242" s="10">
        <f>IF(COUNT(D242:F242)=0,"",MEDIAN(D242:F242))</f>
        <v/>
      </c>
      <c r="I242" s="10">
        <f>IF(COUNT(D242:F242)=0,"",MAX(D242:F242))</f>
        <v/>
      </c>
      <c r="J242" s="11">
        <f>IF(OR(G242="",G242=0),"",(I242-G242)/G242)</f>
        <v/>
      </c>
      <c r="K242" s="4">
        <f>IF(COUNT(D242:F242)=0,"",INDEX($D$1:$F$1,MATCH(MIN(D242:F242),D242:F242,0)))</f>
        <v/>
      </c>
      <c r="L242" s="10" t="n">
        <v>5547.25</v>
      </c>
      <c r="M242" s="12" t="n">
        <v>1</v>
      </c>
    </row>
    <row r="243">
      <c r="A243" s="4" t="inlineStr">
        <is>
          <t>MAT-16-038</t>
        </is>
      </c>
      <c r="B243" s="5" t="inlineStr">
        <is>
          <t>Camara Bullet 5 Mp Lente Vf 2.8 Mm</t>
        </is>
      </c>
      <c r="C243" s="4" t="inlineStr">
        <is>
          <t>unidad</t>
        </is>
      </c>
      <c r="D243" s="10" t="n">
        <v>5675.9</v>
      </c>
      <c r="E243" s="10" t="n"/>
      <c r="F243" s="10" t="n"/>
      <c r="G243" s="10">
        <f>IF(COUNT(D243:F243)=0,"",MIN(D243:F243))</f>
        <v/>
      </c>
      <c r="H243" s="10">
        <f>IF(COUNT(D243:F243)=0,"",MEDIAN(D243:F243))</f>
        <v/>
      </c>
      <c r="I243" s="10">
        <f>IF(COUNT(D243:F243)=0,"",MAX(D243:F243))</f>
        <v/>
      </c>
      <c r="J243" s="11">
        <f>IF(OR(G243="",G243=0),"",(I243-G243)/G243)</f>
        <v/>
      </c>
      <c r="K243" s="4">
        <f>IF(COUNT(D243:F243)=0,"",INDEX($D$1:$F$1,MATCH(MIN(D243:F243),D243:F243,0)))</f>
        <v/>
      </c>
      <c r="L243" s="10" t="n">
        <v>5675.9</v>
      </c>
      <c r="M243" s="12" t="n">
        <v>1</v>
      </c>
    </row>
    <row r="244">
      <c r="A244" s="4" t="inlineStr">
        <is>
          <t>MAT-16-039</t>
        </is>
      </c>
      <c r="B244" s="5" t="inlineStr">
        <is>
          <t>Camara Domo Fixed Eyeball 5 Mp 2.8 Mm</t>
        </is>
      </c>
      <c r="C244" s="4" t="inlineStr">
        <is>
          <t>unidad</t>
        </is>
      </c>
      <c r="D244" s="10" t="n">
        <v>6122.92</v>
      </c>
      <c r="E244" s="10" t="n"/>
      <c r="F244" s="10" t="n"/>
      <c r="G244" s="10">
        <f>IF(COUNT(D244:F244)=0,"",MIN(D244:F244))</f>
        <v/>
      </c>
      <c r="H244" s="10">
        <f>IF(COUNT(D244:F244)=0,"",MEDIAN(D244:F244))</f>
        <v/>
      </c>
      <c r="I244" s="10">
        <f>IF(COUNT(D244:F244)=0,"",MAX(D244:F244))</f>
        <v/>
      </c>
      <c r="J244" s="11">
        <f>IF(OR(G244="",G244=0),"",(I244-G244)/G244)</f>
        <v/>
      </c>
      <c r="K244" s="4">
        <f>IF(COUNT(D244:F244)=0,"",INDEX($D$1:$F$1,MATCH(MIN(D244:F244),D244:F244,0)))</f>
        <v/>
      </c>
      <c r="L244" s="10" t="n">
        <v>6122.92</v>
      </c>
      <c r="M244" s="12" t="n">
        <v>1</v>
      </c>
    </row>
    <row r="245">
      <c r="A245" s="4" t="inlineStr">
        <is>
          <t>MAT-16-040</t>
        </is>
      </c>
      <c r="B245" s="5" t="inlineStr">
        <is>
          <t>Camara tipo Domo 5 Mp 2.8 Mm Ir Varifocal</t>
        </is>
      </c>
      <c r="C245" s="4" t="inlineStr">
        <is>
          <t>unidad</t>
        </is>
      </c>
      <c r="D245" s="10" t="n">
        <v>7248.37</v>
      </c>
      <c r="E245" s="10" t="n"/>
      <c r="F245" s="10" t="n"/>
      <c r="G245" s="10">
        <f>IF(COUNT(D245:F245)=0,"",MIN(D245:F245))</f>
        <v/>
      </c>
      <c r="H245" s="10">
        <f>IF(COUNT(D245:F245)=0,"",MEDIAN(D245:F245))</f>
        <v/>
      </c>
      <c r="I245" s="10">
        <f>IF(COUNT(D245:F245)=0,"",MAX(D245:F245))</f>
        <v/>
      </c>
      <c r="J245" s="11">
        <f>IF(OR(G245="",G245=0),"",(I245-G245)/G245)</f>
        <v/>
      </c>
      <c r="K245" s="4">
        <f>IF(COUNT(D245:F245)=0,"",INDEX($D$1:$F$1,MATCH(MIN(D245:F245),D245:F245,0)))</f>
        <v/>
      </c>
      <c r="L245" s="10" t="n">
        <v>7248.37</v>
      </c>
      <c r="M245" s="12" t="n">
        <v>1</v>
      </c>
    </row>
    <row r="246">
      <c r="A246" s="4" t="inlineStr">
        <is>
          <t>MAT-16-041</t>
        </is>
      </c>
      <c r="B246" s="5" t="inlineStr">
        <is>
          <t>Camara 2 Mp Net 2.8-12 Mm</t>
        </is>
      </c>
      <c r="C246" s="4" t="inlineStr">
        <is>
          <t>unidad</t>
        </is>
      </c>
      <c r="D246" s="10" t="n">
        <v>7322.31</v>
      </c>
      <c r="E246" s="10" t="n"/>
      <c r="F246" s="10" t="n"/>
      <c r="G246" s="10">
        <f>IF(COUNT(D246:F246)=0,"",MIN(D246:F246))</f>
        <v/>
      </c>
      <c r="H246" s="10">
        <f>IF(COUNT(D246:F246)=0,"",MEDIAN(D246:F246))</f>
        <v/>
      </c>
      <c r="I246" s="10">
        <f>IF(COUNT(D246:F246)=0,"",MAX(D246:F246))</f>
        <v/>
      </c>
      <c r="J246" s="11">
        <f>IF(OR(G246="",G246=0),"",(I246-G246)/G246)</f>
        <v/>
      </c>
      <c r="K246" s="4">
        <f>IF(COUNT(D246:F246)=0,"",INDEX($D$1:$F$1,MATCH(MIN(D246:F246),D246:F246,0)))</f>
        <v/>
      </c>
      <c r="L246" s="10" t="n">
        <v>7322.31</v>
      </c>
      <c r="M246" s="12" t="n">
        <v>1</v>
      </c>
    </row>
    <row r="247">
      <c r="A247" s="4" t="inlineStr">
        <is>
          <t>MAT-16-042</t>
        </is>
      </c>
      <c r="B247" s="5" t="inlineStr">
        <is>
          <t>Camara 5 Mp Net Ir 2.8 Mm</t>
        </is>
      </c>
      <c r="C247" s="4" t="inlineStr">
        <is>
          <t>unidad</t>
        </is>
      </c>
      <c r="D247" s="10" t="n">
        <v>7322.31</v>
      </c>
      <c r="E247" s="10" t="n"/>
      <c r="F247" s="10" t="n"/>
      <c r="G247" s="10">
        <f>IF(COUNT(D247:F247)=0,"",MIN(D247:F247))</f>
        <v/>
      </c>
      <c r="H247" s="10">
        <f>IF(COUNT(D247:F247)=0,"",MEDIAN(D247:F247))</f>
        <v/>
      </c>
      <c r="I247" s="10">
        <f>IF(COUNT(D247:F247)=0,"",MAX(D247:F247))</f>
        <v/>
      </c>
      <c r="J247" s="11">
        <f>IF(OR(G247="",G247=0),"",(I247-G247)/G247)</f>
        <v/>
      </c>
      <c r="K247" s="4">
        <f>IF(COUNT(D247:F247)=0,"",INDEX($D$1:$F$1,MATCH(MIN(D247:F247),D247:F247,0)))</f>
        <v/>
      </c>
      <c r="L247" s="10" t="n">
        <v>7322.31</v>
      </c>
      <c r="M247" s="12" t="n">
        <v>1</v>
      </c>
    </row>
    <row r="248">
      <c r="A248" s="4" t="inlineStr">
        <is>
          <t>MAT-16-043</t>
        </is>
      </c>
      <c r="B248" s="5" t="inlineStr">
        <is>
          <t>Camara tipo Bullet 5 Mp exterior Net 2.8 Mm</t>
        </is>
      </c>
      <c r="C248" s="4" t="inlineStr">
        <is>
          <t>unidad</t>
        </is>
      </c>
      <c r="D248" s="10" t="n">
        <v>7322.31</v>
      </c>
      <c r="E248" s="10" t="n"/>
      <c r="F248" s="10" t="n"/>
      <c r="G248" s="10">
        <f>IF(COUNT(D248:F248)=0,"",MIN(D248:F248))</f>
        <v/>
      </c>
      <c r="H248" s="10">
        <f>IF(COUNT(D248:F248)=0,"",MEDIAN(D248:F248))</f>
        <v/>
      </c>
      <c r="I248" s="10">
        <f>IF(COUNT(D248:F248)=0,"",MAX(D248:F248))</f>
        <v/>
      </c>
      <c r="J248" s="11">
        <f>IF(OR(G248="",G248=0),"",(I248-G248)/G248)</f>
        <v/>
      </c>
      <c r="K248" s="4">
        <f>IF(COUNT(D248:F248)=0,"",INDEX($D$1:$F$1,MATCH(MIN(D248:F248),D248:F248,0)))</f>
        <v/>
      </c>
      <c r="L248" s="10" t="n">
        <v>7322.31</v>
      </c>
      <c r="M248" s="12" t="n">
        <v>1</v>
      </c>
    </row>
    <row r="249">
      <c r="A249" s="4" t="inlineStr">
        <is>
          <t>MAT-16-044</t>
        </is>
      </c>
      <c r="B249" s="5" t="inlineStr">
        <is>
          <t>Camara Domo Motorizada 4 Mp 2.8-12 Mm</t>
        </is>
      </c>
      <c r="C249" s="4" t="inlineStr">
        <is>
          <t>unidad</t>
        </is>
      </c>
      <c r="D249" s="10" t="n">
        <v>8268.27</v>
      </c>
      <c r="E249" s="10" t="n"/>
      <c r="F249" s="10" t="n"/>
      <c r="G249" s="10">
        <f>IF(COUNT(D249:F249)=0,"",MIN(D249:F249))</f>
        <v/>
      </c>
      <c r="H249" s="10">
        <f>IF(COUNT(D249:F249)=0,"",MEDIAN(D249:F249))</f>
        <v/>
      </c>
      <c r="I249" s="10">
        <f>IF(COUNT(D249:F249)=0,"",MAX(D249:F249))</f>
        <v/>
      </c>
      <c r="J249" s="11">
        <f>IF(OR(G249="",G249=0),"",(I249-G249)/G249)</f>
        <v/>
      </c>
      <c r="K249" s="4">
        <f>IF(COUNT(D249:F249)=0,"",INDEX($D$1:$F$1,MATCH(MIN(D249:F249),D249:F249,0)))</f>
        <v/>
      </c>
      <c r="L249" s="10" t="n">
        <v>8268.27</v>
      </c>
      <c r="M249" s="12" t="n">
        <v>1</v>
      </c>
    </row>
    <row r="250">
      <c r="A250" s="4" t="inlineStr">
        <is>
          <t>MAT-16-045</t>
        </is>
      </c>
      <c r="B250" s="5" t="inlineStr">
        <is>
          <t>Camara Bullet 2 Mp 2.8-12 Mm</t>
        </is>
      </c>
      <c r="C250" s="4" t="inlineStr">
        <is>
          <t>unidad</t>
        </is>
      </c>
      <c r="D250" s="10" t="n">
        <v>8594.82</v>
      </c>
      <c r="E250" s="10" t="n"/>
      <c r="F250" s="10" t="n"/>
      <c r="G250" s="10">
        <f>IF(COUNT(D250:F250)=0,"",MIN(D250:F250))</f>
        <v/>
      </c>
      <c r="H250" s="10">
        <f>IF(COUNT(D250:F250)=0,"",MEDIAN(D250:F250))</f>
        <v/>
      </c>
      <c r="I250" s="10">
        <f>IF(COUNT(D250:F250)=0,"",MAX(D250:F250))</f>
        <v/>
      </c>
      <c r="J250" s="11">
        <f>IF(OR(G250="",G250=0),"",(I250-G250)/G250)</f>
        <v/>
      </c>
      <c r="K250" s="4">
        <f>IF(COUNT(D250:F250)=0,"",INDEX($D$1:$F$1,MATCH(MIN(D250:F250),D250:F250,0)))</f>
        <v/>
      </c>
      <c r="L250" s="10" t="n">
        <v>8594.82</v>
      </c>
      <c r="M250" s="12" t="n">
        <v>1</v>
      </c>
    </row>
    <row r="251">
      <c r="A251" s="4" t="inlineStr">
        <is>
          <t>MAT-16-046</t>
        </is>
      </c>
      <c r="B251" s="5" t="inlineStr">
        <is>
          <t>Camara 2 Mp 2.8-12 Mm Net Autofocus</t>
        </is>
      </c>
      <c r="C251" s="4" t="inlineStr">
        <is>
          <t>unidad</t>
        </is>
      </c>
      <c r="D251" s="10" t="n">
        <v>8801.58</v>
      </c>
      <c r="E251" s="10" t="n"/>
      <c r="F251" s="10" t="n"/>
      <c r="G251" s="10">
        <f>IF(COUNT(D251:F251)=0,"",MIN(D251:F251))</f>
        <v/>
      </c>
      <c r="H251" s="10">
        <f>IF(COUNT(D251:F251)=0,"",MEDIAN(D251:F251))</f>
        <v/>
      </c>
      <c r="I251" s="10">
        <f>IF(COUNT(D251:F251)=0,"",MAX(D251:F251))</f>
        <v/>
      </c>
      <c r="J251" s="11">
        <f>IF(OR(G251="",G251=0),"",(I251-G251)/G251)</f>
        <v/>
      </c>
      <c r="K251" s="4">
        <f>IF(COUNT(D251:F251)=0,"",INDEX($D$1:$F$1,MATCH(MIN(D251:F251),D251:F251,0)))</f>
        <v/>
      </c>
      <c r="L251" s="10" t="n">
        <v>8801.58</v>
      </c>
      <c r="M251" s="12" t="n">
        <v>1</v>
      </c>
    </row>
    <row r="252">
      <c r="A252" s="4" t="inlineStr">
        <is>
          <t>MAT-16-047</t>
        </is>
      </c>
      <c r="B252" s="5" t="inlineStr">
        <is>
          <t>Camara Bullet 4 Mp</t>
        </is>
      </c>
      <c r="C252" s="4" t="inlineStr">
        <is>
          <t>unidad</t>
        </is>
      </c>
      <c r="D252" s="10" t="n">
        <v>9064.129999999999</v>
      </c>
      <c r="E252" s="10" t="n"/>
      <c r="F252" s="10" t="n"/>
      <c r="G252" s="10">
        <f>IF(COUNT(D252:F252)=0,"",MIN(D252:F252))</f>
        <v/>
      </c>
      <c r="H252" s="10">
        <f>IF(COUNT(D252:F252)=0,"",MEDIAN(D252:F252))</f>
        <v/>
      </c>
      <c r="I252" s="10">
        <f>IF(COUNT(D252:F252)=0,"",MAX(D252:F252))</f>
        <v/>
      </c>
      <c r="J252" s="11">
        <f>IF(OR(G252="",G252=0),"",(I252-G252)/G252)</f>
        <v/>
      </c>
      <c r="K252" s="4">
        <f>IF(COUNT(D252:F252)=0,"",INDEX($D$1:$F$1,MATCH(MIN(D252:F252),D252:F252,0)))</f>
        <v/>
      </c>
      <c r="L252" s="10" t="n">
        <v>9064.129999999999</v>
      </c>
      <c r="M252" s="12" t="n">
        <v>1</v>
      </c>
    </row>
    <row r="253">
      <c r="A253" s="4" t="inlineStr">
        <is>
          <t>MAT-16-048</t>
        </is>
      </c>
      <c r="B253" s="5" t="inlineStr">
        <is>
          <t>Camara 5 Mp exterior Net 360 Gr Pano.</t>
        </is>
      </c>
      <c r="C253" s="4" t="inlineStr">
        <is>
          <t>unidad</t>
        </is>
      </c>
      <c r="D253" s="10" t="n">
        <v>11020.47</v>
      </c>
      <c r="E253" s="10" t="n"/>
      <c r="F253" s="10" t="n"/>
      <c r="G253" s="10">
        <f>IF(COUNT(D253:F253)=0,"",MIN(D253:F253))</f>
        <v/>
      </c>
      <c r="H253" s="10">
        <f>IF(COUNT(D253:F253)=0,"",MEDIAN(D253:F253))</f>
        <v/>
      </c>
      <c r="I253" s="10">
        <f>IF(COUNT(D253:F253)=0,"",MAX(D253:F253))</f>
        <v/>
      </c>
      <c r="J253" s="11">
        <f>IF(OR(G253="",G253=0),"",(I253-G253)/G253)</f>
        <v/>
      </c>
      <c r="K253" s="4">
        <f>IF(COUNT(D253:F253)=0,"",INDEX($D$1:$F$1,MATCH(MIN(D253:F253),D253:F253,0)))</f>
        <v/>
      </c>
      <c r="L253" s="10" t="n">
        <v>11020.47</v>
      </c>
      <c r="M253" s="12" t="n">
        <v>1</v>
      </c>
    </row>
    <row r="254">
      <c r="A254" s="4" t="inlineStr">
        <is>
          <t>MAT-16-049</t>
        </is>
      </c>
      <c r="B254" s="5" t="inlineStr">
        <is>
          <t>Camara 5 Mp Medallion 2.8-12 Mm Net Varif.</t>
        </is>
      </c>
      <c r="C254" s="4" t="inlineStr">
        <is>
          <t>unidad</t>
        </is>
      </c>
      <c r="D254" s="10" t="n">
        <v>11760.12</v>
      </c>
      <c r="E254" s="10" t="n"/>
      <c r="F254" s="10" t="n"/>
      <c r="G254" s="10">
        <f>IF(COUNT(D254:F254)=0,"",MIN(D254:F254))</f>
        <v/>
      </c>
      <c r="H254" s="10">
        <f>IF(COUNT(D254:F254)=0,"",MEDIAN(D254:F254))</f>
        <v/>
      </c>
      <c r="I254" s="10">
        <f>IF(COUNT(D254:F254)=0,"",MAX(D254:F254))</f>
        <v/>
      </c>
      <c r="J254" s="11">
        <f>IF(OR(G254="",G254=0),"",(I254-G254)/G254)</f>
        <v/>
      </c>
      <c r="K254" s="4">
        <f>IF(COUNT(D254:F254)=0,"",INDEX($D$1:$F$1,MATCH(MIN(D254:F254),D254:F254,0)))</f>
        <v/>
      </c>
      <c r="L254" s="10" t="n">
        <v>11760.12</v>
      </c>
      <c r="M254" s="12" t="n">
        <v>1</v>
      </c>
    </row>
    <row r="255">
      <c r="A255" s="4" t="inlineStr">
        <is>
          <t>MAT-16-050</t>
        </is>
      </c>
      <c r="B255" s="5" t="inlineStr">
        <is>
          <t>Camara 5 Mp Net 2.8-12 Mm</t>
        </is>
      </c>
      <c r="C255" s="4" t="inlineStr">
        <is>
          <t>unidad</t>
        </is>
      </c>
      <c r="D255" s="10" t="n">
        <v>12499.73</v>
      </c>
      <c r="E255" s="10" t="n"/>
      <c r="F255" s="10" t="n"/>
      <c r="G255" s="10">
        <f>IF(COUNT(D255:F255)=0,"",MIN(D255:F255))</f>
        <v/>
      </c>
      <c r="H255" s="10">
        <f>IF(COUNT(D255:F255)=0,"",MEDIAN(D255:F255))</f>
        <v/>
      </c>
      <c r="I255" s="10">
        <f>IF(COUNT(D255:F255)=0,"",MAX(D255:F255))</f>
        <v/>
      </c>
      <c r="J255" s="11">
        <f>IF(OR(G255="",G255=0),"",(I255-G255)/G255)</f>
        <v/>
      </c>
      <c r="K255" s="4">
        <f>IF(COUNT(D255:F255)=0,"",INDEX($D$1:$F$1,MATCH(MIN(D255:F255),D255:F255,0)))</f>
        <v/>
      </c>
      <c r="L255" s="10" t="n">
        <v>12499.73</v>
      </c>
      <c r="M255" s="12" t="n">
        <v>1</v>
      </c>
    </row>
    <row r="256">
      <c r="A256" s="4" t="inlineStr">
        <is>
          <t>MAT-16-051</t>
        </is>
      </c>
      <c r="B256" s="5" t="inlineStr">
        <is>
          <t>Flexidome IP Micro 3000I Domo Fijo 130 Gr</t>
        </is>
      </c>
      <c r="C256" s="4" t="inlineStr">
        <is>
          <t>unidad</t>
        </is>
      </c>
      <c r="D256" s="10" t="n">
        <v>12992.17</v>
      </c>
      <c r="E256" s="10" t="n"/>
      <c r="F256" s="10" t="n"/>
      <c r="G256" s="10">
        <f>IF(COUNT(D256:F256)=0,"",MIN(D256:F256))</f>
        <v/>
      </c>
      <c r="H256" s="10">
        <f>IF(COUNT(D256:F256)=0,"",MEDIAN(D256:F256))</f>
        <v/>
      </c>
      <c r="I256" s="10">
        <f>IF(COUNT(D256:F256)=0,"",MAX(D256:F256))</f>
        <v/>
      </c>
      <c r="J256" s="11">
        <f>IF(OR(G256="",G256=0),"",(I256-G256)/G256)</f>
        <v/>
      </c>
      <c r="K256" s="4">
        <f>IF(COUNT(D256:F256)=0,"",INDEX($D$1:$F$1,MATCH(MIN(D256:F256),D256:F256,0)))</f>
        <v/>
      </c>
      <c r="L256" s="10" t="n">
        <v>12992.17</v>
      </c>
      <c r="M256" s="12" t="n">
        <v>1</v>
      </c>
    </row>
    <row r="257">
      <c r="A257" s="4" t="inlineStr">
        <is>
          <t>MAT-16-052</t>
        </is>
      </c>
      <c r="B257" s="5" t="inlineStr">
        <is>
          <t>Cam IP Varifocal Motoriz Bullet8 Mp Wizse</t>
        </is>
      </c>
      <c r="C257" s="4" t="inlineStr">
        <is>
          <t>unidad</t>
        </is>
      </c>
      <c r="D257" s="10" t="n">
        <v>13465.71</v>
      </c>
      <c r="E257" s="10" t="n"/>
      <c r="F257" s="10" t="n"/>
      <c r="G257" s="10">
        <f>IF(COUNT(D257:F257)=0,"",MIN(D257:F257))</f>
        <v/>
      </c>
      <c r="H257" s="10">
        <f>IF(COUNT(D257:F257)=0,"",MEDIAN(D257:F257))</f>
        <v/>
      </c>
      <c r="I257" s="10">
        <f>IF(COUNT(D257:F257)=0,"",MAX(D257:F257))</f>
        <v/>
      </c>
      <c r="J257" s="11">
        <f>IF(OR(G257="",G257=0),"",(I257-G257)/G257)</f>
        <v/>
      </c>
      <c r="K257" s="4">
        <f>IF(COUNT(D257:F257)=0,"",INDEX($D$1:$F$1,MATCH(MIN(D257:F257),D257:F257,0)))</f>
        <v/>
      </c>
      <c r="L257" s="10" t="n">
        <v>13465.71</v>
      </c>
      <c r="M257" s="12" t="n">
        <v>1</v>
      </c>
    </row>
    <row r="258">
      <c r="A258" s="4" t="inlineStr">
        <is>
          <t>MAT-16-053</t>
        </is>
      </c>
      <c r="B258" s="5" t="inlineStr">
        <is>
          <t>Camara Fija 2 Mp 3-12 Mm Dinion</t>
        </is>
      </c>
      <c r="C258" s="4" t="inlineStr">
        <is>
          <t>unidad</t>
        </is>
      </c>
      <c r="D258" s="10" t="n">
        <v>14863.32</v>
      </c>
      <c r="E258" s="10" t="n"/>
      <c r="F258" s="10" t="n"/>
      <c r="G258" s="10">
        <f>IF(COUNT(D258:F258)=0,"",MIN(D258:F258))</f>
        <v/>
      </c>
      <c r="H258" s="10">
        <f>IF(COUNT(D258:F258)=0,"",MEDIAN(D258:F258))</f>
        <v/>
      </c>
      <c r="I258" s="10">
        <f>IF(COUNT(D258:F258)=0,"",MAX(D258:F258))</f>
        <v/>
      </c>
      <c r="J258" s="11">
        <f>IF(OR(G258="",G258=0),"",(I258-G258)/G258)</f>
        <v/>
      </c>
      <c r="K258" s="4">
        <f>IF(COUNT(D258:F258)=0,"",INDEX($D$1:$F$1,MATCH(MIN(D258:F258),D258:F258,0)))</f>
        <v/>
      </c>
      <c r="L258" s="10" t="n">
        <v>14863.32</v>
      </c>
      <c r="M258" s="12" t="n">
        <v>1</v>
      </c>
    </row>
    <row r="259">
      <c r="A259" s="4" t="inlineStr">
        <is>
          <t>MAT-16-054</t>
        </is>
      </c>
      <c r="B259" s="5" t="inlineStr">
        <is>
          <t>Camara Solar IP Bullet 4 Mp 4G 2 Da Gen</t>
        </is>
      </c>
      <c r="C259" s="4" t="inlineStr">
        <is>
          <t>unidad</t>
        </is>
      </c>
      <c r="D259" s="10" t="n">
        <v>17705.5</v>
      </c>
      <c r="E259" s="10" t="n"/>
      <c r="F259" s="10" t="n"/>
      <c r="G259" s="10">
        <f>IF(COUNT(D259:F259)=0,"",MIN(D259:F259))</f>
        <v/>
      </c>
      <c r="H259" s="10">
        <f>IF(COUNT(D259:F259)=0,"",MEDIAN(D259:F259))</f>
        <v/>
      </c>
      <c r="I259" s="10">
        <f>IF(COUNT(D259:F259)=0,"",MAX(D259:F259))</f>
        <v/>
      </c>
      <c r="J259" s="11">
        <f>IF(OR(G259="",G259=0),"",(I259-G259)/G259)</f>
        <v/>
      </c>
      <c r="K259" s="4">
        <f>IF(COUNT(D259:F259)=0,"",INDEX($D$1:$F$1,MATCH(MIN(D259:F259),D259:F259,0)))</f>
        <v/>
      </c>
      <c r="L259" s="10" t="n">
        <v>17705.5</v>
      </c>
      <c r="M259" s="12" t="n">
        <v>1</v>
      </c>
    </row>
    <row r="260">
      <c r="A260" s="4" t="inlineStr">
        <is>
          <t>MAT-16-055</t>
        </is>
      </c>
      <c r="B260" s="5" t="inlineStr">
        <is>
          <t>Camara Solar PTZ 3 Mp+3 Mp Audio 2 Way 4G</t>
        </is>
      </c>
      <c r="C260" s="4" t="inlineStr">
        <is>
          <t>unidad</t>
        </is>
      </c>
      <c r="D260" s="10" t="n">
        <v>19602.61</v>
      </c>
      <c r="E260" s="10" t="n"/>
      <c r="F260" s="10" t="n"/>
      <c r="G260" s="10">
        <f>IF(COUNT(D260:F260)=0,"",MIN(D260:F260))</f>
        <v/>
      </c>
      <c r="H260" s="10">
        <f>IF(COUNT(D260:F260)=0,"",MEDIAN(D260:F260))</f>
        <v/>
      </c>
      <c r="I260" s="10">
        <f>IF(COUNT(D260:F260)=0,"",MAX(D260:F260))</f>
        <v/>
      </c>
      <c r="J260" s="11">
        <f>IF(OR(G260="",G260=0),"",(I260-G260)/G260)</f>
        <v/>
      </c>
      <c r="K260" s="4">
        <f>IF(COUNT(D260:F260)=0,"",INDEX($D$1:$F$1,MATCH(MIN(D260:F260),D260:F260,0)))</f>
        <v/>
      </c>
      <c r="L260" s="10" t="n">
        <v>19602.61</v>
      </c>
      <c r="M260" s="12" t="n">
        <v>1</v>
      </c>
    </row>
    <row r="261">
      <c r="A261" s="4" t="inlineStr">
        <is>
          <t>MAT-16-056</t>
        </is>
      </c>
      <c r="B261" s="5" t="inlineStr">
        <is>
          <t>Flexidome IP 3000I Ir Domo Fijo 5 Mp Hdr</t>
        </is>
      </c>
      <c r="C261" s="4" t="inlineStr">
        <is>
          <t>unidad</t>
        </is>
      </c>
      <c r="D261" s="10" t="n">
        <v>24325.6</v>
      </c>
      <c r="E261" s="10" t="n"/>
      <c r="F261" s="10" t="n"/>
      <c r="G261" s="10">
        <f>IF(COUNT(D261:F261)=0,"",MIN(D261:F261))</f>
        <v/>
      </c>
      <c r="H261" s="10">
        <f>IF(COUNT(D261:F261)=0,"",MEDIAN(D261:F261))</f>
        <v/>
      </c>
      <c r="I261" s="10">
        <f>IF(COUNT(D261:F261)=0,"",MAX(D261:F261))</f>
        <v/>
      </c>
      <c r="J261" s="11">
        <f>IF(OR(G261="",G261=0),"",(I261-G261)/G261)</f>
        <v/>
      </c>
      <c r="K261" s="4">
        <f>IF(COUNT(D261:F261)=0,"",INDEX($D$1:$F$1,MATCH(MIN(D261:F261),D261:F261,0)))</f>
        <v/>
      </c>
      <c r="L261" s="10" t="n">
        <v>24325.6</v>
      </c>
      <c r="M261" s="12" t="n">
        <v>1</v>
      </c>
    </row>
    <row r="262">
      <c r="A262" s="4" t="inlineStr">
        <is>
          <t>MAT-16-057</t>
        </is>
      </c>
      <c r="B262" s="5" t="inlineStr">
        <is>
          <t>Camara Domo IP PTZ 2 Mp 25X Zoom</t>
        </is>
      </c>
      <c r="C262" s="4" t="inlineStr">
        <is>
          <t>unidad</t>
        </is>
      </c>
      <c r="D262" s="10" t="n">
        <v>30360.56</v>
      </c>
      <c r="E262" s="10" t="n"/>
      <c r="F262" s="10" t="n"/>
      <c r="G262" s="10">
        <f>IF(COUNT(D262:F262)=0,"",MIN(D262:F262))</f>
        <v/>
      </c>
      <c r="H262" s="10">
        <f>IF(COUNT(D262:F262)=0,"",MEDIAN(D262:F262))</f>
        <v/>
      </c>
      <c r="I262" s="10">
        <f>IF(COUNT(D262:F262)=0,"",MAX(D262:F262))</f>
        <v/>
      </c>
      <c r="J262" s="11">
        <f>IF(OR(G262="",G262=0),"",(I262-G262)/G262)</f>
        <v/>
      </c>
      <c r="K262" s="4">
        <f>IF(COUNT(D262:F262)=0,"",INDEX($D$1:$F$1,MATCH(MIN(D262:F262),D262:F262,0)))</f>
        <v/>
      </c>
      <c r="L262" s="10" t="n">
        <v>30360.56</v>
      </c>
      <c r="M262" s="12" t="n">
        <v>1</v>
      </c>
    </row>
    <row r="263">
      <c r="A263" s="4" t="inlineStr">
        <is>
          <t>MAT-16-058</t>
        </is>
      </c>
      <c r="B263" s="5" t="inlineStr">
        <is>
          <t>Grabador XVR 16 / 2 Ip 1080N Cooper Ws</t>
        </is>
      </c>
      <c r="C263" s="4" t="inlineStr">
        <is>
          <t>unidad</t>
        </is>
      </c>
      <c r="D263" s="10" t="n">
        <v>6079.41</v>
      </c>
      <c r="E263" s="10" t="n"/>
      <c r="F263" s="10" t="n"/>
      <c r="G263" s="10">
        <f>IF(COUNT(D263:F263)=0,"",MIN(D263:F263))</f>
        <v/>
      </c>
      <c r="H263" s="10">
        <f>IF(COUNT(D263:F263)=0,"",MEDIAN(D263:F263))</f>
        <v/>
      </c>
      <c r="I263" s="10">
        <f>IF(COUNT(D263:F263)=0,"",MAX(D263:F263))</f>
        <v/>
      </c>
      <c r="J263" s="11">
        <f>IF(OR(G263="",G263=0),"",(I263-G263)/G263)</f>
        <v/>
      </c>
      <c r="K263" s="4">
        <f>IF(COUNT(D263:F263)=0,"",INDEX($D$1:$F$1,MATCH(MIN(D263:F263),D263:F263,0)))</f>
        <v/>
      </c>
      <c r="L263" s="10" t="n">
        <v>6079.41</v>
      </c>
      <c r="M263" s="12" t="n">
        <v>1</v>
      </c>
    </row>
    <row r="264">
      <c r="A264" s="4" t="inlineStr">
        <is>
          <t>MAT-16-059</t>
        </is>
      </c>
      <c r="B264" s="5" t="inlineStr">
        <is>
          <t>DVR 4 Canales 5 Mpx</t>
        </is>
      </c>
      <c r="C264" s="4" t="inlineStr">
        <is>
          <t>unidad</t>
        </is>
      </c>
      <c r="D264" s="10" t="n">
        <v>6677.44</v>
      </c>
      <c r="E264" s="10" t="n"/>
      <c r="F264" s="10" t="n"/>
      <c r="G264" s="10">
        <f>IF(COUNT(D264:F264)=0,"",MIN(D264:F264))</f>
        <v/>
      </c>
      <c r="H264" s="10">
        <f>IF(COUNT(D264:F264)=0,"",MEDIAN(D264:F264))</f>
        <v/>
      </c>
      <c r="I264" s="10">
        <f>IF(COUNT(D264:F264)=0,"",MAX(D264:F264))</f>
        <v/>
      </c>
      <c r="J264" s="11">
        <f>IF(OR(G264="",G264=0),"",(I264-G264)/G264)</f>
        <v/>
      </c>
      <c r="K264" s="4">
        <f>IF(COUNT(D264:F264)=0,"",INDEX($D$1:$F$1,MATCH(MIN(D264:F264),D264:F264,0)))</f>
        <v/>
      </c>
      <c r="L264" s="10" t="n">
        <v>6677.44</v>
      </c>
      <c r="M264" s="12" t="n">
        <v>1</v>
      </c>
    </row>
    <row r="265">
      <c r="A265" s="4" t="inlineStr">
        <is>
          <t>MAT-16-060</t>
        </is>
      </c>
      <c r="B265" s="5" t="inlineStr">
        <is>
          <t>DVR Medallion Ahd 4 Canales 960H</t>
        </is>
      </c>
      <c r="C265" s="4" t="inlineStr">
        <is>
          <t>unidad</t>
        </is>
      </c>
      <c r="D265" s="10" t="n">
        <v>7438.16</v>
      </c>
      <c r="E265" s="10" t="n"/>
      <c r="F265" s="10" t="n"/>
      <c r="G265" s="10">
        <f>IF(COUNT(D265:F265)=0,"",MIN(D265:F265))</f>
        <v/>
      </c>
      <c r="H265" s="10">
        <f>IF(COUNT(D265:F265)=0,"",MEDIAN(D265:F265))</f>
        <v/>
      </c>
      <c r="I265" s="10">
        <f>IF(COUNT(D265:F265)=0,"",MAX(D265:F265))</f>
        <v/>
      </c>
      <c r="J265" s="11">
        <f>IF(OR(G265="",G265=0),"",(I265-G265)/G265)</f>
        <v/>
      </c>
      <c r="K265" s="4">
        <f>IF(COUNT(D265:F265)=0,"",INDEX($D$1:$F$1,MATCH(MIN(D265:F265),D265:F265,0)))</f>
        <v/>
      </c>
      <c r="L265" s="10" t="n">
        <v>7438.16</v>
      </c>
      <c r="M265" s="12" t="n">
        <v>1</v>
      </c>
    </row>
    <row r="266">
      <c r="A266" s="4" t="inlineStr">
        <is>
          <t>MAT-16-061</t>
        </is>
      </c>
      <c r="B266" s="5" t="inlineStr">
        <is>
          <t>Grabador De Video NVR 16 Ch 1U con 16 Poe 8T</t>
        </is>
      </c>
      <c r="C266" s="4" t="inlineStr">
        <is>
          <t>unidad</t>
        </is>
      </c>
      <c r="D266" s="10" t="n">
        <v>17077.39</v>
      </c>
      <c r="E266" s="10" t="n"/>
      <c r="F266" s="10" t="n"/>
      <c r="G266" s="10">
        <f>IF(COUNT(D266:F266)=0,"",MIN(D266:F266))</f>
        <v/>
      </c>
      <c r="H266" s="10">
        <f>IF(COUNT(D266:F266)=0,"",MEDIAN(D266:F266))</f>
        <v/>
      </c>
      <c r="I266" s="10">
        <f>IF(COUNT(D266:F266)=0,"",MAX(D266:F266))</f>
        <v/>
      </c>
      <c r="J266" s="11">
        <f>IF(OR(G266="",G266=0),"",(I266-G266)/G266)</f>
        <v/>
      </c>
      <c r="K266" s="4">
        <f>IF(COUNT(D266:F266)=0,"",INDEX($D$1:$F$1,MATCH(MIN(D266:F266),D266:F266,0)))</f>
        <v/>
      </c>
      <c r="L266" s="10" t="n">
        <v>17077.39</v>
      </c>
      <c r="M266" s="12" t="n">
        <v>1</v>
      </c>
    </row>
    <row r="267">
      <c r="A267" s="4" t="inlineStr">
        <is>
          <t>MAT-16-062</t>
        </is>
      </c>
      <c r="B267" s="5" t="inlineStr">
        <is>
          <t>DVR Medallion Ahd 16 Canales</t>
        </is>
      </c>
      <c r="C267" s="4" t="inlineStr">
        <is>
          <t>unidad</t>
        </is>
      </c>
      <c r="D267" s="10" t="n">
        <v>18426.33</v>
      </c>
      <c r="E267" s="10" t="n"/>
      <c r="F267" s="10" t="n"/>
      <c r="G267" s="10">
        <f>IF(COUNT(D267:F267)=0,"",MIN(D267:F267))</f>
        <v/>
      </c>
      <c r="H267" s="10">
        <f>IF(COUNT(D267:F267)=0,"",MEDIAN(D267:F267))</f>
        <v/>
      </c>
      <c r="I267" s="10">
        <f>IF(COUNT(D267:F267)=0,"",MAX(D267:F267))</f>
        <v/>
      </c>
      <c r="J267" s="11">
        <f>IF(OR(G267="",G267=0),"",(I267-G267)/G267)</f>
        <v/>
      </c>
      <c r="K267" s="4">
        <f>IF(COUNT(D267:F267)=0,"",INDEX($D$1:$F$1,MATCH(MIN(D267:F267),D267:F267,0)))</f>
        <v/>
      </c>
      <c r="L267" s="10" t="n">
        <v>18426.33</v>
      </c>
      <c r="M267" s="12" t="n">
        <v>1</v>
      </c>
    </row>
    <row r="268">
      <c r="A268" s="4" t="inlineStr">
        <is>
          <t>MAT-16-063</t>
        </is>
      </c>
      <c r="B268" s="5" t="inlineStr">
        <is>
          <t>NVR 32 Ch No PoE Serie 4000-Ei 2 Hdd Wizse</t>
        </is>
      </c>
      <c r="C268" s="4" t="inlineStr">
        <is>
          <t>unidad</t>
        </is>
      </c>
      <c r="D268" s="10" t="n">
        <v>20990.22</v>
      </c>
      <c r="E268" s="10" t="n"/>
      <c r="F268" s="10" t="n"/>
      <c r="G268" s="10">
        <f>IF(COUNT(D268:F268)=0,"",MIN(D268:F268))</f>
        <v/>
      </c>
      <c r="H268" s="10">
        <f>IF(COUNT(D268:F268)=0,"",MEDIAN(D268:F268))</f>
        <v/>
      </c>
      <c r="I268" s="10">
        <f>IF(COUNT(D268:F268)=0,"",MAX(D268:F268))</f>
        <v/>
      </c>
      <c r="J268" s="11">
        <f>IF(OR(G268="",G268=0),"",(I268-G268)/G268)</f>
        <v/>
      </c>
      <c r="K268" s="4">
        <f>IF(COUNT(D268:F268)=0,"",INDEX($D$1:$F$1,MATCH(MIN(D268:F268),D268:F268,0)))</f>
        <v/>
      </c>
      <c r="L268" s="10" t="n">
        <v>20990.22</v>
      </c>
      <c r="M268" s="12" t="n">
        <v>1</v>
      </c>
    </row>
    <row r="269">
      <c r="A269" s="4" t="inlineStr">
        <is>
          <t>MAT-16-064</t>
        </is>
      </c>
      <c r="B269" s="5" t="inlineStr">
        <is>
          <t>NVR 64 Ch 4K Network Video Recorder</t>
        </is>
      </c>
      <c r="C269" s="4" t="inlineStr">
        <is>
          <t>unidad</t>
        </is>
      </c>
      <c r="D269" s="10" t="n">
        <v>126684.93</v>
      </c>
      <c r="E269" s="10" t="n"/>
      <c r="F269" s="10" t="n"/>
      <c r="G269" s="10">
        <f>IF(COUNT(D269:F269)=0,"",MIN(D269:F269))</f>
        <v/>
      </c>
      <c r="H269" s="10">
        <f>IF(COUNT(D269:F269)=0,"",MEDIAN(D269:F269))</f>
        <v/>
      </c>
      <c r="I269" s="10">
        <f>IF(COUNT(D269:F269)=0,"",MAX(D269:F269))</f>
        <v/>
      </c>
      <c r="J269" s="11">
        <f>IF(OR(G269="",G269=0),"",(I269-G269)/G269)</f>
        <v/>
      </c>
      <c r="K269" s="4">
        <f>IF(COUNT(D269:F269)=0,"",INDEX($D$1:$F$1,MATCH(MIN(D269:F269),D269:F269,0)))</f>
        <v/>
      </c>
      <c r="L269" s="10" t="n">
        <v>126684.93</v>
      </c>
      <c r="M269" s="12" t="n">
        <v>1</v>
      </c>
    </row>
    <row r="270">
      <c r="A270" s="4" t="inlineStr">
        <is>
          <t>MAT-16-065</t>
        </is>
      </c>
      <c r="B270" s="5" t="inlineStr">
        <is>
          <t>Disco Duro Skyhawk Sata 1 Tb 5900 Rpm</t>
        </is>
      </c>
      <c r="C270" s="4" t="inlineStr">
        <is>
          <t>unidad</t>
        </is>
      </c>
      <c r="D270" s="10" t="n">
        <v>7633.17</v>
      </c>
      <c r="E270" s="10" t="n"/>
      <c r="F270" s="10" t="n"/>
      <c r="G270" s="10">
        <f>IF(COUNT(D270:F270)=0,"",MIN(D270:F270))</f>
        <v/>
      </c>
      <c r="H270" s="10">
        <f>IF(COUNT(D270:F270)=0,"",MEDIAN(D270:F270))</f>
        <v/>
      </c>
      <c r="I270" s="10">
        <f>IF(COUNT(D270:F270)=0,"",MAX(D270:F270))</f>
        <v/>
      </c>
      <c r="J270" s="11">
        <f>IF(OR(G270="",G270=0),"",(I270-G270)/G270)</f>
        <v/>
      </c>
      <c r="K270" s="4">
        <f>IF(COUNT(D270:F270)=0,"",INDEX($D$1:$F$1,MATCH(MIN(D270:F270),D270:F270,0)))</f>
        <v/>
      </c>
      <c r="L270" s="10" t="n">
        <v>7633.17</v>
      </c>
      <c r="M270" s="12" t="n">
        <v>1</v>
      </c>
    </row>
    <row r="271">
      <c r="A271" s="4" t="inlineStr">
        <is>
          <t>MAT-16-066</t>
        </is>
      </c>
      <c r="B271" s="5" t="inlineStr">
        <is>
          <t>Disco Duro Sata para Video Vigilancia 8 Tb</t>
        </is>
      </c>
      <c r="C271" s="4" t="inlineStr">
        <is>
          <t>unidad</t>
        </is>
      </c>
      <c r="D271" s="10" t="n">
        <v>22243.38</v>
      </c>
      <c r="E271" s="10" t="n"/>
      <c r="F271" s="10" t="n"/>
      <c r="G271" s="10">
        <f>IF(COUNT(D271:F271)=0,"",MIN(D271:F271))</f>
        <v/>
      </c>
      <c r="H271" s="10">
        <f>IF(COUNT(D271:F271)=0,"",MEDIAN(D271:F271))</f>
        <v/>
      </c>
      <c r="I271" s="10">
        <f>IF(COUNT(D271:F271)=0,"",MAX(D271:F271))</f>
        <v/>
      </c>
      <c r="J271" s="11">
        <f>IF(OR(G271="",G271=0),"",(I271-G271)/G271)</f>
        <v/>
      </c>
      <c r="K271" s="4">
        <f>IF(COUNT(D271:F271)=0,"",INDEX($D$1:$F$1,MATCH(MIN(D271:F271),D271:F271,0)))</f>
        <v/>
      </c>
      <c r="L271" s="10" t="n">
        <v>22243.38</v>
      </c>
      <c r="M271" s="12" t="n">
        <v>1</v>
      </c>
    </row>
    <row r="272">
      <c r="A272" s="4" t="inlineStr">
        <is>
          <t>MAT-16-067</t>
        </is>
      </c>
      <c r="B272" s="5" t="inlineStr">
        <is>
          <t>Monitor Contacto Clase A 4"</t>
        </is>
      </c>
      <c r="C272" s="4" t="inlineStr">
        <is>
          <t>unidad</t>
        </is>
      </c>
      <c r="D272" s="10" t="n">
        <v>2707.65</v>
      </c>
      <c r="E272" s="10" t="n"/>
      <c r="F272" s="10" t="n"/>
      <c r="G272" s="10">
        <f>IF(COUNT(D272:F272)=0,"",MIN(D272:F272))</f>
        <v/>
      </c>
      <c r="H272" s="10">
        <f>IF(COUNT(D272:F272)=0,"",MEDIAN(D272:F272))</f>
        <v/>
      </c>
      <c r="I272" s="10">
        <f>IF(COUNT(D272:F272)=0,"",MAX(D272:F272))</f>
        <v/>
      </c>
      <c r="J272" s="11">
        <f>IF(OR(G272="",G272=0),"",(I272-G272)/G272)</f>
        <v/>
      </c>
      <c r="K272" s="4">
        <f>IF(COUNT(D272:F272)=0,"",INDEX($D$1:$F$1,MATCH(MIN(D272:F272),D272:F272,0)))</f>
        <v/>
      </c>
      <c r="L272" s="10" t="n">
        <v>2707.65</v>
      </c>
      <c r="M272" s="12" t="n">
        <v>1</v>
      </c>
    </row>
    <row r="273">
      <c r="A273" s="4" t="inlineStr">
        <is>
          <t>MAT-16-068</t>
        </is>
      </c>
      <c r="B273" s="5" t="inlineStr">
        <is>
          <t>Monitor Calidad Del Aire Tvoc</t>
        </is>
      </c>
      <c r="C273" s="4" t="inlineStr">
        <is>
          <t>unidad</t>
        </is>
      </c>
      <c r="D273" s="10" t="n">
        <v>2976.42</v>
      </c>
      <c r="E273" s="10" t="n"/>
      <c r="F273" s="10" t="n"/>
      <c r="G273" s="10">
        <f>IF(COUNT(D273:F273)=0,"",MIN(D273:F273))</f>
        <v/>
      </c>
      <c r="H273" s="10">
        <f>IF(COUNT(D273:F273)=0,"",MEDIAN(D273:F273))</f>
        <v/>
      </c>
      <c r="I273" s="10">
        <f>IF(COUNT(D273:F273)=0,"",MAX(D273:F273))</f>
        <v/>
      </c>
      <c r="J273" s="11">
        <f>IF(OR(G273="",G273=0),"",(I273-G273)/G273)</f>
        <v/>
      </c>
      <c r="K273" s="4">
        <f>IF(COUNT(D273:F273)=0,"",INDEX($D$1:$F$1,MATCH(MIN(D273:F273),D273:F273,0)))</f>
        <v/>
      </c>
      <c r="L273" s="10" t="n">
        <v>2976.42</v>
      </c>
      <c r="M273" s="12" t="n">
        <v>1</v>
      </c>
    </row>
    <row r="274">
      <c r="A274" s="4" t="inlineStr">
        <is>
          <t>MAT-16-069</t>
        </is>
      </c>
      <c r="B274" s="5" t="inlineStr">
        <is>
          <t>Monitor Color De 3.5 Pulgadas</t>
        </is>
      </c>
      <c r="C274" s="4" t="inlineStr">
        <is>
          <t>unidad</t>
        </is>
      </c>
      <c r="D274" s="10" t="n">
        <v>4362.91</v>
      </c>
      <c r="E274" s="10" t="n"/>
      <c r="F274" s="10" t="n"/>
      <c r="G274" s="10">
        <f>IF(COUNT(D274:F274)=0,"",MIN(D274:F274))</f>
        <v/>
      </c>
      <c r="H274" s="10">
        <f>IF(COUNT(D274:F274)=0,"",MEDIAN(D274:F274))</f>
        <v/>
      </c>
      <c r="I274" s="10">
        <f>IF(COUNT(D274:F274)=0,"",MAX(D274:F274))</f>
        <v/>
      </c>
      <c r="J274" s="11">
        <f>IF(OR(G274="",G274=0),"",(I274-G274)/G274)</f>
        <v/>
      </c>
      <c r="K274" s="4">
        <f>IF(COUNT(D274:F274)=0,"",INDEX($D$1:$F$1,MATCH(MIN(D274:F274),D274:F274,0)))</f>
        <v/>
      </c>
      <c r="L274" s="10" t="n">
        <v>4362.91</v>
      </c>
      <c r="M274" s="12" t="n">
        <v>1</v>
      </c>
    </row>
    <row r="275">
      <c r="A275" s="4" t="inlineStr">
        <is>
          <t>MAT-16-070</t>
        </is>
      </c>
      <c r="B275" s="5" t="inlineStr">
        <is>
          <t>Monitor Color sin Telefh / Fre</t>
        </is>
      </c>
      <c r="C275" s="4" t="inlineStr">
        <is>
          <t>unidad</t>
        </is>
      </c>
      <c r="D275" s="10" t="n">
        <v>5692.64</v>
      </c>
      <c r="E275" s="10" t="n"/>
      <c r="F275" s="10" t="n"/>
      <c r="G275" s="10">
        <f>IF(COUNT(D275:F275)=0,"",MIN(D275:F275))</f>
        <v/>
      </c>
      <c r="H275" s="10">
        <f>IF(COUNT(D275:F275)=0,"",MEDIAN(D275:F275))</f>
        <v/>
      </c>
      <c r="I275" s="10">
        <f>IF(COUNT(D275:F275)=0,"",MAX(D275:F275))</f>
        <v/>
      </c>
      <c r="J275" s="11">
        <f>IF(OR(G275="",G275=0),"",(I275-G275)/G275)</f>
        <v/>
      </c>
      <c r="K275" s="4">
        <f>IF(COUNT(D275:F275)=0,"",INDEX($D$1:$F$1,MATCH(MIN(D275:F275),D275:F275,0)))</f>
        <v/>
      </c>
      <c r="L275" s="10" t="n">
        <v>5692.64</v>
      </c>
      <c r="M275" s="12" t="n">
        <v>1</v>
      </c>
    </row>
    <row r="276">
      <c r="A276" s="4" t="inlineStr">
        <is>
          <t>MAT-16-071</t>
        </is>
      </c>
      <c r="B276" s="5" t="inlineStr">
        <is>
          <t>Monitor Color Con Telefcolor</t>
        </is>
      </c>
      <c r="C276" s="4" t="inlineStr">
        <is>
          <t>unidad</t>
        </is>
      </c>
      <c r="D276" s="10" t="n">
        <v>7129.26</v>
      </c>
      <c r="E276" s="10" t="n"/>
      <c r="F276" s="10" t="n"/>
      <c r="G276" s="10">
        <f>IF(COUNT(D276:F276)=0,"",MIN(D276:F276))</f>
        <v/>
      </c>
      <c r="H276" s="10">
        <f>IF(COUNT(D276:F276)=0,"",MEDIAN(D276:F276))</f>
        <v/>
      </c>
      <c r="I276" s="10">
        <f>IF(COUNT(D276:F276)=0,"",MAX(D276:F276))</f>
        <v/>
      </c>
      <c r="J276" s="11">
        <f>IF(OR(G276="",G276=0),"",(I276-G276)/G276)</f>
        <v/>
      </c>
      <c r="K276" s="4">
        <f>IF(COUNT(D276:F276)=0,"",INDEX($D$1:$F$1,MATCH(MIN(D276:F276),D276:F276,0)))</f>
        <v/>
      </c>
      <c r="L276" s="10" t="n">
        <v>7129.26</v>
      </c>
      <c r="M276" s="12" t="n">
        <v>1</v>
      </c>
    </row>
    <row r="277">
      <c r="A277" s="4" t="inlineStr">
        <is>
          <t>MAT-16-072</t>
        </is>
      </c>
      <c r="B277" s="5" t="inlineStr">
        <is>
          <t>Monitor Led CCTV 32 Pulgadas</t>
        </is>
      </c>
      <c r="C277" s="4" t="inlineStr">
        <is>
          <t>unidad</t>
        </is>
      </c>
      <c r="D277" s="10" t="n">
        <v>15349.99</v>
      </c>
      <c r="E277" s="10" t="n"/>
      <c r="F277" s="10" t="n"/>
      <c r="G277" s="10">
        <f>IF(COUNT(D277:F277)=0,"",MIN(D277:F277))</f>
        <v/>
      </c>
      <c r="H277" s="10">
        <f>IF(COUNT(D277:F277)=0,"",MEDIAN(D277:F277))</f>
        <v/>
      </c>
      <c r="I277" s="10">
        <f>IF(COUNT(D277:F277)=0,"",MAX(D277:F277))</f>
        <v/>
      </c>
      <c r="J277" s="11">
        <f>IF(OR(G277="",G277=0),"",(I277-G277)/G277)</f>
        <v/>
      </c>
      <c r="K277" s="4">
        <f>IF(COUNT(D277:F277)=0,"",INDEX($D$1:$F$1,MATCH(MIN(D277:F277),D277:F277,0)))</f>
        <v/>
      </c>
      <c r="L277" s="10" t="n">
        <v>15349.99</v>
      </c>
      <c r="M277" s="12" t="n">
        <v>1</v>
      </c>
    </row>
    <row r="278">
      <c r="A278" s="4" t="inlineStr">
        <is>
          <t>MAT-16-073</t>
        </is>
      </c>
      <c r="B278" s="5" t="inlineStr">
        <is>
          <t>Kit Camaras 4 Wifi Domo 2 Mp 2.8 Mm con Disc</t>
        </is>
      </c>
      <c r="C278" s="4" t="inlineStr">
        <is>
          <t>unidad</t>
        </is>
      </c>
      <c r="D278" s="10" t="n">
        <v>17133.95</v>
      </c>
      <c r="E278" s="10" t="n"/>
      <c r="F278" s="10" t="n"/>
      <c r="G278" s="10">
        <f>IF(COUNT(D278:F278)=0,"",MIN(D278:F278))</f>
        <v/>
      </c>
      <c r="H278" s="10">
        <f>IF(COUNT(D278:F278)=0,"",MEDIAN(D278:F278))</f>
        <v/>
      </c>
      <c r="I278" s="10">
        <f>IF(COUNT(D278:F278)=0,"",MAX(D278:F278))</f>
        <v/>
      </c>
      <c r="J278" s="11">
        <f>IF(OR(G278="",G278=0),"",(I278-G278)/G278)</f>
        <v/>
      </c>
      <c r="K278" s="4">
        <f>IF(COUNT(D278:F278)=0,"",INDEX($D$1:$F$1,MATCH(MIN(D278:F278),D278:F278,0)))</f>
        <v/>
      </c>
      <c r="L278" s="10" t="n">
        <v>17133.95</v>
      </c>
      <c r="M278" s="12" t="n">
        <v>1</v>
      </c>
    </row>
    <row r="279">
      <c r="A279" s="4" t="inlineStr">
        <is>
          <t>MAT-16-074</t>
        </is>
      </c>
      <c r="B279" s="5" t="inlineStr">
        <is>
          <t>Kit Camara 4 Wifi Bullet 2 Mp 2.8 Mm con Dis</t>
        </is>
      </c>
      <c r="C279" s="4" t="inlineStr">
        <is>
          <t>unidad</t>
        </is>
      </c>
      <c r="D279" s="10" t="n">
        <v>18221.03</v>
      </c>
      <c r="E279" s="10" t="n"/>
      <c r="F279" s="10" t="n"/>
      <c r="G279" s="10">
        <f>IF(COUNT(D279:F279)=0,"",MIN(D279:F279))</f>
        <v/>
      </c>
      <c r="H279" s="10">
        <f>IF(COUNT(D279:F279)=0,"",MEDIAN(D279:F279))</f>
        <v/>
      </c>
      <c r="I279" s="10">
        <f>IF(COUNT(D279:F279)=0,"",MAX(D279:F279))</f>
        <v/>
      </c>
      <c r="J279" s="11">
        <f>IF(OR(G279="",G279=0),"",(I279-G279)/G279)</f>
        <v/>
      </c>
      <c r="K279" s="4">
        <f>IF(COUNT(D279:F279)=0,"",INDEX($D$1:$F$1,MATCH(MIN(D279:F279),D279:F279,0)))</f>
        <v/>
      </c>
      <c r="L279" s="10" t="n">
        <v>18221.03</v>
      </c>
      <c r="M279" s="12" t="n">
        <v>1</v>
      </c>
    </row>
    <row r="280">
      <c r="A280" s="4" t="inlineStr">
        <is>
          <t>MAT-16-075</t>
        </is>
      </c>
      <c r="B280" s="5" t="inlineStr">
        <is>
          <t>Cable Patch Cord. UTP Cat 6 Slim 2 Ft Azul</t>
        </is>
      </c>
      <c r="C280" s="4" t="inlineStr">
        <is>
          <t>unidad</t>
        </is>
      </c>
      <c r="D280" s="10" t="n">
        <v>108.42</v>
      </c>
      <c r="E280" s="10" t="n"/>
      <c r="F280" s="10" t="n"/>
      <c r="G280" s="10">
        <f>IF(COUNT(D280:F280)=0,"",MIN(D280:F280))</f>
        <v/>
      </c>
      <c r="H280" s="10">
        <f>IF(COUNT(D280:F280)=0,"",MEDIAN(D280:F280))</f>
        <v/>
      </c>
      <c r="I280" s="10">
        <f>IF(COUNT(D280:F280)=0,"",MAX(D280:F280))</f>
        <v/>
      </c>
      <c r="J280" s="11">
        <f>IF(OR(G280="",G280=0),"",(I280-G280)/G280)</f>
        <v/>
      </c>
      <c r="K280" s="4">
        <f>IF(COUNT(D280:F280)=0,"",INDEX($D$1:$F$1,MATCH(MIN(D280:F280),D280:F280,0)))</f>
        <v/>
      </c>
      <c r="L280" s="10" t="n">
        <v>108.42</v>
      </c>
      <c r="M280" s="12" t="n">
        <v>1</v>
      </c>
    </row>
    <row r="281">
      <c r="A281" s="4" t="inlineStr">
        <is>
          <t>MAT-16-076</t>
        </is>
      </c>
      <c r="B281" s="5" t="inlineStr">
        <is>
          <t>Cable UTP Cat 6 interior Cert. Ul Cobre100%</t>
        </is>
      </c>
      <c r="C281" s="4" t="inlineStr">
        <is>
          <t>unidad</t>
        </is>
      </c>
      <c r="D281" s="10" t="n">
        <v>11275.77</v>
      </c>
      <c r="E281" s="10" t="n"/>
      <c r="F281" s="10" t="n"/>
      <c r="G281" s="10">
        <f>IF(COUNT(D281:F281)=0,"",MIN(D281:F281))</f>
        <v/>
      </c>
      <c r="H281" s="10">
        <f>IF(COUNT(D281:F281)=0,"",MEDIAN(D281:F281))</f>
        <v/>
      </c>
      <c r="I281" s="10">
        <f>IF(COUNT(D281:F281)=0,"",MAX(D281:F281))</f>
        <v/>
      </c>
      <c r="J281" s="11">
        <f>IF(OR(G281="",G281=0),"",(I281-G281)/G281)</f>
        <v/>
      </c>
      <c r="K281" s="4">
        <f>IF(COUNT(D281:F281)=0,"",INDEX($D$1:$F$1,MATCH(MIN(D281:F281),D281:F281,0)))</f>
        <v/>
      </c>
      <c r="L281" s="10" t="n">
        <v>11275.77</v>
      </c>
      <c r="M281" s="12" t="n">
        <v>1</v>
      </c>
    </row>
    <row r="282">
      <c r="A282" s="4" t="inlineStr">
        <is>
          <t>MAT-16-077</t>
        </is>
      </c>
      <c r="B282" s="5" t="inlineStr">
        <is>
          <t>Placa De Pared Modular 10G Max</t>
        </is>
      </c>
      <c r="C282" s="4" t="inlineStr">
        <is>
          <t>unidad</t>
        </is>
      </c>
      <c r="D282" s="10" t="n">
        <v>139.7</v>
      </c>
      <c r="E282" s="10" t="n"/>
      <c r="F282" s="10" t="n"/>
      <c r="G282" s="10">
        <f>IF(COUNT(D282:F282)=0,"",MIN(D282:F282))</f>
        <v/>
      </c>
      <c r="H282" s="10">
        <f>IF(COUNT(D282:F282)=0,"",MEDIAN(D282:F282))</f>
        <v/>
      </c>
      <c r="I282" s="10">
        <f>IF(COUNT(D282:F282)=0,"",MAX(D282:F282))</f>
        <v/>
      </c>
      <c r="J282" s="11">
        <f>IF(OR(G282="",G282=0),"",(I282-G282)/G282)</f>
        <v/>
      </c>
      <c r="K282" s="4">
        <f>IF(COUNT(D282:F282)=0,"",INDEX($D$1:$F$1,MATCH(MIN(D282:F282),D282:F282,0)))</f>
        <v/>
      </c>
      <c r="L282" s="10" t="n">
        <v>139.7</v>
      </c>
      <c r="M282" s="12" t="n">
        <v>1</v>
      </c>
    </row>
    <row r="283">
      <c r="A283" s="4" t="inlineStr">
        <is>
          <t>MAT-16-078</t>
        </is>
      </c>
      <c r="B283" s="5" t="inlineStr">
        <is>
          <t>Placa Interfaz Colgante</t>
        </is>
      </c>
      <c r="C283" s="4" t="inlineStr">
        <is>
          <t>unidad</t>
        </is>
      </c>
      <c r="D283" s="10" t="n">
        <v>612.77</v>
      </c>
      <c r="E283" s="10" t="n"/>
      <c r="F283" s="10" t="n"/>
      <c r="G283" s="10">
        <f>IF(COUNT(D283:F283)=0,"",MIN(D283:F283))</f>
        <v/>
      </c>
      <c r="H283" s="10">
        <f>IF(COUNT(D283:F283)=0,"",MEDIAN(D283:F283))</f>
        <v/>
      </c>
      <c r="I283" s="10">
        <f>IF(COUNT(D283:F283)=0,"",MAX(D283:F283))</f>
        <v/>
      </c>
      <c r="J283" s="11">
        <f>IF(OR(G283="",G283=0),"",(I283-G283)/G283)</f>
        <v/>
      </c>
      <c r="K283" s="4">
        <f>IF(COUNT(D283:F283)=0,"",INDEX($D$1:$F$1,MATCH(MIN(D283:F283),D283:F283,0)))</f>
        <v/>
      </c>
      <c r="L283" s="10" t="n">
        <v>612.77</v>
      </c>
      <c r="M283" s="12" t="n">
        <v>1</v>
      </c>
    </row>
    <row r="284">
      <c r="A284" s="4" t="inlineStr">
        <is>
          <t>MAT-16-079</t>
        </is>
      </c>
      <c r="B284" s="5" t="inlineStr">
        <is>
          <t>Modulo De Expansion Popex Bg-Series</t>
        </is>
      </c>
      <c r="C284" s="4" t="inlineStr">
        <is>
          <t>unidad</t>
        </is>
      </c>
      <c r="D284" s="10" t="n">
        <v>3481.22</v>
      </c>
      <c r="E284" s="10" t="n"/>
      <c r="F284" s="10" t="n"/>
      <c r="G284" s="10">
        <f>IF(COUNT(D284:F284)=0,"",MIN(D284:F284))</f>
        <v/>
      </c>
      <c r="H284" s="10">
        <f>IF(COUNT(D284:F284)=0,"",MEDIAN(D284:F284))</f>
        <v/>
      </c>
      <c r="I284" s="10">
        <f>IF(COUNT(D284:F284)=0,"",MAX(D284:F284))</f>
        <v/>
      </c>
      <c r="J284" s="11">
        <f>IF(OR(G284="",G284=0),"",(I284-G284)/G284)</f>
        <v/>
      </c>
      <c r="K284" s="4">
        <f>IF(COUNT(D284:F284)=0,"",INDEX($D$1:$F$1,MATCH(MIN(D284:F284),D284:F284,0)))</f>
        <v/>
      </c>
      <c r="L284" s="10" t="n">
        <v>3481.22</v>
      </c>
      <c r="M284" s="12" t="n">
        <v>1</v>
      </c>
    </row>
    <row r="285">
      <c r="A285" s="4" t="inlineStr">
        <is>
          <t>MAT-16-080</t>
        </is>
      </c>
      <c r="B285" s="5" t="inlineStr">
        <is>
          <t>Amplificador 240W Todo En Uno</t>
        </is>
      </c>
      <c r="C285" s="4" t="inlineStr">
        <is>
          <t>unidad</t>
        </is>
      </c>
      <c r="D285" s="10" t="n">
        <v>62081.59</v>
      </c>
      <c r="E285" s="10" t="n"/>
      <c r="F285" s="10" t="n"/>
      <c r="G285" s="10">
        <f>IF(COUNT(D285:F285)=0,"",MIN(D285:F285))</f>
        <v/>
      </c>
      <c r="H285" s="10">
        <f>IF(COUNT(D285:F285)=0,"",MEDIAN(D285:F285))</f>
        <v/>
      </c>
      <c r="I285" s="10">
        <f>IF(COUNT(D285:F285)=0,"",MAX(D285:F285))</f>
        <v/>
      </c>
      <c r="J285" s="11">
        <f>IF(OR(G285="",G285=0),"",(I285-G285)/G285)</f>
        <v/>
      </c>
      <c r="K285" s="4">
        <f>IF(COUNT(D285:F285)=0,"",INDEX($D$1:$F$1,MATCH(MIN(D285:F285),D285:F285,0)))</f>
        <v/>
      </c>
      <c r="L285" s="10" t="n">
        <v>62081.59</v>
      </c>
      <c r="M285" s="12" t="n">
        <v>1</v>
      </c>
    </row>
    <row r="286">
      <c r="A286" s="4" t="inlineStr">
        <is>
          <t>MAT-16-081</t>
        </is>
      </c>
      <c r="B286" s="5" t="inlineStr">
        <is>
          <t>Soporte Giratorio Para Pared</t>
        </is>
      </c>
      <c r="C286" s="4" t="inlineStr">
        <is>
          <t>unidad</t>
        </is>
      </c>
      <c r="D286" s="10" t="n">
        <v>168.41</v>
      </c>
      <c r="E286" s="10" t="n"/>
      <c r="F286" s="10" t="n"/>
      <c r="G286" s="10">
        <f>IF(COUNT(D286:F286)=0,"",MIN(D286:F286))</f>
        <v/>
      </c>
      <c r="H286" s="10">
        <f>IF(COUNT(D286:F286)=0,"",MEDIAN(D286:F286))</f>
        <v/>
      </c>
      <c r="I286" s="10">
        <f>IF(COUNT(D286:F286)=0,"",MAX(D286:F286))</f>
        <v/>
      </c>
      <c r="J286" s="11">
        <f>IF(OR(G286="",G286=0),"",(I286-G286)/G286)</f>
        <v/>
      </c>
      <c r="K286" s="4">
        <f>IF(COUNT(D286:F286)=0,"",INDEX($D$1:$F$1,MATCH(MIN(D286:F286),D286:F286,0)))</f>
        <v/>
      </c>
      <c r="L286" s="10" t="n">
        <v>168.41</v>
      </c>
      <c r="M286" s="12" t="n">
        <v>1</v>
      </c>
    </row>
    <row r="287">
      <c r="A287" s="4" t="inlineStr">
        <is>
          <t>MAT-16-082</t>
        </is>
      </c>
      <c r="B287" s="5" t="inlineStr">
        <is>
          <t>Base Estándar Analógica</t>
        </is>
      </c>
      <c r="C287" s="4" t="inlineStr">
        <is>
          <t>unidad</t>
        </is>
      </c>
      <c r="D287" s="10" t="n">
        <v>331.55</v>
      </c>
      <c r="E287" s="10" t="n"/>
      <c r="F287" s="10" t="n"/>
      <c r="G287" s="10">
        <f>IF(COUNT(D287:F287)=0,"",MIN(D287:F287))</f>
        <v/>
      </c>
      <c r="H287" s="10">
        <f>IF(COUNT(D287:F287)=0,"",MEDIAN(D287:F287))</f>
        <v/>
      </c>
      <c r="I287" s="10">
        <f>IF(COUNT(D287:F287)=0,"",MAX(D287:F287))</f>
        <v/>
      </c>
      <c r="J287" s="11">
        <f>IF(OR(G287="",G287=0),"",(I287-G287)/G287)</f>
        <v/>
      </c>
      <c r="K287" s="4">
        <f>IF(COUNT(D287:F287)=0,"",INDEX($D$1:$F$1,MATCH(MIN(D287:F287),D287:F287,0)))</f>
        <v/>
      </c>
      <c r="L287" s="10" t="n">
        <v>331.55</v>
      </c>
      <c r="M287" s="12" t="n">
        <v>1</v>
      </c>
    </row>
    <row r="288">
      <c r="A288" s="4" t="inlineStr">
        <is>
          <t>MAT-16-083</t>
        </is>
      </c>
      <c r="B288" s="5" t="inlineStr">
        <is>
          <t>Caja De Conexion 108.6 x 36 Mm</t>
        </is>
      </c>
      <c r="C288" s="4" t="inlineStr">
        <is>
          <t>unidad</t>
        </is>
      </c>
      <c r="D288" s="10" t="n">
        <v>657.9299999999999</v>
      </c>
      <c r="E288" s="10" t="n"/>
      <c r="F288" s="10" t="n"/>
      <c r="G288" s="10">
        <f>IF(COUNT(D288:F288)=0,"",MIN(D288:F288))</f>
        <v/>
      </c>
      <c r="H288" s="10">
        <f>IF(COUNT(D288:F288)=0,"",MEDIAN(D288:F288))</f>
        <v/>
      </c>
      <c r="I288" s="10">
        <f>IF(COUNT(D288:F288)=0,"",MAX(D288:F288))</f>
        <v/>
      </c>
      <c r="J288" s="11">
        <f>IF(OR(G288="",G288=0),"",(I288-G288)/G288)</f>
        <v/>
      </c>
      <c r="K288" s="4">
        <f>IF(COUNT(D288:F288)=0,"",INDEX($D$1:$F$1,MATCH(MIN(D288:F288),D288:F288,0)))</f>
        <v/>
      </c>
      <c r="L288" s="10" t="n">
        <v>657.9299999999999</v>
      </c>
      <c r="M288" s="12" t="n">
        <v>1</v>
      </c>
    </row>
    <row r="289">
      <c r="A289" s="4" t="inlineStr">
        <is>
          <t>MAT-16-084</t>
        </is>
      </c>
      <c r="B289" s="5" t="inlineStr">
        <is>
          <t>Caja De Conexion 117.8 x 36 Mm</t>
        </is>
      </c>
      <c r="C289" s="4" t="inlineStr">
        <is>
          <t>unidad</t>
        </is>
      </c>
      <c r="D289" s="10" t="n">
        <v>744.11</v>
      </c>
      <c r="E289" s="10" t="n"/>
      <c r="F289" s="10" t="n"/>
      <c r="G289" s="10">
        <f>IF(COUNT(D289:F289)=0,"",MIN(D289:F289))</f>
        <v/>
      </c>
      <c r="H289" s="10">
        <f>IF(COUNT(D289:F289)=0,"",MEDIAN(D289:F289))</f>
        <v/>
      </c>
      <c r="I289" s="10">
        <f>IF(COUNT(D289:F289)=0,"",MAX(D289:F289))</f>
        <v/>
      </c>
      <c r="J289" s="11">
        <f>IF(OR(G289="",G289=0),"",(I289-G289)/G289)</f>
        <v/>
      </c>
      <c r="K289" s="4">
        <f>IF(COUNT(D289:F289)=0,"",INDEX($D$1:$F$1,MATCH(MIN(D289:F289),D289:F289,0)))</f>
        <v/>
      </c>
      <c r="L289" s="10" t="n">
        <v>744.11</v>
      </c>
      <c r="M289" s="12" t="n">
        <v>1</v>
      </c>
    </row>
    <row r="290">
      <c r="A290" s="4" t="inlineStr">
        <is>
          <t>MAT-16-085</t>
        </is>
      </c>
      <c r="B290" s="5" t="inlineStr">
        <is>
          <t>Caja De Conexion 93 x 93 x 39 Mm</t>
        </is>
      </c>
      <c r="C290" s="4" t="inlineStr">
        <is>
          <t>unidad</t>
        </is>
      </c>
      <c r="D290" s="10" t="n">
        <v>744.11</v>
      </c>
      <c r="E290" s="10" t="n"/>
      <c r="F290" s="10" t="n"/>
      <c r="G290" s="10">
        <f>IF(COUNT(D290:F290)=0,"",MIN(D290:F290))</f>
        <v/>
      </c>
      <c r="H290" s="10">
        <f>IF(COUNT(D290:F290)=0,"",MEDIAN(D290:F290))</f>
        <v/>
      </c>
      <c r="I290" s="10">
        <f>IF(COUNT(D290:F290)=0,"",MAX(D290:F290))</f>
        <v/>
      </c>
      <c r="J290" s="11">
        <f>IF(OR(G290="",G290=0),"",(I290-G290)/G290)</f>
        <v/>
      </c>
      <c r="K290" s="4">
        <f>IF(COUNT(D290:F290)=0,"",INDEX($D$1:$F$1,MATCH(MIN(D290:F290),D290:F290,0)))</f>
        <v/>
      </c>
      <c r="L290" s="10" t="n">
        <v>744.11</v>
      </c>
      <c r="M290" s="12" t="n">
        <v>1</v>
      </c>
    </row>
    <row r="291">
      <c r="A291" s="4" t="inlineStr">
        <is>
          <t>MAT-16-086</t>
        </is>
      </c>
      <c r="B291" s="5" t="inlineStr">
        <is>
          <t>Caja De Conexion 126 x 36 Mm</t>
        </is>
      </c>
      <c r="C291" s="4" t="inlineStr">
        <is>
          <t>unidad</t>
        </is>
      </c>
      <c r="D291" s="10" t="n">
        <v>751.9299999999999</v>
      </c>
      <c r="E291" s="10" t="n"/>
      <c r="F291" s="10" t="n"/>
      <c r="G291" s="10">
        <f>IF(COUNT(D291:F291)=0,"",MIN(D291:F291))</f>
        <v/>
      </c>
      <c r="H291" s="10">
        <f>IF(COUNT(D291:F291)=0,"",MEDIAN(D291:F291))</f>
        <v/>
      </c>
      <c r="I291" s="10">
        <f>IF(COUNT(D291:F291)=0,"",MAX(D291:F291))</f>
        <v/>
      </c>
      <c r="J291" s="11">
        <f>IF(OR(G291="",G291=0),"",(I291-G291)/G291)</f>
        <v/>
      </c>
      <c r="K291" s="4">
        <f>IF(COUNT(D291:F291)=0,"",INDEX($D$1:$F$1,MATCH(MIN(D291:F291),D291:F291,0)))</f>
        <v/>
      </c>
      <c r="L291" s="10" t="n">
        <v>751.9299999999999</v>
      </c>
      <c r="M291" s="12" t="n">
        <v>1</v>
      </c>
    </row>
    <row r="292">
      <c r="A292" s="4" t="inlineStr">
        <is>
          <t>MAT-16-087</t>
        </is>
      </c>
      <c r="B292" s="5" t="inlineStr">
        <is>
          <t>Base Para Camara Metalica</t>
        </is>
      </c>
      <c r="C292" s="4" t="inlineStr">
        <is>
          <t>unidad</t>
        </is>
      </c>
      <c r="D292" s="10" t="n">
        <v>762.66</v>
      </c>
      <c r="E292" s="10" t="n"/>
      <c r="F292" s="10" t="n"/>
      <c r="G292" s="10">
        <f>IF(COUNT(D292:F292)=0,"",MIN(D292:F292))</f>
        <v/>
      </c>
      <c r="H292" s="10">
        <f>IF(COUNT(D292:F292)=0,"",MEDIAN(D292:F292))</f>
        <v/>
      </c>
      <c r="I292" s="10">
        <f>IF(COUNT(D292:F292)=0,"",MAX(D292:F292))</f>
        <v/>
      </c>
      <c r="J292" s="11">
        <f>IF(OR(G292="",G292=0),"",(I292-G292)/G292)</f>
        <v/>
      </c>
      <c r="K292" s="4">
        <f>IF(COUNT(D292:F292)=0,"",INDEX($D$1:$F$1,MATCH(MIN(D292:F292),D292:F292,0)))</f>
        <v/>
      </c>
      <c r="L292" s="10" t="n">
        <v>762.66</v>
      </c>
      <c r="M292" s="12" t="n">
        <v>1</v>
      </c>
    </row>
    <row r="293">
      <c r="A293" s="4" t="inlineStr">
        <is>
          <t>MAT-16-088</t>
        </is>
      </c>
      <c r="B293" s="5" t="inlineStr">
        <is>
          <t>Soporte Tubo Colgante 12"</t>
        </is>
      </c>
      <c r="C293" s="4" t="inlineStr">
        <is>
          <t>unidad</t>
        </is>
      </c>
      <c r="D293" s="10" t="n">
        <v>1068.39</v>
      </c>
      <c r="E293" s="10" t="n"/>
      <c r="F293" s="10" t="n"/>
      <c r="G293" s="10">
        <f>IF(COUNT(D293:F293)=0,"",MIN(D293:F293))</f>
        <v/>
      </c>
      <c r="H293" s="10">
        <f>IF(COUNT(D293:F293)=0,"",MEDIAN(D293:F293))</f>
        <v/>
      </c>
      <c r="I293" s="10">
        <f>IF(COUNT(D293:F293)=0,"",MAX(D293:F293))</f>
        <v/>
      </c>
      <c r="J293" s="11">
        <f>IF(OR(G293="",G293=0),"",(I293-G293)/G293)</f>
        <v/>
      </c>
      <c r="K293" s="4">
        <f>IF(COUNT(D293:F293)=0,"",INDEX($D$1:$F$1,MATCH(MIN(D293:F293),D293:F293,0)))</f>
        <v/>
      </c>
      <c r="L293" s="10" t="n">
        <v>1068.39</v>
      </c>
      <c r="M293" s="12" t="n">
        <v>1</v>
      </c>
    </row>
    <row r="294">
      <c r="A294" s="4" t="inlineStr">
        <is>
          <t>MAT-16-089</t>
        </is>
      </c>
      <c r="B294" s="5" t="inlineStr">
        <is>
          <t>Soporte De Pared Y Techo Smb</t>
        </is>
      </c>
      <c r="C294" s="4" t="inlineStr">
        <is>
          <t>unidad</t>
        </is>
      </c>
      <c r="D294" s="10" t="n">
        <v>1259.02</v>
      </c>
      <c r="E294" s="10" t="n"/>
      <c r="F294" s="10" t="n"/>
      <c r="G294" s="10">
        <f>IF(COUNT(D294:F294)=0,"",MIN(D294:F294))</f>
        <v/>
      </c>
      <c r="H294" s="10">
        <f>IF(COUNT(D294:F294)=0,"",MEDIAN(D294:F294))</f>
        <v/>
      </c>
      <c r="I294" s="10">
        <f>IF(COUNT(D294:F294)=0,"",MAX(D294:F294))</f>
        <v/>
      </c>
      <c r="J294" s="11">
        <f>IF(OR(G294="",G294=0),"",(I294-G294)/G294)</f>
        <v/>
      </c>
      <c r="K294" s="4">
        <f>IF(COUNT(D294:F294)=0,"",INDEX($D$1:$F$1,MATCH(MIN(D294:F294),D294:F294,0)))</f>
        <v/>
      </c>
      <c r="L294" s="10" t="n">
        <v>1259.02</v>
      </c>
      <c r="M294" s="12" t="n">
        <v>1</v>
      </c>
    </row>
    <row r="295">
      <c r="A295" s="4" t="inlineStr">
        <is>
          <t>MAT-16-090</t>
        </is>
      </c>
      <c r="B295" s="5" t="inlineStr">
        <is>
          <t>Base Unica 4 Cables 12 / 24V</t>
        </is>
      </c>
      <c r="C295" s="4" t="inlineStr">
        <is>
          <t>unidad</t>
        </is>
      </c>
      <c r="D295" s="10" t="n">
        <v>1284.74</v>
      </c>
      <c r="E295" s="10" t="n"/>
      <c r="F295" s="10" t="n"/>
      <c r="G295" s="10">
        <f>IF(COUNT(D295:F295)=0,"",MIN(D295:F295))</f>
        <v/>
      </c>
      <c r="H295" s="10">
        <f>IF(COUNT(D295:F295)=0,"",MEDIAN(D295:F295))</f>
        <v/>
      </c>
      <c r="I295" s="10">
        <f>IF(COUNT(D295:F295)=0,"",MAX(D295:F295))</f>
        <v/>
      </c>
      <c r="J295" s="11">
        <f>IF(OR(G295="",G295=0),"",(I295-G295)/G295)</f>
        <v/>
      </c>
      <c r="K295" s="4">
        <f>IF(COUNT(D295:F295)=0,"",INDEX($D$1:$F$1,MATCH(MIN(D295:F295),D295:F295,0)))</f>
        <v/>
      </c>
      <c r="L295" s="10" t="n">
        <v>1284.74</v>
      </c>
      <c r="M295" s="12" t="n">
        <v>1</v>
      </c>
    </row>
    <row r="296">
      <c r="A296" s="4" t="inlineStr">
        <is>
          <t>MAT-16-091</t>
        </is>
      </c>
      <c r="B296" s="5" t="inlineStr">
        <is>
          <t>Caja De Conexiones para Camara Bullet</t>
        </is>
      </c>
      <c r="C296" s="4" t="inlineStr">
        <is>
          <t>unidad</t>
        </is>
      </c>
      <c r="D296" s="10" t="n">
        <v>1286.99</v>
      </c>
      <c r="E296" s="10" t="n"/>
      <c r="F296" s="10" t="n"/>
      <c r="G296" s="10">
        <f>IF(COUNT(D296:F296)=0,"",MIN(D296:F296))</f>
        <v/>
      </c>
      <c r="H296" s="10">
        <f>IF(COUNT(D296:F296)=0,"",MEDIAN(D296:F296))</f>
        <v/>
      </c>
      <c r="I296" s="10">
        <f>IF(COUNT(D296:F296)=0,"",MAX(D296:F296))</f>
        <v/>
      </c>
      <c r="J296" s="11">
        <f>IF(OR(G296="",G296=0),"",(I296-G296)/G296)</f>
        <v/>
      </c>
      <c r="K296" s="4">
        <f>IF(COUNT(D296:F296)=0,"",INDEX($D$1:$F$1,MATCH(MIN(D296:F296),D296:F296,0)))</f>
        <v/>
      </c>
      <c r="L296" s="10" t="n">
        <v>1286.99</v>
      </c>
      <c r="M296" s="12" t="n">
        <v>1</v>
      </c>
    </row>
    <row r="297">
      <c r="A297" s="4" t="inlineStr">
        <is>
          <t>MAT-16-092</t>
        </is>
      </c>
      <c r="B297" s="5" t="inlineStr">
        <is>
          <t>Soporte Pared Camara Microdomo</t>
        </is>
      </c>
      <c r="C297" s="4" t="inlineStr">
        <is>
          <t>unidad</t>
        </is>
      </c>
      <c r="D297" s="10" t="n">
        <v>1445.97</v>
      </c>
      <c r="E297" s="10" t="n"/>
      <c r="F297" s="10" t="n"/>
      <c r="G297" s="10">
        <f>IF(COUNT(D297:F297)=0,"",MIN(D297:F297))</f>
        <v/>
      </c>
      <c r="H297" s="10">
        <f>IF(COUNT(D297:F297)=0,"",MEDIAN(D297:F297))</f>
        <v/>
      </c>
      <c r="I297" s="10">
        <f>IF(COUNT(D297:F297)=0,"",MAX(D297:F297))</f>
        <v/>
      </c>
      <c r="J297" s="11">
        <f>IF(OR(G297="",G297=0),"",(I297-G297)/G297)</f>
        <v/>
      </c>
      <c r="K297" s="4">
        <f>IF(COUNT(D297:F297)=0,"",INDEX($D$1:$F$1,MATCH(MIN(D297:F297),D297:F297,0)))</f>
        <v/>
      </c>
      <c r="L297" s="10" t="n">
        <v>1445.97</v>
      </c>
      <c r="M297" s="12" t="n">
        <v>1</v>
      </c>
    </row>
    <row r="298">
      <c r="A298" s="4" t="inlineStr">
        <is>
          <t>MAT-16-093</t>
        </is>
      </c>
      <c r="B298" s="5" t="inlineStr">
        <is>
          <t>Soporte para Interior Y Exterior</t>
        </is>
      </c>
      <c r="C298" s="4" t="inlineStr">
        <is>
          <t>unidad</t>
        </is>
      </c>
      <c r="D298" s="10" t="n">
        <v>1912.8</v>
      </c>
      <c r="E298" s="10" t="n"/>
      <c r="F298" s="10" t="n"/>
      <c r="G298" s="10">
        <f>IF(COUNT(D298:F298)=0,"",MIN(D298:F298))</f>
        <v/>
      </c>
      <c r="H298" s="10">
        <f>IF(COUNT(D298:F298)=0,"",MEDIAN(D298:F298))</f>
        <v/>
      </c>
      <c r="I298" s="10">
        <f>IF(COUNT(D298:F298)=0,"",MAX(D298:F298))</f>
        <v/>
      </c>
      <c r="J298" s="11">
        <f>IF(OR(G298="",G298=0),"",(I298-G298)/G298)</f>
        <v/>
      </c>
      <c r="K298" s="4">
        <f>IF(COUNT(D298:F298)=0,"",INDEX($D$1:$F$1,MATCH(MIN(D298:F298),D298:F298,0)))</f>
        <v/>
      </c>
      <c r="L298" s="10" t="n">
        <v>1912.8</v>
      </c>
      <c r="M298" s="12" t="n">
        <v>1</v>
      </c>
    </row>
    <row r="299">
      <c r="A299" s="4" t="inlineStr">
        <is>
          <t>MAT-16-094</t>
        </is>
      </c>
      <c r="B299" s="5" t="inlineStr">
        <is>
          <t>Soporte De Cuello De Ganzo Para Domo PTZ</t>
        </is>
      </c>
      <c r="C299" s="4" t="inlineStr">
        <is>
          <t>unidad</t>
        </is>
      </c>
      <c r="D299" s="10" t="n">
        <v>4335.82</v>
      </c>
      <c r="E299" s="10" t="n"/>
      <c r="F299" s="10" t="n"/>
      <c r="G299" s="10">
        <f>IF(COUNT(D299:F299)=0,"",MIN(D299:F299))</f>
        <v/>
      </c>
      <c r="H299" s="10">
        <f>IF(COUNT(D299:F299)=0,"",MEDIAN(D299:F299))</f>
        <v/>
      </c>
      <c r="I299" s="10">
        <f>IF(COUNT(D299:F299)=0,"",MAX(D299:F299))</f>
        <v/>
      </c>
      <c r="J299" s="11">
        <f>IF(OR(G299="",G299=0),"",(I299-G299)/G299)</f>
        <v/>
      </c>
      <c r="K299" s="4">
        <f>IF(COUNT(D299:F299)=0,"",INDEX($D$1:$F$1,MATCH(MIN(D299:F299),D299:F299,0)))</f>
        <v/>
      </c>
      <c r="L299" s="10" t="n">
        <v>4335.82</v>
      </c>
      <c r="M299" s="12" t="n">
        <v>1</v>
      </c>
    </row>
    <row r="300">
      <c r="A300" s="4" t="inlineStr">
        <is>
          <t>MAT-16-095</t>
        </is>
      </c>
      <c r="B300" s="5" t="inlineStr">
        <is>
          <t>Carcasa Amc Con 1 Raíl Din</t>
        </is>
      </c>
      <c r="C300" s="4" t="inlineStr">
        <is>
          <t>unidad</t>
        </is>
      </c>
      <c r="D300" s="10" t="n">
        <v>7086.75</v>
      </c>
      <c r="E300" s="10" t="n"/>
      <c r="F300" s="10" t="n"/>
      <c r="G300" s="10">
        <f>IF(COUNT(D300:F300)=0,"",MIN(D300:F300))</f>
        <v/>
      </c>
      <c r="H300" s="10">
        <f>IF(COUNT(D300:F300)=0,"",MEDIAN(D300:F300))</f>
        <v/>
      </c>
      <c r="I300" s="10">
        <f>IF(COUNT(D300:F300)=0,"",MAX(D300:F300))</f>
        <v/>
      </c>
      <c r="J300" s="11">
        <f>IF(OR(G300="",G300=0),"",(I300-G300)/G300)</f>
        <v/>
      </c>
      <c r="K300" s="4">
        <f>IF(COUNT(D300:F300)=0,"",INDEX($D$1:$F$1,MATCH(MIN(D300:F300),D300:F300,0)))</f>
        <v/>
      </c>
      <c r="L300" s="10" t="n">
        <v>7086.75</v>
      </c>
      <c r="M300" s="12" t="n">
        <v>1</v>
      </c>
    </row>
    <row r="301">
      <c r="A301" s="4" t="inlineStr">
        <is>
          <t>MAT-16-096</t>
        </is>
      </c>
      <c r="B301" s="5" t="inlineStr">
        <is>
          <t>Carcasa Amc Con 2 Raíl Din</t>
        </is>
      </c>
      <c r="C301" s="4" t="inlineStr">
        <is>
          <t>unidad</t>
        </is>
      </c>
      <c r="D301" s="10" t="n">
        <v>8661.58</v>
      </c>
      <c r="E301" s="10" t="n"/>
      <c r="F301" s="10" t="n"/>
      <c r="G301" s="10">
        <f>IF(COUNT(D301:F301)=0,"",MIN(D301:F301))</f>
        <v/>
      </c>
      <c r="H301" s="10">
        <f>IF(COUNT(D301:F301)=0,"",MEDIAN(D301:F301))</f>
        <v/>
      </c>
      <c r="I301" s="10">
        <f>IF(COUNT(D301:F301)=0,"",MAX(D301:F301))</f>
        <v/>
      </c>
      <c r="J301" s="11">
        <f>IF(OR(G301="",G301=0),"",(I301-G301)/G301)</f>
        <v/>
      </c>
      <c r="K301" s="4">
        <f>IF(COUNT(D301:F301)=0,"",INDEX($D$1:$F$1,MATCH(MIN(D301:F301),D301:F301,0)))</f>
        <v/>
      </c>
      <c r="L301" s="10" t="n">
        <v>8661.58</v>
      </c>
      <c r="M301" s="12" t="n">
        <v>1</v>
      </c>
    </row>
    <row r="302">
      <c r="A302" s="4" t="inlineStr">
        <is>
          <t>MAT-16-097</t>
        </is>
      </c>
      <c r="B302" s="5" t="inlineStr">
        <is>
          <t>Switch 8 Puertos 100M PoE+2 Puertos 1000M</t>
        </is>
      </c>
      <c r="C302" s="4" t="inlineStr">
        <is>
          <t>unidad</t>
        </is>
      </c>
      <c r="D302" s="10" t="n">
        <v>13694.47</v>
      </c>
      <c r="E302" s="10" t="n"/>
      <c r="F302" s="10" t="n"/>
      <c r="G302" s="10">
        <f>IF(COUNT(D302:F302)=0,"",MIN(D302:F302))</f>
        <v/>
      </c>
      <c r="H302" s="10">
        <f>IF(COUNT(D302:F302)=0,"",MEDIAN(D302:F302))</f>
        <v/>
      </c>
      <c r="I302" s="10">
        <f>IF(COUNT(D302:F302)=0,"",MAX(D302:F302))</f>
        <v/>
      </c>
      <c r="J302" s="11">
        <f>IF(OR(G302="",G302=0),"",(I302-G302)/G302)</f>
        <v/>
      </c>
      <c r="K302" s="4">
        <f>IF(COUNT(D302:F302)=0,"",INDEX($D$1:$F$1,MATCH(MIN(D302:F302),D302:F302,0)))</f>
        <v/>
      </c>
      <c r="L302" s="10" t="n">
        <v>13694.47</v>
      </c>
      <c r="M302" s="12" t="n">
        <v>1</v>
      </c>
    </row>
    <row r="303">
      <c r="A303" s="4" t="inlineStr">
        <is>
          <t>MAT-16-098</t>
        </is>
      </c>
      <c r="B303" s="5" t="inlineStr">
        <is>
          <t>Switch 24 Puerto 100M PoE+2 Puertos 1000M</t>
        </is>
      </c>
      <c r="C303" s="4" t="inlineStr">
        <is>
          <t>unidad</t>
        </is>
      </c>
      <c r="D303" s="10" t="n">
        <v>16692.67</v>
      </c>
      <c r="E303" s="10" t="n"/>
      <c r="F303" s="10" t="n"/>
      <c r="G303" s="10">
        <f>IF(COUNT(D303:F303)=0,"",MIN(D303:F303))</f>
        <v/>
      </c>
      <c r="H303" s="10">
        <f>IF(COUNT(D303:F303)=0,"",MEDIAN(D303:F303))</f>
        <v/>
      </c>
      <c r="I303" s="10">
        <f>IF(COUNT(D303:F303)=0,"",MAX(D303:F303))</f>
        <v/>
      </c>
      <c r="J303" s="11">
        <f>IF(OR(G303="",G303=0),"",(I303-G303)/G303)</f>
        <v/>
      </c>
      <c r="K303" s="4">
        <f>IF(COUNT(D303:F303)=0,"",INDEX($D$1:$F$1,MATCH(MIN(D303:F303),D303:F303,0)))</f>
        <v/>
      </c>
      <c r="L303" s="10" t="n">
        <v>16692.67</v>
      </c>
      <c r="M303" s="12" t="n">
        <v>1</v>
      </c>
    </row>
    <row r="304">
      <c r="A304" s="4" t="inlineStr">
        <is>
          <t>MAT-16-099</t>
        </is>
      </c>
      <c r="B304" s="5" t="inlineStr">
        <is>
          <t>Receptor Multicanal 5.2 4K Hdvr Av Negro</t>
        </is>
      </c>
      <c r="C304" s="4" t="inlineStr">
        <is>
          <t>unidad</t>
        </is>
      </c>
      <c r="D304" s="10" t="n">
        <v>34654.38</v>
      </c>
      <c r="E304" s="10" t="n"/>
      <c r="F304" s="10" t="n"/>
      <c r="G304" s="10">
        <f>IF(COUNT(D304:F304)=0,"",MIN(D304:F304))</f>
        <v/>
      </c>
      <c r="H304" s="10">
        <f>IF(COUNT(D304:F304)=0,"",MEDIAN(D304:F304))</f>
        <v/>
      </c>
      <c r="I304" s="10">
        <f>IF(COUNT(D304:F304)=0,"",MAX(D304:F304))</f>
        <v/>
      </c>
      <c r="J304" s="11">
        <f>IF(OR(G304="",G304=0),"",(I304-G304)/G304)</f>
        <v/>
      </c>
      <c r="K304" s="4">
        <f>IF(COUNT(D304:F304)=0,"",INDEX($D$1:$F$1,MATCH(MIN(D304:F304),D304:F304,0)))</f>
        <v/>
      </c>
      <c r="L304" s="10" t="n">
        <v>34654.38</v>
      </c>
      <c r="M304" s="12" t="n">
        <v>1</v>
      </c>
    </row>
    <row r="305">
      <c r="A305" s="4" t="inlineStr">
        <is>
          <t>MAT-16-100</t>
        </is>
      </c>
      <c r="B305" s="5" t="inlineStr">
        <is>
          <t>Mini Caja De Conexiones para Camara Bullet</t>
        </is>
      </c>
      <c r="C305" s="4" t="inlineStr">
        <is>
          <t>unidad</t>
        </is>
      </c>
      <c r="D305" s="10" t="n">
        <v>1012.91</v>
      </c>
      <c r="E305" s="10" t="n"/>
      <c r="F305" s="10" t="n"/>
      <c r="G305" s="10">
        <f>IF(COUNT(D305:F305)=0,"",MIN(D305:F305))</f>
        <v/>
      </c>
      <c r="H305" s="10">
        <f>IF(COUNT(D305:F305)=0,"",MEDIAN(D305:F305))</f>
        <v/>
      </c>
      <c r="I305" s="10">
        <f>IF(COUNT(D305:F305)=0,"",MAX(D305:F305))</f>
        <v/>
      </c>
      <c r="J305" s="11">
        <f>IF(OR(G305="",G305=0),"",(I305-G305)/G305)</f>
        <v/>
      </c>
      <c r="K305" s="4">
        <f>IF(COUNT(D305:F305)=0,"",INDEX($D$1:$F$1,MATCH(MIN(D305:F305),D305:F305,0)))</f>
        <v/>
      </c>
      <c r="L305" s="10" t="n">
        <v>1012.91</v>
      </c>
      <c r="M305" s="12" t="n">
        <v>1</v>
      </c>
    </row>
    <row r="306">
      <c r="A306" s="4" t="inlineStr">
        <is>
          <t>MAT-16-101</t>
        </is>
      </c>
      <c r="B306" s="5" t="inlineStr">
        <is>
          <t>Homekit Camara De Video Hub</t>
        </is>
      </c>
      <c r="C306" s="4" t="inlineStr">
        <is>
          <t>unidad</t>
        </is>
      </c>
      <c r="D306" s="10" t="n">
        <v>6508.12</v>
      </c>
      <c r="E306" s="10" t="n"/>
      <c r="F306" s="10" t="n"/>
      <c r="G306" s="10">
        <f>IF(COUNT(D306:F306)=0,"",MIN(D306:F306))</f>
        <v/>
      </c>
      <c r="H306" s="10">
        <f>IF(COUNT(D306:F306)=0,"",MEDIAN(D306:F306))</f>
        <v/>
      </c>
      <c r="I306" s="10">
        <f>IF(COUNT(D306:F306)=0,"",MAX(D306:F306))</f>
        <v/>
      </c>
      <c r="J306" s="11">
        <f>IF(OR(G306="",G306=0),"",(I306-G306)/G306)</f>
        <v/>
      </c>
      <c r="K306" s="4">
        <f>IF(COUNT(D306:F306)=0,"",INDEX($D$1:$F$1,MATCH(MIN(D306:F306),D306:F306,0)))</f>
        <v/>
      </c>
      <c r="L306" s="10" t="n">
        <v>6508.12</v>
      </c>
      <c r="M306" s="12" t="n">
        <v>1</v>
      </c>
    </row>
    <row r="307">
      <c r="A307" s="4" t="inlineStr">
        <is>
          <t>MAT-18-006</t>
        </is>
      </c>
      <c r="B307" s="5" t="inlineStr">
        <is>
          <t>Asfalto En Frio Ecofalt Funda 25 kg</t>
        </is>
      </c>
      <c r="C307" s="4" t="inlineStr">
        <is>
          <t>unidad</t>
        </is>
      </c>
      <c r="D307" s="10" t="n"/>
      <c r="E307" s="10" t="n">
        <v>1695</v>
      </c>
      <c r="F307" s="10" t="n"/>
      <c r="G307" s="10">
        <f>IF(COUNT(D307:F307)=0,"",MIN(D307:F307))</f>
        <v/>
      </c>
      <c r="H307" s="10">
        <f>IF(COUNT(D307:F307)=0,"",MEDIAN(D307:F307))</f>
        <v/>
      </c>
      <c r="I307" s="10">
        <f>IF(COUNT(D307:F307)=0,"",MAX(D307:F307))</f>
        <v/>
      </c>
      <c r="J307" s="11">
        <f>IF(OR(G307="",G307=0),"",(I307-G307)/G307)</f>
        <v/>
      </c>
      <c r="K307" s="4">
        <f>IF(COUNT(D307:F307)=0,"",INDEX($D$1:$F$1,MATCH(MIN(D307:F307),D307:F307,0)))</f>
        <v/>
      </c>
      <c r="L307" s="10" t="n">
        <v>1695</v>
      </c>
      <c r="M307" s="12" t="n">
        <v>1</v>
      </c>
    </row>
    <row r="308">
      <c r="A308" s="4" t="inlineStr">
        <is>
          <t>MAT-19-001</t>
        </is>
      </c>
      <c r="B308" s="5" t="inlineStr">
        <is>
          <t>Perfil cuadrado negro 3/4" x 3/4" x 20 pies, pared 1.2 mm</t>
        </is>
      </c>
      <c r="C308" s="4" t="inlineStr">
        <is>
          <t>unidad</t>
        </is>
      </c>
      <c r="D308" s="10" t="n">
        <v>262.29</v>
      </c>
      <c r="E308" s="10" t="n"/>
      <c r="F308" s="10" t="n"/>
      <c r="G308" s="10">
        <f>IF(COUNT(D308:F308)=0,"",MIN(D308:F308))</f>
        <v/>
      </c>
      <c r="H308" s="10">
        <f>IF(COUNT(D308:F308)=0,"",MEDIAN(D308:F308))</f>
        <v/>
      </c>
      <c r="I308" s="10">
        <f>IF(COUNT(D308:F308)=0,"",MAX(D308:F308))</f>
        <v/>
      </c>
      <c r="J308" s="11">
        <f>IF(OR(G308="",G308=0),"",(I308-G308)/G308)</f>
        <v/>
      </c>
      <c r="K308" s="4">
        <f>IF(COUNT(D308:F308)=0,"",INDEX($D$1:$F$1,MATCH(MIN(D308:F308),D308:F308,0)))</f>
        <v/>
      </c>
      <c r="L308" s="10" t="n">
        <v>262.29</v>
      </c>
      <c r="M308" s="12" t="n">
        <v>1</v>
      </c>
    </row>
    <row r="309">
      <c r="A309" s="4" t="inlineStr">
        <is>
          <t>MAT-19-002</t>
        </is>
      </c>
      <c r="B309" s="5" t="inlineStr">
        <is>
          <t>Perfil cuadrado negro 3/4" x 3/4" x 20 pies, pared 1.6 mm</t>
        </is>
      </c>
      <c r="C309" s="4" t="inlineStr">
        <is>
          <t>unidad</t>
        </is>
      </c>
      <c r="D309" s="10" t="n">
        <v>321.76</v>
      </c>
      <c r="E309" s="10" t="n"/>
      <c r="F309" s="10" t="n"/>
      <c r="G309" s="10">
        <f>IF(COUNT(D309:F309)=0,"",MIN(D309:F309))</f>
        <v/>
      </c>
      <c r="H309" s="10">
        <f>IF(COUNT(D309:F309)=0,"",MEDIAN(D309:F309))</f>
        <v/>
      </c>
      <c r="I309" s="10">
        <f>IF(COUNT(D309:F309)=0,"",MAX(D309:F309))</f>
        <v/>
      </c>
      <c r="J309" s="11">
        <f>IF(OR(G309="",G309=0),"",(I309-G309)/G309)</f>
        <v/>
      </c>
      <c r="K309" s="4">
        <f>IF(COUNT(D309:F309)=0,"",INDEX($D$1:$F$1,MATCH(MIN(D309:F309),D309:F309,0)))</f>
        <v/>
      </c>
      <c r="L309" s="10" t="n">
        <v>321.76</v>
      </c>
      <c r="M309" s="12" t="n">
        <v>1</v>
      </c>
    </row>
    <row r="310">
      <c r="A310" s="4" t="inlineStr">
        <is>
          <t>MAT-19-003</t>
        </is>
      </c>
      <c r="B310" s="5" t="inlineStr">
        <is>
          <t>Perfil cuadrado negro 1" x 1" x 20 pies, pared 1.2 mm</t>
        </is>
      </c>
      <c r="C310" s="4" t="inlineStr">
        <is>
          <t>unidad</t>
        </is>
      </c>
      <c r="D310" s="10" t="n">
        <v>355.58</v>
      </c>
      <c r="E310" s="10" t="n"/>
      <c r="F310" s="10" t="n"/>
      <c r="G310" s="10">
        <f>IF(COUNT(D310:F310)=0,"",MIN(D310:F310))</f>
        <v/>
      </c>
      <c r="H310" s="10">
        <f>IF(COUNT(D310:F310)=0,"",MEDIAN(D310:F310))</f>
        <v/>
      </c>
      <c r="I310" s="10">
        <f>IF(COUNT(D310:F310)=0,"",MAX(D310:F310))</f>
        <v/>
      </c>
      <c r="J310" s="11">
        <f>IF(OR(G310="",G310=0),"",(I310-G310)/G310)</f>
        <v/>
      </c>
      <c r="K310" s="4">
        <f>IF(COUNT(D310:F310)=0,"",INDEX($D$1:$F$1,MATCH(MIN(D310:F310),D310:F310,0)))</f>
        <v/>
      </c>
      <c r="L310" s="10" t="n">
        <v>355.58</v>
      </c>
      <c r="M310" s="12" t="n">
        <v>1</v>
      </c>
    </row>
    <row r="311">
      <c r="A311" s="4" t="inlineStr">
        <is>
          <t>MAT-19-004</t>
        </is>
      </c>
      <c r="B311" s="5" t="inlineStr">
        <is>
          <t>Perfil cuadrado negro 1 1/4" x 1 1/4" x 20 pies, pared 1.2 mm</t>
        </is>
      </c>
      <c r="C311" s="4" t="inlineStr">
        <is>
          <t>unidad</t>
        </is>
      </c>
      <c r="D311" s="10" t="n">
        <v>510.43</v>
      </c>
      <c r="E311" s="10" t="n"/>
      <c r="F311" s="10" t="n"/>
      <c r="G311" s="10">
        <f>IF(COUNT(D311:F311)=0,"",MIN(D311:F311))</f>
        <v/>
      </c>
      <c r="H311" s="10">
        <f>IF(COUNT(D311:F311)=0,"",MEDIAN(D311:F311))</f>
        <v/>
      </c>
      <c r="I311" s="10">
        <f>IF(COUNT(D311:F311)=0,"",MAX(D311:F311))</f>
        <v/>
      </c>
      <c r="J311" s="11">
        <f>IF(OR(G311="",G311=0),"",(I311-G311)/G311)</f>
        <v/>
      </c>
      <c r="K311" s="4">
        <f>IF(COUNT(D311:F311)=0,"",INDEX($D$1:$F$1,MATCH(MIN(D311:F311),D311:F311,0)))</f>
        <v/>
      </c>
      <c r="L311" s="10" t="n">
        <v>510.43</v>
      </c>
      <c r="M311" s="12" t="n">
        <v>1</v>
      </c>
    </row>
    <row r="312">
      <c r="A312" s="4" t="inlineStr">
        <is>
          <t>MAT-19-005</t>
        </is>
      </c>
      <c r="B312" s="5" t="inlineStr">
        <is>
          <t>Perfil cuadrado negro 1 1/4" x 1 1/4" x 20 pies, pared 1.6 mm</t>
        </is>
      </c>
      <c r="C312" s="4" t="inlineStr">
        <is>
          <t>unidad</t>
        </is>
      </c>
      <c r="D312" s="10" t="n">
        <v>556.02</v>
      </c>
      <c r="E312" s="10" t="n"/>
      <c r="F312" s="10" t="n"/>
      <c r="G312" s="10">
        <f>IF(COUNT(D312:F312)=0,"",MIN(D312:F312))</f>
        <v/>
      </c>
      <c r="H312" s="10">
        <f>IF(COUNT(D312:F312)=0,"",MEDIAN(D312:F312))</f>
        <v/>
      </c>
      <c r="I312" s="10">
        <f>IF(COUNT(D312:F312)=0,"",MAX(D312:F312))</f>
        <v/>
      </c>
      <c r="J312" s="11">
        <f>IF(OR(G312="",G312=0),"",(I312-G312)/G312)</f>
        <v/>
      </c>
      <c r="K312" s="4">
        <f>IF(COUNT(D312:F312)=0,"",INDEX($D$1:$F$1,MATCH(MIN(D312:F312),D312:F312,0)))</f>
        <v/>
      </c>
      <c r="L312" s="10" t="n">
        <v>556.02</v>
      </c>
      <c r="M312" s="12" t="n">
        <v>1</v>
      </c>
    </row>
    <row r="313">
      <c r="A313" s="4" t="inlineStr">
        <is>
          <t>MAT-19-006</t>
        </is>
      </c>
      <c r="B313" s="5" t="inlineStr">
        <is>
          <t>Perfil cuadrado negro 1 1/2" x 1 1/2" x 20 pies, pared 1.2 mm</t>
        </is>
      </c>
      <c r="C313" s="4" t="inlineStr">
        <is>
          <t>unidad</t>
        </is>
      </c>
      <c r="D313" s="10" t="n">
        <v>542.15</v>
      </c>
      <c r="E313" s="10" t="n"/>
      <c r="F313" s="10" t="n"/>
      <c r="G313" s="10">
        <f>IF(COUNT(D313:F313)=0,"",MIN(D313:F313))</f>
        <v/>
      </c>
      <c r="H313" s="10">
        <f>IF(COUNT(D313:F313)=0,"",MEDIAN(D313:F313))</f>
        <v/>
      </c>
      <c r="I313" s="10">
        <f>IF(COUNT(D313:F313)=0,"",MAX(D313:F313))</f>
        <v/>
      </c>
      <c r="J313" s="11">
        <f>IF(OR(G313="",G313=0),"",(I313-G313)/G313)</f>
        <v/>
      </c>
      <c r="K313" s="4">
        <f>IF(COUNT(D313:F313)=0,"",INDEX($D$1:$F$1,MATCH(MIN(D313:F313),D313:F313,0)))</f>
        <v/>
      </c>
      <c r="L313" s="10" t="n">
        <v>542.15</v>
      </c>
      <c r="M313" s="12" t="n">
        <v>1</v>
      </c>
    </row>
    <row r="314">
      <c r="A314" s="4" t="inlineStr">
        <is>
          <t>MAT-19-007</t>
        </is>
      </c>
      <c r="B314" s="5" t="inlineStr">
        <is>
          <t>Perfil cuadrado negro 1 1/2" x 1 1/2" x 20 pies, pared 1.6 mm</t>
        </is>
      </c>
      <c r="C314" s="4" t="inlineStr">
        <is>
          <t>unidad</t>
        </is>
      </c>
      <c r="D314" s="10" t="n">
        <v>647.03</v>
      </c>
      <c r="E314" s="10" t="n"/>
      <c r="F314" s="10" t="n"/>
      <c r="G314" s="10">
        <f>IF(COUNT(D314:F314)=0,"",MIN(D314:F314))</f>
        <v/>
      </c>
      <c r="H314" s="10">
        <f>IF(COUNT(D314:F314)=0,"",MEDIAN(D314:F314))</f>
        <v/>
      </c>
      <c r="I314" s="10">
        <f>IF(COUNT(D314:F314)=0,"",MAX(D314:F314))</f>
        <v/>
      </c>
      <c r="J314" s="11">
        <f>IF(OR(G314="",G314=0),"",(I314-G314)/G314)</f>
        <v/>
      </c>
      <c r="K314" s="4">
        <f>IF(COUNT(D314:F314)=0,"",INDEX($D$1:$F$1,MATCH(MIN(D314:F314),D314:F314,0)))</f>
        <v/>
      </c>
      <c r="L314" s="10" t="n">
        <v>647.03</v>
      </c>
      <c r="M314" s="12" t="n">
        <v>1</v>
      </c>
    </row>
    <row r="315">
      <c r="A315" s="4" t="inlineStr">
        <is>
          <t>MAT-19-008</t>
        </is>
      </c>
      <c r="B315" s="5" t="inlineStr">
        <is>
          <t>Perfil cuadrado negro 2" x 2" x 20 pies, pared 1.6 mm</t>
        </is>
      </c>
      <c r="C315" s="4" t="inlineStr">
        <is>
          <t>unidad</t>
        </is>
      </c>
      <c r="D315" s="10" t="n">
        <v>867.64</v>
      </c>
      <c r="E315" s="10" t="n"/>
      <c r="F315" s="10" t="n"/>
      <c r="G315" s="10">
        <f>IF(COUNT(D315:F315)=0,"",MIN(D315:F315))</f>
        <v/>
      </c>
      <c r="H315" s="10">
        <f>IF(COUNT(D315:F315)=0,"",MEDIAN(D315:F315))</f>
        <v/>
      </c>
      <c r="I315" s="10">
        <f>IF(COUNT(D315:F315)=0,"",MAX(D315:F315))</f>
        <v/>
      </c>
      <c r="J315" s="11">
        <f>IF(OR(G315="",G315=0),"",(I315-G315)/G315)</f>
        <v/>
      </c>
      <c r="K315" s="4">
        <f>IF(COUNT(D315:F315)=0,"",INDEX($D$1:$F$1,MATCH(MIN(D315:F315),D315:F315,0)))</f>
        <v/>
      </c>
      <c r="L315" s="10" t="n">
        <v>867.64</v>
      </c>
      <c r="M315" s="12" t="n">
        <v>1</v>
      </c>
    </row>
    <row r="316">
      <c r="A316" s="4" t="inlineStr">
        <is>
          <t>MAT-19-009</t>
        </is>
      </c>
      <c r="B316" s="5" t="inlineStr">
        <is>
          <t>Perfil cuadrado negro 3" x 3" x 20 pies, pared 1.6 mm</t>
        </is>
      </c>
      <c r="C316" s="4" t="inlineStr">
        <is>
          <t>unidad</t>
        </is>
      </c>
      <c r="D316" s="10" t="n">
        <v>1319.81</v>
      </c>
      <c r="E316" s="10" t="n"/>
      <c r="F316" s="10" t="n"/>
      <c r="G316" s="10">
        <f>IF(COUNT(D316:F316)=0,"",MIN(D316:F316))</f>
        <v/>
      </c>
      <c r="H316" s="10">
        <f>IF(COUNT(D316:F316)=0,"",MEDIAN(D316:F316))</f>
        <v/>
      </c>
      <c r="I316" s="10">
        <f>IF(COUNT(D316:F316)=0,"",MAX(D316:F316))</f>
        <v/>
      </c>
      <c r="J316" s="11">
        <f>IF(OR(G316="",G316=0),"",(I316-G316)/G316)</f>
        <v/>
      </c>
      <c r="K316" s="4">
        <f>IF(COUNT(D316:F316)=0,"",INDEX($D$1:$F$1,MATCH(MIN(D316:F316),D316:F316,0)))</f>
        <v/>
      </c>
      <c r="L316" s="10" t="n">
        <v>1319.81</v>
      </c>
      <c r="M316" s="12" t="n">
        <v>1</v>
      </c>
    </row>
    <row r="317">
      <c r="A317" s="4" t="inlineStr">
        <is>
          <t>MAT-19-010</t>
        </is>
      </c>
      <c r="B317" s="5" t="inlineStr">
        <is>
          <t>Perfil cuadrado galvanizado 3/4" x 3/4" x 20 pies, pared 1.2 mm</t>
        </is>
      </c>
      <c r="C317" s="4" t="inlineStr">
        <is>
          <t>unidad</t>
        </is>
      </c>
      <c r="D317" s="10" t="n">
        <v>316.11</v>
      </c>
      <c r="E317" s="10" t="n"/>
      <c r="F317" s="10" t="n"/>
      <c r="G317" s="10">
        <f>IF(COUNT(D317:F317)=0,"",MIN(D317:F317))</f>
        <v/>
      </c>
      <c r="H317" s="10">
        <f>IF(COUNT(D317:F317)=0,"",MEDIAN(D317:F317))</f>
        <v/>
      </c>
      <c r="I317" s="10">
        <f>IF(COUNT(D317:F317)=0,"",MAX(D317:F317))</f>
        <v/>
      </c>
      <c r="J317" s="11">
        <f>IF(OR(G317="",G317=0),"",(I317-G317)/G317)</f>
        <v/>
      </c>
      <c r="K317" s="4">
        <f>IF(COUNT(D317:F317)=0,"",INDEX($D$1:$F$1,MATCH(MIN(D317:F317),D317:F317,0)))</f>
        <v/>
      </c>
      <c r="L317" s="10" t="n">
        <v>316.11</v>
      </c>
      <c r="M317" s="12" t="n">
        <v>1</v>
      </c>
    </row>
    <row r="318">
      <c r="A318" s="4" t="inlineStr">
        <is>
          <t>MAT-19-011</t>
        </is>
      </c>
      <c r="B318" s="5" t="inlineStr">
        <is>
          <t>Perfil cuadrado galvanizado 1" x 1" x 20 pies, pared 1.2 mm</t>
        </is>
      </c>
      <c r="C318" s="4" t="inlineStr">
        <is>
          <t>unidad</t>
        </is>
      </c>
      <c r="D318" s="10" t="n">
        <v>423.74</v>
      </c>
      <c r="E318" s="10" t="n"/>
      <c r="F318" s="10" t="n"/>
      <c r="G318" s="10">
        <f>IF(COUNT(D318:F318)=0,"",MIN(D318:F318))</f>
        <v/>
      </c>
      <c r="H318" s="10">
        <f>IF(COUNT(D318:F318)=0,"",MEDIAN(D318:F318))</f>
        <v/>
      </c>
      <c r="I318" s="10">
        <f>IF(COUNT(D318:F318)=0,"",MAX(D318:F318))</f>
        <v/>
      </c>
      <c r="J318" s="11">
        <f>IF(OR(G318="",G318=0),"",(I318-G318)/G318)</f>
        <v/>
      </c>
      <c r="K318" s="4">
        <f>IF(COUNT(D318:F318)=0,"",INDEX($D$1:$F$1,MATCH(MIN(D318:F318),D318:F318,0)))</f>
        <v/>
      </c>
      <c r="L318" s="10" t="n">
        <v>423.74</v>
      </c>
      <c r="M318" s="12" t="n">
        <v>1</v>
      </c>
    </row>
    <row r="319">
      <c r="A319" s="4" t="inlineStr">
        <is>
          <t>MAT-19-012</t>
        </is>
      </c>
      <c r="B319" s="5" t="inlineStr">
        <is>
          <t>Perfil cuadrado galvanizado 1" x 1" x 20 pies, pared 1.6 mm</t>
        </is>
      </c>
      <c r="C319" s="4" t="inlineStr">
        <is>
          <t>unidad</t>
        </is>
      </c>
      <c r="D319" s="10" t="n">
        <v>539.74</v>
      </c>
      <c r="E319" s="10" t="n"/>
      <c r="F319" s="10" t="n"/>
      <c r="G319" s="10">
        <f>IF(COUNT(D319:F319)=0,"",MIN(D319:F319))</f>
        <v/>
      </c>
      <c r="H319" s="10">
        <f>IF(COUNT(D319:F319)=0,"",MEDIAN(D319:F319))</f>
        <v/>
      </c>
      <c r="I319" s="10">
        <f>IF(COUNT(D319:F319)=0,"",MAX(D319:F319))</f>
        <v/>
      </c>
      <c r="J319" s="11">
        <f>IF(OR(G319="",G319=0),"",(I319-G319)/G319)</f>
        <v/>
      </c>
      <c r="K319" s="4">
        <f>IF(COUNT(D319:F319)=0,"",INDEX($D$1:$F$1,MATCH(MIN(D319:F319),D319:F319,0)))</f>
        <v/>
      </c>
      <c r="L319" s="10" t="n">
        <v>539.74</v>
      </c>
      <c r="M319" s="12" t="n">
        <v>1</v>
      </c>
    </row>
    <row r="320">
      <c r="A320" s="4" t="inlineStr">
        <is>
          <t>MAT-19-013</t>
        </is>
      </c>
      <c r="B320" s="5" t="inlineStr">
        <is>
          <t>Perfil cuadrado galvanizado 1 1/4" x 1 1/4" x 20 pies, pared 1.5 mm</t>
        </is>
      </c>
      <c r="C320" s="4" t="inlineStr">
        <is>
          <t>unidad</t>
        </is>
      </c>
      <c r="D320" s="10" t="n">
        <v>712.04</v>
      </c>
      <c r="E320" s="10" t="n"/>
      <c r="F320" s="10" t="n"/>
      <c r="G320" s="10">
        <f>IF(COUNT(D320:F320)=0,"",MIN(D320:F320))</f>
        <v/>
      </c>
      <c r="H320" s="10">
        <f>IF(COUNT(D320:F320)=0,"",MEDIAN(D320:F320))</f>
        <v/>
      </c>
      <c r="I320" s="10">
        <f>IF(COUNT(D320:F320)=0,"",MAX(D320:F320))</f>
        <v/>
      </c>
      <c r="J320" s="11">
        <f>IF(OR(G320="",G320=0),"",(I320-G320)/G320)</f>
        <v/>
      </c>
      <c r="K320" s="4">
        <f>IF(COUNT(D320:F320)=0,"",INDEX($D$1:$F$1,MATCH(MIN(D320:F320),D320:F320,0)))</f>
        <v/>
      </c>
      <c r="L320" s="10" t="n">
        <v>712.04</v>
      </c>
      <c r="M320" s="12" t="n">
        <v>1</v>
      </c>
    </row>
    <row r="321">
      <c r="A321" s="4" t="inlineStr">
        <is>
          <t>MAT-19-014</t>
        </is>
      </c>
      <c r="B321" s="5" t="inlineStr">
        <is>
          <t>Perfil cuadrado galvanizado 1 1/2" x 1 1/2" x 20 pies, pared 1.2 mm</t>
        </is>
      </c>
      <c r="C321" s="4" t="inlineStr">
        <is>
          <t>unidad</t>
        </is>
      </c>
      <c r="D321" s="10" t="n">
        <v>648.6799999999999</v>
      </c>
      <c r="E321" s="10" t="n"/>
      <c r="F321" s="10" t="n"/>
      <c r="G321" s="10">
        <f>IF(COUNT(D321:F321)=0,"",MIN(D321:F321))</f>
        <v/>
      </c>
      <c r="H321" s="10">
        <f>IF(COUNT(D321:F321)=0,"",MEDIAN(D321:F321))</f>
        <v/>
      </c>
      <c r="I321" s="10">
        <f>IF(COUNT(D321:F321)=0,"",MAX(D321:F321))</f>
        <v/>
      </c>
      <c r="J321" s="11">
        <f>IF(OR(G321="",G321=0),"",(I321-G321)/G321)</f>
        <v/>
      </c>
      <c r="K321" s="4">
        <f>IF(COUNT(D321:F321)=0,"",INDEX($D$1:$F$1,MATCH(MIN(D321:F321),D321:F321,0)))</f>
        <v/>
      </c>
      <c r="L321" s="10" t="n">
        <v>648.6799999999999</v>
      </c>
      <c r="M321" s="12" t="n">
        <v>1</v>
      </c>
    </row>
    <row r="322">
      <c r="A322" s="4" t="inlineStr">
        <is>
          <t>MAT-19-015</t>
        </is>
      </c>
      <c r="B322" s="5" t="inlineStr">
        <is>
          <t>Perfil cuadrado galvanizado 1 1/2" x 1 1/2" x 20 pies, pared 1.6 mm</t>
        </is>
      </c>
      <c r="C322" s="4" t="inlineStr">
        <is>
          <t>unidad</t>
        </is>
      </c>
      <c r="D322" s="10" t="n">
        <v>814.53</v>
      </c>
      <c r="E322" s="10" t="n"/>
      <c r="F322" s="10" t="n"/>
      <c r="G322" s="10">
        <f>IF(COUNT(D322:F322)=0,"",MIN(D322:F322))</f>
        <v/>
      </c>
      <c r="H322" s="10">
        <f>IF(COUNT(D322:F322)=0,"",MEDIAN(D322:F322))</f>
        <v/>
      </c>
      <c r="I322" s="10">
        <f>IF(COUNT(D322:F322)=0,"",MAX(D322:F322))</f>
        <v/>
      </c>
      <c r="J322" s="11">
        <f>IF(OR(G322="",G322=0),"",(I322-G322)/G322)</f>
        <v/>
      </c>
      <c r="K322" s="4">
        <f>IF(COUNT(D322:F322)=0,"",INDEX($D$1:$F$1,MATCH(MIN(D322:F322),D322:F322,0)))</f>
        <v/>
      </c>
      <c r="L322" s="10" t="n">
        <v>814.53</v>
      </c>
      <c r="M322" s="12" t="n">
        <v>1</v>
      </c>
    </row>
    <row r="323">
      <c r="A323" s="4" t="inlineStr">
        <is>
          <t>MAT-19-016</t>
        </is>
      </c>
      <c r="B323" s="5" t="inlineStr">
        <is>
          <t>Perfil cuadrado galvanizado 2" x 2" x 20 pies, pared 1.6 mm</t>
        </is>
      </c>
      <c r="C323" s="4" t="inlineStr">
        <is>
          <t>unidad</t>
        </is>
      </c>
      <c r="D323" s="10" t="n">
        <v>1108.57</v>
      </c>
      <c r="E323" s="10" t="n"/>
      <c r="F323" s="10" t="n"/>
      <c r="G323" s="10">
        <f>IF(COUNT(D323:F323)=0,"",MIN(D323:F323))</f>
        <v/>
      </c>
      <c r="H323" s="10">
        <f>IF(COUNT(D323:F323)=0,"",MEDIAN(D323:F323))</f>
        <v/>
      </c>
      <c r="I323" s="10">
        <f>IF(COUNT(D323:F323)=0,"",MAX(D323:F323))</f>
        <v/>
      </c>
      <c r="J323" s="11">
        <f>IF(OR(G323="",G323=0),"",(I323-G323)/G323)</f>
        <v/>
      </c>
      <c r="K323" s="4">
        <f>IF(COUNT(D323:F323)=0,"",INDEX($D$1:$F$1,MATCH(MIN(D323:F323),D323:F323,0)))</f>
        <v/>
      </c>
      <c r="L323" s="10" t="n">
        <v>1108.57</v>
      </c>
      <c r="M323" s="12" t="n">
        <v>1</v>
      </c>
    </row>
    <row r="324">
      <c r="A324" s="4" t="inlineStr">
        <is>
          <t>MAT-19-017</t>
        </is>
      </c>
      <c r="B324" s="5" t="inlineStr">
        <is>
          <t>Perfil cuadrado galvanizado 3" x 3" x 20 pies, pared 1.5 mm</t>
        </is>
      </c>
      <c r="C324" s="4" t="inlineStr">
        <is>
          <t>unidad</t>
        </is>
      </c>
      <c r="D324" s="10" t="n">
        <v>1707.91</v>
      </c>
      <c r="E324" s="10" t="n"/>
      <c r="F324" s="10" t="n"/>
      <c r="G324" s="10">
        <f>IF(COUNT(D324:F324)=0,"",MIN(D324:F324))</f>
        <v/>
      </c>
      <c r="H324" s="10">
        <f>IF(COUNT(D324:F324)=0,"",MEDIAN(D324:F324))</f>
        <v/>
      </c>
      <c r="I324" s="10">
        <f>IF(COUNT(D324:F324)=0,"",MAX(D324:F324))</f>
        <v/>
      </c>
      <c r="J324" s="11">
        <f>IF(OR(G324="",G324=0),"",(I324-G324)/G324)</f>
        <v/>
      </c>
      <c r="K324" s="4">
        <f>IF(COUNT(D324:F324)=0,"",INDEX($D$1:$F$1,MATCH(MIN(D324:F324),D324:F324,0)))</f>
        <v/>
      </c>
      <c r="L324" s="10" t="n">
        <v>1707.91</v>
      </c>
      <c r="M324" s="12" t="n">
        <v>1</v>
      </c>
    </row>
    <row r="325">
      <c r="A325" s="4" t="inlineStr">
        <is>
          <t>MAT-19-018</t>
        </is>
      </c>
      <c r="B325" s="5" t="inlineStr">
        <is>
          <t>Perfil rectangular negro 3/4" x 1 1/2" x 20 pies, pared 1.2 mm</t>
        </is>
      </c>
      <c r="C325" s="4" t="inlineStr">
        <is>
          <t>unidad</t>
        </is>
      </c>
      <c r="D325" s="10" t="n">
        <v>402.51</v>
      </c>
      <c r="E325" s="10" t="n"/>
      <c r="F325" s="10" t="n"/>
      <c r="G325" s="10">
        <f>IF(COUNT(D325:F325)=0,"",MIN(D325:F325))</f>
        <v/>
      </c>
      <c r="H325" s="10">
        <f>IF(COUNT(D325:F325)=0,"",MEDIAN(D325:F325))</f>
        <v/>
      </c>
      <c r="I325" s="10">
        <f>IF(COUNT(D325:F325)=0,"",MAX(D325:F325))</f>
        <v/>
      </c>
      <c r="J325" s="11">
        <f>IF(OR(G325="",G325=0),"",(I325-G325)/G325)</f>
        <v/>
      </c>
      <c r="K325" s="4">
        <f>IF(COUNT(D325:F325)=0,"",INDEX($D$1:$F$1,MATCH(MIN(D325:F325),D325:F325,0)))</f>
        <v/>
      </c>
      <c r="L325" s="10" t="n">
        <v>402.51</v>
      </c>
      <c r="M325" s="12" t="n">
        <v>1</v>
      </c>
    </row>
    <row r="326">
      <c r="A326" s="4" t="inlineStr">
        <is>
          <t>MAT-19-019</t>
        </is>
      </c>
      <c r="B326" s="5" t="inlineStr">
        <is>
          <t>Perfil rectangular negro 3/4" x 1 1/2" x 20 pies, pared 1.6 mm</t>
        </is>
      </c>
      <c r="C326" s="4" t="inlineStr">
        <is>
          <t>unidad</t>
        </is>
      </c>
      <c r="D326" s="10" t="n">
        <v>472.19</v>
      </c>
      <c r="E326" s="10" t="n"/>
      <c r="F326" s="10" t="n"/>
      <c r="G326" s="10">
        <f>IF(COUNT(D326:F326)=0,"",MIN(D326:F326))</f>
        <v/>
      </c>
      <c r="H326" s="10">
        <f>IF(COUNT(D326:F326)=0,"",MEDIAN(D326:F326))</f>
        <v/>
      </c>
      <c r="I326" s="10">
        <f>IF(COUNT(D326:F326)=0,"",MAX(D326:F326))</f>
        <v/>
      </c>
      <c r="J326" s="11">
        <f>IF(OR(G326="",G326=0),"",(I326-G326)/G326)</f>
        <v/>
      </c>
      <c r="K326" s="4">
        <f>IF(COUNT(D326:F326)=0,"",INDEX($D$1:$F$1,MATCH(MIN(D326:F326),D326:F326,0)))</f>
        <v/>
      </c>
      <c r="L326" s="10" t="n">
        <v>472.19</v>
      </c>
      <c r="M326" s="12" t="n">
        <v>1</v>
      </c>
    </row>
    <row r="327">
      <c r="A327" s="4" t="inlineStr">
        <is>
          <t>MAT-19-020</t>
        </is>
      </c>
      <c r="B327" s="5" t="inlineStr">
        <is>
          <t>Perfil rectangular negro 2" x 1" x 20 pies, pared 1.2 mm</t>
        </is>
      </c>
      <c r="C327" s="4" t="inlineStr">
        <is>
          <t>unidad</t>
        </is>
      </c>
      <c r="D327" s="10" t="n">
        <v>542.15</v>
      </c>
      <c r="E327" s="10" t="n"/>
      <c r="F327" s="10" t="n"/>
      <c r="G327" s="10">
        <f>IF(COUNT(D327:F327)=0,"",MIN(D327:F327))</f>
        <v/>
      </c>
      <c r="H327" s="10">
        <f>IF(COUNT(D327:F327)=0,"",MEDIAN(D327:F327))</f>
        <v/>
      </c>
      <c r="I327" s="10">
        <f>IF(COUNT(D327:F327)=0,"",MAX(D327:F327))</f>
        <v/>
      </c>
      <c r="J327" s="11">
        <f>IF(OR(G327="",G327=0),"",(I327-G327)/G327)</f>
        <v/>
      </c>
      <c r="K327" s="4">
        <f>IF(COUNT(D327:F327)=0,"",INDEX($D$1:$F$1,MATCH(MIN(D327:F327),D327:F327,0)))</f>
        <v/>
      </c>
      <c r="L327" s="10" t="n">
        <v>542.15</v>
      </c>
      <c r="M327" s="12" t="n">
        <v>1</v>
      </c>
    </row>
    <row r="328">
      <c r="A328" s="4" t="inlineStr">
        <is>
          <t>MAT-19-021</t>
        </is>
      </c>
      <c r="B328" s="5" t="inlineStr">
        <is>
          <t>Perfil rectangular negro 2" x 1" x 20 pies, pared 1.6 mm</t>
        </is>
      </c>
      <c r="C328" s="4" t="inlineStr">
        <is>
          <t>unidad</t>
        </is>
      </c>
      <c r="D328" s="10" t="n">
        <v>639.71</v>
      </c>
      <c r="E328" s="10" t="n"/>
      <c r="F328" s="10" t="n"/>
      <c r="G328" s="10">
        <f>IF(COUNT(D328:F328)=0,"",MIN(D328:F328))</f>
        <v/>
      </c>
      <c r="H328" s="10">
        <f>IF(COUNT(D328:F328)=0,"",MEDIAN(D328:F328))</f>
        <v/>
      </c>
      <c r="I328" s="10">
        <f>IF(COUNT(D328:F328)=0,"",MAX(D328:F328))</f>
        <v/>
      </c>
      <c r="J328" s="11">
        <f>IF(OR(G328="",G328=0),"",(I328-G328)/G328)</f>
        <v/>
      </c>
      <c r="K328" s="4">
        <f>IF(COUNT(D328:F328)=0,"",INDEX($D$1:$F$1,MATCH(MIN(D328:F328),D328:F328,0)))</f>
        <v/>
      </c>
      <c r="L328" s="10" t="n">
        <v>639.71</v>
      </c>
      <c r="M328" s="12" t="n">
        <v>1</v>
      </c>
    </row>
    <row r="329">
      <c r="A329" s="4" t="inlineStr">
        <is>
          <t>MAT-19-022</t>
        </is>
      </c>
      <c r="B329" s="5" t="inlineStr">
        <is>
          <t>Perfil rectangular negro 2" x 3" x 20 pies, pared 1.6 mm</t>
        </is>
      </c>
      <c r="C329" s="4" t="inlineStr">
        <is>
          <t>unidad</t>
        </is>
      </c>
      <c r="D329" s="10" t="n">
        <v>1082.3</v>
      </c>
      <c r="E329" s="10" t="n"/>
      <c r="F329" s="10" t="n"/>
      <c r="G329" s="10">
        <f>IF(COUNT(D329:F329)=0,"",MIN(D329:F329))</f>
        <v/>
      </c>
      <c r="H329" s="10">
        <f>IF(COUNT(D329:F329)=0,"",MEDIAN(D329:F329))</f>
        <v/>
      </c>
      <c r="I329" s="10">
        <f>IF(COUNT(D329:F329)=0,"",MAX(D329:F329))</f>
        <v/>
      </c>
      <c r="J329" s="11">
        <f>IF(OR(G329="",G329=0),"",(I329-G329)/G329)</f>
        <v/>
      </c>
      <c r="K329" s="4">
        <f>IF(COUNT(D329:F329)=0,"",INDEX($D$1:$F$1,MATCH(MIN(D329:F329),D329:F329,0)))</f>
        <v/>
      </c>
      <c r="L329" s="10" t="n">
        <v>1082.3</v>
      </c>
      <c r="M329" s="12" t="n">
        <v>1</v>
      </c>
    </row>
    <row r="330">
      <c r="A330" s="4" t="inlineStr">
        <is>
          <t>MAT-19-023</t>
        </is>
      </c>
      <c r="B330" s="5" t="inlineStr">
        <is>
          <t>Perfil rectangular negro 2" x 4" x 20 pies, pared 1.6 mm</t>
        </is>
      </c>
      <c r="C330" s="4" t="inlineStr">
        <is>
          <t>unidad</t>
        </is>
      </c>
      <c r="D330" s="10" t="n">
        <v>1349.04</v>
      </c>
      <c r="E330" s="10" t="n"/>
      <c r="F330" s="10" t="n"/>
      <c r="G330" s="10">
        <f>IF(COUNT(D330:F330)=0,"",MIN(D330:F330))</f>
        <v/>
      </c>
      <c r="H330" s="10">
        <f>IF(COUNT(D330:F330)=0,"",MEDIAN(D330:F330))</f>
        <v/>
      </c>
      <c r="I330" s="10">
        <f>IF(COUNT(D330:F330)=0,"",MAX(D330:F330))</f>
        <v/>
      </c>
      <c r="J330" s="11">
        <f>IF(OR(G330="",G330=0),"",(I330-G330)/G330)</f>
        <v/>
      </c>
      <c r="K330" s="4">
        <f>IF(COUNT(D330:F330)=0,"",INDEX($D$1:$F$1,MATCH(MIN(D330:F330),D330:F330,0)))</f>
        <v/>
      </c>
      <c r="L330" s="10" t="n">
        <v>1349.04</v>
      </c>
      <c r="M330" s="12" t="n">
        <v>1</v>
      </c>
    </row>
    <row r="331">
      <c r="A331" s="4" t="inlineStr">
        <is>
          <t>MAT-19-024</t>
        </is>
      </c>
      <c r="B331" s="5" t="inlineStr">
        <is>
          <t>Perfil rectangular negro 3" x 1 1/2" x 20 pies, pared 1.6 mm</t>
        </is>
      </c>
      <c r="C331" s="4" t="inlineStr">
        <is>
          <t>unidad</t>
        </is>
      </c>
      <c r="D331" s="10" t="n">
        <v>973.59</v>
      </c>
      <c r="E331" s="10" t="n"/>
      <c r="F331" s="10" t="n"/>
      <c r="G331" s="10">
        <f>IF(COUNT(D331:F331)=0,"",MIN(D331:F331))</f>
        <v/>
      </c>
      <c r="H331" s="10">
        <f>IF(COUNT(D331:F331)=0,"",MEDIAN(D331:F331))</f>
        <v/>
      </c>
      <c r="I331" s="10">
        <f>IF(COUNT(D331:F331)=0,"",MAX(D331:F331))</f>
        <v/>
      </c>
      <c r="J331" s="11">
        <f>IF(OR(G331="",G331=0),"",(I331-G331)/G331)</f>
        <v/>
      </c>
      <c r="K331" s="4">
        <f>IF(COUNT(D331:F331)=0,"",INDEX($D$1:$F$1,MATCH(MIN(D331:F331),D331:F331,0)))</f>
        <v/>
      </c>
      <c r="L331" s="10" t="n">
        <v>973.59</v>
      </c>
      <c r="M331" s="12" t="n">
        <v>1</v>
      </c>
    </row>
    <row r="332">
      <c r="A332" s="4" t="inlineStr">
        <is>
          <t>MAT-19-025</t>
        </is>
      </c>
      <c r="B332" s="5" t="inlineStr">
        <is>
          <t>Perfil rectangular galvanizado 3/4" x 1 1/2" x 20 pies, pared 1.2 mm</t>
        </is>
      </c>
      <c r="C332" s="4" t="inlineStr">
        <is>
          <t>unidad</t>
        </is>
      </c>
      <c r="D332" s="10" t="n">
        <v>492.8</v>
      </c>
      <c r="E332" s="10" t="n"/>
      <c r="F332" s="10" t="n"/>
      <c r="G332" s="10">
        <f>IF(COUNT(D332:F332)=0,"",MIN(D332:F332))</f>
        <v/>
      </c>
      <c r="H332" s="10">
        <f>IF(COUNT(D332:F332)=0,"",MEDIAN(D332:F332))</f>
        <v/>
      </c>
      <c r="I332" s="10">
        <f>IF(COUNT(D332:F332)=0,"",MAX(D332:F332))</f>
        <v/>
      </c>
      <c r="J332" s="11">
        <f>IF(OR(G332="",G332=0),"",(I332-G332)/G332)</f>
        <v/>
      </c>
      <c r="K332" s="4">
        <f>IF(COUNT(D332:F332)=0,"",INDEX($D$1:$F$1,MATCH(MIN(D332:F332),D332:F332,0)))</f>
        <v/>
      </c>
      <c r="L332" s="10" t="n">
        <v>492.8</v>
      </c>
      <c r="M332" s="12" t="n">
        <v>1</v>
      </c>
    </row>
    <row r="333">
      <c r="A333" s="4" t="inlineStr">
        <is>
          <t>MAT-19-026</t>
        </is>
      </c>
      <c r="B333" s="5" t="inlineStr">
        <is>
          <t>Perfil rectangular galvanizado 3/4" x 1 1/2" x 20 pies, pared 1.5 mm</t>
        </is>
      </c>
      <c r="C333" s="4" t="inlineStr">
        <is>
          <t>unidad</t>
        </is>
      </c>
      <c r="D333" s="10" t="n">
        <v>626.88</v>
      </c>
      <c r="E333" s="10" t="n"/>
      <c r="F333" s="10" t="n"/>
      <c r="G333" s="10">
        <f>IF(COUNT(D333:F333)=0,"",MIN(D333:F333))</f>
        <v/>
      </c>
      <c r="H333" s="10">
        <f>IF(COUNT(D333:F333)=0,"",MEDIAN(D333:F333))</f>
        <v/>
      </c>
      <c r="I333" s="10">
        <f>IF(COUNT(D333:F333)=0,"",MAX(D333:F333))</f>
        <v/>
      </c>
      <c r="J333" s="11">
        <f>IF(OR(G333="",G333=0),"",(I333-G333)/G333)</f>
        <v/>
      </c>
      <c r="K333" s="4">
        <f>IF(COUNT(D333:F333)=0,"",INDEX($D$1:$F$1,MATCH(MIN(D333:F333),D333:F333,0)))</f>
        <v/>
      </c>
      <c r="L333" s="10" t="n">
        <v>626.88</v>
      </c>
      <c r="M333" s="12" t="n">
        <v>1</v>
      </c>
    </row>
    <row r="334">
      <c r="A334" s="4" t="inlineStr">
        <is>
          <t>MAT-19-027</t>
        </is>
      </c>
      <c r="B334" s="5" t="inlineStr">
        <is>
          <t>Perfil rectangular galvanizado 2" x 1" x 20 pies, pared 1.2 mm</t>
        </is>
      </c>
      <c r="C334" s="4" t="inlineStr">
        <is>
          <t>unidad</t>
        </is>
      </c>
      <c r="D334" s="10" t="n">
        <v>646.73</v>
      </c>
      <c r="E334" s="10" t="n"/>
      <c r="F334" s="10" t="n"/>
      <c r="G334" s="10">
        <f>IF(COUNT(D334:F334)=0,"",MIN(D334:F334))</f>
        <v/>
      </c>
      <c r="H334" s="10">
        <f>IF(COUNT(D334:F334)=0,"",MEDIAN(D334:F334))</f>
        <v/>
      </c>
      <c r="I334" s="10">
        <f>IF(COUNT(D334:F334)=0,"",MAX(D334:F334))</f>
        <v/>
      </c>
      <c r="J334" s="11">
        <f>IF(OR(G334="",G334=0),"",(I334-G334)/G334)</f>
        <v/>
      </c>
      <c r="K334" s="4">
        <f>IF(COUNT(D334:F334)=0,"",INDEX($D$1:$F$1,MATCH(MIN(D334:F334),D334:F334,0)))</f>
        <v/>
      </c>
      <c r="L334" s="10" t="n">
        <v>646.73</v>
      </c>
      <c r="M334" s="12" t="n">
        <v>1</v>
      </c>
    </row>
    <row r="335">
      <c r="A335" s="4" t="inlineStr">
        <is>
          <t>MAT-19-028</t>
        </is>
      </c>
      <c r="B335" s="5" t="inlineStr">
        <is>
          <t>Perfil rectangular galvanizado 2" x 1" x 20 pies, pared 1.6 mm</t>
        </is>
      </c>
      <c r="C335" s="4" t="inlineStr">
        <is>
          <t>unidad</t>
        </is>
      </c>
      <c r="D335" s="10" t="n">
        <v>812.22</v>
      </c>
      <c r="E335" s="10" t="n"/>
      <c r="F335" s="10" t="n"/>
      <c r="G335" s="10">
        <f>IF(COUNT(D335:F335)=0,"",MIN(D335:F335))</f>
        <v/>
      </c>
      <c r="H335" s="10">
        <f>IF(COUNT(D335:F335)=0,"",MEDIAN(D335:F335))</f>
        <v/>
      </c>
      <c r="I335" s="10">
        <f>IF(COUNT(D335:F335)=0,"",MAX(D335:F335))</f>
        <v/>
      </c>
      <c r="J335" s="11">
        <f>IF(OR(G335="",G335=0),"",(I335-G335)/G335)</f>
        <v/>
      </c>
      <c r="K335" s="4">
        <f>IF(COUNT(D335:F335)=0,"",INDEX($D$1:$F$1,MATCH(MIN(D335:F335),D335:F335,0)))</f>
        <v/>
      </c>
      <c r="L335" s="10" t="n">
        <v>812.22</v>
      </c>
      <c r="M335" s="12" t="n">
        <v>1</v>
      </c>
    </row>
    <row r="336">
      <c r="A336" s="4" t="inlineStr">
        <is>
          <t>MAT-19-029</t>
        </is>
      </c>
      <c r="B336" s="5" t="inlineStr">
        <is>
          <t>Perfil rectangular galvanizado 2" x 3" x 20 pies, pared 1.6 mm</t>
        </is>
      </c>
      <c r="C336" s="4" t="inlineStr">
        <is>
          <t>unidad</t>
        </is>
      </c>
      <c r="D336" s="10" t="n">
        <v>1400.9</v>
      </c>
      <c r="E336" s="10" t="n"/>
      <c r="F336" s="10" t="n"/>
      <c r="G336" s="10">
        <f>IF(COUNT(D336:F336)=0,"",MIN(D336:F336))</f>
        <v/>
      </c>
      <c r="H336" s="10">
        <f>IF(COUNT(D336:F336)=0,"",MEDIAN(D336:F336))</f>
        <v/>
      </c>
      <c r="I336" s="10">
        <f>IF(COUNT(D336:F336)=0,"",MAX(D336:F336))</f>
        <v/>
      </c>
      <c r="J336" s="11">
        <f>IF(OR(G336="",G336=0),"",(I336-G336)/G336)</f>
        <v/>
      </c>
      <c r="K336" s="4">
        <f>IF(COUNT(D336:F336)=0,"",INDEX($D$1:$F$1,MATCH(MIN(D336:F336),D336:F336,0)))</f>
        <v/>
      </c>
      <c r="L336" s="10" t="n">
        <v>1400.9</v>
      </c>
      <c r="M336" s="12" t="n">
        <v>1</v>
      </c>
    </row>
    <row r="337">
      <c r="A337" s="4" t="inlineStr">
        <is>
          <t>MAT-19-030</t>
        </is>
      </c>
      <c r="B337" s="5" t="inlineStr">
        <is>
          <t>Perfil rectangular galvanizado 2" x 4" x 20 pies, pared 1.6 mm</t>
        </is>
      </c>
      <c r="C337" s="4" t="inlineStr">
        <is>
          <t>unidad</t>
        </is>
      </c>
      <c r="D337" s="10" t="n">
        <v>1695.85</v>
      </c>
      <c r="E337" s="10" t="n"/>
      <c r="F337" s="10" t="n"/>
      <c r="G337" s="10">
        <f>IF(COUNT(D337:F337)=0,"",MIN(D337:F337))</f>
        <v/>
      </c>
      <c r="H337" s="10">
        <f>IF(COUNT(D337:F337)=0,"",MEDIAN(D337:F337))</f>
        <v/>
      </c>
      <c r="I337" s="10">
        <f>IF(COUNT(D337:F337)=0,"",MAX(D337:F337))</f>
        <v/>
      </c>
      <c r="J337" s="11">
        <f>IF(OR(G337="",G337=0),"",(I337-G337)/G337)</f>
        <v/>
      </c>
      <c r="K337" s="4">
        <f>IF(COUNT(D337:F337)=0,"",INDEX($D$1:$F$1,MATCH(MIN(D337:F337),D337:F337,0)))</f>
        <v/>
      </c>
      <c r="L337" s="10" t="n">
        <v>1695.85</v>
      </c>
      <c r="M337" s="12" t="n">
        <v>1</v>
      </c>
    </row>
    <row r="338">
      <c r="A338" s="4" t="inlineStr">
        <is>
          <t>MAT-19-031</t>
        </is>
      </c>
      <c r="B338" s="5" t="inlineStr">
        <is>
          <t>Perfil rectangular galvanizado 3" x 1 1/2" x 20 pies, pared 1.6 mm</t>
        </is>
      </c>
      <c r="C338" s="4" t="inlineStr">
        <is>
          <t>unidad</t>
        </is>
      </c>
      <c r="D338" s="10" t="n">
        <v>1275.97</v>
      </c>
      <c r="E338" s="10" t="n"/>
      <c r="F338" s="10" t="n"/>
      <c r="G338" s="10">
        <f>IF(COUNT(D338:F338)=0,"",MIN(D338:F338))</f>
        <v/>
      </c>
      <c r="H338" s="10">
        <f>IF(COUNT(D338:F338)=0,"",MEDIAN(D338:F338))</f>
        <v/>
      </c>
      <c r="I338" s="10">
        <f>IF(COUNT(D338:F338)=0,"",MAX(D338:F338))</f>
        <v/>
      </c>
      <c r="J338" s="11">
        <f>IF(OR(G338="",G338=0),"",(I338-G338)/G338)</f>
        <v/>
      </c>
      <c r="K338" s="4">
        <f>IF(COUNT(D338:F338)=0,"",INDEX($D$1:$F$1,MATCH(MIN(D338:F338),D338:F338,0)))</f>
        <v/>
      </c>
      <c r="L338" s="10" t="n">
        <v>1275.97</v>
      </c>
      <c r="M338" s="12" t="n">
        <v>1</v>
      </c>
    </row>
    <row r="339">
      <c r="A339" s="4" t="inlineStr">
        <is>
          <t>MAT-19-032</t>
        </is>
      </c>
      <c r="B339" s="5" t="inlineStr">
        <is>
          <t>Tubo negro redondo 1/2" x 20 pies, pared 2.77 mm</t>
        </is>
      </c>
      <c r="C339" s="4" t="inlineStr">
        <is>
          <t>unidad</t>
        </is>
      </c>
      <c r="D339" s="10" t="n">
        <v>620.21</v>
      </c>
      <c r="E339" s="10" t="n"/>
      <c r="F339" s="10" t="n"/>
      <c r="G339" s="10">
        <f>IF(COUNT(D339:F339)=0,"",MIN(D339:F339))</f>
        <v/>
      </c>
      <c r="H339" s="10">
        <f>IF(COUNT(D339:F339)=0,"",MEDIAN(D339:F339))</f>
        <v/>
      </c>
      <c r="I339" s="10">
        <f>IF(COUNT(D339:F339)=0,"",MAX(D339:F339))</f>
        <v/>
      </c>
      <c r="J339" s="11">
        <f>IF(OR(G339="",G339=0),"",(I339-G339)/G339)</f>
        <v/>
      </c>
      <c r="K339" s="4">
        <f>IF(COUNT(D339:F339)=0,"",INDEX($D$1:$F$1,MATCH(MIN(D339:F339),D339:F339,0)))</f>
        <v/>
      </c>
      <c r="L339" s="10" t="n">
        <v>620.21</v>
      </c>
      <c r="M339" s="12" t="n">
        <v>1</v>
      </c>
    </row>
    <row r="340">
      <c r="A340" s="4" t="inlineStr">
        <is>
          <t>MAT-19-033</t>
        </is>
      </c>
      <c r="B340" s="5" t="inlineStr">
        <is>
          <t>Tubo negro redondo 3/4" x 20 pies, pared 2.87 mm</t>
        </is>
      </c>
      <c r="C340" s="4" t="inlineStr">
        <is>
          <t>unidad</t>
        </is>
      </c>
      <c r="D340" s="10" t="n">
        <v>826</v>
      </c>
      <c r="E340" s="10" t="n"/>
      <c r="F340" s="10" t="n"/>
      <c r="G340" s="10">
        <f>IF(COUNT(D340:F340)=0,"",MIN(D340:F340))</f>
        <v/>
      </c>
      <c r="H340" s="10">
        <f>IF(COUNT(D340:F340)=0,"",MEDIAN(D340:F340))</f>
        <v/>
      </c>
      <c r="I340" s="10">
        <f>IF(COUNT(D340:F340)=0,"",MAX(D340:F340))</f>
        <v/>
      </c>
      <c r="J340" s="11">
        <f>IF(OR(G340="",G340=0),"",(I340-G340)/G340)</f>
        <v/>
      </c>
      <c r="K340" s="4">
        <f>IF(COUNT(D340:F340)=0,"",INDEX($D$1:$F$1,MATCH(MIN(D340:F340),D340:F340,0)))</f>
        <v/>
      </c>
      <c r="L340" s="10" t="n">
        <v>826</v>
      </c>
      <c r="M340" s="12" t="n">
        <v>1</v>
      </c>
    </row>
    <row r="341">
      <c r="A341" s="4" t="inlineStr">
        <is>
          <t>MAT-19-034</t>
        </is>
      </c>
      <c r="B341" s="5" t="inlineStr">
        <is>
          <t>Tubo negro redondo 1" x 20 pies, pared 3.38 mm</t>
        </is>
      </c>
      <c r="C341" s="4" t="inlineStr">
        <is>
          <t>unidad</t>
        </is>
      </c>
      <c r="D341" s="10" t="n">
        <v>1206.29</v>
      </c>
      <c r="E341" s="10" t="n"/>
      <c r="F341" s="10" t="n"/>
      <c r="G341" s="10">
        <f>IF(COUNT(D341:F341)=0,"",MIN(D341:F341))</f>
        <v/>
      </c>
      <c r="H341" s="10">
        <f>IF(COUNT(D341:F341)=0,"",MEDIAN(D341:F341))</f>
        <v/>
      </c>
      <c r="I341" s="10">
        <f>IF(COUNT(D341:F341)=0,"",MAX(D341:F341))</f>
        <v/>
      </c>
      <c r="J341" s="11">
        <f>IF(OR(G341="",G341=0),"",(I341-G341)/G341)</f>
        <v/>
      </c>
      <c r="K341" s="4">
        <f>IF(COUNT(D341:F341)=0,"",INDEX($D$1:$F$1,MATCH(MIN(D341:F341),D341:F341,0)))</f>
        <v/>
      </c>
      <c r="L341" s="10" t="n">
        <v>1206.29</v>
      </c>
      <c r="M341" s="12" t="n">
        <v>1</v>
      </c>
    </row>
    <row r="342">
      <c r="A342" s="4" t="inlineStr">
        <is>
          <t>MAT-19-035</t>
        </is>
      </c>
      <c r="B342" s="5" t="inlineStr">
        <is>
          <t>Tubo negro redondo 1 1/4" x 20 pies, pared 3.56 mm</t>
        </is>
      </c>
      <c r="C342" s="4" t="inlineStr">
        <is>
          <t>unidad</t>
        </is>
      </c>
      <c r="D342" s="10" t="n">
        <v>1507.57</v>
      </c>
      <c r="E342" s="10" t="n"/>
      <c r="F342" s="10" t="n"/>
      <c r="G342" s="10">
        <f>IF(COUNT(D342:F342)=0,"",MIN(D342:F342))</f>
        <v/>
      </c>
      <c r="H342" s="10">
        <f>IF(COUNT(D342:F342)=0,"",MEDIAN(D342:F342))</f>
        <v/>
      </c>
      <c r="I342" s="10">
        <f>IF(COUNT(D342:F342)=0,"",MAX(D342:F342))</f>
        <v/>
      </c>
      <c r="J342" s="11">
        <f>IF(OR(G342="",G342=0),"",(I342-G342)/G342)</f>
        <v/>
      </c>
      <c r="K342" s="4">
        <f>IF(COUNT(D342:F342)=0,"",INDEX($D$1:$F$1,MATCH(MIN(D342:F342),D342:F342,0)))</f>
        <v/>
      </c>
      <c r="L342" s="10" t="n">
        <v>1507.57</v>
      </c>
      <c r="M342" s="12" t="n">
        <v>1</v>
      </c>
    </row>
    <row r="343">
      <c r="A343" s="4" t="inlineStr">
        <is>
          <t>MAT-19-036</t>
        </is>
      </c>
      <c r="B343" s="5" t="inlineStr">
        <is>
          <t>Tubo negro redondo 1 1/2" x 20 pies, pared 3.68 mm</t>
        </is>
      </c>
      <c r="C343" s="4" t="inlineStr">
        <is>
          <t>unidad</t>
        </is>
      </c>
      <c r="D343" s="10" t="n">
        <v>1952.51</v>
      </c>
      <c r="E343" s="10" t="n"/>
      <c r="F343" s="10" t="n"/>
      <c r="G343" s="10">
        <f>IF(COUNT(D343:F343)=0,"",MIN(D343:F343))</f>
        <v/>
      </c>
      <c r="H343" s="10">
        <f>IF(COUNT(D343:F343)=0,"",MEDIAN(D343:F343))</f>
        <v/>
      </c>
      <c r="I343" s="10">
        <f>IF(COUNT(D343:F343)=0,"",MAX(D343:F343))</f>
        <v/>
      </c>
      <c r="J343" s="11">
        <f>IF(OR(G343="",G343=0),"",(I343-G343)/G343)</f>
        <v/>
      </c>
      <c r="K343" s="4">
        <f>IF(COUNT(D343:F343)=0,"",INDEX($D$1:$F$1,MATCH(MIN(D343:F343),D343:F343,0)))</f>
        <v/>
      </c>
      <c r="L343" s="10" t="n">
        <v>1952.51</v>
      </c>
      <c r="M343" s="12" t="n">
        <v>1</v>
      </c>
    </row>
    <row r="344">
      <c r="A344" s="4" t="inlineStr">
        <is>
          <t>MAT-19-037</t>
        </is>
      </c>
      <c r="B344" s="5" t="inlineStr">
        <is>
          <t>Tubo negro redondo 2" x 20 pies, pared 3.91 mm</t>
        </is>
      </c>
      <c r="C344" s="4" t="inlineStr">
        <is>
          <t>unidad</t>
        </is>
      </c>
      <c r="D344" s="10" t="n">
        <v>2634.08</v>
      </c>
      <c r="E344" s="10" t="n"/>
      <c r="F344" s="10" t="n"/>
      <c r="G344" s="10">
        <f>IF(COUNT(D344:F344)=0,"",MIN(D344:F344))</f>
        <v/>
      </c>
      <c r="H344" s="10">
        <f>IF(COUNT(D344:F344)=0,"",MEDIAN(D344:F344))</f>
        <v/>
      </c>
      <c r="I344" s="10">
        <f>IF(COUNT(D344:F344)=0,"",MAX(D344:F344))</f>
        <v/>
      </c>
      <c r="J344" s="11">
        <f>IF(OR(G344="",G344=0),"",(I344-G344)/G344)</f>
        <v/>
      </c>
      <c r="K344" s="4">
        <f>IF(COUNT(D344:F344)=0,"",INDEX($D$1:$F$1,MATCH(MIN(D344:F344),D344:F344,0)))</f>
        <v/>
      </c>
      <c r="L344" s="10" t="n">
        <v>2634.08</v>
      </c>
      <c r="M344" s="12" t="n">
        <v>1</v>
      </c>
    </row>
    <row r="345">
      <c r="A345" s="4" t="inlineStr">
        <is>
          <t>MAT-19-038</t>
        </is>
      </c>
      <c r="B345" s="5" t="inlineStr">
        <is>
          <t>Tubo negro redondo 2 1/2" x 20 pies</t>
        </is>
      </c>
      <c r="C345" s="4" t="inlineStr">
        <is>
          <t>unidad</t>
        </is>
      </c>
      <c r="D345" s="10" t="n">
        <v>4173.42</v>
      </c>
      <c r="E345" s="10" t="n"/>
      <c r="F345" s="10" t="n"/>
      <c r="G345" s="10">
        <f>IF(COUNT(D345:F345)=0,"",MIN(D345:F345))</f>
        <v/>
      </c>
      <c r="H345" s="10">
        <f>IF(COUNT(D345:F345)=0,"",MEDIAN(D345:F345))</f>
        <v/>
      </c>
      <c r="I345" s="10">
        <f>IF(COUNT(D345:F345)=0,"",MAX(D345:F345))</f>
        <v/>
      </c>
      <c r="J345" s="11">
        <f>IF(OR(G345="",G345=0),"",(I345-G345)/G345)</f>
        <v/>
      </c>
      <c r="K345" s="4">
        <f>IF(COUNT(D345:F345)=0,"",INDEX($D$1:$F$1,MATCH(MIN(D345:F345),D345:F345,0)))</f>
        <v/>
      </c>
      <c r="L345" s="10" t="n">
        <v>4173.42</v>
      </c>
      <c r="M345" s="12" t="n">
        <v>1</v>
      </c>
    </row>
    <row r="346">
      <c r="A346" s="4" t="inlineStr">
        <is>
          <t>MAT-19-039</t>
        </is>
      </c>
      <c r="B346" s="5" t="inlineStr">
        <is>
          <t>Tubo negro redondo 3" x 20 pies</t>
        </is>
      </c>
      <c r="C346" s="4" t="inlineStr">
        <is>
          <t>unidad</t>
        </is>
      </c>
      <c r="D346" s="10" t="n">
        <v>5029.28</v>
      </c>
      <c r="E346" s="10" t="n"/>
      <c r="F346" s="10" t="n"/>
      <c r="G346" s="10">
        <f>IF(COUNT(D346:F346)=0,"",MIN(D346:F346))</f>
        <v/>
      </c>
      <c r="H346" s="10">
        <f>IF(COUNT(D346:F346)=0,"",MEDIAN(D346:F346))</f>
        <v/>
      </c>
      <c r="I346" s="10">
        <f>IF(COUNT(D346:F346)=0,"",MAX(D346:F346))</f>
        <v/>
      </c>
      <c r="J346" s="11">
        <f>IF(OR(G346="",G346=0),"",(I346-G346)/G346)</f>
        <v/>
      </c>
      <c r="K346" s="4">
        <f>IF(COUNT(D346:F346)=0,"",INDEX($D$1:$F$1,MATCH(MIN(D346:F346),D346:F346,0)))</f>
        <v/>
      </c>
      <c r="L346" s="10" t="n">
        <v>5029.28</v>
      </c>
      <c r="M346" s="12" t="n">
        <v>1</v>
      </c>
    </row>
    <row r="347">
      <c r="A347" s="4" t="inlineStr">
        <is>
          <t>MAT-19-040</t>
        </is>
      </c>
      <c r="B347" s="5" t="inlineStr">
        <is>
          <t>Tubo negro redondo 8" x 20 pies, pared 6 mm</t>
        </is>
      </c>
      <c r="C347" s="4" t="inlineStr">
        <is>
          <t>unidad</t>
        </is>
      </c>
      <c r="D347" s="10" t="n">
        <v>15250.64</v>
      </c>
      <c r="E347" s="10" t="n"/>
      <c r="F347" s="10" t="n"/>
      <c r="G347" s="10">
        <f>IF(COUNT(D347:F347)=0,"",MIN(D347:F347))</f>
        <v/>
      </c>
      <c r="H347" s="10">
        <f>IF(COUNT(D347:F347)=0,"",MEDIAN(D347:F347))</f>
        <v/>
      </c>
      <c r="I347" s="10">
        <f>IF(COUNT(D347:F347)=0,"",MAX(D347:F347))</f>
        <v/>
      </c>
      <c r="J347" s="11">
        <f>IF(OR(G347="",G347=0),"",(I347-G347)/G347)</f>
        <v/>
      </c>
      <c r="K347" s="4">
        <f>IF(COUNT(D347:F347)=0,"",INDEX($D$1:$F$1,MATCH(MIN(D347:F347),D347:F347,0)))</f>
        <v/>
      </c>
      <c r="L347" s="10" t="n">
        <v>15250.64</v>
      </c>
      <c r="M347" s="12" t="n">
        <v>1</v>
      </c>
    </row>
    <row r="348">
      <c r="A348" s="4" t="inlineStr">
        <is>
          <t>MAT-19-041</t>
        </is>
      </c>
      <c r="B348" s="5" t="inlineStr">
        <is>
          <t>Tubo negro redondo 8" x 20 pies, pared 6.35 mm</t>
        </is>
      </c>
      <c r="C348" s="4" t="inlineStr">
        <is>
          <t>unidad</t>
        </is>
      </c>
      <c r="D348" s="10" t="n">
        <v>11671.14</v>
      </c>
      <c r="E348" s="10" t="n"/>
      <c r="F348" s="10" t="n"/>
      <c r="G348" s="10">
        <f>IF(COUNT(D348:F348)=0,"",MIN(D348:F348))</f>
        <v/>
      </c>
      <c r="H348" s="10">
        <f>IF(COUNT(D348:F348)=0,"",MEDIAN(D348:F348))</f>
        <v/>
      </c>
      <c r="I348" s="10">
        <f>IF(COUNT(D348:F348)=0,"",MAX(D348:F348))</f>
        <v/>
      </c>
      <c r="J348" s="11">
        <f>IF(OR(G348="",G348=0),"",(I348-G348)/G348)</f>
        <v/>
      </c>
      <c r="K348" s="4">
        <f>IF(COUNT(D348:F348)=0,"",INDEX($D$1:$F$1,MATCH(MIN(D348:F348),D348:F348,0)))</f>
        <v/>
      </c>
      <c r="L348" s="10" t="n">
        <v>11671.14</v>
      </c>
      <c r="M348" s="12" t="n">
        <v>1</v>
      </c>
    </row>
    <row r="349">
      <c r="A349" s="4" t="inlineStr">
        <is>
          <t>MAT-19-042</t>
        </is>
      </c>
      <c r="B349" s="5" t="inlineStr">
        <is>
          <t>Tubo negro redondo 10" x 20 pies, pared 6.00 mm</t>
        </is>
      </c>
      <c r="C349" s="4" t="inlineStr">
        <is>
          <t>unidad</t>
        </is>
      </c>
      <c r="D349" s="10" t="n">
        <v>18313.02</v>
      </c>
      <c r="E349" s="10" t="n"/>
      <c r="F349" s="10" t="n"/>
      <c r="G349" s="10">
        <f>IF(COUNT(D349:F349)=0,"",MIN(D349:F349))</f>
        <v/>
      </c>
      <c r="H349" s="10">
        <f>IF(COUNT(D349:F349)=0,"",MEDIAN(D349:F349))</f>
        <v/>
      </c>
      <c r="I349" s="10">
        <f>IF(COUNT(D349:F349)=0,"",MAX(D349:F349))</f>
        <v/>
      </c>
      <c r="J349" s="11">
        <f>IF(OR(G349="",G349=0),"",(I349-G349)/G349)</f>
        <v/>
      </c>
      <c r="K349" s="4">
        <f>IF(COUNT(D349:F349)=0,"",INDEX($D$1:$F$1,MATCH(MIN(D349:F349),D349:F349,0)))</f>
        <v/>
      </c>
      <c r="L349" s="10" t="n">
        <v>18313.02</v>
      </c>
      <c r="M349" s="12" t="n">
        <v>1</v>
      </c>
    </row>
    <row r="350">
      <c r="A350" s="4" t="inlineStr">
        <is>
          <t>MAT-19-043</t>
        </is>
      </c>
      <c r="B350" s="5" t="inlineStr">
        <is>
          <t>Tubo negro redondo 14" x 20 pies, pared 6 mm</t>
        </is>
      </c>
      <c r="C350" s="4" t="inlineStr">
        <is>
          <t>unidad</t>
        </is>
      </c>
      <c r="D350" s="10" t="n">
        <v>27695.11</v>
      </c>
      <c r="E350" s="10" t="n"/>
      <c r="F350" s="10" t="n"/>
      <c r="G350" s="10">
        <f>IF(COUNT(D350:F350)=0,"",MIN(D350:F350))</f>
        <v/>
      </c>
      <c r="H350" s="10">
        <f>IF(COUNT(D350:F350)=0,"",MEDIAN(D350:F350))</f>
        <v/>
      </c>
      <c r="I350" s="10">
        <f>IF(COUNT(D350:F350)=0,"",MAX(D350:F350))</f>
        <v/>
      </c>
      <c r="J350" s="11">
        <f>IF(OR(G350="",G350=0),"",(I350-G350)/G350)</f>
        <v/>
      </c>
      <c r="K350" s="4">
        <f>IF(COUNT(D350:F350)=0,"",INDEX($D$1:$F$1,MATCH(MIN(D350:F350),D350:F350,0)))</f>
        <v/>
      </c>
      <c r="L350" s="10" t="n">
        <v>27695.11</v>
      </c>
      <c r="M350" s="12" t="n">
        <v>1</v>
      </c>
    </row>
    <row r="351">
      <c r="A351" s="4" t="inlineStr">
        <is>
          <t>MAT-19-044</t>
        </is>
      </c>
      <c r="B351" s="5" t="inlineStr">
        <is>
          <t>Tubo negro redondo 16" x 20 pies, pared 12.70 mm</t>
        </is>
      </c>
      <c r="C351" s="4" t="inlineStr">
        <is>
          <t>unidad</t>
        </is>
      </c>
      <c r="D351" s="10" t="n">
        <v>62026.36</v>
      </c>
      <c r="E351" s="10" t="n"/>
      <c r="F351" s="10" t="n"/>
      <c r="G351" s="10">
        <f>IF(COUNT(D351:F351)=0,"",MIN(D351:F351))</f>
        <v/>
      </c>
      <c r="H351" s="10">
        <f>IF(COUNT(D351:F351)=0,"",MEDIAN(D351:F351))</f>
        <v/>
      </c>
      <c r="I351" s="10">
        <f>IF(COUNT(D351:F351)=0,"",MAX(D351:F351))</f>
        <v/>
      </c>
      <c r="J351" s="11">
        <f>IF(OR(G351="",G351=0),"",(I351-G351)/G351)</f>
        <v/>
      </c>
      <c r="K351" s="4">
        <f>IF(COUNT(D351:F351)=0,"",INDEX($D$1:$F$1,MATCH(MIN(D351:F351),D351:F351,0)))</f>
        <v/>
      </c>
      <c r="L351" s="10" t="n">
        <v>62026.36</v>
      </c>
      <c r="M351" s="12" t="n">
        <v>1</v>
      </c>
    </row>
    <row r="352">
      <c r="A352" s="4" t="inlineStr">
        <is>
          <t>MAT-19-045</t>
        </is>
      </c>
      <c r="B352" s="5" t="inlineStr">
        <is>
          <t>Correa galvanizada tipo Z 6" x 1/16" x 20 pies</t>
        </is>
      </c>
      <c r="C352" s="4" t="inlineStr">
        <is>
          <t>unidad</t>
        </is>
      </c>
      <c r="D352" s="10" t="n">
        <v>2658</v>
      </c>
      <c r="E352" s="10" t="n"/>
      <c r="F352" s="10" t="n"/>
      <c r="G352" s="10">
        <f>IF(COUNT(D352:F352)=0,"",MIN(D352:F352))</f>
        <v/>
      </c>
      <c r="H352" s="10">
        <f>IF(COUNT(D352:F352)=0,"",MEDIAN(D352:F352))</f>
        <v/>
      </c>
      <c r="I352" s="10">
        <f>IF(COUNT(D352:F352)=0,"",MAX(D352:F352))</f>
        <v/>
      </c>
      <c r="J352" s="11">
        <f>IF(OR(G352="",G352=0),"",(I352-G352)/G352)</f>
        <v/>
      </c>
      <c r="K352" s="4">
        <f>IF(COUNT(D352:F352)=0,"",INDEX($D$1:$F$1,MATCH(MIN(D352:F352),D352:F352,0)))</f>
        <v/>
      </c>
      <c r="L352" s="10" t="n">
        <v>2658</v>
      </c>
      <c r="M352" s="12" t="n">
        <v>1</v>
      </c>
    </row>
    <row r="353">
      <c r="A353" s="4" t="inlineStr">
        <is>
          <t>MAT-19-046</t>
        </is>
      </c>
      <c r="B353" s="5" t="inlineStr">
        <is>
          <t>Correa galvanizada tipo Z 8" x 1/16" x 20 pies</t>
        </is>
      </c>
      <c r="C353" s="4" t="inlineStr">
        <is>
          <t>unidad</t>
        </is>
      </c>
      <c r="D353" s="10" t="n">
        <v>3039.2</v>
      </c>
      <c r="E353" s="10" t="n"/>
      <c r="F353" s="10" t="n"/>
      <c r="G353" s="10">
        <f>IF(COUNT(D353:F353)=0,"",MIN(D353:F353))</f>
        <v/>
      </c>
      <c r="H353" s="10">
        <f>IF(COUNT(D353:F353)=0,"",MEDIAN(D353:F353))</f>
        <v/>
      </c>
      <c r="I353" s="10">
        <f>IF(COUNT(D353:F353)=0,"",MAX(D353:F353))</f>
        <v/>
      </c>
      <c r="J353" s="11">
        <f>IF(OR(G353="",G353=0),"",(I353-G353)/G353)</f>
        <v/>
      </c>
      <c r="K353" s="4">
        <f>IF(COUNT(D353:F353)=0,"",INDEX($D$1:$F$1,MATCH(MIN(D353:F353),D353:F353,0)))</f>
        <v/>
      </c>
      <c r="L353" s="10" t="n">
        <v>3039.2</v>
      </c>
      <c r="M353" s="12" t="n">
        <v>1</v>
      </c>
    </row>
    <row r="354">
      <c r="A354" s="4" t="inlineStr">
        <is>
          <t>MAT-20-001</t>
        </is>
      </c>
      <c r="B354" s="5" t="inlineStr">
        <is>
          <t>Angular Perforado 1-1 / 2 x 1-1 / 2"X10'</t>
        </is>
      </c>
      <c r="C354" s="4" t="inlineStr">
        <is>
          <t>unidad</t>
        </is>
      </c>
      <c r="D354" s="10" t="n"/>
      <c r="E354" s="10" t="n">
        <v>425</v>
      </c>
      <c r="F354" s="10" t="n"/>
      <c r="G354" s="10">
        <f>IF(COUNT(D354:F354)=0,"",MIN(D354:F354))</f>
        <v/>
      </c>
      <c r="H354" s="10">
        <f>IF(COUNT(D354:F354)=0,"",MEDIAN(D354:F354))</f>
        <v/>
      </c>
      <c r="I354" s="10">
        <f>IF(COUNT(D354:F354)=0,"",MAX(D354:F354))</f>
        <v/>
      </c>
      <c r="J354" s="11">
        <f>IF(OR(G354="",G354=0),"",(I354-G354)/G354)</f>
        <v/>
      </c>
      <c r="K354" s="4">
        <f>IF(COUNT(D354:F354)=0,"",INDEX($D$1:$F$1,MATCH(MIN(D354:F354),D354:F354,0)))</f>
        <v/>
      </c>
      <c r="L354" s="10" t="n">
        <v>425</v>
      </c>
      <c r="M354" s="12" t="n">
        <v>1</v>
      </c>
    </row>
    <row r="355">
      <c r="A355" s="4" t="inlineStr">
        <is>
          <t>MAT-20-002</t>
        </is>
      </c>
      <c r="B355" s="5" t="inlineStr">
        <is>
          <t>Angular Perforado 1-1 / 2 x 1-1 / 2"X8'</t>
        </is>
      </c>
      <c r="C355" s="4" t="inlineStr">
        <is>
          <t>unidad</t>
        </is>
      </c>
      <c r="D355" s="10" t="n"/>
      <c r="E355" s="10" t="n">
        <v>360</v>
      </c>
      <c r="F355" s="10" t="n"/>
      <c r="G355" s="10">
        <f>IF(COUNT(D355:F355)=0,"",MIN(D355:F355))</f>
        <v/>
      </c>
      <c r="H355" s="10">
        <f>IF(COUNT(D355:F355)=0,"",MEDIAN(D355:F355))</f>
        <v/>
      </c>
      <c r="I355" s="10">
        <f>IF(COUNT(D355:F355)=0,"",MAX(D355:F355))</f>
        <v/>
      </c>
      <c r="J355" s="11">
        <f>IF(OR(G355="",G355=0),"",(I355-G355)/G355)</f>
        <v/>
      </c>
      <c r="K355" s="4">
        <f>IF(COUNT(D355:F355)=0,"",INDEX($D$1:$F$1,MATCH(MIN(D355:F355),D355:F355,0)))</f>
        <v/>
      </c>
      <c r="L355" s="10" t="n">
        <v>360</v>
      </c>
      <c r="M355" s="12" t="n">
        <v>1</v>
      </c>
    </row>
    <row r="356">
      <c r="A356" s="4" t="inlineStr">
        <is>
          <t>MAT-20-003</t>
        </is>
      </c>
      <c r="B356" s="5" t="inlineStr">
        <is>
          <t>Angular de hierro negro 3/4" x 1/8" x 20 pies</t>
        </is>
      </c>
      <c r="C356" s="4" t="inlineStr">
        <is>
          <t>unidad</t>
        </is>
      </c>
      <c r="D356" s="10" t="n">
        <v>449.99</v>
      </c>
      <c r="E356" s="10" t="n"/>
      <c r="F356" s="10" t="n"/>
      <c r="G356" s="10">
        <f>IF(COUNT(D356:F356)=0,"",MIN(D356:F356))</f>
        <v/>
      </c>
      <c r="H356" s="10">
        <f>IF(COUNT(D356:F356)=0,"",MEDIAN(D356:F356))</f>
        <v/>
      </c>
      <c r="I356" s="10">
        <f>IF(COUNT(D356:F356)=0,"",MAX(D356:F356))</f>
        <v/>
      </c>
      <c r="J356" s="11">
        <f>IF(OR(G356="",G356=0),"",(I356-G356)/G356)</f>
        <v/>
      </c>
      <c r="K356" s="4">
        <f>IF(COUNT(D356:F356)=0,"",INDEX($D$1:$F$1,MATCH(MIN(D356:F356),D356:F356,0)))</f>
        <v/>
      </c>
      <c r="L356" s="10" t="n">
        <v>449.99</v>
      </c>
      <c r="M356" s="12" t="n">
        <v>1</v>
      </c>
    </row>
    <row r="357">
      <c r="A357" s="4" t="inlineStr">
        <is>
          <t>MAT-20-004</t>
        </is>
      </c>
      <c r="B357" s="5" t="inlineStr">
        <is>
          <t>Angular de hierro negro 1" x 1/8" x 20 pies</t>
        </is>
      </c>
      <c r="C357" s="4" t="inlineStr">
        <is>
          <t>unidad</t>
        </is>
      </c>
      <c r="D357" s="10" t="n">
        <v>560</v>
      </c>
      <c r="E357" s="10" t="n"/>
      <c r="F357" s="10" t="n"/>
      <c r="G357" s="10">
        <f>IF(COUNT(D357:F357)=0,"",MIN(D357:F357))</f>
        <v/>
      </c>
      <c r="H357" s="10">
        <f>IF(COUNT(D357:F357)=0,"",MEDIAN(D357:F357))</f>
        <v/>
      </c>
      <c r="I357" s="10">
        <f>IF(COUNT(D357:F357)=0,"",MAX(D357:F357))</f>
        <v/>
      </c>
      <c r="J357" s="11">
        <f>IF(OR(G357="",G357=0),"",(I357-G357)/G357)</f>
        <v/>
      </c>
      <c r="K357" s="4">
        <f>IF(COUNT(D357:F357)=0,"",INDEX($D$1:$F$1,MATCH(MIN(D357:F357),D357:F357,0)))</f>
        <v/>
      </c>
      <c r="L357" s="10" t="n">
        <v>560</v>
      </c>
      <c r="M357" s="12" t="n">
        <v>1</v>
      </c>
    </row>
    <row r="358">
      <c r="A358" s="4" t="inlineStr">
        <is>
          <t>MAT-20-005</t>
        </is>
      </c>
      <c r="B358" s="5" t="inlineStr">
        <is>
          <t>Angular de hierro negro 1" x 3/16" x 20 pies</t>
        </is>
      </c>
      <c r="C358" s="4" t="inlineStr">
        <is>
          <t>unidad</t>
        </is>
      </c>
      <c r="D358" s="10" t="n">
        <v>812.01</v>
      </c>
      <c r="E358" s="10" t="n"/>
      <c r="F358" s="10" t="n"/>
      <c r="G358" s="10">
        <f>IF(COUNT(D358:F358)=0,"",MIN(D358:F358))</f>
        <v/>
      </c>
      <c r="H358" s="10">
        <f>IF(COUNT(D358:F358)=0,"",MEDIAN(D358:F358))</f>
        <v/>
      </c>
      <c r="I358" s="10">
        <f>IF(COUNT(D358:F358)=0,"",MAX(D358:F358))</f>
        <v/>
      </c>
      <c r="J358" s="11">
        <f>IF(OR(G358="",G358=0),"",(I358-G358)/G358)</f>
        <v/>
      </c>
      <c r="K358" s="4">
        <f>IF(COUNT(D358:F358)=0,"",INDEX($D$1:$F$1,MATCH(MIN(D358:F358),D358:F358,0)))</f>
        <v/>
      </c>
      <c r="L358" s="10" t="n">
        <v>812.01</v>
      </c>
      <c r="M358" s="12" t="n">
        <v>1</v>
      </c>
    </row>
    <row r="359">
      <c r="A359" s="4" t="inlineStr">
        <is>
          <t>MAT-20-006</t>
        </is>
      </c>
      <c r="B359" s="5" t="inlineStr">
        <is>
          <t>Angular de hierro negro 1" x 1/4" x 20 pies</t>
        </is>
      </c>
      <c r="C359" s="4" t="inlineStr">
        <is>
          <t>unidad</t>
        </is>
      </c>
      <c r="D359" s="10" t="n">
        <v>1163.48</v>
      </c>
      <c r="E359" s="10" t="n"/>
      <c r="F359" s="10" t="n"/>
      <c r="G359" s="10">
        <f>IF(COUNT(D359:F359)=0,"",MIN(D359:F359))</f>
        <v/>
      </c>
      <c r="H359" s="10">
        <f>IF(COUNT(D359:F359)=0,"",MEDIAN(D359:F359))</f>
        <v/>
      </c>
      <c r="I359" s="10">
        <f>IF(COUNT(D359:F359)=0,"",MAX(D359:F359))</f>
        <v/>
      </c>
      <c r="J359" s="11">
        <f>IF(OR(G359="",G359=0),"",(I359-G359)/G359)</f>
        <v/>
      </c>
      <c r="K359" s="4">
        <f>IF(COUNT(D359:F359)=0,"",INDEX($D$1:$F$1,MATCH(MIN(D359:F359),D359:F359,0)))</f>
        <v/>
      </c>
      <c r="L359" s="10" t="n">
        <v>1163.48</v>
      </c>
      <c r="M359" s="12" t="n">
        <v>1</v>
      </c>
    </row>
    <row r="360">
      <c r="A360" s="4" t="inlineStr">
        <is>
          <t>MAT-20-007</t>
        </is>
      </c>
      <c r="B360" s="5" t="inlineStr">
        <is>
          <t>Angular de hierro negro 1 1/4" x 1/8" x 20 pies</t>
        </is>
      </c>
      <c r="C360" s="4" t="inlineStr">
        <is>
          <t>unidad</t>
        </is>
      </c>
      <c r="D360" s="10" t="n">
        <v>781</v>
      </c>
      <c r="E360" s="10" t="n"/>
      <c r="F360" s="10" t="n"/>
      <c r="G360" s="10">
        <f>IF(COUNT(D360:F360)=0,"",MIN(D360:F360))</f>
        <v/>
      </c>
      <c r="H360" s="10">
        <f>IF(COUNT(D360:F360)=0,"",MEDIAN(D360:F360))</f>
        <v/>
      </c>
      <c r="I360" s="10">
        <f>IF(COUNT(D360:F360)=0,"",MAX(D360:F360))</f>
        <v/>
      </c>
      <c r="J360" s="11">
        <f>IF(OR(G360="",G360=0),"",(I360-G360)/G360)</f>
        <v/>
      </c>
      <c r="K360" s="4">
        <f>IF(COUNT(D360:F360)=0,"",INDEX($D$1:$F$1,MATCH(MIN(D360:F360),D360:F360,0)))</f>
        <v/>
      </c>
      <c r="L360" s="10" t="n">
        <v>781</v>
      </c>
      <c r="M360" s="12" t="n">
        <v>1</v>
      </c>
    </row>
    <row r="361">
      <c r="A361" s="4" t="inlineStr">
        <is>
          <t>MAT-20-008</t>
        </is>
      </c>
      <c r="B361" s="5" t="inlineStr">
        <is>
          <t>Angular de hierro negro 1 1/4" x 3/16" x 20 pies</t>
        </is>
      </c>
      <c r="C361" s="4" t="inlineStr">
        <is>
          <t>unidad</t>
        </is>
      </c>
      <c r="D361" s="10" t="n">
        <v>1036</v>
      </c>
      <c r="E361" s="10" t="n"/>
      <c r="F361" s="10" t="n"/>
      <c r="G361" s="10">
        <f>IF(COUNT(D361:F361)=0,"",MIN(D361:F361))</f>
        <v/>
      </c>
      <c r="H361" s="10">
        <f>IF(COUNT(D361:F361)=0,"",MEDIAN(D361:F361))</f>
        <v/>
      </c>
      <c r="I361" s="10">
        <f>IF(COUNT(D361:F361)=0,"",MAX(D361:F361))</f>
        <v/>
      </c>
      <c r="J361" s="11">
        <f>IF(OR(G361="",G361=0),"",(I361-G361)/G361)</f>
        <v/>
      </c>
      <c r="K361" s="4">
        <f>IF(COUNT(D361:F361)=0,"",INDEX($D$1:$F$1,MATCH(MIN(D361:F361),D361:F361,0)))</f>
        <v/>
      </c>
      <c r="L361" s="10" t="n">
        <v>1036</v>
      </c>
      <c r="M361" s="12" t="n">
        <v>1</v>
      </c>
    </row>
    <row r="362">
      <c r="A362" s="4" t="inlineStr">
        <is>
          <t>MAT-20-009</t>
        </is>
      </c>
      <c r="B362" s="5" t="inlineStr">
        <is>
          <t>Angular de hierro negro 1 1/4" x 1/4" x 20 pies</t>
        </is>
      </c>
      <c r="C362" s="4" t="inlineStr">
        <is>
          <t>unidad</t>
        </is>
      </c>
      <c r="D362" s="10" t="n">
        <v>1344</v>
      </c>
      <c r="E362" s="10" t="n"/>
      <c r="F362" s="10" t="n"/>
      <c r="G362" s="10">
        <f>IF(COUNT(D362:F362)=0,"",MIN(D362:F362))</f>
        <v/>
      </c>
      <c r="H362" s="10">
        <f>IF(COUNT(D362:F362)=0,"",MEDIAN(D362:F362))</f>
        <v/>
      </c>
      <c r="I362" s="10">
        <f>IF(COUNT(D362:F362)=0,"",MAX(D362:F362))</f>
        <v/>
      </c>
      <c r="J362" s="11">
        <f>IF(OR(G362="",G362=0),"",(I362-G362)/G362)</f>
        <v/>
      </c>
      <c r="K362" s="4">
        <f>IF(COUNT(D362:F362)=0,"",INDEX($D$1:$F$1,MATCH(MIN(D362:F362),D362:F362,0)))</f>
        <v/>
      </c>
      <c r="L362" s="10" t="n">
        <v>1344</v>
      </c>
      <c r="M362" s="12" t="n">
        <v>1</v>
      </c>
    </row>
    <row r="363">
      <c r="A363" s="4" t="inlineStr">
        <is>
          <t>MAT-20-010</t>
        </is>
      </c>
      <c r="B363" s="5" t="inlineStr">
        <is>
          <t>Angular de hierro negro 1 1/2" x 3/16" x 20 pies</t>
        </is>
      </c>
      <c r="C363" s="4" t="inlineStr">
        <is>
          <t>unidad</t>
        </is>
      </c>
      <c r="D363" s="10" t="n">
        <v>1260</v>
      </c>
      <c r="E363" s="10" t="n"/>
      <c r="F363" s="10" t="n"/>
      <c r="G363" s="10">
        <f>IF(COUNT(D363:F363)=0,"",MIN(D363:F363))</f>
        <v/>
      </c>
      <c r="H363" s="10">
        <f>IF(COUNT(D363:F363)=0,"",MEDIAN(D363:F363))</f>
        <v/>
      </c>
      <c r="I363" s="10">
        <f>IF(COUNT(D363:F363)=0,"",MAX(D363:F363))</f>
        <v/>
      </c>
      <c r="J363" s="11">
        <f>IF(OR(G363="",G363=0),"",(I363-G363)/G363)</f>
        <v/>
      </c>
      <c r="K363" s="4">
        <f>IF(COUNT(D363:F363)=0,"",INDEX($D$1:$F$1,MATCH(MIN(D363:F363),D363:F363,0)))</f>
        <v/>
      </c>
      <c r="L363" s="10" t="n">
        <v>1260</v>
      </c>
      <c r="M363" s="12" t="n">
        <v>1</v>
      </c>
    </row>
    <row r="364">
      <c r="A364" s="4" t="inlineStr">
        <is>
          <t>MAT-20-011</t>
        </is>
      </c>
      <c r="B364" s="5" t="inlineStr">
        <is>
          <t>Angular de hierro negro 1 1/2" x 1/4" x 20 pies</t>
        </is>
      </c>
      <c r="C364" s="4" t="inlineStr">
        <is>
          <t>unidad</t>
        </is>
      </c>
      <c r="D364" s="10" t="n">
        <v>1638.01</v>
      </c>
      <c r="E364" s="10" t="n"/>
      <c r="F364" s="10" t="n"/>
      <c r="G364" s="10">
        <f>IF(COUNT(D364:F364)=0,"",MIN(D364:F364))</f>
        <v/>
      </c>
      <c r="H364" s="10">
        <f>IF(COUNT(D364:F364)=0,"",MEDIAN(D364:F364))</f>
        <v/>
      </c>
      <c r="I364" s="10">
        <f>IF(COUNT(D364:F364)=0,"",MAX(D364:F364))</f>
        <v/>
      </c>
      <c r="J364" s="11">
        <f>IF(OR(G364="",G364=0),"",(I364-G364)/G364)</f>
        <v/>
      </c>
      <c r="K364" s="4">
        <f>IF(COUNT(D364:F364)=0,"",INDEX($D$1:$F$1,MATCH(MIN(D364:F364),D364:F364,0)))</f>
        <v/>
      </c>
      <c r="L364" s="10" t="n">
        <v>1638.01</v>
      </c>
      <c r="M364" s="12" t="n">
        <v>1</v>
      </c>
    </row>
    <row r="365">
      <c r="A365" s="4" t="inlineStr">
        <is>
          <t>MAT-20-012</t>
        </is>
      </c>
      <c r="B365" s="5" t="inlineStr">
        <is>
          <t>Angular de hierro negro 2" x 1/8" x 20 pies</t>
        </is>
      </c>
      <c r="C365" s="4" t="inlineStr">
        <is>
          <t>unidad</t>
        </is>
      </c>
      <c r="D365" s="10" t="n">
        <v>1155</v>
      </c>
      <c r="E365" s="10" t="n"/>
      <c r="F365" s="10" t="n"/>
      <c r="G365" s="10">
        <f>IF(COUNT(D365:F365)=0,"",MIN(D365:F365))</f>
        <v/>
      </c>
      <c r="H365" s="10">
        <f>IF(COUNT(D365:F365)=0,"",MEDIAN(D365:F365))</f>
        <v/>
      </c>
      <c r="I365" s="10">
        <f>IF(COUNT(D365:F365)=0,"",MAX(D365:F365))</f>
        <v/>
      </c>
      <c r="J365" s="11">
        <f>IF(OR(G365="",G365=0),"",(I365-G365)/G365)</f>
        <v/>
      </c>
      <c r="K365" s="4">
        <f>IF(COUNT(D365:F365)=0,"",INDEX($D$1:$F$1,MATCH(MIN(D365:F365),D365:F365,0)))</f>
        <v/>
      </c>
      <c r="L365" s="10" t="n">
        <v>1155</v>
      </c>
      <c r="M365" s="12" t="n">
        <v>1</v>
      </c>
    </row>
    <row r="366">
      <c r="A366" s="4" t="inlineStr">
        <is>
          <t>MAT-20-013</t>
        </is>
      </c>
      <c r="B366" s="5" t="inlineStr">
        <is>
          <t>Angular de hierro negro 2" x 3/16" x 20 pies</t>
        </is>
      </c>
      <c r="C366" s="4" t="inlineStr">
        <is>
          <t>unidad</t>
        </is>
      </c>
      <c r="D366" s="10" t="n">
        <v>1708</v>
      </c>
      <c r="E366" s="10" t="n"/>
      <c r="F366" s="10" t="n"/>
      <c r="G366" s="10">
        <f>IF(COUNT(D366:F366)=0,"",MIN(D366:F366))</f>
        <v/>
      </c>
      <c r="H366" s="10">
        <f>IF(COUNT(D366:F366)=0,"",MEDIAN(D366:F366))</f>
        <v/>
      </c>
      <c r="I366" s="10">
        <f>IF(COUNT(D366:F366)=0,"",MAX(D366:F366))</f>
        <v/>
      </c>
      <c r="J366" s="11">
        <f>IF(OR(G366="",G366=0),"",(I366-G366)/G366)</f>
        <v/>
      </c>
      <c r="K366" s="4">
        <f>IF(COUNT(D366:F366)=0,"",INDEX($D$1:$F$1,MATCH(MIN(D366:F366),D366:F366,0)))</f>
        <v/>
      </c>
      <c r="L366" s="10" t="n">
        <v>1708</v>
      </c>
      <c r="M366" s="12" t="n">
        <v>1</v>
      </c>
    </row>
    <row r="367">
      <c r="A367" s="4" t="inlineStr">
        <is>
          <t>MAT-20-014</t>
        </is>
      </c>
      <c r="B367" s="5" t="inlineStr">
        <is>
          <t>Angular de hierro negro 2" x 1/4" x 20 pies</t>
        </is>
      </c>
      <c r="C367" s="4" t="inlineStr">
        <is>
          <t>unidad</t>
        </is>
      </c>
      <c r="D367" s="10" t="n">
        <v>2324.69</v>
      </c>
      <c r="E367" s="10" t="n"/>
      <c r="F367" s="10" t="n"/>
      <c r="G367" s="10">
        <f>IF(COUNT(D367:F367)=0,"",MIN(D367:F367))</f>
        <v/>
      </c>
      <c r="H367" s="10">
        <f>IF(COUNT(D367:F367)=0,"",MEDIAN(D367:F367))</f>
        <v/>
      </c>
      <c r="I367" s="10">
        <f>IF(COUNT(D367:F367)=0,"",MAX(D367:F367))</f>
        <v/>
      </c>
      <c r="J367" s="11">
        <f>IF(OR(G367="",G367=0),"",(I367-G367)/G367)</f>
        <v/>
      </c>
      <c r="K367" s="4">
        <f>IF(COUNT(D367:F367)=0,"",INDEX($D$1:$F$1,MATCH(MIN(D367:F367),D367:F367,0)))</f>
        <v/>
      </c>
      <c r="L367" s="10" t="n">
        <v>2324.69</v>
      </c>
      <c r="M367" s="12" t="n">
        <v>1</v>
      </c>
    </row>
    <row r="368">
      <c r="A368" s="4" t="inlineStr">
        <is>
          <t>MAT-20-015</t>
        </is>
      </c>
      <c r="B368" s="5" t="inlineStr">
        <is>
          <t>Angular de hierro negro 2" x 3/8" x 20 pies</t>
        </is>
      </c>
      <c r="C368" s="4" t="inlineStr">
        <is>
          <t>unidad</t>
        </is>
      </c>
      <c r="D368" s="10" t="n">
        <v>3290.01</v>
      </c>
      <c r="E368" s="10" t="n"/>
      <c r="F368" s="10" t="n"/>
      <c r="G368" s="10">
        <f>IF(COUNT(D368:F368)=0,"",MIN(D368:F368))</f>
        <v/>
      </c>
      <c r="H368" s="10">
        <f>IF(COUNT(D368:F368)=0,"",MEDIAN(D368:F368))</f>
        <v/>
      </c>
      <c r="I368" s="10">
        <f>IF(COUNT(D368:F368)=0,"",MAX(D368:F368))</f>
        <v/>
      </c>
      <c r="J368" s="11">
        <f>IF(OR(G368="",G368=0),"",(I368-G368)/G368)</f>
        <v/>
      </c>
      <c r="K368" s="4">
        <f>IF(COUNT(D368:F368)=0,"",INDEX($D$1:$F$1,MATCH(MIN(D368:F368),D368:F368,0)))</f>
        <v/>
      </c>
      <c r="L368" s="10" t="n">
        <v>3290.01</v>
      </c>
      <c r="M368" s="12" t="n">
        <v>1</v>
      </c>
    </row>
    <row r="369">
      <c r="A369" s="4" t="inlineStr">
        <is>
          <t>MAT-20-016</t>
        </is>
      </c>
      <c r="B369" s="5" t="inlineStr">
        <is>
          <t>Angular de hierro negro 2 1/2" x 3/16" x 20 pies</t>
        </is>
      </c>
      <c r="C369" s="4" t="inlineStr">
        <is>
          <t>unidad</t>
        </is>
      </c>
      <c r="D369" s="10" t="n">
        <v>2149</v>
      </c>
      <c r="E369" s="10" t="n"/>
      <c r="F369" s="10" t="n"/>
      <c r="G369" s="10">
        <f>IF(COUNT(D369:F369)=0,"",MIN(D369:F369))</f>
        <v/>
      </c>
      <c r="H369" s="10">
        <f>IF(COUNT(D369:F369)=0,"",MEDIAN(D369:F369))</f>
        <v/>
      </c>
      <c r="I369" s="10">
        <f>IF(COUNT(D369:F369)=0,"",MAX(D369:F369))</f>
        <v/>
      </c>
      <c r="J369" s="11">
        <f>IF(OR(G369="",G369=0),"",(I369-G369)/G369)</f>
        <v/>
      </c>
      <c r="K369" s="4">
        <f>IF(COUNT(D369:F369)=0,"",INDEX($D$1:$F$1,MATCH(MIN(D369:F369),D369:F369,0)))</f>
        <v/>
      </c>
      <c r="L369" s="10" t="n">
        <v>2149</v>
      </c>
      <c r="M369" s="12" t="n">
        <v>1</v>
      </c>
    </row>
    <row r="370">
      <c r="A370" s="4" t="inlineStr">
        <is>
          <t>MAT-20-017</t>
        </is>
      </c>
      <c r="B370" s="5" t="inlineStr">
        <is>
          <t>Angular de hierro negro 2 1/2" x 1/4" x 20 pies</t>
        </is>
      </c>
      <c r="C370" s="4" t="inlineStr">
        <is>
          <t>unidad</t>
        </is>
      </c>
      <c r="D370" s="10" t="n">
        <v>2870</v>
      </c>
      <c r="E370" s="10" t="n"/>
      <c r="F370" s="10" t="n"/>
      <c r="G370" s="10">
        <f>IF(COUNT(D370:F370)=0,"",MIN(D370:F370))</f>
        <v/>
      </c>
      <c r="H370" s="10">
        <f>IF(COUNT(D370:F370)=0,"",MEDIAN(D370:F370))</f>
        <v/>
      </c>
      <c r="I370" s="10">
        <f>IF(COUNT(D370:F370)=0,"",MAX(D370:F370))</f>
        <v/>
      </c>
      <c r="J370" s="11">
        <f>IF(OR(G370="",G370=0),"",(I370-G370)/G370)</f>
        <v/>
      </c>
      <c r="K370" s="4">
        <f>IF(COUNT(D370:F370)=0,"",INDEX($D$1:$F$1,MATCH(MIN(D370:F370),D370:F370,0)))</f>
        <v/>
      </c>
      <c r="L370" s="10" t="n">
        <v>2870</v>
      </c>
      <c r="M370" s="12" t="n">
        <v>1</v>
      </c>
    </row>
    <row r="371">
      <c r="A371" s="4" t="inlineStr">
        <is>
          <t>MAT-20-018</t>
        </is>
      </c>
      <c r="B371" s="5" t="inlineStr">
        <is>
          <t>Angular de hierro negro 2 1/2" x 3/8" x 20 pies</t>
        </is>
      </c>
      <c r="C371" s="4" t="inlineStr">
        <is>
          <t>unidad</t>
        </is>
      </c>
      <c r="D371" s="10" t="n">
        <v>4130</v>
      </c>
      <c r="E371" s="10" t="n"/>
      <c r="F371" s="10" t="n"/>
      <c r="G371" s="10">
        <f>IF(COUNT(D371:F371)=0,"",MIN(D371:F371))</f>
        <v/>
      </c>
      <c r="H371" s="10">
        <f>IF(COUNT(D371:F371)=0,"",MEDIAN(D371:F371))</f>
        <v/>
      </c>
      <c r="I371" s="10">
        <f>IF(COUNT(D371:F371)=0,"",MAX(D371:F371))</f>
        <v/>
      </c>
      <c r="J371" s="11">
        <f>IF(OR(G371="",G371=0),"",(I371-G371)/G371)</f>
        <v/>
      </c>
      <c r="K371" s="4">
        <f>IF(COUNT(D371:F371)=0,"",INDEX($D$1:$F$1,MATCH(MIN(D371:F371),D371:F371,0)))</f>
        <v/>
      </c>
      <c r="L371" s="10" t="n">
        <v>4130</v>
      </c>
      <c r="M371" s="12" t="n">
        <v>1</v>
      </c>
    </row>
    <row r="372">
      <c r="A372" s="4" t="inlineStr">
        <is>
          <t>MAT-20-019</t>
        </is>
      </c>
      <c r="B372" s="5" t="inlineStr">
        <is>
          <t>Angular de hierro negro 3" x 1/4" x 20 pies</t>
        </is>
      </c>
      <c r="C372" s="4" t="inlineStr">
        <is>
          <t>unidad</t>
        </is>
      </c>
      <c r="D372" s="10" t="n">
        <v>3430</v>
      </c>
      <c r="E372" s="10" t="n"/>
      <c r="F372" s="10" t="n"/>
      <c r="G372" s="10">
        <f>IF(COUNT(D372:F372)=0,"",MIN(D372:F372))</f>
        <v/>
      </c>
      <c r="H372" s="10">
        <f>IF(COUNT(D372:F372)=0,"",MEDIAN(D372:F372))</f>
        <v/>
      </c>
      <c r="I372" s="10">
        <f>IF(COUNT(D372:F372)=0,"",MAX(D372:F372))</f>
        <v/>
      </c>
      <c r="J372" s="11">
        <f>IF(OR(G372="",G372=0),"",(I372-G372)/G372)</f>
        <v/>
      </c>
      <c r="K372" s="4">
        <f>IF(COUNT(D372:F372)=0,"",INDEX($D$1:$F$1,MATCH(MIN(D372:F372),D372:F372,0)))</f>
        <v/>
      </c>
      <c r="L372" s="10" t="n">
        <v>3430</v>
      </c>
      <c r="M372" s="12" t="n">
        <v>1</v>
      </c>
    </row>
    <row r="373">
      <c r="A373" s="4" t="inlineStr">
        <is>
          <t>MAT-20-020</t>
        </is>
      </c>
      <c r="B373" s="5" t="inlineStr">
        <is>
          <t>Angular de hierro negro 3" x 3/8" x 20 pies</t>
        </is>
      </c>
      <c r="C373" s="4" t="inlineStr">
        <is>
          <t>unidad</t>
        </is>
      </c>
      <c r="D373" s="10" t="n">
        <v>5622.2</v>
      </c>
      <c r="E373" s="10" t="n"/>
      <c r="F373" s="10" t="n"/>
      <c r="G373" s="10">
        <f>IF(COUNT(D373:F373)=0,"",MIN(D373:F373))</f>
        <v/>
      </c>
      <c r="H373" s="10">
        <f>IF(COUNT(D373:F373)=0,"",MEDIAN(D373:F373))</f>
        <v/>
      </c>
      <c r="I373" s="10">
        <f>IF(COUNT(D373:F373)=0,"",MAX(D373:F373))</f>
        <v/>
      </c>
      <c r="J373" s="11">
        <f>IF(OR(G373="",G373=0),"",(I373-G373)/G373)</f>
        <v/>
      </c>
      <c r="K373" s="4">
        <f>IF(COUNT(D373:F373)=0,"",INDEX($D$1:$F$1,MATCH(MIN(D373:F373),D373:F373,0)))</f>
        <v/>
      </c>
      <c r="L373" s="10" t="n">
        <v>5622.2</v>
      </c>
      <c r="M373" s="12" t="n">
        <v>1</v>
      </c>
    </row>
    <row r="374">
      <c r="A374" s="4" t="inlineStr">
        <is>
          <t>MAT-20-021</t>
        </is>
      </c>
      <c r="B374" s="5" t="inlineStr">
        <is>
          <t>Angular de hierro negro 4" x 1/4" x 20 pies</t>
        </is>
      </c>
      <c r="C374" s="4" t="inlineStr">
        <is>
          <t>unidad</t>
        </is>
      </c>
      <c r="D374" s="10" t="n">
        <v>4117.73</v>
      </c>
      <c r="E374" s="10" t="n"/>
      <c r="F374" s="10" t="n"/>
      <c r="G374" s="10">
        <f>IF(COUNT(D374:F374)=0,"",MIN(D374:F374))</f>
        <v/>
      </c>
      <c r="H374" s="10">
        <f>IF(COUNT(D374:F374)=0,"",MEDIAN(D374:F374))</f>
        <v/>
      </c>
      <c r="I374" s="10">
        <f>IF(COUNT(D374:F374)=0,"",MAX(D374:F374))</f>
        <v/>
      </c>
      <c r="J374" s="11">
        <f>IF(OR(G374="",G374=0),"",(I374-G374)/G374)</f>
        <v/>
      </c>
      <c r="K374" s="4">
        <f>IF(COUNT(D374:F374)=0,"",INDEX($D$1:$F$1,MATCH(MIN(D374:F374),D374:F374,0)))</f>
        <v/>
      </c>
      <c r="L374" s="10" t="n">
        <v>4117.73</v>
      </c>
      <c r="M374" s="12" t="n">
        <v>1</v>
      </c>
    </row>
    <row r="375">
      <c r="A375" s="4" t="inlineStr">
        <is>
          <t>MAT-20-022</t>
        </is>
      </c>
      <c r="B375" s="5" t="inlineStr">
        <is>
          <t>Angular de hierro negro 4" x 1/2" x 20 pies</t>
        </is>
      </c>
      <c r="C375" s="4" t="inlineStr">
        <is>
          <t>unidad</t>
        </is>
      </c>
      <c r="D375" s="10" t="n">
        <v>9995.309999999999</v>
      </c>
      <c r="E375" s="10" t="n"/>
      <c r="F375" s="10" t="n"/>
      <c r="G375" s="10">
        <f>IF(COUNT(D375:F375)=0,"",MIN(D375:F375))</f>
        <v/>
      </c>
      <c r="H375" s="10">
        <f>IF(COUNT(D375:F375)=0,"",MEDIAN(D375:F375))</f>
        <v/>
      </c>
      <c r="I375" s="10">
        <f>IF(COUNT(D375:F375)=0,"",MAX(D375:F375))</f>
        <v/>
      </c>
      <c r="J375" s="11">
        <f>IF(OR(G375="",G375=0),"",(I375-G375)/G375)</f>
        <v/>
      </c>
      <c r="K375" s="4">
        <f>IF(COUNT(D375:F375)=0,"",INDEX($D$1:$F$1,MATCH(MIN(D375:F375),D375:F375,0)))</f>
        <v/>
      </c>
      <c r="L375" s="10" t="n">
        <v>9995.309999999999</v>
      </c>
      <c r="M375" s="12" t="n">
        <v>1</v>
      </c>
    </row>
    <row r="376">
      <c r="A376" s="4" t="inlineStr">
        <is>
          <t>MAT-20-023</t>
        </is>
      </c>
      <c r="B376" s="5" t="inlineStr">
        <is>
          <t>Planchuela de hierro negro 1/2" x 1/8" x 20 pies</t>
        </is>
      </c>
      <c r="C376" s="4" t="inlineStr">
        <is>
          <t>unidad</t>
        </is>
      </c>
      <c r="D376" s="10" t="n">
        <v>141.64</v>
      </c>
      <c r="E376" s="10" t="n"/>
      <c r="F376" s="10" t="n"/>
      <c r="G376" s="10">
        <f>IF(COUNT(D376:F376)=0,"",MIN(D376:F376))</f>
        <v/>
      </c>
      <c r="H376" s="10">
        <f>IF(COUNT(D376:F376)=0,"",MEDIAN(D376:F376))</f>
        <v/>
      </c>
      <c r="I376" s="10">
        <f>IF(COUNT(D376:F376)=0,"",MAX(D376:F376))</f>
        <v/>
      </c>
      <c r="J376" s="11">
        <f>IF(OR(G376="",G376=0),"",(I376-G376)/G376)</f>
        <v/>
      </c>
      <c r="K376" s="4">
        <f>IF(COUNT(D376:F376)=0,"",INDEX($D$1:$F$1,MATCH(MIN(D376:F376),D376:F376,0)))</f>
        <v/>
      </c>
      <c r="L376" s="10" t="n">
        <v>141.64</v>
      </c>
      <c r="M376" s="12" t="n">
        <v>1</v>
      </c>
    </row>
    <row r="377">
      <c r="A377" s="4" t="inlineStr">
        <is>
          <t>MAT-20-024</t>
        </is>
      </c>
      <c r="B377" s="5" t="inlineStr">
        <is>
          <t>Planchuela de hierro negro 1/2" x 3/16" x 20 pies</t>
        </is>
      </c>
      <c r="C377" s="4" t="inlineStr">
        <is>
          <t>unidad</t>
        </is>
      </c>
      <c r="D377" s="10" t="n">
        <v>249.92</v>
      </c>
      <c r="E377" s="10" t="n"/>
      <c r="F377" s="10" t="n"/>
      <c r="G377" s="10">
        <f>IF(COUNT(D377:F377)=0,"",MIN(D377:F377))</f>
        <v/>
      </c>
      <c r="H377" s="10">
        <f>IF(COUNT(D377:F377)=0,"",MEDIAN(D377:F377))</f>
        <v/>
      </c>
      <c r="I377" s="10">
        <f>IF(COUNT(D377:F377)=0,"",MAX(D377:F377))</f>
        <v/>
      </c>
      <c r="J377" s="11">
        <f>IF(OR(G377="",G377=0),"",(I377-G377)/G377)</f>
        <v/>
      </c>
      <c r="K377" s="4">
        <f>IF(COUNT(D377:F377)=0,"",INDEX($D$1:$F$1,MATCH(MIN(D377:F377),D377:F377,0)))</f>
        <v/>
      </c>
      <c r="L377" s="10" t="n">
        <v>249.92</v>
      </c>
      <c r="M377" s="12" t="n">
        <v>1</v>
      </c>
    </row>
    <row r="378">
      <c r="A378" s="4" t="inlineStr">
        <is>
          <t>MAT-20-025</t>
        </is>
      </c>
      <c r="B378" s="5" t="inlineStr">
        <is>
          <t>Planchuela de hierro negro 1/2" x 1/4" x 20 pies</t>
        </is>
      </c>
      <c r="C378" s="4" t="inlineStr">
        <is>
          <t>unidad</t>
        </is>
      </c>
      <c r="D378" s="10" t="n">
        <v>331.8</v>
      </c>
      <c r="E378" s="10" t="n"/>
      <c r="F378" s="10" t="n"/>
      <c r="G378" s="10">
        <f>IF(COUNT(D378:F378)=0,"",MIN(D378:F378))</f>
        <v/>
      </c>
      <c r="H378" s="10">
        <f>IF(COUNT(D378:F378)=0,"",MEDIAN(D378:F378))</f>
        <v/>
      </c>
      <c r="I378" s="10">
        <f>IF(COUNT(D378:F378)=0,"",MAX(D378:F378))</f>
        <v/>
      </c>
      <c r="J378" s="11">
        <f>IF(OR(G378="",G378=0),"",(I378-G378)/G378)</f>
        <v/>
      </c>
      <c r="K378" s="4">
        <f>IF(COUNT(D378:F378)=0,"",INDEX($D$1:$F$1,MATCH(MIN(D378:F378),D378:F378,0)))</f>
        <v/>
      </c>
      <c r="L378" s="10" t="n">
        <v>331.8</v>
      </c>
      <c r="M378" s="12" t="n">
        <v>1</v>
      </c>
    </row>
    <row r="379">
      <c r="A379" s="4" t="inlineStr">
        <is>
          <t>MAT-20-026</t>
        </is>
      </c>
      <c r="B379" s="5" t="inlineStr">
        <is>
          <t>Planchuela de hierro negro 3/4" x 1/8" x 20 pies</t>
        </is>
      </c>
      <c r="C379" s="4" t="inlineStr">
        <is>
          <t>unidad</t>
        </is>
      </c>
      <c r="D379" s="10" t="n">
        <v>298.91</v>
      </c>
      <c r="E379" s="10" t="n"/>
      <c r="F379" s="10" t="n"/>
      <c r="G379" s="10">
        <f>IF(COUNT(D379:F379)=0,"",MIN(D379:F379))</f>
        <v/>
      </c>
      <c r="H379" s="10">
        <f>IF(COUNT(D379:F379)=0,"",MEDIAN(D379:F379))</f>
        <v/>
      </c>
      <c r="I379" s="10">
        <f>IF(COUNT(D379:F379)=0,"",MAX(D379:F379))</f>
        <v/>
      </c>
      <c r="J379" s="11">
        <f>IF(OR(G379="",G379=0),"",(I379-G379)/G379)</f>
        <v/>
      </c>
      <c r="K379" s="4">
        <f>IF(COUNT(D379:F379)=0,"",INDEX($D$1:$F$1,MATCH(MIN(D379:F379),D379:F379,0)))</f>
        <v/>
      </c>
      <c r="L379" s="10" t="n">
        <v>298.91</v>
      </c>
      <c r="M379" s="12" t="n">
        <v>1</v>
      </c>
    </row>
    <row r="380">
      <c r="A380" s="4" t="inlineStr">
        <is>
          <t>MAT-20-027</t>
        </is>
      </c>
      <c r="B380" s="5" t="inlineStr">
        <is>
          <t>Planchuela de hierro negro 3/4" x 3/16" x 20 pies</t>
        </is>
      </c>
      <c r="C380" s="4" t="inlineStr">
        <is>
          <t>unidad</t>
        </is>
      </c>
      <c r="D380" s="10" t="n">
        <v>373</v>
      </c>
      <c r="E380" s="10" t="n"/>
      <c r="F380" s="10" t="n"/>
      <c r="G380" s="10">
        <f>IF(COUNT(D380:F380)=0,"",MIN(D380:F380))</f>
        <v/>
      </c>
      <c r="H380" s="10">
        <f>IF(COUNT(D380:F380)=0,"",MEDIAN(D380:F380))</f>
        <v/>
      </c>
      <c r="I380" s="10">
        <f>IF(COUNT(D380:F380)=0,"",MAX(D380:F380))</f>
        <v/>
      </c>
      <c r="J380" s="11">
        <f>IF(OR(G380="",G380=0),"",(I380-G380)/G380)</f>
        <v/>
      </c>
      <c r="K380" s="4">
        <f>IF(COUNT(D380:F380)=0,"",INDEX($D$1:$F$1,MATCH(MIN(D380:F380),D380:F380,0)))</f>
        <v/>
      </c>
      <c r="L380" s="10" t="n">
        <v>373</v>
      </c>
      <c r="M380" s="12" t="n">
        <v>1</v>
      </c>
    </row>
    <row r="381">
      <c r="A381" s="4" t="inlineStr">
        <is>
          <t>MAT-20-028</t>
        </is>
      </c>
      <c r="B381" s="5" t="inlineStr">
        <is>
          <t>Planchuela de hierro negro 3/4" x 1/4" x 20 pies</t>
        </is>
      </c>
      <c r="C381" s="4" t="inlineStr">
        <is>
          <t>unidad</t>
        </is>
      </c>
      <c r="D381" s="10" t="n">
        <v>497.72</v>
      </c>
      <c r="E381" s="10" t="n"/>
      <c r="F381" s="10" t="n"/>
      <c r="G381" s="10">
        <f>IF(COUNT(D381:F381)=0,"",MIN(D381:F381))</f>
        <v/>
      </c>
      <c r="H381" s="10">
        <f>IF(COUNT(D381:F381)=0,"",MEDIAN(D381:F381))</f>
        <v/>
      </c>
      <c r="I381" s="10">
        <f>IF(COUNT(D381:F381)=0,"",MAX(D381:F381))</f>
        <v/>
      </c>
      <c r="J381" s="11">
        <f>IF(OR(G381="",G381=0),"",(I381-G381)/G381)</f>
        <v/>
      </c>
      <c r="K381" s="4">
        <f>IF(COUNT(D381:F381)=0,"",INDEX($D$1:$F$1,MATCH(MIN(D381:F381),D381:F381,0)))</f>
        <v/>
      </c>
      <c r="L381" s="10" t="n">
        <v>497.72</v>
      </c>
      <c r="M381" s="12" t="n">
        <v>1</v>
      </c>
    </row>
    <row r="382">
      <c r="A382" s="4" t="inlineStr">
        <is>
          <t>MAT-20-029</t>
        </is>
      </c>
      <c r="B382" s="5" t="inlineStr">
        <is>
          <t>Planchuela de hierro negro 1" x 1/8" x 20 pies</t>
        </is>
      </c>
      <c r="C382" s="4" t="inlineStr">
        <is>
          <t>unidad</t>
        </is>
      </c>
      <c r="D382" s="10" t="n">
        <v>297.5</v>
      </c>
      <c r="E382" s="10" t="n"/>
      <c r="F382" s="10" t="n"/>
      <c r="G382" s="10">
        <f>IF(COUNT(D382:F382)=0,"",MIN(D382:F382))</f>
        <v/>
      </c>
      <c r="H382" s="10">
        <f>IF(COUNT(D382:F382)=0,"",MEDIAN(D382:F382))</f>
        <v/>
      </c>
      <c r="I382" s="10">
        <f>IF(COUNT(D382:F382)=0,"",MAX(D382:F382))</f>
        <v/>
      </c>
      <c r="J382" s="11">
        <f>IF(OR(G382="",G382=0),"",(I382-G382)/G382)</f>
        <v/>
      </c>
      <c r="K382" s="4">
        <f>IF(COUNT(D382:F382)=0,"",INDEX($D$1:$F$1,MATCH(MIN(D382:F382),D382:F382,0)))</f>
        <v/>
      </c>
      <c r="L382" s="10" t="n">
        <v>297.5</v>
      </c>
      <c r="M382" s="12" t="n">
        <v>1</v>
      </c>
    </row>
    <row r="383">
      <c r="A383" s="4" t="inlineStr">
        <is>
          <t>MAT-20-030</t>
        </is>
      </c>
      <c r="B383" s="5" t="inlineStr">
        <is>
          <t>Planchuela de hierro negro 1" x 3/16" x 20 pies</t>
        </is>
      </c>
      <c r="C383" s="4" t="inlineStr">
        <is>
          <t>unidad</t>
        </is>
      </c>
      <c r="D383" s="10" t="n">
        <v>446.25</v>
      </c>
      <c r="E383" s="10" t="n"/>
      <c r="F383" s="10" t="n"/>
      <c r="G383" s="10">
        <f>IF(COUNT(D383:F383)=0,"",MIN(D383:F383))</f>
        <v/>
      </c>
      <c r="H383" s="10">
        <f>IF(COUNT(D383:F383)=0,"",MEDIAN(D383:F383))</f>
        <v/>
      </c>
      <c r="I383" s="10">
        <f>IF(COUNT(D383:F383)=0,"",MAX(D383:F383))</f>
        <v/>
      </c>
      <c r="J383" s="11">
        <f>IF(OR(G383="",G383=0),"",(I383-G383)/G383)</f>
        <v/>
      </c>
      <c r="K383" s="4">
        <f>IF(COUNT(D383:F383)=0,"",INDEX($D$1:$F$1,MATCH(MIN(D383:F383),D383:F383,0)))</f>
        <v/>
      </c>
      <c r="L383" s="10" t="n">
        <v>446.25</v>
      </c>
      <c r="M383" s="12" t="n">
        <v>1</v>
      </c>
    </row>
    <row r="384">
      <c r="A384" s="4" t="inlineStr">
        <is>
          <t>MAT-20-031</t>
        </is>
      </c>
      <c r="B384" s="5" t="inlineStr">
        <is>
          <t>Planchuela de hierro negro 1" x 1/4" x 20 pies</t>
        </is>
      </c>
      <c r="C384" s="4" t="inlineStr">
        <is>
          <t>unidad</t>
        </is>
      </c>
      <c r="D384" s="10" t="n">
        <v>595</v>
      </c>
      <c r="E384" s="10" t="n"/>
      <c r="F384" s="10" t="n"/>
      <c r="G384" s="10">
        <f>IF(COUNT(D384:F384)=0,"",MIN(D384:F384))</f>
        <v/>
      </c>
      <c r="H384" s="10">
        <f>IF(COUNT(D384:F384)=0,"",MEDIAN(D384:F384))</f>
        <v/>
      </c>
      <c r="I384" s="10">
        <f>IF(COUNT(D384:F384)=0,"",MAX(D384:F384))</f>
        <v/>
      </c>
      <c r="J384" s="11">
        <f>IF(OR(G384="",G384=0),"",(I384-G384)/G384)</f>
        <v/>
      </c>
      <c r="K384" s="4">
        <f>IF(COUNT(D384:F384)=0,"",INDEX($D$1:$F$1,MATCH(MIN(D384:F384),D384:F384,0)))</f>
        <v/>
      </c>
      <c r="L384" s="10" t="n">
        <v>595</v>
      </c>
      <c r="M384" s="12" t="n">
        <v>1</v>
      </c>
    </row>
    <row r="385">
      <c r="A385" s="4" t="inlineStr">
        <is>
          <t>MAT-20-032</t>
        </is>
      </c>
      <c r="B385" s="5" t="inlineStr">
        <is>
          <t>Planchuela de hierro negro 1" x 1/2" x 20 pies</t>
        </is>
      </c>
      <c r="C385" s="4" t="inlineStr">
        <is>
          <t>unidad</t>
        </is>
      </c>
      <c r="D385" s="10" t="n">
        <v>1327.5</v>
      </c>
      <c r="E385" s="10" t="n"/>
      <c r="F385" s="10" t="n"/>
      <c r="G385" s="10">
        <f>IF(COUNT(D385:F385)=0,"",MIN(D385:F385))</f>
        <v/>
      </c>
      <c r="H385" s="10">
        <f>IF(COUNT(D385:F385)=0,"",MEDIAN(D385:F385))</f>
        <v/>
      </c>
      <c r="I385" s="10">
        <f>IF(COUNT(D385:F385)=0,"",MAX(D385:F385))</f>
        <v/>
      </c>
      <c r="J385" s="11">
        <f>IF(OR(G385="",G385=0),"",(I385-G385)/G385)</f>
        <v/>
      </c>
      <c r="K385" s="4">
        <f>IF(COUNT(D385:F385)=0,"",INDEX($D$1:$F$1,MATCH(MIN(D385:F385),D385:F385,0)))</f>
        <v/>
      </c>
      <c r="L385" s="10" t="n">
        <v>1327.5</v>
      </c>
      <c r="M385" s="12" t="n">
        <v>1</v>
      </c>
    </row>
    <row r="386">
      <c r="A386" s="4" t="inlineStr">
        <is>
          <t>MAT-20-033</t>
        </is>
      </c>
      <c r="B386" s="5" t="inlineStr">
        <is>
          <t>Planchuela de hierro negro 1 1/4" x 1/8" x 20 pies</t>
        </is>
      </c>
      <c r="C386" s="4" t="inlineStr">
        <is>
          <t>unidad</t>
        </is>
      </c>
      <c r="D386" s="10" t="n">
        <v>415.35</v>
      </c>
      <c r="E386" s="10" t="n"/>
      <c r="F386" s="10" t="n"/>
      <c r="G386" s="10">
        <f>IF(COUNT(D386:F386)=0,"",MIN(D386:F386))</f>
        <v/>
      </c>
      <c r="H386" s="10">
        <f>IF(COUNT(D386:F386)=0,"",MEDIAN(D386:F386))</f>
        <v/>
      </c>
      <c r="I386" s="10">
        <f>IF(COUNT(D386:F386)=0,"",MAX(D386:F386))</f>
        <v/>
      </c>
      <c r="J386" s="11">
        <f>IF(OR(G386="",G386=0),"",(I386-G386)/G386)</f>
        <v/>
      </c>
      <c r="K386" s="4">
        <f>IF(COUNT(D386:F386)=0,"",INDEX($D$1:$F$1,MATCH(MIN(D386:F386),D386:F386,0)))</f>
        <v/>
      </c>
      <c r="L386" s="10" t="n">
        <v>415.35</v>
      </c>
      <c r="M386" s="12" t="n">
        <v>1</v>
      </c>
    </row>
    <row r="387">
      <c r="A387" s="4" t="inlineStr">
        <is>
          <t>MAT-20-034</t>
        </is>
      </c>
      <c r="B387" s="5" t="inlineStr">
        <is>
          <t>Planchuela de hierro negro 1 1/4" x 3/16" x 20 pies</t>
        </is>
      </c>
      <c r="C387" s="4" t="inlineStr">
        <is>
          <t>unidad</t>
        </is>
      </c>
      <c r="D387" s="10" t="n">
        <v>614.58</v>
      </c>
      <c r="E387" s="10" t="n"/>
      <c r="F387" s="10" t="n"/>
      <c r="G387" s="10">
        <f>IF(COUNT(D387:F387)=0,"",MIN(D387:F387))</f>
        <v/>
      </c>
      <c r="H387" s="10">
        <f>IF(COUNT(D387:F387)=0,"",MEDIAN(D387:F387))</f>
        <v/>
      </c>
      <c r="I387" s="10">
        <f>IF(COUNT(D387:F387)=0,"",MAX(D387:F387))</f>
        <v/>
      </c>
      <c r="J387" s="11">
        <f>IF(OR(G387="",G387=0),"",(I387-G387)/G387)</f>
        <v/>
      </c>
      <c r="K387" s="4">
        <f>IF(COUNT(D387:F387)=0,"",INDEX($D$1:$F$1,MATCH(MIN(D387:F387),D387:F387,0)))</f>
        <v/>
      </c>
      <c r="L387" s="10" t="n">
        <v>614.58</v>
      </c>
      <c r="M387" s="12" t="n">
        <v>1</v>
      </c>
    </row>
    <row r="388">
      <c r="A388" s="4" t="inlineStr">
        <is>
          <t>MAT-20-035</t>
        </is>
      </c>
      <c r="B388" s="5" t="inlineStr">
        <is>
          <t>Planchuela de hierro negro 1 1/4" x 1/4" x 20 pies</t>
        </is>
      </c>
      <c r="C388" s="4" t="inlineStr">
        <is>
          <t>unidad</t>
        </is>
      </c>
      <c r="D388" s="10" t="n">
        <v>745.5</v>
      </c>
      <c r="E388" s="10" t="n"/>
      <c r="F388" s="10" t="n"/>
      <c r="G388" s="10">
        <f>IF(COUNT(D388:F388)=0,"",MIN(D388:F388))</f>
        <v/>
      </c>
      <c r="H388" s="10">
        <f>IF(COUNT(D388:F388)=0,"",MEDIAN(D388:F388))</f>
        <v/>
      </c>
      <c r="I388" s="10">
        <f>IF(COUNT(D388:F388)=0,"",MAX(D388:F388))</f>
        <v/>
      </c>
      <c r="J388" s="11">
        <f>IF(OR(G388="",G388=0),"",(I388-G388)/G388)</f>
        <v/>
      </c>
      <c r="K388" s="4">
        <f>IF(COUNT(D388:F388)=0,"",INDEX($D$1:$F$1,MATCH(MIN(D388:F388),D388:F388,0)))</f>
        <v/>
      </c>
      <c r="L388" s="10" t="n">
        <v>745.5</v>
      </c>
      <c r="M388" s="12" t="n">
        <v>1</v>
      </c>
    </row>
    <row r="389">
      <c r="A389" s="4" t="inlineStr">
        <is>
          <t>MAT-20-036</t>
        </is>
      </c>
      <c r="B389" s="5" t="inlineStr">
        <is>
          <t>Planchuela de hierro negro 1 1/4" x 3/8" x 20 pies</t>
        </is>
      </c>
      <c r="C389" s="4" t="inlineStr">
        <is>
          <t>unidad</t>
        </is>
      </c>
      <c r="D389" s="10" t="n">
        <v>1115.73</v>
      </c>
      <c r="E389" s="10" t="n"/>
      <c r="F389" s="10" t="n"/>
      <c r="G389" s="10">
        <f>IF(COUNT(D389:F389)=0,"",MIN(D389:F389))</f>
        <v/>
      </c>
      <c r="H389" s="10">
        <f>IF(COUNT(D389:F389)=0,"",MEDIAN(D389:F389))</f>
        <v/>
      </c>
      <c r="I389" s="10">
        <f>IF(COUNT(D389:F389)=0,"",MAX(D389:F389))</f>
        <v/>
      </c>
      <c r="J389" s="11">
        <f>IF(OR(G389="",G389=0),"",(I389-G389)/G389)</f>
        <v/>
      </c>
      <c r="K389" s="4">
        <f>IF(COUNT(D389:F389)=0,"",INDEX($D$1:$F$1,MATCH(MIN(D389:F389),D389:F389,0)))</f>
        <v/>
      </c>
      <c r="L389" s="10" t="n">
        <v>1115.73</v>
      </c>
      <c r="M389" s="12" t="n">
        <v>1</v>
      </c>
    </row>
    <row r="390">
      <c r="A390" s="4" t="inlineStr">
        <is>
          <t>MAT-20-037</t>
        </is>
      </c>
      <c r="B390" s="5" t="inlineStr">
        <is>
          <t>Planchuela de hierro negro 1 1/2" x 1/8" x 20 pies</t>
        </is>
      </c>
      <c r="C390" s="4" t="inlineStr">
        <is>
          <t>unidad</t>
        </is>
      </c>
      <c r="D390" s="10" t="n">
        <v>451.7</v>
      </c>
      <c r="E390" s="10" t="n"/>
      <c r="F390" s="10" t="n"/>
      <c r="G390" s="10">
        <f>IF(COUNT(D390:F390)=0,"",MIN(D390:F390))</f>
        <v/>
      </c>
      <c r="H390" s="10">
        <f>IF(COUNT(D390:F390)=0,"",MEDIAN(D390:F390))</f>
        <v/>
      </c>
      <c r="I390" s="10">
        <f>IF(COUNT(D390:F390)=0,"",MAX(D390:F390))</f>
        <v/>
      </c>
      <c r="J390" s="11">
        <f>IF(OR(G390="",G390=0),"",(I390-G390)/G390)</f>
        <v/>
      </c>
      <c r="K390" s="4">
        <f>IF(COUNT(D390:F390)=0,"",INDEX($D$1:$F$1,MATCH(MIN(D390:F390),D390:F390,0)))</f>
        <v/>
      </c>
      <c r="L390" s="10" t="n">
        <v>451.7</v>
      </c>
      <c r="M390" s="12" t="n">
        <v>1</v>
      </c>
    </row>
    <row r="391">
      <c r="A391" s="4" t="inlineStr">
        <is>
          <t>MAT-20-038</t>
        </is>
      </c>
      <c r="B391" s="5" t="inlineStr">
        <is>
          <t>Planchuela de hierro negro 1 1/2" x 3/16" x 20 pies</t>
        </is>
      </c>
      <c r="C391" s="4" t="inlineStr">
        <is>
          <t>unidad</t>
        </is>
      </c>
      <c r="D391" s="10" t="n">
        <v>682.5</v>
      </c>
      <c r="E391" s="10" t="n"/>
      <c r="F391" s="10" t="n"/>
      <c r="G391" s="10">
        <f>IF(COUNT(D391:F391)=0,"",MIN(D391:F391))</f>
        <v/>
      </c>
      <c r="H391" s="10">
        <f>IF(COUNT(D391:F391)=0,"",MEDIAN(D391:F391))</f>
        <v/>
      </c>
      <c r="I391" s="10">
        <f>IF(COUNT(D391:F391)=0,"",MAX(D391:F391))</f>
        <v/>
      </c>
      <c r="J391" s="11">
        <f>IF(OR(G391="",G391=0),"",(I391-G391)/G391)</f>
        <v/>
      </c>
      <c r="K391" s="4">
        <f>IF(COUNT(D391:F391)=0,"",INDEX($D$1:$F$1,MATCH(MIN(D391:F391),D391:F391,0)))</f>
        <v/>
      </c>
      <c r="L391" s="10" t="n">
        <v>682.5</v>
      </c>
      <c r="M391" s="12" t="n">
        <v>1</v>
      </c>
    </row>
    <row r="392">
      <c r="A392" s="4" t="inlineStr">
        <is>
          <t>MAT-20-039</t>
        </is>
      </c>
      <c r="B392" s="5" t="inlineStr">
        <is>
          <t>Planchuela de hierro negro 1 1/2" x 1/4" x 20 pies</t>
        </is>
      </c>
      <c r="C392" s="4" t="inlineStr">
        <is>
          <t>unidad</t>
        </is>
      </c>
      <c r="D392" s="10" t="n">
        <v>892.5</v>
      </c>
      <c r="E392" s="10" t="n"/>
      <c r="F392" s="10" t="n"/>
      <c r="G392" s="10">
        <f>IF(COUNT(D392:F392)=0,"",MIN(D392:F392))</f>
        <v/>
      </c>
      <c r="H392" s="10">
        <f>IF(COUNT(D392:F392)=0,"",MEDIAN(D392:F392))</f>
        <v/>
      </c>
      <c r="I392" s="10">
        <f>IF(COUNT(D392:F392)=0,"",MAX(D392:F392))</f>
        <v/>
      </c>
      <c r="J392" s="11">
        <f>IF(OR(G392="",G392=0),"",(I392-G392)/G392)</f>
        <v/>
      </c>
      <c r="K392" s="4">
        <f>IF(COUNT(D392:F392)=0,"",INDEX($D$1:$F$1,MATCH(MIN(D392:F392),D392:F392,0)))</f>
        <v/>
      </c>
      <c r="L392" s="10" t="n">
        <v>892.5</v>
      </c>
      <c r="M392" s="12" t="n">
        <v>1</v>
      </c>
    </row>
    <row r="393">
      <c r="A393" s="4" t="inlineStr">
        <is>
          <t>MAT-20-040</t>
        </is>
      </c>
      <c r="B393" s="5" t="inlineStr">
        <is>
          <t>Planchuela de hierro negro 1 1/2" x 3/8" x 20 pies</t>
        </is>
      </c>
      <c r="C393" s="4" t="inlineStr">
        <is>
          <t>unidad</t>
        </is>
      </c>
      <c r="D393" s="10" t="n">
        <v>1338.75</v>
      </c>
      <c r="E393" s="10" t="n"/>
      <c r="F393" s="10" t="n"/>
      <c r="G393" s="10">
        <f>IF(COUNT(D393:F393)=0,"",MIN(D393:F393))</f>
        <v/>
      </c>
      <c r="H393" s="10">
        <f>IF(COUNT(D393:F393)=0,"",MEDIAN(D393:F393))</f>
        <v/>
      </c>
      <c r="I393" s="10">
        <f>IF(COUNT(D393:F393)=0,"",MAX(D393:F393))</f>
        <v/>
      </c>
      <c r="J393" s="11">
        <f>IF(OR(G393="",G393=0),"",(I393-G393)/G393)</f>
        <v/>
      </c>
      <c r="K393" s="4">
        <f>IF(COUNT(D393:F393)=0,"",INDEX($D$1:$F$1,MATCH(MIN(D393:F393),D393:F393,0)))</f>
        <v/>
      </c>
      <c r="L393" s="10" t="n">
        <v>1338.75</v>
      </c>
      <c r="M393" s="12" t="n">
        <v>1</v>
      </c>
    </row>
    <row r="394">
      <c r="A394" s="4" t="inlineStr">
        <is>
          <t>MAT-20-041</t>
        </is>
      </c>
      <c r="B394" s="5" t="inlineStr">
        <is>
          <t>Planchuela de hierro negro 1 1/2" x 1/2" x 20 pies</t>
        </is>
      </c>
      <c r="C394" s="4" t="inlineStr">
        <is>
          <t>unidad</t>
        </is>
      </c>
      <c r="D394" s="10" t="n">
        <v>1991.13</v>
      </c>
      <c r="E394" s="10" t="n"/>
      <c r="F394" s="10" t="n"/>
      <c r="G394" s="10">
        <f>IF(COUNT(D394:F394)=0,"",MIN(D394:F394))</f>
        <v/>
      </c>
      <c r="H394" s="10">
        <f>IF(COUNT(D394:F394)=0,"",MEDIAN(D394:F394))</f>
        <v/>
      </c>
      <c r="I394" s="10">
        <f>IF(COUNT(D394:F394)=0,"",MAX(D394:F394))</f>
        <v/>
      </c>
      <c r="J394" s="11">
        <f>IF(OR(G394="",G394=0),"",(I394-G394)/G394)</f>
        <v/>
      </c>
      <c r="K394" s="4">
        <f>IF(COUNT(D394:F394)=0,"",INDEX($D$1:$F$1,MATCH(MIN(D394:F394),D394:F394,0)))</f>
        <v/>
      </c>
      <c r="L394" s="10" t="n">
        <v>1991.13</v>
      </c>
      <c r="M394" s="12" t="n">
        <v>1</v>
      </c>
    </row>
    <row r="395">
      <c r="A395" s="4" t="inlineStr">
        <is>
          <t>MAT-20-042</t>
        </is>
      </c>
      <c r="B395" s="5" t="inlineStr">
        <is>
          <t>Planchuela de hierro negro 2" x 1/8" x 20 pies</t>
        </is>
      </c>
      <c r="C395" s="4" t="inlineStr">
        <is>
          <t>unidad</t>
        </is>
      </c>
      <c r="D395" s="10" t="n">
        <v>595</v>
      </c>
      <c r="E395" s="10" t="n"/>
      <c r="F395" s="10" t="n"/>
      <c r="G395" s="10">
        <f>IF(COUNT(D395:F395)=0,"",MIN(D395:F395))</f>
        <v/>
      </c>
      <c r="H395" s="10">
        <f>IF(COUNT(D395:F395)=0,"",MEDIAN(D395:F395))</f>
        <v/>
      </c>
      <c r="I395" s="10">
        <f>IF(COUNT(D395:F395)=0,"",MAX(D395:F395))</f>
        <v/>
      </c>
      <c r="J395" s="11">
        <f>IF(OR(G395="",G395=0),"",(I395-G395)/G395)</f>
        <v/>
      </c>
      <c r="K395" s="4">
        <f>IF(COUNT(D395:F395)=0,"",INDEX($D$1:$F$1,MATCH(MIN(D395:F395),D395:F395,0)))</f>
        <v/>
      </c>
      <c r="L395" s="10" t="n">
        <v>595</v>
      </c>
      <c r="M395" s="12" t="n">
        <v>1</v>
      </c>
    </row>
    <row r="396">
      <c r="A396" s="4" t="inlineStr">
        <is>
          <t>MAT-20-043</t>
        </is>
      </c>
      <c r="B396" s="5" t="inlineStr">
        <is>
          <t>Planchuela de hierro negro 2" x 3/16" x 20 pies</t>
        </is>
      </c>
      <c r="C396" s="4" t="inlineStr">
        <is>
          <t>unidad</t>
        </is>
      </c>
      <c r="D396" s="10" t="n">
        <v>892.5</v>
      </c>
      <c r="E396" s="10" t="n"/>
      <c r="F396" s="10" t="n"/>
      <c r="G396" s="10">
        <f>IF(COUNT(D396:F396)=0,"",MIN(D396:F396))</f>
        <v/>
      </c>
      <c r="H396" s="10">
        <f>IF(COUNT(D396:F396)=0,"",MEDIAN(D396:F396))</f>
        <v/>
      </c>
      <c r="I396" s="10">
        <f>IF(COUNT(D396:F396)=0,"",MAX(D396:F396))</f>
        <v/>
      </c>
      <c r="J396" s="11">
        <f>IF(OR(G396="",G396=0),"",(I396-G396)/G396)</f>
        <v/>
      </c>
      <c r="K396" s="4">
        <f>IF(COUNT(D396:F396)=0,"",INDEX($D$1:$F$1,MATCH(MIN(D396:F396),D396:F396,0)))</f>
        <v/>
      </c>
      <c r="L396" s="10" t="n">
        <v>892.5</v>
      </c>
      <c r="M396" s="12" t="n">
        <v>1</v>
      </c>
    </row>
    <row r="397">
      <c r="A397" s="4" t="inlineStr">
        <is>
          <t>MAT-20-044</t>
        </is>
      </c>
      <c r="B397" s="5" t="inlineStr">
        <is>
          <t>Planchuela de hierro negro 2" x 1/4" x 20 pies</t>
        </is>
      </c>
      <c r="C397" s="4" t="inlineStr">
        <is>
          <t>unidad</t>
        </is>
      </c>
      <c r="D397" s="10" t="n">
        <v>1189.99</v>
      </c>
      <c r="E397" s="10" t="n"/>
      <c r="F397" s="10" t="n"/>
      <c r="G397" s="10">
        <f>IF(COUNT(D397:F397)=0,"",MIN(D397:F397))</f>
        <v/>
      </c>
      <c r="H397" s="10">
        <f>IF(COUNT(D397:F397)=0,"",MEDIAN(D397:F397))</f>
        <v/>
      </c>
      <c r="I397" s="10">
        <f>IF(COUNT(D397:F397)=0,"",MAX(D397:F397))</f>
        <v/>
      </c>
      <c r="J397" s="11">
        <f>IF(OR(G397="",G397=0),"",(I397-G397)/G397)</f>
        <v/>
      </c>
      <c r="K397" s="4">
        <f>IF(COUNT(D397:F397)=0,"",INDEX($D$1:$F$1,MATCH(MIN(D397:F397),D397:F397,0)))</f>
        <v/>
      </c>
      <c r="L397" s="10" t="n">
        <v>1189.99</v>
      </c>
      <c r="M397" s="12" t="n">
        <v>1</v>
      </c>
    </row>
    <row r="398">
      <c r="A398" s="4" t="inlineStr">
        <is>
          <t>MAT-20-045</t>
        </is>
      </c>
      <c r="B398" s="5" t="inlineStr">
        <is>
          <t>Planchuela de hierro negro 2" x 3/8" x 20 pies</t>
        </is>
      </c>
      <c r="C398" s="4" t="inlineStr">
        <is>
          <t>unidad</t>
        </is>
      </c>
      <c r="D398" s="10" t="n">
        <v>1785</v>
      </c>
      <c r="E398" s="10" t="n"/>
      <c r="F398" s="10" t="n"/>
      <c r="G398" s="10">
        <f>IF(COUNT(D398:F398)=0,"",MIN(D398:F398))</f>
        <v/>
      </c>
      <c r="H398" s="10">
        <f>IF(COUNT(D398:F398)=0,"",MEDIAN(D398:F398))</f>
        <v/>
      </c>
      <c r="I398" s="10">
        <f>IF(COUNT(D398:F398)=0,"",MAX(D398:F398))</f>
        <v/>
      </c>
      <c r="J398" s="11">
        <f>IF(OR(G398="",G398=0),"",(I398-G398)/G398)</f>
        <v/>
      </c>
      <c r="K398" s="4">
        <f>IF(COUNT(D398:F398)=0,"",INDEX($D$1:$F$1,MATCH(MIN(D398:F398),D398:F398,0)))</f>
        <v/>
      </c>
      <c r="L398" s="10" t="n">
        <v>1785</v>
      </c>
      <c r="M398" s="12" t="n">
        <v>1</v>
      </c>
    </row>
    <row r="399">
      <c r="A399" s="4" t="inlineStr">
        <is>
          <t>MAT-20-046</t>
        </is>
      </c>
      <c r="B399" s="5" t="inlineStr">
        <is>
          <t>Planchuela de hierro negro 2" x 1/2" x 20 pies</t>
        </is>
      </c>
      <c r="C399" s="4" t="inlineStr">
        <is>
          <t>unidad</t>
        </is>
      </c>
      <c r="D399" s="10" t="n">
        <v>2380</v>
      </c>
      <c r="E399" s="10" t="n"/>
      <c r="F399" s="10" t="n"/>
      <c r="G399" s="10">
        <f>IF(COUNT(D399:F399)=0,"",MIN(D399:F399))</f>
        <v/>
      </c>
      <c r="H399" s="10">
        <f>IF(COUNT(D399:F399)=0,"",MEDIAN(D399:F399))</f>
        <v/>
      </c>
      <c r="I399" s="10">
        <f>IF(COUNT(D399:F399)=0,"",MAX(D399:F399))</f>
        <v/>
      </c>
      <c r="J399" s="11">
        <f>IF(OR(G399="",G399=0),"",(I399-G399)/G399)</f>
        <v/>
      </c>
      <c r="K399" s="4">
        <f>IF(COUNT(D399:F399)=0,"",INDEX($D$1:$F$1,MATCH(MIN(D399:F399),D399:F399,0)))</f>
        <v/>
      </c>
      <c r="L399" s="10" t="n">
        <v>2380</v>
      </c>
      <c r="M399" s="12" t="n">
        <v>1</v>
      </c>
    </row>
    <row r="400">
      <c r="A400" s="4" t="inlineStr">
        <is>
          <t>MAT-20-047</t>
        </is>
      </c>
      <c r="B400" s="5" t="inlineStr">
        <is>
          <t>Planchuela de hierro negro 2 1/2" x 1/4" x 20 pies</t>
        </is>
      </c>
      <c r="C400" s="4" t="inlineStr">
        <is>
          <t>unidad</t>
        </is>
      </c>
      <c r="D400" s="10" t="n">
        <v>1487.5</v>
      </c>
      <c r="E400" s="10" t="n"/>
      <c r="F400" s="10" t="n"/>
      <c r="G400" s="10">
        <f>IF(COUNT(D400:F400)=0,"",MIN(D400:F400))</f>
        <v/>
      </c>
      <c r="H400" s="10">
        <f>IF(COUNT(D400:F400)=0,"",MEDIAN(D400:F400))</f>
        <v/>
      </c>
      <c r="I400" s="10">
        <f>IF(COUNT(D400:F400)=0,"",MAX(D400:F400))</f>
        <v/>
      </c>
      <c r="J400" s="11">
        <f>IF(OR(G400="",G400=0),"",(I400-G400)/G400)</f>
        <v/>
      </c>
      <c r="K400" s="4">
        <f>IF(COUNT(D400:F400)=0,"",INDEX($D$1:$F$1,MATCH(MIN(D400:F400),D400:F400,0)))</f>
        <v/>
      </c>
      <c r="L400" s="10" t="n">
        <v>1487.5</v>
      </c>
      <c r="M400" s="12" t="n">
        <v>1</v>
      </c>
    </row>
    <row r="401">
      <c r="A401" s="4" t="inlineStr">
        <is>
          <t>MAT-20-048</t>
        </is>
      </c>
      <c r="B401" s="5" t="inlineStr">
        <is>
          <t>Planchuela de hierro negro 2 1/2" x 3/8" x 20 pies</t>
        </is>
      </c>
      <c r="C401" s="4" t="inlineStr">
        <is>
          <t>unidad</t>
        </is>
      </c>
      <c r="D401" s="10" t="n">
        <v>2231.6</v>
      </c>
      <c r="E401" s="10" t="n"/>
      <c r="F401" s="10" t="n"/>
      <c r="G401" s="10">
        <f>IF(COUNT(D401:F401)=0,"",MIN(D401:F401))</f>
        <v/>
      </c>
      <c r="H401" s="10">
        <f>IF(COUNT(D401:F401)=0,"",MEDIAN(D401:F401))</f>
        <v/>
      </c>
      <c r="I401" s="10">
        <f>IF(COUNT(D401:F401)=0,"",MAX(D401:F401))</f>
        <v/>
      </c>
      <c r="J401" s="11">
        <f>IF(OR(G401="",G401=0),"",(I401-G401)/G401)</f>
        <v/>
      </c>
      <c r="K401" s="4">
        <f>IF(COUNT(D401:F401)=0,"",INDEX($D$1:$F$1,MATCH(MIN(D401:F401),D401:F401,0)))</f>
        <v/>
      </c>
      <c r="L401" s="10" t="n">
        <v>2231.6</v>
      </c>
      <c r="M401" s="12" t="n">
        <v>1</v>
      </c>
    </row>
    <row r="402">
      <c r="A402" s="4" t="inlineStr">
        <is>
          <t>MAT-20-049</t>
        </is>
      </c>
      <c r="B402" s="5" t="inlineStr">
        <is>
          <t>Planchuela de hierro negro 3" x 1/4" x 20 pies</t>
        </is>
      </c>
      <c r="C402" s="4" t="inlineStr">
        <is>
          <t>unidad</t>
        </is>
      </c>
      <c r="D402" s="10" t="n">
        <v>1785</v>
      </c>
      <c r="E402" s="10" t="n"/>
      <c r="F402" s="10" t="n"/>
      <c r="G402" s="10">
        <f>IF(COUNT(D402:F402)=0,"",MIN(D402:F402))</f>
        <v/>
      </c>
      <c r="H402" s="10">
        <f>IF(COUNT(D402:F402)=0,"",MEDIAN(D402:F402))</f>
        <v/>
      </c>
      <c r="I402" s="10">
        <f>IF(COUNT(D402:F402)=0,"",MAX(D402:F402))</f>
        <v/>
      </c>
      <c r="J402" s="11">
        <f>IF(OR(G402="",G402=0),"",(I402-G402)/G402)</f>
        <v/>
      </c>
      <c r="K402" s="4">
        <f>IF(COUNT(D402:F402)=0,"",INDEX($D$1:$F$1,MATCH(MIN(D402:F402),D402:F402,0)))</f>
        <v/>
      </c>
      <c r="L402" s="10" t="n">
        <v>1785</v>
      </c>
      <c r="M402" s="12" t="n">
        <v>1</v>
      </c>
    </row>
    <row r="403">
      <c r="A403" s="4" t="inlineStr">
        <is>
          <t>MAT-20-050</t>
        </is>
      </c>
      <c r="B403" s="5" t="inlineStr">
        <is>
          <t>Planchuela de hierro negro 3" x 3/8" x 20 pies</t>
        </is>
      </c>
      <c r="C403" s="4" t="inlineStr">
        <is>
          <t>unidad</t>
        </is>
      </c>
      <c r="D403" s="10" t="n">
        <v>2677.62</v>
      </c>
      <c r="E403" s="10" t="n"/>
      <c r="F403" s="10" t="n"/>
      <c r="G403" s="10">
        <f>IF(COUNT(D403:F403)=0,"",MIN(D403:F403))</f>
        <v/>
      </c>
      <c r="H403" s="10">
        <f>IF(COUNT(D403:F403)=0,"",MEDIAN(D403:F403))</f>
        <v/>
      </c>
      <c r="I403" s="10">
        <f>IF(COUNT(D403:F403)=0,"",MAX(D403:F403))</f>
        <v/>
      </c>
      <c r="J403" s="11">
        <f>IF(OR(G403="",G403=0),"",(I403-G403)/G403)</f>
        <v/>
      </c>
      <c r="K403" s="4">
        <f>IF(COUNT(D403:F403)=0,"",INDEX($D$1:$F$1,MATCH(MIN(D403:F403),D403:F403,0)))</f>
        <v/>
      </c>
      <c r="L403" s="10" t="n">
        <v>2677.62</v>
      </c>
      <c r="M403" s="12" t="n">
        <v>1</v>
      </c>
    </row>
    <row r="404">
      <c r="A404" s="4" t="inlineStr">
        <is>
          <t>MAT-20-051</t>
        </is>
      </c>
      <c r="B404" s="5" t="inlineStr">
        <is>
          <t>Planchuela de hierro negro 4" x 1/4" x 20 pies</t>
        </is>
      </c>
      <c r="C404" s="4" t="inlineStr">
        <is>
          <t>unidad</t>
        </is>
      </c>
      <c r="D404" s="10" t="n">
        <v>2380</v>
      </c>
      <c r="E404" s="10" t="n"/>
      <c r="F404" s="10" t="n"/>
      <c r="G404" s="10">
        <f>IF(COUNT(D404:F404)=0,"",MIN(D404:F404))</f>
        <v/>
      </c>
      <c r="H404" s="10">
        <f>IF(COUNT(D404:F404)=0,"",MEDIAN(D404:F404))</f>
        <v/>
      </c>
      <c r="I404" s="10">
        <f>IF(COUNT(D404:F404)=0,"",MAX(D404:F404))</f>
        <v/>
      </c>
      <c r="J404" s="11">
        <f>IF(OR(G404="",G404=0),"",(I404-G404)/G404)</f>
        <v/>
      </c>
      <c r="K404" s="4">
        <f>IF(COUNT(D404:F404)=0,"",INDEX($D$1:$F$1,MATCH(MIN(D404:F404),D404:F404,0)))</f>
        <v/>
      </c>
      <c r="L404" s="10" t="n">
        <v>2380</v>
      </c>
      <c r="M404" s="12" t="n">
        <v>1</v>
      </c>
    </row>
    <row r="405">
      <c r="A405" s="4" t="inlineStr">
        <is>
          <t>MAT-20-052</t>
        </is>
      </c>
      <c r="B405" s="5" t="inlineStr">
        <is>
          <t>Planchuela de hierro negro 4" x 3/8" x 20 pies</t>
        </is>
      </c>
      <c r="C405" s="4" t="inlineStr">
        <is>
          <t>unidad</t>
        </is>
      </c>
      <c r="D405" s="10" t="n">
        <v>3982.5</v>
      </c>
      <c r="E405" s="10" t="n"/>
      <c r="F405" s="10" t="n"/>
      <c r="G405" s="10">
        <f>IF(COUNT(D405:F405)=0,"",MIN(D405:F405))</f>
        <v/>
      </c>
      <c r="H405" s="10">
        <f>IF(COUNT(D405:F405)=0,"",MEDIAN(D405:F405))</f>
        <v/>
      </c>
      <c r="I405" s="10">
        <f>IF(COUNT(D405:F405)=0,"",MAX(D405:F405))</f>
        <v/>
      </c>
      <c r="J405" s="11">
        <f>IF(OR(G405="",G405=0),"",(I405-G405)/G405)</f>
        <v/>
      </c>
      <c r="K405" s="4">
        <f>IF(COUNT(D405:F405)=0,"",INDEX($D$1:$F$1,MATCH(MIN(D405:F405),D405:F405,0)))</f>
        <v/>
      </c>
      <c r="L405" s="10" t="n">
        <v>3982.5</v>
      </c>
      <c r="M405" s="12" t="n">
        <v>1</v>
      </c>
    </row>
    <row r="406">
      <c r="A406" s="4" t="inlineStr">
        <is>
          <t>MAT-20-053</t>
        </is>
      </c>
      <c r="B406" s="5" t="inlineStr">
        <is>
          <t>Planchuela de acero inoxidable 2" x 1/8" x 20 pies</t>
        </is>
      </c>
      <c r="C406" s="4" t="inlineStr">
        <is>
          <t>unidad</t>
        </is>
      </c>
      <c r="D406" s="10" t="n">
        <v>1397.2</v>
      </c>
      <c r="E406" s="10" t="n"/>
      <c r="F406" s="10" t="n"/>
      <c r="G406" s="10">
        <f>IF(COUNT(D406:F406)=0,"",MIN(D406:F406))</f>
        <v/>
      </c>
      <c r="H406" s="10">
        <f>IF(COUNT(D406:F406)=0,"",MEDIAN(D406:F406))</f>
        <v/>
      </c>
      <c r="I406" s="10">
        <f>IF(COUNT(D406:F406)=0,"",MAX(D406:F406))</f>
        <v/>
      </c>
      <c r="J406" s="11">
        <f>IF(OR(G406="",G406=0),"",(I406-G406)/G406)</f>
        <v/>
      </c>
      <c r="K406" s="4">
        <f>IF(COUNT(D406:F406)=0,"",INDEX($D$1:$F$1,MATCH(MIN(D406:F406),D406:F406,0)))</f>
        <v/>
      </c>
      <c r="L406" s="10" t="n">
        <v>1397.2</v>
      </c>
      <c r="M406" s="12" t="n">
        <v>1</v>
      </c>
    </row>
    <row r="407">
      <c r="A407" s="4" t="inlineStr">
        <is>
          <t>MAT-20-054</t>
        </is>
      </c>
      <c r="B407" s="5" t="inlineStr">
        <is>
          <t>Barra cuadrada de acero 7/16" x 20 pies</t>
        </is>
      </c>
      <c r="C407" s="4" t="inlineStr">
        <is>
          <t>unidad</t>
        </is>
      </c>
      <c r="D407" s="10" t="n">
        <v>411.76</v>
      </c>
      <c r="E407" s="10" t="n"/>
      <c r="F407" s="10" t="n"/>
      <c r="G407" s="10">
        <f>IF(COUNT(D407:F407)=0,"",MIN(D407:F407))</f>
        <v/>
      </c>
      <c r="H407" s="10">
        <f>IF(COUNT(D407:F407)=0,"",MEDIAN(D407:F407))</f>
        <v/>
      </c>
      <c r="I407" s="10">
        <f>IF(COUNT(D407:F407)=0,"",MAX(D407:F407))</f>
        <v/>
      </c>
      <c r="J407" s="11">
        <f>IF(OR(G407="",G407=0),"",(I407-G407)/G407)</f>
        <v/>
      </c>
      <c r="K407" s="4">
        <f>IF(COUNT(D407:F407)=0,"",INDEX($D$1:$F$1,MATCH(MIN(D407:F407),D407:F407,0)))</f>
        <v/>
      </c>
      <c r="L407" s="10" t="n">
        <v>411.76</v>
      </c>
      <c r="M407" s="12" t="n">
        <v>1</v>
      </c>
    </row>
    <row r="408">
      <c r="A408" s="4" t="inlineStr">
        <is>
          <t>MAT-20-055</t>
        </is>
      </c>
      <c r="B408" s="5" t="inlineStr">
        <is>
          <t>Barra cuadrada de acero 1/2" x 20 pies</t>
        </is>
      </c>
      <c r="C408" s="4" t="inlineStr">
        <is>
          <t>unidad</t>
        </is>
      </c>
      <c r="D408" s="10" t="n">
        <v>538.46</v>
      </c>
      <c r="E408" s="10" t="n"/>
      <c r="F408" s="10" t="n"/>
      <c r="G408" s="10">
        <f>IF(COUNT(D408:F408)=0,"",MIN(D408:F408))</f>
        <v/>
      </c>
      <c r="H408" s="10">
        <f>IF(COUNT(D408:F408)=0,"",MEDIAN(D408:F408))</f>
        <v/>
      </c>
      <c r="I408" s="10">
        <f>IF(COUNT(D408:F408)=0,"",MAX(D408:F408))</f>
        <v/>
      </c>
      <c r="J408" s="11">
        <f>IF(OR(G408="",G408=0),"",(I408-G408)/G408)</f>
        <v/>
      </c>
      <c r="K408" s="4">
        <f>IF(COUNT(D408:F408)=0,"",INDEX($D$1:$F$1,MATCH(MIN(D408:F408),D408:F408,0)))</f>
        <v/>
      </c>
      <c r="L408" s="10" t="n">
        <v>538.46</v>
      </c>
      <c r="M408" s="12" t="n">
        <v>1</v>
      </c>
    </row>
    <row r="409">
      <c r="A409" s="4" t="inlineStr">
        <is>
          <t>MAT-20-056</t>
        </is>
      </c>
      <c r="B409" s="5" t="inlineStr">
        <is>
          <t>Barra cuadrada de acero 5/8" x 20 pies</t>
        </is>
      </c>
      <c r="C409" s="4" t="inlineStr">
        <is>
          <t>unidad</t>
        </is>
      </c>
      <c r="D409" s="10" t="n">
        <v>843.37</v>
      </c>
      <c r="E409" s="10" t="n"/>
      <c r="F409" s="10" t="n"/>
      <c r="G409" s="10">
        <f>IF(COUNT(D409:F409)=0,"",MIN(D409:F409))</f>
        <v/>
      </c>
      <c r="H409" s="10">
        <f>IF(COUNT(D409:F409)=0,"",MEDIAN(D409:F409))</f>
        <v/>
      </c>
      <c r="I409" s="10">
        <f>IF(COUNT(D409:F409)=0,"",MAX(D409:F409))</f>
        <v/>
      </c>
      <c r="J409" s="11">
        <f>IF(OR(G409="",G409=0),"",(I409-G409)/G409)</f>
        <v/>
      </c>
      <c r="K409" s="4">
        <f>IF(COUNT(D409:F409)=0,"",INDEX($D$1:$F$1,MATCH(MIN(D409:F409),D409:F409,0)))</f>
        <v/>
      </c>
      <c r="L409" s="10" t="n">
        <v>843.37</v>
      </c>
      <c r="M409" s="12" t="n">
        <v>1</v>
      </c>
    </row>
    <row r="410">
      <c r="A410" s="4" t="inlineStr">
        <is>
          <t>MAT-20-057</t>
        </is>
      </c>
      <c r="B410" s="5" t="inlineStr">
        <is>
          <t>Barra redonda de acero 3/8" x 20 pies</t>
        </is>
      </c>
      <c r="C410" s="4" t="inlineStr">
        <is>
          <t>unidad</t>
        </is>
      </c>
      <c r="D410" s="10" t="n">
        <v>238.1</v>
      </c>
      <c r="E410" s="10" t="n"/>
      <c r="F410" s="10" t="n"/>
      <c r="G410" s="10">
        <f>IF(COUNT(D410:F410)=0,"",MIN(D410:F410))</f>
        <v/>
      </c>
      <c r="H410" s="10">
        <f>IF(COUNT(D410:F410)=0,"",MEDIAN(D410:F410))</f>
        <v/>
      </c>
      <c r="I410" s="10">
        <f>IF(COUNT(D410:F410)=0,"",MAX(D410:F410))</f>
        <v/>
      </c>
      <c r="J410" s="11">
        <f>IF(OR(G410="",G410=0),"",(I410-G410)/G410)</f>
        <v/>
      </c>
      <c r="K410" s="4">
        <f>IF(COUNT(D410:F410)=0,"",INDEX($D$1:$F$1,MATCH(MIN(D410:F410),D410:F410,0)))</f>
        <v/>
      </c>
      <c r="L410" s="10" t="n">
        <v>238.1</v>
      </c>
      <c r="M410" s="12" t="n">
        <v>1</v>
      </c>
    </row>
    <row r="411">
      <c r="A411" s="4" t="inlineStr">
        <is>
          <t>MAT-20-058</t>
        </is>
      </c>
      <c r="B411" s="5" t="inlineStr">
        <is>
          <t>Barra redonda de acero 1/2" x 20 pies</t>
        </is>
      </c>
      <c r="C411" s="4" t="inlineStr">
        <is>
          <t>unidad</t>
        </is>
      </c>
      <c r="D411" s="10" t="n">
        <v>421.68</v>
      </c>
      <c r="E411" s="10" t="n"/>
      <c r="F411" s="10" t="n"/>
      <c r="G411" s="10">
        <f>IF(COUNT(D411:F411)=0,"",MIN(D411:F411))</f>
        <v/>
      </c>
      <c r="H411" s="10">
        <f>IF(COUNT(D411:F411)=0,"",MEDIAN(D411:F411))</f>
        <v/>
      </c>
      <c r="I411" s="10">
        <f>IF(COUNT(D411:F411)=0,"",MAX(D411:F411))</f>
        <v/>
      </c>
      <c r="J411" s="11">
        <f>IF(OR(G411="",G411=0),"",(I411-G411)/G411)</f>
        <v/>
      </c>
      <c r="K411" s="4">
        <f>IF(COUNT(D411:F411)=0,"",INDEX($D$1:$F$1,MATCH(MIN(D411:F411),D411:F411,0)))</f>
        <v/>
      </c>
      <c r="L411" s="10" t="n">
        <v>421.68</v>
      </c>
      <c r="M411" s="12" t="n">
        <v>1</v>
      </c>
    </row>
    <row r="412">
      <c r="A412" s="4" t="inlineStr">
        <is>
          <t>MAT-20-059</t>
        </is>
      </c>
      <c r="B412" s="5" t="inlineStr">
        <is>
          <t>Barra redonda de acero 5/8" x 20 pies</t>
        </is>
      </c>
      <c r="C412" s="4" t="inlineStr">
        <is>
          <t>unidad</t>
        </is>
      </c>
      <c r="D412" s="10" t="n">
        <v>660.38</v>
      </c>
      <c r="E412" s="10" t="n"/>
      <c r="F412" s="10" t="n"/>
      <c r="G412" s="10">
        <f>IF(COUNT(D412:F412)=0,"",MIN(D412:F412))</f>
        <v/>
      </c>
      <c r="H412" s="10">
        <f>IF(COUNT(D412:F412)=0,"",MEDIAN(D412:F412))</f>
        <v/>
      </c>
      <c r="I412" s="10">
        <f>IF(COUNT(D412:F412)=0,"",MAX(D412:F412))</f>
        <v/>
      </c>
      <c r="J412" s="11">
        <f>IF(OR(G412="",G412=0),"",(I412-G412)/G412)</f>
        <v/>
      </c>
      <c r="K412" s="4">
        <f>IF(COUNT(D412:F412)=0,"",INDEX($D$1:$F$1,MATCH(MIN(D412:F412),D412:F412,0)))</f>
        <v/>
      </c>
      <c r="L412" s="10" t="n">
        <v>660.38</v>
      </c>
      <c r="M412" s="12" t="n">
        <v>1</v>
      </c>
    </row>
    <row r="413">
      <c r="A413" s="4" t="inlineStr">
        <is>
          <t>MAT-20-060</t>
        </is>
      </c>
      <c r="B413" s="5" t="inlineStr">
        <is>
          <t>Barra redonda de acero 3/4" x 20 pies</t>
        </is>
      </c>
      <c r="C413" s="4" t="inlineStr">
        <is>
          <t>unidad</t>
        </is>
      </c>
      <c r="D413" s="10" t="n">
        <v>945.95</v>
      </c>
      <c r="E413" s="10" t="n"/>
      <c r="F413" s="10" t="n"/>
      <c r="G413" s="10">
        <f>IF(COUNT(D413:F413)=0,"",MIN(D413:F413))</f>
        <v/>
      </c>
      <c r="H413" s="10">
        <f>IF(COUNT(D413:F413)=0,"",MEDIAN(D413:F413))</f>
        <v/>
      </c>
      <c r="I413" s="10">
        <f>IF(COUNT(D413:F413)=0,"",MAX(D413:F413))</f>
        <v/>
      </c>
      <c r="J413" s="11">
        <f>IF(OR(G413="",G413=0),"",(I413-G413)/G413)</f>
        <v/>
      </c>
      <c r="K413" s="4">
        <f>IF(COUNT(D413:F413)=0,"",INDEX($D$1:$F$1,MATCH(MIN(D413:F413),D413:F413,0)))</f>
        <v/>
      </c>
      <c r="L413" s="10" t="n">
        <v>945.95</v>
      </c>
      <c r="M413" s="12" t="n">
        <v>1</v>
      </c>
    </row>
    <row r="414">
      <c r="A414" s="4" t="inlineStr">
        <is>
          <t>MAT-20-061</t>
        </is>
      </c>
      <c r="B414" s="5" t="inlineStr">
        <is>
          <t>Barra redonda de acero 1" x 20 pies</t>
        </is>
      </c>
      <c r="C414" s="4" t="inlineStr">
        <is>
          <t>unidad</t>
        </is>
      </c>
      <c r="D414" s="10" t="n">
        <v>1666.67</v>
      </c>
      <c r="E414" s="10" t="n"/>
      <c r="F414" s="10" t="n"/>
      <c r="G414" s="10">
        <f>IF(COUNT(D414:F414)=0,"",MIN(D414:F414))</f>
        <v/>
      </c>
      <c r="H414" s="10">
        <f>IF(COUNT(D414:F414)=0,"",MEDIAN(D414:F414))</f>
        <v/>
      </c>
      <c r="I414" s="10">
        <f>IF(COUNT(D414:F414)=0,"",MAX(D414:F414))</f>
        <v/>
      </c>
      <c r="J414" s="11">
        <f>IF(OR(G414="",G414=0),"",(I414-G414)/G414)</f>
        <v/>
      </c>
      <c r="K414" s="4">
        <f>IF(COUNT(D414:F414)=0,"",INDEX($D$1:$F$1,MATCH(MIN(D414:F414),D414:F414,0)))</f>
        <v/>
      </c>
      <c r="L414" s="10" t="n">
        <v>1666.67</v>
      </c>
      <c r="M414" s="12" t="n">
        <v>1</v>
      </c>
    </row>
    <row r="415">
      <c r="A415" s="4" t="inlineStr">
        <is>
          <t>MAT-20-062</t>
        </is>
      </c>
      <c r="B415" s="5" t="inlineStr">
        <is>
          <t>Barra redonda torneada de acero 7/16" x 20 pies</t>
        </is>
      </c>
      <c r="C415" s="4" t="inlineStr">
        <is>
          <t>unidad</t>
        </is>
      </c>
      <c r="D415" s="10" t="n">
        <v>426.77</v>
      </c>
      <c r="E415" s="10" t="n"/>
      <c r="F415" s="10" t="n"/>
      <c r="G415" s="10">
        <f>IF(COUNT(D415:F415)=0,"",MIN(D415:F415))</f>
        <v/>
      </c>
      <c r="H415" s="10">
        <f>IF(COUNT(D415:F415)=0,"",MEDIAN(D415:F415))</f>
        <v/>
      </c>
      <c r="I415" s="10">
        <f>IF(COUNT(D415:F415)=0,"",MAX(D415:F415))</f>
        <v/>
      </c>
      <c r="J415" s="11">
        <f>IF(OR(G415="",G415=0),"",(I415-G415)/G415)</f>
        <v/>
      </c>
      <c r="K415" s="4">
        <f>IF(COUNT(D415:F415)=0,"",INDEX($D$1:$F$1,MATCH(MIN(D415:F415),D415:F415,0)))</f>
        <v/>
      </c>
      <c r="L415" s="10" t="n">
        <v>426.77</v>
      </c>
      <c r="M415" s="12" t="n">
        <v>1</v>
      </c>
    </row>
    <row r="416">
      <c r="A416" s="4" t="inlineStr">
        <is>
          <t>MAT-20-063</t>
        </is>
      </c>
      <c r="B416" s="5" t="inlineStr">
        <is>
          <t>Barra redonda torneada de acero 1/2" x 20 pies</t>
        </is>
      </c>
      <c r="C416" s="4" t="inlineStr">
        <is>
          <t>unidad</t>
        </is>
      </c>
      <c r="D416" s="10" t="n">
        <v>553.47</v>
      </c>
      <c r="E416" s="10" t="n"/>
      <c r="F416" s="10" t="n"/>
      <c r="G416" s="10">
        <f>IF(COUNT(D416:F416)=0,"",MIN(D416:F416))</f>
        <v/>
      </c>
      <c r="H416" s="10">
        <f>IF(COUNT(D416:F416)=0,"",MEDIAN(D416:F416))</f>
        <v/>
      </c>
      <c r="I416" s="10">
        <f>IF(COUNT(D416:F416)=0,"",MAX(D416:F416))</f>
        <v/>
      </c>
      <c r="J416" s="11">
        <f>IF(OR(G416="",G416=0),"",(I416-G416)/G416)</f>
        <v/>
      </c>
      <c r="K416" s="4">
        <f>IF(COUNT(D416:F416)=0,"",INDEX($D$1:$F$1,MATCH(MIN(D416:F416),D416:F416,0)))</f>
        <v/>
      </c>
      <c r="L416" s="10" t="n">
        <v>553.47</v>
      </c>
      <c r="M416" s="12" t="n">
        <v>1</v>
      </c>
    </row>
    <row r="417">
      <c r="A417" s="4" t="inlineStr">
        <is>
          <t>MAT-20-064</t>
        </is>
      </c>
      <c r="B417" s="5" t="inlineStr">
        <is>
          <t>Barra redonda torneada de acero 5/8" x 20 pies</t>
        </is>
      </c>
      <c r="C417" s="4" t="inlineStr">
        <is>
          <t>unidad</t>
        </is>
      </c>
      <c r="D417" s="10" t="n">
        <v>858.38</v>
      </c>
      <c r="E417" s="10" t="n"/>
      <c r="F417" s="10" t="n"/>
      <c r="G417" s="10">
        <f>IF(COUNT(D417:F417)=0,"",MIN(D417:F417))</f>
        <v/>
      </c>
      <c r="H417" s="10">
        <f>IF(COUNT(D417:F417)=0,"",MEDIAN(D417:F417))</f>
        <v/>
      </c>
      <c r="I417" s="10">
        <f>IF(COUNT(D417:F417)=0,"",MAX(D417:F417))</f>
        <v/>
      </c>
      <c r="J417" s="11">
        <f>IF(OR(G417="",G417=0),"",(I417-G417)/G417)</f>
        <v/>
      </c>
      <c r="K417" s="4">
        <f>IF(COUNT(D417:F417)=0,"",INDEX($D$1:$F$1,MATCH(MIN(D417:F417),D417:F417,0)))</f>
        <v/>
      </c>
      <c r="L417" s="10" t="n">
        <v>858.38</v>
      </c>
      <c r="M417" s="12" t="n">
        <v>1</v>
      </c>
    </row>
    <row r="418">
      <c r="A418" s="4" t="inlineStr">
        <is>
          <t>MAT-21-001</t>
        </is>
      </c>
      <c r="B418" s="5" t="inlineStr">
        <is>
          <t>Tola negra 1/32", plancha 4 x 8 pies</t>
        </is>
      </c>
      <c r="C418" s="4" t="inlineStr">
        <is>
          <t>plancha</t>
        </is>
      </c>
      <c r="D418" s="10" t="n">
        <v>1113.61</v>
      </c>
      <c r="E418" s="10" t="n"/>
      <c r="F418" s="10" t="n"/>
      <c r="G418" s="10">
        <f>IF(COUNT(D418:F418)=0,"",MIN(D418:F418))</f>
        <v/>
      </c>
      <c r="H418" s="10">
        <f>IF(COUNT(D418:F418)=0,"",MEDIAN(D418:F418))</f>
        <v/>
      </c>
      <c r="I418" s="10">
        <f>IF(COUNT(D418:F418)=0,"",MAX(D418:F418))</f>
        <v/>
      </c>
      <c r="J418" s="11">
        <f>IF(OR(G418="",G418=0),"",(I418-G418)/G418)</f>
        <v/>
      </c>
      <c r="K418" s="4">
        <f>IF(COUNT(D418:F418)=0,"",INDEX($D$1:$F$1,MATCH(MIN(D418:F418),D418:F418,0)))</f>
        <v/>
      </c>
      <c r="L418" s="10" t="n">
        <v>1113.61</v>
      </c>
      <c r="M418" s="12" t="n">
        <v>1</v>
      </c>
    </row>
    <row r="419">
      <c r="A419" s="4" t="inlineStr">
        <is>
          <t>MAT-21-002</t>
        </is>
      </c>
      <c r="B419" s="5" t="inlineStr">
        <is>
          <t>Tola negra 1/22", plancha 4 x 8 pies</t>
        </is>
      </c>
      <c r="C419" s="4" t="inlineStr">
        <is>
          <t>plancha</t>
        </is>
      </c>
      <c r="D419" s="10" t="n">
        <v>1497.04</v>
      </c>
      <c r="E419" s="10" t="n"/>
      <c r="F419" s="10" t="n"/>
      <c r="G419" s="10">
        <f>IF(COUNT(D419:F419)=0,"",MIN(D419:F419))</f>
        <v/>
      </c>
      <c r="H419" s="10">
        <f>IF(COUNT(D419:F419)=0,"",MEDIAN(D419:F419))</f>
        <v/>
      </c>
      <c r="I419" s="10">
        <f>IF(COUNT(D419:F419)=0,"",MAX(D419:F419))</f>
        <v/>
      </c>
      <c r="J419" s="11">
        <f>IF(OR(G419="",G419=0),"",(I419-G419)/G419)</f>
        <v/>
      </c>
      <c r="K419" s="4">
        <f>IF(COUNT(D419:F419)=0,"",INDEX($D$1:$F$1,MATCH(MIN(D419:F419),D419:F419,0)))</f>
        <v/>
      </c>
      <c r="L419" s="10" t="n">
        <v>1497.04</v>
      </c>
      <c r="M419" s="12" t="n">
        <v>1</v>
      </c>
    </row>
    <row r="420">
      <c r="A420" s="4" t="inlineStr">
        <is>
          <t>MAT-21-003</t>
        </is>
      </c>
      <c r="B420" s="5" t="inlineStr">
        <is>
          <t>Tola negra 1/16", plancha 4 x 10 pies</t>
        </is>
      </c>
      <c r="C420" s="4" t="inlineStr">
        <is>
          <t>plancha</t>
        </is>
      </c>
      <c r="D420" s="10" t="n">
        <v>2938.54</v>
      </c>
      <c r="E420" s="10" t="n"/>
      <c r="F420" s="10" t="n"/>
      <c r="G420" s="10">
        <f>IF(COUNT(D420:F420)=0,"",MIN(D420:F420))</f>
        <v/>
      </c>
      <c r="H420" s="10">
        <f>IF(COUNT(D420:F420)=0,"",MEDIAN(D420:F420))</f>
        <v/>
      </c>
      <c r="I420" s="10">
        <f>IF(COUNT(D420:F420)=0,"",MAX(D420:F420))</f>
        <v/>
      </c>
      <c r="J420" s="11">
        <f>IF(OR(G420="",G420=0),"",(I420-G420)/G420)</f>
        <v/>
      </c>
      <c r="K420" s="4">
        <f>IF(COUNT(D420:F420)=0,"",INDEX($D$1:$F$1,MATCH(MIN(D420:F420),D420:F420,0)))</f>
        <v/>
      </c>
      <c r="L420" s="10" t="n">
        <v>2938.54</v>
      </c>
      <c r="M420" s="12" t="n">
        <v>1</v>
      </c>
    </row>
    <row r="421">
      <c r="A421" s="4" t="inlineStr">
        <is>
          <t>MAT-21-004</t>
        </is>
      </c>
      <c r="B421" s="5" t="inlineStr">
        <is>
          <t>Tola negra 1/16", plancha 4 x 8 pies</t>
        </is>
      </c>
      <c r="C421" s="4" t="inlineStr">
        <is>
          <t>plancha</t>
        </is>
      </c>
      <c r="D421" s="10" t="n">
        <v>2224.54</v>
      </c>
      <c r="E421" s="10" t="n"/>
      <c r="F421" s="10" t="n"/>
      <c r="G421" s="10">
        <f>IF(COUNT(D421:F421)=0,"",MIN(D421:F421))</f>
        <v/>
      </c>
      <c r="H421" s="10">
        <f>IF(COUNT(D421:F421)=0,"",MEDIAN(D421:F421))</f>
        <v/>
      </c>
      <c r="I421" s="10">
        <f>IF(COUNT(D421:F421)=0,"",MAX(D421:F421))</f>
        <v/>
      </c>
      <c r="J421" s="11">
        <f>IF(OR(G421="",G421=0),"",(I421-G421)/G421)</f>
        <v/>
      </c>
      <c r="K421" s="4">
        <f>IF(COUNT(D421:F421)=0,"",INDEX($D$1:$F$1,MATCH(MIN(D421:F421),D421:F421,0)))</f>
        <v/>
      </c>
      <c r="L421" s="10" t="n">
        <v>2224.54</v>
      </c>
      <c r="M421" s="12" t="n">
        <v>1</v>
      </c>
    </row>
    <row r="422">
      <c r="A422" s="4" t="inlineStr">
        <is>
          <t>MAT-21-005</t>
        </is>
      </c>
      <c r="B422" s="5" t="inlineStr">
        <is>
          <t>Tola negra 3/32", plancha 4 x 8 pies</t>
        </is>
      </c>
      <c r="C422" s="4" t="inlineStr">
        <is>
          <t>plancha</t>
        </is>
      </c>
      <c r="D422" s="10" t="n">
        <v>3132.92</v>
      </c>
      <c r="E422" s="10" t="n"/>
      <c r="F422" s="10" t="n"/>
      <c r="G422" s="10">
        <f>IF(COUNT(D422:F422)=0,"",MIN(D422:F422))</f>
        <v/>
      </c>
      <c r="H422" s="10">
        <f>IF(COUNT(D422:F422)=0,"",MEDIAN(D422:F422))</f>
        <v/>
      </c>
      <c r="I422" s="10">
        <f>IF(COUNT(D422:F422)=0,"",MAX(D422:F422))</f>
        <v/>
      </c>
      <c r="J422" s="11">
        <f>IF(OR(G422="",G422=0),"",(I422-G422)/G422)</f>
        <v/>
      </c>
      <c r="K422" s="4">
        <f>IF(COUNT(D422:F422)=0,"",INDEX($D$1:$F$1,MATCH(MIN(D422:F422),D422:F422,0)))</f>
        <v/>
      </c>
      <c r="L422" s="10" t="n">
        <v>3132.92</v>
      </c>
      <c r="M422" s="12" t="n">
        <v>1</v>
      </c>
    </row>
    <row r="423">
      <c r="A423" s="4" t="inlineStr">
        <is>
          <t>MAT-21-006</t>
        </is>
      </c>
      <c r="B423" s="5" t="inlineStr">
        <is>
          <t>Tola negra 1/8", plancha 4 x 10 pies</t>
        </is>
      </c>
      <c r="C423" s="4" t="inlineStr">
        <is>
          <t>plancha</t>
        </is>
      </c>
      <c r="D423" s="10" t="n">
        <v>5622.83</v>
      </c>
      <c r="E423" s="10" t="n"/>
      <c r="F423" s="10" t="n"/>
      <c r="G423" s="10">
        <f>IF(COUNT(D423:F423)=0,"",MIN(D423:F423))</f>
        <v/>
      </c>
      <c r="H423" s="10">
        <f>IF(COUNT(D423:F423)=0,"",MEDIAN(D423:F423))</f>
        <v/>
      </c>
      <c r="I423" s="10">
        <f>IF(COUNT(D423:F423)=0,"",MAX(D423:F423))</f>
        <v/>
      </c>
      <c r="J423" s="11">
        <f>IF(OR(G423="",G423=0),"",(I423-G423)/G423)</f>
        <v/>
      </c>
      <c r="K423" s="4">
        <f>IF(COUNT(D423:F423)=0,"",INDEX($D$1:$F$1,MATCH(MIN(D423:F423),D423:F423,0)))</f>
        <v/>
      </c>
      <c r="L423" s="10" t="n">
        <v>5622.83</v>
      </c>
      <c r="M423" s="12" t="n">
        <v>1</v>
      </c>
    </row>
    <row r="424">
      <c r="A424" s="4" t="inlineStr">
        <is>
          <t>MAT-21-007</t>
        </is>
      </c>
      <c r="B424" s="5" t="inlineStr">
        <is>
          <t>Tola negra 1/8", plancha 4 x 8 pies</t>
        </is>
      </c>
      <c r="C424" s="4" t="inlineStr">
        <is>
          <t>plancha</t>
        </is>
      </c>
      <c r="D424" s="10" t="n">
        <v>4104.8</v>
      </c>
      <c r="E424" s="10" t="n"/>
      <c r="F424" s="10" t="n"/>
      <c r="G424" s="10">
        <f>IF(COUNT(D424:F424)=0,"",MIN(D424:F424))</f>
        <v/>
      </c>
      <c r="H424" s="10">
        <f>IF(COUNT(D424:F424)=0,"",MEDIAN(D424:F424))</f>
        <v/>
      </c>
      <c r="I424" s="10">
        <f>IF(COUNT(D424:F424)=0,"",MAX(D424:F424))</f>
        <v/>
      </c>
      <c r="J424" s="11">
        <f>IF(OR(G424="",G424=0),"",(I424-G424)/G424)</f>
        <v/>
      </c>
      <c r="K424" s="4">
        <f>IF(COUNT(D424:F424)=0,"",INDEX($D$1:$F$1,MATCH(MIN(D424:F424),D424:F424,0)))</f>
        <v/>
      </c>
      <c r="L424" s="10" t="n">
        <v>4104.8</v>
      </c>
      <c r="M424" s="12" t="n">
        <v>1</v>
      </c>
    </row>
    <row r="425">
      <c r="A425" s="4" t="inlineStr">
        <is>
          <t>MAT-21-008</t>
        </is>
      </c>
      <c r="B425" s="5" t="inlineStr">
        <is>
          <t>Tola negra 1/8", plancha 5 x 10 pies</t>
        </is>
      </c>
      <c r="C425" s="4" t="inlineStr">
        <is>
          <t>plancha</t>
        </is>
      </c>
      <c r="D425" s="10" t="n">
        <v>6428.83</v>
      </c>
      <c r="E425" s="10" t="n"/>
      <c r="F425" s="10" t="n"/>
      <c r="G425" s="10">
        <f>IF(COUNT(D425:F425)=0,"",MIN(D425:F425))</f>
        <v/>
      </c>
      <c r="H425" s="10">
        <f>IF(COUNT(D425:F425)=0,"",MEDIAN(D425:F425))</f>
        <v/>
      </c>
      <c r="I425" s="10">
        <f>IF(COUNT(D425:F425)=0,"",MAX(D425:F425))</f>
        <v/>
      </c>
      <c r="J425" s="11">
        <f>IF(OR(G425="",G425=0),"",(I425-G425)/G425)</f>
        <v/>
      </c>
      <c r="K425" s="4">
        <f>IF(COUNT(D425:F425)=0,"",INDEX($D$1:$F$1,MATCH(MIN(D425:F425),D425:F425,0)))</f>
        <v/>
      </c>
      <c r="L425" s="10" t="n">
        <v>6428.83</v>
      </c>
      <c r="M425" s="12" t="n">
        <v>1</v>
      </c>
    </row>
    <row r="426">
      <c r="A426" s="4" t="inlineStr">
        <is>
          <t>MAT-21-009</t>
        </is>
      </c>
      <c r="B426" s="5" t="inlineStr">
        <is>
          <t>Tola negra 3/16", plancha 4 x 8 pies</t>
        </is>
      </c>
      <c r="C426" s="4" t="inlineStr">
        <is>
          <t>plancha</t>
        </is>
      </c>
      <c r="D426" s="10" t="n">
        <v>6678.8</v>
      </c>
      <c r="E426" s="10" t="n"/>
      <c r="F426" s="10" t="n"/>
      <c r="G426" s="10">
        <f>IF(COUNT(D426:F426)=0,"",MIN(D426:F426))</f>
        <v/>
      </c>
      <c r="H426" s="10">
        <f>IF(COUNT(D426:F426)=0,"",MEDIAN(D426:F426))</f>
        <v/>
      </c>
      <c r="I426" s="10">
        <f>IF(COUNT(D426:F426)=0,"",MAX(D426:F426))</f>
        <v/>
      </c>
      <c r="J426" s="11">
        <f>IF(OR(G426="",G426=0),"",(I426-G426)/G426)</f>
        <v/>
      </c>
      <c r="K426" s="4">
        <f>IF(COUNT(D426:F426)=0,"",INDEX($D$1:$F$1,MATCH(MIN(D426:F426),D426:F426,0)))</f>
        <v/>
      </c>
      <c r="L426" s="10" t="n">
        <v>6678.8</v>
      </c>
      <c r="M426" s="12" t="n">
        <v>1</v>
      </c>
    </row>
    <row r="427">
      <c r="A427" s="4" t="inlineStr">
        <is>
          <t>MAT-21-010</t>
        </is>
      </c>
      <c r="B427" s="5" t="inlineStr">
        <is>
          <t>Tola negra 3/16", plancha 5 x 10 pies</t>
        </is>
      </c>
      <c r="C427" s="4" t="inlineStr">
        <is>
          <t>plancha</t>
        </is>
      </c>
      <c r="D427" s="10" t="n">
        <v>10410.48</v>
      </c>
      <c r="E427" s="10" t="n"/>
      <c r="F427" s="10" t="n"/>
      <c r="G427" s="10">
        <f>IF(COUNT(D427:F427)=0,"",MIN(D427:F427))</f>
        <v/>
      </c>
      <c r="H427" s="10">
        <f>IF(COUNT(D427:F427)=0,"",MEDIAN(D427:F427))</f>
        <v/>
      </c>
      <c r="I427" s="10">
        <f>IF(COUNT(D427:F427)=0,"",MAX(D427:F427))</f>
        <v/>
      </c>
      <c r="J427" s="11">
        <f>IF(OR(G427="",G427=0),"",(I427-G427)/G427)</f>
        <v/>
      </c>
      <c r="K427" s="4">
        <f>IF(COUNT(D427:F427)=0,"",INDEX($D$1:$F$1,MATCH(MIN(D427:F427),D427:F427,0)))</f>
        <v/>
      </c>
      <c r="L427" s="10" t="n">
        <v>10410.48</v>
      </c>
      <c r="M427" s="12" t="n">
        <v>1</v>
      </c>
    </row>
    <row r="428">
      <c r="A428" s="4" t="inlineStr">
        <is>
          <t>MAT-21-011</t>
        </is>
      </c>
      <c r="B428" s="5" t="inlineStr">
        <is>
          <t>Tola negra 3/16", plancha 6 x 10 pies</t>
        </is>
      </c>
      <c r="C428" s="4" t="inlineStr">
        <is>
          <t>plancha</t>
        </is>
      </c>
      <c r="D428" s="10" t="n">
        <v>12392.84</v>
      </c>
      <c r="E428" s="10" t="n"/>
      <c r="F428" s="10" t="n"/>
      <c r="G428" s="10">
        <f>IF(COUNT(D428:F428)=0,"",MIN(D428:F428))</f>
        <v/>
      </c>
      <c r="H428" s="10">
        <f>IF(COUNT(D428:F428)=0,"",MEDIAN(D428:F428))</f>
        <v/>
      </c>
      <c r="I428" s="10">
        <f>IF(COUNT(D428:F428)=0,"",MAX(D428:F428))</f>
        <v/>
      </c>
      <c r="J428" s="11">
        <f>IF(OR(G428="",G428=0),"",(I428-G428)/G428)</f>
        <v/>
      </c>
      <c r="K428" s="4">
        <f>IF(COUNT(D428:F428)=0,"",INDEX($D$1:$F$1,MATCH(MIN(D428:F428),D428:F428,0)))</f>
        <v/>
      </c>
      <c r="L428" s="10" t="n">
        <v>12392.84</v>
      </c>
      <c r="M428" s="12" t="n">
        <v>1</v>
      </c>
    </row>
    <row r="429">
      <c r="A429" s="4" t="inlineStr">
        <is>
          <t>MAT-21-012</t>
        </is>
      </c>
      <c r="B429" s="5" t="inlineStr">
        <is>
          <t>Tola negra 1/4", plancha 4 x 8 pies</t>
        </is>
      </c>
      <c r="C429" s="4" t="inlineStr">
        <is>
          <t>plancha</t>
        </is>
      </c>
      <c r="D429" s="10" t="n">
        <v>8276.58</v>
      </c>
      <c r="E429" s="10" t="n"/>
      <c r="F429" s="10" t="n"/>
      <c r="G429" s="10">
        <f>IF(COUNT(D429:F429)=0,"",MIN(D429:F429))</f>
        <v/>
      </c>
      <c r="H429" s="10">
        <f>IF(COUNT(D429:F429)=0,"",MEDIAN(D429:F429))</f>
        <v/>
      </c>
      <c r="I429" s="10">
        <f>IF(COUNT(D429:F429)=0,"",MAX(D429:F429))</f>
        <v/>
      </c>
      <c r="J429" s="11">
        <f>IF(OR(G429="",G429=0),"",(I429-G429)/G429)</f>
        <v/>
      </c>
      <c r="K429" s="4">
        <f>IF(COUNT(D429:F429)=0,"",INDEX($D$1:$F$1,MATCH(MIN(D429:F429),D429:F429,0)))</f>
        <v/>
      </c>
      <c r="L429" s="10" t="n">
        <v>8276.58</v>
      </c>
      <c r="M429" s="12" t="n">
        <v>1</v>
      </c>
    </row>
    <row r="430">
      <c r="A430" s="4" t="inlineStr">
        <is>
          <t>MAT-21-013</t>
        </is>
      </c>
      <c r="B430" s="5" t="inlineStr">
        <is>
          <t>Tola negra 1/4", plancha 6 x 10 pies</t>
        </is>
      </c>
      <c r="C430" s="4" t="inlineStr">
        <is>
          <t>plancha</t>
        </is>
      </c>
      <c r="D430" s="10" t="n">
        <v>16280.34</v>
      </c>
      <c r="E430" s="10" t="n"/>
      <c r="F430" s="10" t="n"/>
      <c r="G430" s="10">
        <f>IF(COUNT(D430:F430)=0,"",MIN(D430:F430))</f>
        <v/>
      </c>
      <c r="H430" s="10">
        <f>IF(COUNT(D430:F430)=0,"",MEDIAN(D430:F430))</f>
        <v/>
      </c>
      <c r="I430" s="10">
        <f>IF(COUNT(D430:F430)=0,"",MAX(D430:F430))</f>
        <v/>
      </c>
      <c r="J430" s="11">
        <f>IF(OR(G430="",G430=0),"",(I430-G430)/G430)</f>
        <v/>
      </c>
      <c r="K430" s="4">
        <f>IF(COUNT(D430:F430)=0,"",INDEX($D$1:$F$1,MATCH(MIN(D430:F430),D430:F430,0)))</f>
        <v/>
      </c>
      <c r="L430" s="10" t="n">
        <v>16280.34</v>
      </c>
      <c r="M430" s="12" t="n">
        <v>1</v>
      </c>
    </row>
    <row r="431">
      <c r="A431" s="4" t="inlineStr">
        <is>
          <t>MAT-21-014</t>
        </is>
      </c>
      <c r="B431" s="5" t="inlineStr">
        <is>
          <t>Tola negra 3/8", plancha 4 x 8 pies</t>
        </is>
      </c>
      <c r="C431" s="4" t="inlineStr">
        <is>
          <t>plancha</t>
        </is>
      </c>
      <c r="D431" s="10" t="n">
        <v>12665.86</v>
      </c>
      <c r="E431" s="10" t="n"/>
      <c r="F431" s="10" t="n"/>
      <c r="G431" s="10">
        <f>IF(COUNT(D431:F431)=0,"",MIN(D431:F431))</f>
        <v/>
      </c>
      <c r="H431" s="10">
        <f>IF(COUNT(D431:F431)=0,"",MEDIAN(D431:F431))</f>
        <v/>
      </c>
      <c r="I431" s="10">
        <f>IF(COUNT(D431:F431)=0,"",MAX(D431:F431))</f>
        <v/>
      </c>
      <c r="J431" s="11">
        <f>IF(OR(G431="",G431=0),"",(I431-G431)/G431)</f>
        <v/>
      </c>
      <c r="K431" s="4">
        <f>IF(COUNT(D431:F431)=0,"",INDEX($D$1:$F$1,MATCH(MIN(D431:F431),D431:F431,0)))</f>
        <v/>
      </c>
      <c r="L431" s="10" t="n">
        <v>12665.86</v>
      </c>
      <c r="M431" s="12" t="n">
        <v>1</v>
      </c>
    </row>
    <row r="432">
      <c r="A432" s="4" t="inlineStr">
        <is>
          <t>MAT-21-015</t>
        </is>
      </c>
      <c r="B432" s="5" t="inlineStr">
        <is>
          <t>Tola negra 5/8", plancha 4 x 8 pies</t>
        </is>
      </c>
      <c r="C432" s="4" t="inlineStr">
        <is>
          <t>plancha</t>
        </is>
      </c>
      <c r="D432" s="10" t="n">
        <v>21001.52</v>
      </c>
      <c r="E432" s="10" t="n"/>
      <c r="F432" s="10" t="n"/>
      <c r="G432" s="10">
        <f>IF(COUNT(D432:F432)=0,"",MIN(D432:F432))</f>
        <v/>
      </c>
      <c r="H432" s="10">
        <f>IF(COUNT(D432:F432)=0,"",MEDIAN(D432:F432))</f>
        <v/>
      </c>
      <c r="I432" s="10">
        <f>IF(COUNT(D432:F432)=0,"",MAX(D432:F432))</f>
        <v/>
      </c>
      <c r="J432" s="11">
        <f>IF(OR(G432="",G432=0),"",(I432-G432)/G432)</f>
        <v/>
      </c>
      <c r="K432" s="4">
        <f>IF(COUNT(D432:F432)=0,"",INDEX($D$1:$F$1,MATCH(MIN(D432:F432),D432:F432,0)))</f>
        <v/>
      </c>
      <c r="L432" s="10" t="n">
        <v>21001.52</v>
      </c>
      <c r="M432" s="12" t="n">
        <v>1</v>
      </c>
    </row>
    <row r="433">
      <c r="A433" s="4" t="inlineStr">
        <is>
          <t>MAT-21-016</t>
        </is>
      </c>
      <c r="B433" s="5" t="inlineStr">
        <is>
          <t>Tola negra 1", plancha 4 x 8 pies</t>
        </is>
      </c>
      <c r="C433" s="4" t="inlineStr">
        <is>
          <t>plancha</t>
        </is>
      </c>
      <c r="D433" s="10" t="n">
        <v>37319.49</v>
      </c>
      <c r="E433" s="10" t="n"/>
      <c r="F433" s="10" t="n"/>
      <c r="G433" s="10">
        <f>IF(COUNT(D433:F433)=0,"",MIN(D433:F433))</f>
        <v/>
      </c>
      <c r="H433" s="10">
        <f>IF(COUNT(D433:F433)=0,"",MEDIAN(D433:F433))</f>
        <v/>
      </c>
      <c r="I433" s="10">
        <f>IF(COUNT(D433:F433)=0,"",MAX(D433:F433))</f>
        <v/>
      </c>
      <c r="J433" s="11">
        <f>IF(OR(G433="",G433=0),"",(I433-G433)/G433)</f>
        <v/>
      </c>
      <c r="K433" s="4">
        <f>IF(COUNT(D433:F433)=0,"",INDEX($D$1:$F$1,MATCH(MIN(D433:F433),D433:F433,0)))</f>
        <v/>
      </c>
      <c r="L433" s="10" t="n">
        <v>37319.49</v>
      </c>
      <c r="M433" s="12" t="n">
        <v>1</v>
      </c>
    </row>
    <row r="434">
      <c r="A434" s="4" t="inlineStr">
        <is>
          <t>MAT-21-017</t>
        </is>
      </c>
      <c r="B434" s="5" t="inlineStr">
        <is>
          <t>Tola corrugada 3/32", plancha 4 x 8 pies</t>
        </is>
      </c>
      <c r="C434" s="4" t="inlineStr">
        <is>
          <t>plancha</t>
        </is>
      </c>
      <c r="D434" s="10" t="n">
        <v>3253.65</v>
      </c>
      <c r="E434" s="10" t="n"/>
      <c r="F434" s="10" t="n"/>
      <c r="G434" s="10">
        <f>IF(COUNT(D434:F434)=0,"",MIN(D434:F434))</f>
        <v/>
      </c>
      <c r="H434" s="10">
        <f>IF(COUNT(D434:F434)=0,"",MEDIAN(D434:F434))</f>
        <v/>
      </c>
      <c r="I434" s="10">
        <f>IF(COUNT(D434:F434)=0,"",MAX(D434:F434))</f>
        <v/>
      </c>
      <c r="J434" s="11">
        <f>IF(OR(G434="",G434=0),"",(I434-G434)/G434)</f>
        <v/>
      </c>
      <c r="K434" s="4">
        <f>IF(COUNT(D434:F434)=0,"",INDEX($D$1:$F$1,MATCH(MIN(D434:F434),D434:F434,0)))</f>
        <v/>
      </c>
      <c r="L434" s="10" t="n">
        <v>3253.65</v>
      </c>
      <c r="M434" s="12" t="n">
        <v>1</v>
      </c>
    </row>
    <row r="435">
      <c r="A435" s="4" t="inlineStr">
        <is>
          <t>MAT-21-018</t>
        </is>
      </c>
      <c r="B435" s="5" t="inlineStr">
        <is>
          <t>Tola corrugada 1/8", plancha 4 x 8 pies</t>
        </is>
      </c>
      <c r="C435" s="4" t="inlineStr">
        <is>
          <t>plancha</t>
        </is>
      </c>
      <c r="D435" s="10" t="n">
        <v>4279.86</v>
      </c>
      <c r="E435" s="10" t="n"/>
      <c r="F435" s="10" t="n"/>
      <c r="G435" s="10">
        <f>IF(COUNT(D435:F435)=0,"",MIN(D435:F435))</f>
        <v/>
      </c>
      <c r="H435" s="10">
        <f>IF(COUNT(D435:F435)=0,"",MEDIAN(D435:F435))</f>
        <v/>
      </c>
      <c r="I435" s="10">
        <f>IF(COUNT(D435:F435)=0,"",MAX(D435:F435))</f>
        <v/>
      </c>
      <c r="J435" s="11">
        <f>IF(OR(G435="",G435=0),"",(I435-G435)/G435)</f>
        <v/>
      </c>
      <c r="K435" s="4">
        <f>IF(COUNT(D435:F435)=0,"",INDEX($D$1:$F$1,MATCH(MIN(D435:F435),D435:F435,0)))</f>
        <v/>
      </c>
      <c r="L435" s="10" t="n">
        <v>4279.86</v>
      </c>
      <c r="M435" s="12" t="n">
        <v>1</v>
      </c>
    </row>
    <row r="436">
      <c r="A436" s="4" t="inlineStr">
        <is>
          <t>MAT-21-019</t>
        </is>
      </c>
      <c r="B436" s="5" t="inlineStr">
        <is>
          <t>Tola corrugada 3/16", plancha 4 x 8 pies</t>
        </is>
      </c>
      <c r="C436" s="4" t="inlineStr">
        <is>
          <t>plancha</t>
        </is>
      </c>
      <c r="D436" s="10" t="n">
        <v>6433.47</v>
      </c>
      <c r="E436" s="10" t="n"/>
      <c r="F436" s="10" t="n"/>
      <c r="G436" s="10">
        <f>IF(COUNT(D436:F436)=0,"",MIN(D436:F436))</f>
        <v/>
      </c>
      <c r="H436" s="10">
        <f>IF(COUNT(D436:F436)=0,"",MEDIAN(D436:F436))</f>
        <v/>
      </c>
      <c r="I436" s="10">
        <f>IF(COUNT(D436:F436)=0,"",MAX(D436:F436))</f>
        <v/>
      </c>
      <c r="J436" s="11">
        <f>IF(OR(G436="",G436=0),"",(I436-G436)/G436)</f>
        <v/>
      </c>
      <c r="K436" s="4">
        <f>IF(COUNT(D436:F436)=0,"",INDEX($D$1:$F$1,MATCH(MIN(D436:F436),D436:F436,0)))</f>
        <v/>
      </c>
      <c r="L436" s="10" t="n">
        <v>6433.47</v>
      </c>
      <c r="M436" s="12" t="n">
        <v>1</v>
      </c>
    </row>
    <row r="437">
      <c r="A437" s="4" t="inlineStr">
        <is>
          <t>MAT-21-020</t>
        </is>
      </c>
      <c r="B437" s="5" t="inlineStr">
        <is>
          <t>Tola galvanizada 4 x 8 pies, 25 lb</t>
        </is>
      </c>
      <c r="C437" s="4" t="inlineStr">
        <is>
          <t>plancha</t>
        </is>
      </c>
      <c r="D437" s="10" t="n">
        <v>825.17</v>
      </c>
      <c r="E437" s="10" t="n"/>
      <c r="F437" s="10" t="n"/>
      <c r="G437" s="10">
        <f>IF(COUNT(D437:F437)=0,"",MIN(D437:F437))</f>
        <v/>
      </c>
      <c r="H437" s="10">
        <f>IF(COUNT(D437:F437)=0,"",MEDIAN(D437:F437))</f>
        <v/>
      </c>
      <c r="I437" s="10">
        <f>IF(COUNT(D437:F437)=0,"",MAX(D437:F437))</f>
        <v/>
      </c>
      <c r="J437" s="11">
        <f>IF(OR(G437="",G437=0),"",(I437-G437)/G437)</f>
        <v/>
      </c>
      <c r="K437" s="4">
        <f>IF(COUNT(D437:F437)=0,"",INDEX($D$1:$F$1,MATCH(MIN(D437:F437),D437:F437,0)))</f>
        <v/>
      </c>
      <c r="L437" s="10" t="n">
        <v>825.17</v>
      </c>
      <c r="M437" s="12" t="n">
        <v>1</v>
      </c>
    </row>
    <row r="438">
      <c r="A438" s="4" t="inlineStr">
        <is>
          <t>MAT-21-021</t>
        </is>
      </c>
      <c r="B438" s="5" t="inlineStr">
        <is>
          <t>Tola galvanizada 4 x 8 pies, 32 lb</t>
        </is>
      </c>
      <c r="C438" s="4" t="inlineStr">
        <is>
          <t>plancha</t>
        </is>
      </c>
      <c r="D438" s="10" t="n">
        <v>952.1900000000001</v>
      </c>
      <c r="E438" s="10" t="n"/>
      <c r="F438" s="10" t="n"/>
      <c r="G438" s="10">
        <f>IF(COUNT(D438:F438)=0,"",MIN(D438:F438))</f>
        <v/>
      </c>
      <c r="H438" s="10">
        <f>IF(COUNT(D438:F438)=0,"",MEDIAN(D438:F438))</f>
        <v/>
      </c>
      <c r="I438" s="10">
        <f>IF(COUNT(D438:F438)=0,"",MAX(D438:F438))</f>
        <v/>
      </c>
      <c r="J438" s="11">
        <f>IF(OR(G438="",G438=0),"",(I438-G438)/G438)</f>
        <v/>
      </c>
      <c r="K438" s="4">
        <f>IF(COUNT(D438:F438)=0,"",INDEX($D$1:$F$1,MATCH(MIN(D438:F438),D438:F438,0)))</f>
        <v/>
      </c>
      <c r="L438" s="10" t="n">
        <v>952.1900000000001</v>
      </c>
      <c r="M438" s="12" t="n">
        <v>1</v>
      </c>
    </row>
    <row r="439">
      <c r="A439" s="4" t="inlineStr">
        <is>
          <t>MAT-21-022</t>
        </is>
      </c>
      <c r="B439" s="5" t="inlineStr">
        <is>
          <t>Tola galvanizada 4 x 8 pies, 44 lb</t>
        </is>
      </c>
      <c r="C439" s="4" t="inlineStr">
        <is>
          <t>plancha</t>
        </is>
      </c>
      <c r="D439" s="10" t="n">
        <v>1169.6</v>
      </c>
      <c r="E439" s="10" t="n"/>
      <c r="F439" s="10" t="n"/>
      <c r="G439" s="10">
        <f>IF(COUNT(D439:F439)=0,"",MIN(D439:F439))</f>
        <v/>
      </c>
      <c r="H439" s="10">
        <f>IF(COUNT(D439:F439)=0,"",MEDIAN(D439:F439))</f>
        <v/>
      </c>
      <c r="I439" s="10">
        <f>IF(COUNT(D439:F439)=0,"",MAX(D439:F439))</f>
        <v/>
      </c>
      <c r="J439" s="11">
        <f>IF(OR(G439="",G439=0),"",(I439-G439)/G439)</f>
        <v/>
      </c>
      <c r="K439" s="4">
        <f>IF(COUNT(D439:F439)=0,"",INDEX($D$1:$F$1,MATCH(MIN(D439:F439),D439:F439,0)))</f>
        <v/>
      </c>
      <c r="L439" s="10" t="n">
        <v>1169.6</v>
      </c>
      <c r="M439" s="12" t="n">
        <v>1</v>
      </c>
    </row>
    <row r="440">
      <c r="A440" s="4" t="inlineStr">
        <is>
          <t>MAT-21-023</t>
        </is>
      </c>
      <c r="B440" s="5" t="inlineStr">
        <is>
          <t>Tola galvanizada 4 x 8 pies, 52 lb</t>
        </is>
      </c>
      <c r="C440" s="4" t="inlineStr">
        <is>
          <t>plancha</t>
        </is>
      </c>
      <c r="D440" s="10" t="n">
        <v>1551.37</v>
      </c>
      <c r="E440" s="10" t="n"/>
      <c r="F440" s="10" t="n"/>
      <c r="G440" s="10">
        <f>IF(COUNT(D440:F440)=0,"",MIN(D440:F440))</f>
        <v/>
      </c>
      <c r="H440" s="10">
        <f>IF(COUNT(D440:F440)=0,"",MEDIAN(D440:F440))</f>
        <v/>
      </c>
      <c r="I440" s="10">
        <f>IF(COUNT(D440:F440)=0,"",MAX(D440:F440))</f>
        <v/>
      </c>
      <c r="J440" s="11">
        <f>IF(OR(G440="",G440=0),"",(I440-G440)/G440)</f>
        <v/>
      </c>
      <c r="K440" s="4">
        <f>IF(COUNT(D440:F440)=0,"",INDEX($D$1:$F$1,MATCH(MIN(D440:F440),D440:F440,0)))</f>
        <v/>
      </c>
      <c r="L440" s="10" t="n">
        <v>1551.37</v>
      </c>
      <c r="M440" s="12" t="n">
        <v>1</v>
      </c>
    </row>
    <row r="441">
      <c r="A441" s="4" t="inlineStr">
        <is>
          <t>MAT-21-024</t>
        </is>
      </c>
      <c r="B441" s="5" t="inlineStr">
        <is>
          <t>Tola galvanizada 4 x 8 pies, 83.75 lb</t>
        </is>
      </c>
      <c r="C441" s="4" t="inlineStr">
        <is>
          <t>plancha</t>
        </is>
      </c>
      <c r="D441" s="10" t="n">
        <v>2364.86</v>
      </c>
      <c r="E441" s="10" t="n"/>
      <c r="F441" s="10" t="n"/>
      <c r="G441" s="10">
        <f>IF(COUNT(D441:F441)=0,"",MIN(D441:F441))</f>
        <v/>
      </c>
      <c r="H441" s="10">
        <f>IF(COUNT(D441:F441)=0,"",MEDIAN(D441:F441))</f>
        <v/>
      </c>
      <c r="I441" s="10">
        <f>IF(COUNT(D441:F441)=0,"",MAX(D441:F441))</f>
        <v/>
      </c>
      <c r="J441" s="11">
        <f>IF(OR(G441="",G441=0),"",(I441-G441)/G441)</f>
        <v/>
      </c>
      <c r="K441" s="4">
        <f>IF(COUNT(D441:F441)=0,"",INDEX($D$1:$F$1,MATCH(MIN(D441:F441),D441:F441,0)))</f>
        <v/>
      </c>
      <c r="L441" s="10" t="n">
        <v>2364.86</v>
      </c>
      <c r="M441" s="12" t="n">
        <v>1</v>
      </c>
    </row>
    <row r="442">
      <c r="A442" s="4" t="inlineStr">
        <is>
          <t>MAT-21-025</t>
        </is>
      </c>
      <c r="B442" s="5" t="inlineStr">
        <is>
          <t>Metal desplegable plano 3/8", plancha 4 x 8 pies</t>
        </is>
      </c>
      <c r="C442" s="4" t="inlineStr">
        <is>
          <t>plancha</t>
        </is>
      </c>
      <c r="D442" s="10" t="n">
        <v>2209.05</v>
      </c>
      <c r="E442" s="10" t="n"/>
      <c r="F442" s="10" t="n"/>
      <c r="G442" s="10">
        <f>IF(COUNT(D442:F442)=0,"",MIN(D442:F442))</f>
        <v/>
      </c>
      <c r="H442" s="10">
        <f>IF(COUNT(D442:F442)=0,"",MEDIAN(D442:F442))</f>
        <v/>
      </c>
      <c r="I442" s="10">
        <f>IF(COUNT(D442:F442)=0,"",MAX(D442:F442))</f>
        <v/>
      </c>
      <c r="J442" s="11">
        <f>IF(OR(G442="",G442=0),"",(I442-G442)/G442)</f>
        <v/>
      </c>
      <c r="K442" s="4">
        <f>IF(COUNT(D442:F442)=0,"",INDEX($D$1:$F$1,MATCH(MIN(D442:F442),D442:F442,0)))</f>
        <v/>
      </c>
      <c r="L442" s="10" t="n">
        <v>2209.05</v>
      </c>
      <c r="M442" s="12" t="n">
        <v>1</v>
      </c>
    </row>
    <row r="443">
      <c r="A443" s="4" t="inlineStr">
        <is>
          <t>MAT-21-026</t>
        </is>
      </c>
      <c r="B443" s="5" t="inlineStr">
        <is>
          <t>Metal desplegable plano 1/2", plancha 4 x 8 pies</t>
        </is>
      </c>
      <c r="C443" s="4" t="inlineStr">
        <is>
          <t>plancha</t>
        </is>
      </c>
      <c r="D443" s="10" t="n">
        <v>765.55</v>
      </c>
      <c r="E443" s="10" t="n"/>
      <c r="F443" s="10" t="n"/>
      <c r="G443" s="10">
        <f>IF(COUNT(D443:F443)=0,"",MIN(D443:F443))</f>
        <v/>
      </c>
      <c r="H443" s="10">
        <f>IF(COUNT(D443:F443)=0,"",MEDIAN(D443:F443))</f>
        <v/>
      </c>
      <c r="I443" s="10">
        <f>IF(COUNT(D443:F443)=0,"",MAX(D443:F443))</f>
        <v/>
      </c>
      <c r="J443" s="11">
        <f>IF(OR(G443="",G443=0),"",(I443-G443)/G443)</f>
        <v/>
      </c>
      <c r="K443" s="4">
        <f>IF(COUNT(D443:F443)=0,"",INDEX($D$1:$F$1,MATCH(MIN(D443:F443),D443:F443,0)))</f>
        <v/>
      </c>
      <c r="L443" s="10" t="n">
        <v>765.55</v>
      </c>
      <c r="M443" s="12" t="n">
        <v>1</v>
      </c>
    </row>
    <row r="444">
      <c r="A444" s="4" t="inlineStr">
        <is>
          <t>MAT-21-027</t>
        </is>
      </c>
      <c r="B444" s="5" t="inlineStr">
        <is>
          <t>Metal desplegable plano 3/4", plancha 4 x 8 pies</t>
        </is>
      </c>
      <c r="C444" s="4" t="inlineStr">
        <is>
          <t>plancha</t>
        </is>
      </c>
      <c r="D444" s="10" t="n">
        <v>850</v>
      </c>
      <c r="E444" s="10" t="n"/>
      <c r="F444" s="10" t="n"/>
      <c r="G444" s="10">
        <f>IF(COUNT(D444:F444)=0,"",MIN(D444:F444))</f>
        <v/>
      </c>
      <c r="H444" s="10">
        <f>IF(COUNT(D444:F444)=0,"",MEDIAN(D444:F444))</f>
        <v/>
      </c>
      <c r="I444" s="10">
        <f>IF(COUNT(D444:F444)=0,"",MAX(D444:F444))</f>
        <v/>
      </c>
      <c r="J444" s="11">
        <f>IF(OR(G444="",G444=0),"",(I444-G444)/G444)</f>
        <v/>
      </c>
      <c r="K444" s="4">
        <f>IF(COUNT(D444:F444)=0,"",INDEX($D$1:$F$1,MATCH(MIN(D444:F444),D444:F444,0)))</f>
        <v/>
      </c>
      <c r="L444" s="10" t="n">
        <v>850</v>
      </c>
      <c r="M444" s="12" t="n">
        <v>1</v>
      </c>
    </row>
    <row r="445">
      <c r="A445" s="4" t="inlineStr">
        <is>
          <t>MAT-21-028</t>
        </is>
      </c>
      <c r="B445" s="5" t="inlineStr">
        <is>
          <t>Metal desplegable plano 1", plancha 4 x 8 pies</t>
        </is>
      </c>
      <c r="C445" s="4" t="inlineStr">
        <is>
          <t>plancha</t>
        </is>
      </c>
      <c r="D445" s="10" t="n">
        <v>1080.47</v>
      </c>
      <c r="E445" s="10" t="n"/>
      <c r="F445" s="10" t="n"/>
      <c r="G445" s="10">
        <f>IF(COUNT(D445:F445)=0,"",MIN(D445:F445))</f>
        <v/>
      </c>
      <c r="H445" s="10">
        <f>IF(COUNT(D445:F445)=0,"",MEDIAN(D445:F445))</f>
        <v/>
      </c>
      <c r="I445" s="10">
        <f>IF(COUNT(D445:F445)=0,"",MAX(D445:F445))</f>
        <v/>
      </c>
      <c r="J445" s="11">
        <f>IF(OR(G445="",G445=0),"",(I445-G445)/G445)</f>
        <v/>
      </c>
      <c r="K445" s="4">
        <f>IF(COUNT(D445:F445)=0,"",INDEX($D$1:$F$1,MATCH(MIN(D445:F445),D445:F445,0)))</f>
        <v/>
      </c>
      <c r="L445" s="10" t="n">
        <v>1080.47</v>
      </c>
      <c r="M445" s="12" t="n">
        <v>1</v>
      </c>
    </row>
    <row r="446">
      <c r="A446" s="4" t="inlineStr">
        <is>
          <t>MAT-21-029</t>
        </is>
      </c>
      <c r="B446" s="5" t="inlineStr">
        <is>
          <t>Metal desplegable plano 1 1/2", plancha 4 x 8 pies</t>
        </is>
      </c>
      <c r="C446" s="4" t="inlineStr">
        <is>
          <t>plancha</t>
        </is>
      </c>
      <c r="D446" s="10" t="n">
        <v>939.35</v>
      </c>
      <c r="E446" s="10" t="n"/>
      <c r="F446" s="10" t="n"/>
      <c r="G446" s="10">
        <f>IF(COUNT(D446:F446)=0,"",MIN(D446:F446))</f>
        <v/>
      </c>
      <c r="H446" s="10">
        <f>IF(COUNT(D446:F446)=0,"",MEDIAN(D446:F446))</f>
        <v/>
      </c>
      <c r="I446" s="10">
        <f>IF(COUNT(D446:F446)=0,"",MAX(D446:F446))</f>
        <v/>
      </c>
      <c r="J446" s="11">
        <f>IF(OR(G446="",G446=0),"",(I446-G446)/G446)</f>
        <v/>
      </c>
      <c r="K446" s="4">
        <f>IF(COUNT(D446:F446)=0,"",INDEX($D$1:$F$1,MATCH(MIN(D446:F446),D446:F446,0)))</f>
        <v/>
      </c>
      <c r="L446" s="10" t="n">
        <v>939.35</v>
      </c>
      <c r="M446" s="12" t="n">
        <v>1</v>
      </c>
    </row>
    <row r="447">
      <c r="A447" s="4" t="inlineStr">
        <is>
          <t>MAT-22-001</t>
        </is>
      </c>
      <c r="B447" s="5" t="inlineStr">
        <is>
          <t>Alambre Trinchera Jabali Rollo 45 m</t>
        </is>
      </c>
      <c r="C447" s="4" t="inlineStr">
        <is>
          <t>rollo</t>
        </is>
      </c>
      <c r="D447" s="10" t="n"/>
      <c r="E447" s="10" t="n">
        <v>595</v>
      </c>
      <c r="F447" s="10" t="n"/>
      <c r="G447" s="10">
        <f>IF(COUNT(D447:F447)=0,"",MIN(D447:F447))</f>
        <v/>
      </c>
      <c r="H447" s="10">
        <f>IF(COUNT(D447:F447)=0,"",MEDIAN(D447:F447))</f>
        <v/>
      </c>
      <c r="I447" s="10">
        <f>IF(COUNT(D447:F447)=0,"",MAX(D447:F447))</f>
        <v/>
      </c>
      <c r="J447" s="11">
        <f>IF(OR(G447="",G447=0),"",(I447-G447)/G447)</f>
        <v/>
      </c>
      <c r="K447" s="4">
        <f>IF(COUNT(D447:F447)=0,"",INDEX($D$1:$F$1,MATCH(MIN(D447:F447),D447:F447,0)))</f>
        <v/>
      </c>
      <c r="L447" s="10" t="n">
        <v>595</v>
      </c>
      <c r="M447" s="12" t="n">
        <v>1</v>
      </c>
    </row>
    <row r="448">
      <c r="A448" s="4" t="inlineStr">
        <is>
          <t>MAT-22-002</t>
        </is>
      </c>
      <c r="B448" s="5" t="inlineStr">
        <is>
          <t>Proteccion Verja 3 Puya Barra Redonda</t>
        </is>
      </c>
      <c r="C448" s="4" t="inlineStr">
        <is>
          <t>unidad</t>
        </is>
      </c>
      <c r="D448" s="10" t="n"/>
      <c r="E448" s="10" t="n">
        <v>995</v>
      </c>
      <c r="F448" s="10" t="n"/>
      <c r="G448" s="10">
        <f>IF(COUNT(D448:F448)=0,"",MIN(D448:F448))</f>
        <v/>
      </c>
      <c r="H448" s="10">
        <f>IF(COUNT(D448:F448)=0,"",MEDIAN(D448:F448))</f>
        <v/>
      </c>
      <c r="I448" s="10">
        <f>IF(COUNT(D448:F448)=0,"",MAX(D448:F448))</f>
        <v/>
      </c>
      <c r="J448" s="11">
        <f>IF(OR(G448="",G448=0),"",(I448-G448)/G448)</f>
        <v/>
      </c>
      <c r="K448" s="4">
        <f>IF(COUNT(D448:F448)=0,"",INDEX($D$1:$F$1,MATCH(MIN(D448:F448),D448:F448,0)))</f>
        <v/>
      </c>
      <c r="L448" s="10" t="n">
        <v>995</v>
      </c>
      <c r="M448" s="12" t="n">
        <v>1</v>
      </c>
    </row>
    <row r="449">
      <c r="A449" s="4" t="inlineStr">
        <is>
          <t>MAT-22-003</t>
        </is>
      </c>
      <c r="B449" s="5" t="inlineStr">
        <is>
          <t>Proteccion Verja Planchuela 1 m</t>
        </is>
      </c>
      <c r="C449" s="4" t="inlineStr">
        <is>
          <t>unidad</t>
        </is>
      </c>
      <c r="D449" s="10" t="n"/>
      <c r="E449" s="10" t="n">
        <v>985</v>
      </c>
      <c r="F449" s="10" t="n"/>
      <c r="G449" s="10">
        <f>IF(COUNT(D449:F449)=0,"",MIN(D449:F449))</f>
        <v/>
      </c>
      <c r="H449" s="10">
        <f>IF(COUNT(D449:F449)=0,"",MEDIAN(D449:F449))</f>
        <v/>
      </c>
      <c r="I449" s="10">
        <f>IF(COUNT(D449:F449)=0,"",MAX(D449:F449))</f>
        <v/>
      </c>
      <c r="J449" s="11">
        <f>IF(OR(G449="",G449=0),"",(I449-G449)/G449)</f>
        <v/>
      </c>
      <c r="K449" s="4">
        <f>IF(COUNT(D449:F449)=0,"",INDEX($D$1:$F$1,MATCH(MIN(D449:F449),D449:F449,0)))</f>
        <v/>
      </c>
      <c r="L449" s="10" t="n">
        <v>985</v>
      </c>
      <c r="M449" s="12" t="n">
        <v>1</v>
      </c>
    </row>
    <row r="450">
      <c r="A450" s="4" t="inlineStr">
        <is>
          <t>MAT-22-004</t>
        </is>
      </c>
      <c r="B450" s="5" t="inlineStr">
        <is>
          <t>Malla ciclónica calibre 9, 3 pies de alto, rollo de 50 pies</t>
        </is>
      </c>
      <c r="C450" s="4" t="inlineStr">
        <is>
          <t>rollo</t>
        </is>
      </c>
      <c r="D450" s="10" t="n">
        <v>5223.1</v>
      </c>
      <c r="E450" s="10" t="n"/>
      <c r="F450" s="10" t="n"/>
      <c r="G450" s="10">
        <f>IF(COUNT(D450:F450)=0,"",MIN(D450:F450))</f>
        <v/>
      </c>
      <c r="H450" s="10">
        <f>IF(COUNT(D450:F450)=0,"",MEDIAN(D450:F450))</f>
        <v/>
      </c>
      <c r="I450" s="10">
        <f>IF(COUNT(D450:F450)=0,"",MAX(D450:F450))</f>
        <v/>
      </c>
      <c r="J450" s="11">
        <f>IF(OR(G450="",G450=0),"",(I450-G450)/G450)</f>
        <v/>
      </c>
      <c r="K450" s="4">
        <f>IF(COUNT(D450:F450)=0,"",INDEX($D$1:$F$1,MATCH(MIN(D450:F450),D450:F450,0)))</f>
        <v/>
      </c>
      <c r="L450" s="10" t="n">
        <v>5223.1</v>
      </c>
      <c r="M450" s="12" t="n">
        <v>1</v>
      </c>
    </row>
    <row r="451">
      <c r="A451" s="4" t="inlineStr">
        <is>
          <t>MAT-22-005</t>
        </is>
      </c>
      <c r="B451" s="5" t="inlineStr">
        <is>
          <t>Malla ciclónica calibre 9, 4 pies de alto, rollo de 50 pies</t>
        </is>
      </c>
      <c r="C451" s="4" t="inlineStr">
        <is>
          <t>rollo</t>
        </is>
      </c>
      <c r="D451" s="10" t="n">
        <v>6121.98</v>
      </c>
      <c r="E451" s="10" t="n"/>
      <c r="F451" s="10" t="n"/>
      <c r="G451" s="10">
        <f>IF(COUNT(D451:F451)=0,"",MIN(D451:F451))</f>
        <v/>
      </c>
      <c r="H451" s="10">
        <f>IF(COUNT(D451:F451)=0,"",MEDIAN(D451:F451))</f>
        <v/>
      </c>
      <c r="I451" s="10">
        <f>IF(COUNT(D451:F451)=0,"",MAX(D451:F451))</f>
        <v/>
      </c>
      <c r="J451" s="11">
        <f>IF(OR(G451="",G451=0),"",(I451-G451)/G451)</f>
        <v/>
      </c>
      <c r="K451" s="4">
        <f>IF(COUNT(D451:F451)=0,"",INDEX($D$1:$F$1,MATCH(MIN(D451:F451),D451:F451,0)))</f>
        <v/>
      </c>
      <c r="L451" s="10" t="n">
        <v>6121.98</v>
      </c>
      <c r="M451" s="12" t="n">
        <v>1</v>
      </c>
    </row>
    <row r="452">
      <c r="A452" s="4" t="inlineStr">
        <is>
          <t>MAT-22-006</t>
        </is>
      </c>
      <c r="B452" s="5" t="inlineStr">
        <is>
          <t>Malla ciclónica calibre 9, 6 pies de alto, rollo de 50 pies</t>
        </is>
      </c>
      <c r="C452" s="4" t="inlineStr">
        <is>
          <t>rollo</t>
        </is>
      </c>
      <c r="D452" s="10" t="n">
        <v>9867.16</v>
      </c>
      <c r="E452" s="10" t="n"/>
      <c r="F452" s="10" t="n"/>
      <c r="G452" s="10">
        <f>IF(COUNT(D452:F452)=0,"",MIN(D452:F452))</f>
        <v/>
      </c>
      <c r="H452" s="10">
        <f>IF(COUNT(D452:F452)=0,"",MEDIAN(D452:F452))</f>
        <v/>
      </c>
      <c r="I452" s="10">
        <f>IF(COUNT(D452:F452)=0,"",MAX(D452:F452))</f>
        <v/>
      </c>
      <c r="J452" s="11">
        <f>IF(OR(G452="",G452=0),"",(I452-G452)/G452)</f>
        <v/>
      </c>
      <c r="K452" s="4">
        <f>IF(COUNT(D452:F452)=0,"",INDEX($D$1:$F$1,MATCH(MIN(D452:F452),D452:F452,0)))</f>
        <v/>
      </c>
      <c r="L452" s="10" t="n">
        <v>9867.16</v>
      </c>
      <c r="M452" s="12" t="n">
        <v>1</v>
      </c>
    </row>
    <row r="453">
      <c r="A453" s="4" t="inlineStr">
        <is>
          <t>MAT-22-007</t>
        </is>
      </c>
      <c r="B453" s="5" t="inlineStr">
        <is>
          <t>Malla ciclónica calibre 9 revestida en PVC, 6 pies de alto, rollo de 50 pies</t>
        </is>
      </c>
      <c r="C453" s="4" t="inlineStr">
        <is>
          <t>rollo</t>
        </is>
      </c>
      <c r="D453" s="10" t="n">
        <v>11757.65</v>
      </c>
      <c r="E453" s="10" t="n">
        <v>14690</v>
      </c>
      <c r="F453" s="10" t="n"/>
      <c r="G453" s="10">
        <f>IF(COUNT(D453:F453)=0,"",MIN(D453:F453))</f>
        <v/>
      </c>
      <c r="H453" s="10">
        <f>IF(COUNT(D453:F453)=0,"",MEDIAN(D453:F453))</f>
        <v/>
      </c>
      <c r="I453" s="10">
        <f>IF(COUNT(D453:F453)=0,"",MAX(D453:F453))</f>
        <v/>
      </c>
      <c r="J453" s="11">
        <f>IF(OR(G453="",G453=0),"",(I453-G453)/G453)</f>
        <v/>
      </c>
      <c r="K453" s="4">
        <f>IF(COUNT(D453:F453)=0,"",INDEX($D$1:$F$1,MATCH(MIN(D453:F453),D453:F453,0)))</f>
        <v/>
      </c>
      <c r="L453" s="10" t="n">
        <v>13223.83</v>
      </c>
      <c r="M453" s="12" t="n">
        <v>2</v>
      </c>
    </row>
    <row r="454">
      <c r="A454" s="4" t="inlineStr">
        <is>
          <t>MAT-22-008</t>
        </is>
      </c>
      <c r="B454" s="5" t="inlineStr">
        <is>
          <t>Malla ciclónica calibre 9, 8 pies de alto, rollo de 50 pies</t>
        </is>
      </c>
      <c r="C454" s="4" t="inlineStr">
        <is>
          <t>rollo</t>
        </is>
      </c>
      <c r="D454" s="10" t="n">
        <v>13273.54</v>
      </c>
      <c r="E454" s="10" t="n"/>
      <c r="F454" s="10" t="n"/>
      <c r="G454" s="10">
        <f>IF(COUNT(D454:F454)=0,"",MIN(D454:F454))</f>
        <v/>
      </c>
      <c r="H454" s="10">
        <f>IF(COUNT(D454:F454)=0,"",MEDIAN(D454:F454))</f>
        <v/>
      </c>
      <c r="I454" s="10">
        <f>IF(COUNT(D454:F454)=0,"",MAX(D454:F454))</f>
        <v/>
      </c>
      <c r="J454" s="11">
        <f>IF(OR(G454="",G454=0),"",(I454-G454)/G454)</f>
        <v/>
      </c>
      <c r="K454" s="4">
        <f>IF(COUNT(D454:F454)=0,"",INDEX($D$1:$F$1,MATCH(MIN(D454:F454),D454:F454,0)))</f>
        <v/>
      </c>
      <c r="L454" s="10" t="n">
        <v>13273.54</v>
      </c>
      <c r="M454" s="12" t="n">
        <v>1</v>
      </c>
    </row>
    <row r="455">
      <c r="A455" s="4" t="inlineStr">
        <is>
          <t>MAT-22-009</t>
        </is>
      </c>
      <c r="B455" s="5" t="inlineStr">
        <is>
          <t>Tubo galvanizado para malla ciclónica 1 1/4" x 20 pies</t>
        </is>
      </c>
      <c r="C455" s="4" t="inlineStr">
        <is>
          <t>unidad</t>
        </is>
      </c>
      <c r="D455" s="10" t="n">
        <v>527.0599999999999</v>
      </c>
      <c r="E455" s="10" t="n">
        <v>730</v>
      </c>
      <c r="F455" s="10" t="n"/>
      <c r="G455" s="10">
        <f>IF(COUNT(D455:F455)=0,"",MIN(D455:F455))</f>
        <v/>
      </c>
      <c r="H455" s="10">
        <f>IF(COUNT(D455:F455)=0,"",MEDIAN(D455:F455))</f>
        <v/>
      </c>
      <c r="I455" s="10">
        <f>IF(COUNT(D455:F455)=0,"",MAX(D455:F455))</f>
        <v/>
      </c>
      <c r="J455" s="11">
        <f>IF(OR(G455="",G455=0),"",(I455-G455)/G455)</f>
        <v/>
      </c>
      <c r="K455" s="4">
        <f>IF(COUNT(D455:F455)=0,"",INDEX($D$1:$F$1,MATCH(MIN(D455:F455),D455:F455,0)))</f>
        <v/>
      </c>
      <c r="L455" s="10" t="n">
        <v>628.53</v>
      </c>
      <c r="M455" s="12" t="n">
        <v>2</v>
      </c>
    </row>
    <row r="456">
      <c r="A456" s="4" t="inlineStr">
        <is>
          <t>MAT-22-010</t>
        </is>
      </c>
      <c r="B456" s="5" t="inlineStr">
        <is>
          <t>Tubo galvanizado para malla ciclónica 1 1/2" x 15 pies</t>
        </is>
      </c>
      <c r="C456" s="4" t="inlineStr">
        <is>
          <t>unidad</t>
        </is>
      </c>
      <c r="D456" s="10" t="n">
        <v>462.61</v>
      </c>
      <c r="E456" s="10" t="n">
        <v>625</v>
      </c>
      <c r="F456" s="10" t="n"/>
      <c r="G456" s="10">
        <f>IF(COUNT(D456:F456)=0,"",MIN(D456:F456))</f>
        <v/>
      </c>
      <c r="H456" s="10">
        <f>IF(COUNT(D456:F456)=0,"",MEDIAN(D456:F456))</f>
        <v/>
      </c>
      <c r="I456" s="10">
        <f>IF(COUNT(D456:F456)=0,"",MAX(D456:F456))</f>
        <v/>
      </c>
      <c r="J456" s="11">
        <f>IF(OR(G456="",G456=0),"",(I456-G456)/G456)</f>
        <v/>
      </c>
      <c r="K456" s="4">
        <f>IF(COUNT(D456:F456)=0,"",INDEX($D$1:$F$1,MATCH(MIN(D456:F456),D456:F456,0)))</f>
        <v/>
      </c>
      <c r="L456" s="10" t="n">
        <v>543.8099999999999</v>
      </c>
      <c r="M456" s="12" t="n">
        <v>2</v>
      </c>
    </row>
    <row r="457">
      <c r="A457" s="4" t="inlineStr">
        <is>
          <t>MAT-22-011</t>
        </is>
      </c>
      <c r="B457" s="5" t="inlineStr">
        <is>
          <t>Tubo galvanizado para malla ciclónica 2" x 20 pies</t>
        </is>
      </c>
      <c r="C457" s="4" t="inlineStr">
        <is>
          <t>unidad</t>
        </is>
      </c>
      <c r="D457" s="10" t="n">
        <v>699.92</v>
      </c>
      <c r="E457" s="10" t="n"/>
      <c r="F457" s="10" t="n"/>
      <c r="G457" s="10">
        <f>IF(COUNT(D457:F457)=0,"",MIN(D457:F457))</f>
        <v/>
      </c>
      <c r="H457" s="10">
        <f>IF(COUNT(D457:F457)=0,"",MEDIAN(D457:F457))</f>
        <v/>
      </c>
      <c r="I457" s="10">
        <f>IF(COUNT(D457:F457)=0,"",MAX(D457:F457))</f>
        <v/>
      </c>
      <c r="J457" s="11">
        <f>IF(OR(G457="",G457=0),"",(I457-G457)/G457)</f>
        <v/>
      </c>
      <c r="K457" s="4">
        <f>IF(COUNT(D457:F457)=0,"",INDEX($D$1:$F$1,MATCH(MIN(D457:F457),D457:F457,0)))</f>
        <v/>
      </c>
      <c r="L457" s="10" t="n">
        <v>699.92</v>
      </c>
      <c r="M457" s="12" t="n">
        <v>1</v>
      </c>
    </row>
    <row r="458">
      <c r="A458" s="4" t="inlineStr">
        <is>
          <t>MAT-22-012</t>
        </is>
      </c>
      <c r="B458" s="5" t="inlineStr">
        <is>
          <t>Malla ciclónica calibre 11, 3 pies de alto, rollo de 50 pies</t>
        </is>
      </c>
      <c r="C458" s="4" t="inlineStr">
        <is>
          <t>rollo</t>
        </is>
      </c>
      <c r="D458" s="10" t="n">
        <v>4335.91</v>
      </c>
      <c r="E458" s="10" t="n"/>
      <c r="F458" s="10" t="n"/>
      <c r="G458" s="10">
        <f>IF(COUNT(D458:F458)=0,"",MIN(D458:F458))</f>
        <v/>
      </c>
      <c r="H458" s="10">
        <f>IF(COUNT(D458:F458)=0,"",MEDIAN(D458:F458))</f>
        <v/>
      </c>
      <c r="I458" s="10">
        <f>IF(COUNT(D458:F458)=0,"",MAX(D458:F458))</f>
        <v/>
      </c>
      <c r="J458" s="11">
        <f>IF(OR(G458="",G458=0),"",(I458-G458)/G458)</f>
        <v/>
      </c>
      <c r="K458" s="4">
        <f>IF(COUNT(D458:F458)=0,"",INDEX($D$1:$F$1,MATCH(MIN(D458:F458),D458:F458,0)))</f>
        <v/>
      </c>
      <c r="L458" s="10" t="n">
        <v>4335.91</v>
      </c>
      <c r="M458" s="12" t="n">
        <v>1</v>
      </c>
    </row>
    <row r="459">
      <c r="A459" s="4" t="inlineStr">
        <is>
          <t>MAT-22-013</t>
        </is>
      </c>
      <c r="B459" s="5" t="inlineStr">
        <is>
          <t>Malla ciclónica calibre 11, 6 pies de alto, rollo de 50 pies</t>
        </is>
      </c>
      <c r="C459" s="4" t="inlineStr">
        <is>
          <t>rollo</t>
        </is>
      </c>
      <c r="D459" s="10" t="n">
        <v>8694.459999999999</v>
      </c>
      <c r="E459" s="10" t="n">
        <v>10250</v>
      </c>
      <c r="F459" s="10" t="n"/>
      <c r="G459" s="10">
        <f>IF(COUNT(D459:F459)=0,"",MIN(D459:F459))</f>
        <v/>
      </c>
      <c r="H459" s="10">
        <f>IF(COUNT(D459:F459)=0,"",MEDIAN(D459:F459))</f>
        <v/>
      </c>
      <c r="I459" s="10">
        <f>IF(COUNT(D459:F459)=0,"",MAX(D459:F459))</f>
        <v/>
      </c>
      <c r="J459" s="11">
        <f>IF(OR(G459="",G459=0),"",(I459-G459)/G459)</f>
        <v/>
      </c>
      <c r="K459" s="4">
        <f>IF(COUNT(D459:F459)=0,"",INDEX($D$1:$F$1,MATCH(MIN(D459:F459),D459:F459,0)))</f>
        <v/>
      </c>
      <c r="L459" s="10" t="n">
        <v>9472.23</v>
      </c>
      <c r="M459" s="12" t="n">
        <v>2</v>
      </c>
    </row>
    <row r="460">
      <c r="A460" s="4" t="inlineStr">
        <is>
          <t>MAT-22-014</t>
        </is>
      </c>
      <c r="B460" s="5" t="inlineStr">
        <is>
          <t>Alambre de púas 1.50 mm, rollo de 250 metros</t>
        </is>
      </c>
      <c r="C460" s="4" t="inlineStr">
        <is>
          <t>rollo</t>
        </is>
      </c>
      <c r="D460" s="10" t="n">
        <v>2601.2</v>
      </c>
      <c r="E460" s="10" t="n"/>
      <c r="F460" s="10" t="n"/>
      <c r="G460" s="10">
        <f>IF(COUNT(D460:F460)=0,"",MIN(D460:F460))</f>
        <v/>
      </c>
      <c r="H460" s="10">
        <f>IF(COUNT(D460:F460)=0,"",MEDIAN(D460:F460))</f>
        <v/>
      </c>
      <c r="I460" s="10">
        <f>IF(COUNT(D460:F460)=0,"",MAX(D460:F460))</f>
        <v/>
      </c>
      <c r="J460" s="11">
        <f>IF(OR(G460="",G460=0),"",(I460-G460)/G460)</f>
        <v/>
      </c>
      <c r="K460" s="4">
        <f>IF(COUNT(D460:F460)=0,"",INDEX($D$1:$F$1,MATCH(MIN(D460:F460),D460:F460,0)))</f>
        <v/>
      </c>
      <c r="L460" s="10" t="n">
        <v>2601.2</v>
      </c>
      <c r="M460" s="12" t="n">
        <v>1</v>
      </c>
    </row>
    <row r="461">
      <c r="A461" s="4" t="inlineStr">
        <is>
          <t>MAT-22-015</t>
        </is>
      </c>
      <c r="B461" s="5" t="inlineStr">
        <is>
          <t>Alambre de púas calibre 15, rollo de 250 metros</t>
        </is>
      </c>
      <c r="C461" s="4" t="inlineStr">
        <is>
          <t>rollo</t>
        </is>
      </c>
      <c r="D461" s="10" t="n">
        <v>2541.47</v>
      </c>
      <c r="E461" s="10" t="n"/>
      <c r="F461" s="10" t="n"/>
      <c r="G461" s="10">
        <f>IF(COUNT(D461:F461)=0,"",MIN(D461:F461))</f>
        <v/>
      </c>
      <c r="H461" s="10">
        <f>IF(COUNT(D461:F461)=0,"",MEDIAN(D461:F461))</f>
        <v/>
      </c>
      <c r="I461" s="10">
        <f>IF(COUNT(D461:F461)=0,"",MAX(D461:F461))</f>
        <v/>
      </c>
      <c r="J461" s="11">
        <f>IF(OR(G461="",G461=0),"",(I461-G461)/G461)</f>
        <v/>
      </c>
      <c r="K461" s="4">
        <f>IF(COUNT(D461:F461)=0,"",INDEX($D$1:$F$1,MATCH(MIN(D461:F461),D461:F461,0)))</f>
        <v/>
      </c>
      <c r="L461" s="10" t="n">
        <v>2541.47</v>
      </c>
      <c r="M461" s="12" t="n">
        <v>1</v>
      </c>
    </row>
    <row r="462">
      <c r="A462" s="4" t="inlineStr">
        <is>
          <t>MAT-22-016</t>
        </is>
      </c>
      <c r="B462" s="5" t="inlineStr">
        <is>
          <t>Alambre de púas calibre 16, rollo de 110 metros</t>
        </is>
      </c>
      <c r="C462" s="4" t="inlineStr">
        <is>
          <t>rollo</t>
        </is>
      </c>
      <c r="D462" s="10" t="n">
        <v>964.11</v>
      </c>
      <c r="E462" s="10" t="n">
        <v>845</v>
      </c>
      <c r="F462" s="10" t="n"/>
      <c r="G462" s="10">
        <f>IF(COUNT(D462:F462)=0,"",MIN(D462:F462))</f>
        <v/>
      </c>
      <c r="H462" s="10">
        <f>IF(COUNT(D462:F462)=0,"",MEDIAN(D462:F462))</f>
        <v/>
      </c>
      <c r="I462" s="10">
        <f>IF(COUNT(D462:F462)=0,"",MAX(D462:F462))</f>
        <v/>
      </c>
      <c r="J462" s="11">
        <f>IF(OR(G462="",G462=0),"",(I462-G462)/G462)</f>
        <v/>
      </c>
      <c r="K462" s="4">
        <f>IF(COUNT(D462:F462)=0,"",INDEX($D$1:$F$1,MATCH(MIN(D462:F462),D462:F462,0)))</f>
        <v/>
      </c>
      <c r="L462" s="10" t="n">
        <v>904.5599999999999</v>
      </c>
      <c r="M462" s="12" t="n">
        <v>2</v>
      </c>
    </row>
    <row r="463">
      <c r="A463" s="4" t="inlineStr">
        <is>
          <t>MAT-22-017</t>
        </is>
      </c>
      <c r="B463" s="5" t="inlineStr">
        <is>
          <t>Alambre de púas calibre 16, rollo de 250 metros</t>
        </is>
      </c>
      <c r="C463" s="4" t="inlineStr">
        <is>
          <t>rollo</t>
        </is>
      </c>
      <c r="D463" s="10" t="n">
        <v>2108.46</v>
      </c>
      <c r="E463" s="10" t="n">
        <v>1885</v>
      </c>
      <c r="F463" s="10" t="n"/>
      <c r="G463" s="10">
        <f>IF(COUNT(D463:F463)=0,"",MIN(D463:F463))</f>
        <v/>
      </c>
      <c r="H463" s="10">
        <f>IF(COUNT(D463:F463)=0,"",MEDIAN(D463:F463))</f>
        <v/>
      </c>
      <c r="I463" s="10">
        <f>IF(COUNT(D463:F463)=0,"",MAX(D463:F463))</f>
        <v/>
      </c>
      <c r="J463" s="11">
        <f>IF(OR(G463="",G463=0),"",(I463-G463)/G463)</f>
        <v/>
      </c>
      <c r="K463" s="4">
        <f>IF(COUNT(D463:F463)=0,"",INDEX($D$1:$F$1,MATCH(MIN(D463:F463),D463:F463,0)))</f>
        <v/>
      </c>
      <c r="L463" s="10" t="n">
        <v>2533.09</v>
      </c>
      <c r="M463" s="12" t="n">
        <v>2</v>
      </c>
    </row>
    <row r="464">
      <c r="A464" s="4" t="inlineStr">
        <is>
          <t>MAT-22-018</t>
        </is>
      </c>
      <c r="B464" s="5" t="inlineStr">
        <is>
          <t>Alambre de púas calibre 17, rollo de 250 metros</t>
        </is>
      </c>
      <c r="C464" s="4" t="inlineStr">
        <is>
          <t>rollo</t>
        </is>
      </c>
      <c r="D464" s="10" t="n">
        <v>1933.36</v>
      </c>
      <c r="E464" s="10" t="n"/>
      <c r="F464" s="10" t="n"/>
      <c r="G464" s="10">
        <f>IF(COUNT(D464:F464)=0,"",MIN(D464:F464))</f>
        <v/>
      </c>
      <c r="H464" s="10">
        <f>IF(COUNT(D464:F464)=0,"",MEDIAN(D464:F464))</f>
        <v/>
      </c>
      <c r="I464" s="10">
        <f>IF(COUNT(D464:F464)=0,"",MAX(D464:F464))</f>
        <v/>
      </c>
      <c r="J464" s="11">
        <f>IF(OR(G464="",G464=0),"",(I464-G464)/G464)</f>
        <v/>
      </c>
      <c r="K464" s="4">
        <f>IF(COUNT(D464:F464)=0,"",INDEX($D$1:$F$1,MATCH(MIN(D464:F464),D464:F464,0)))</f>
        <v/>
      </c>
      <c r="L464" s="10" t="n">
        <v>1933.36</v>
      </c>
      <c r="M464" s="12" t="n">
        <v>1</v>
      </c>
    </row>
    <row r="465">
      <c r="A465" s="4" t="inlineStr">
        <is>
          <t>MAT-22-019</t>
        </is>
      </c>
      <c r="B465" s="5" t="inlineStr">
        <is>
          <t>Tela metálica calibre 16, retícula 1" x 2", 4 pies de alto</t>
        </is>
      </c>
      <c r="C465" s="4" t="inlineStr">
        <is>
          <t>yarda</t>
        </is>
      </c>
      <c r="D465" s="10" t="n">
        <v>113.78</v>
      </c>
      <c r="E465" s="10" t="n"/>
      <c r="F465" s="10" t="n"/>
      <c r="G465" s="10">
        <f>IF(COUNT(D465:F465)=0,"",MIN(D465:F465))</f>
        <v/>
      </c>
      <c r="H465" s="10">
        <f>IF(COUNT(D465:F465)=0,"",MEDIAN(D465:F465))</f>
        <v/>
      </c>
      <c r="I465" s="10">
        <f>IF(COUNT(D465:F465)=0,"",MAX(D465:F465))</f>
        <v/>
      </c>
      <c r="J465" s="11">
        <f>IF(OR(G465="",G465=0),"",(I465-G465)/G465)</f>
        <v/>
      </c>
      <c r="K465" s="4">
        <f>IF(COUNT(D465:F465)=0,"",INDEX($D$1:$F$1,MATCH(MIN(D465:F465),D465:F465,0)))</f>
        <v/>
      </c>
      <c r="L465" s="10" t="n">
        <v>113.78</v>
      </c>
      <c r="M465" s="12" t="n">
        <v>1</v>
      </c>
    </row>
    <row r="466">
      <c r="A466" s="4" t="inlineStr">
        <is>
          <t>MAT-22-020</t>
        </is>
      </c>
      <c r="B466" s="5" t="inlineStr">
        <is>
          <t>Tela metálica calibre 18, retícula 1/2" x 1/2", 4 pies de alto</t>
        </is>
      </c>
      <c r="C466" s="4" t="inlineStr">
        <is>
          <t>yarda</t>
        </is>
      </c>
      <c r="D466" s="10" t="n">
        <v>192.26</v>
      </c>
      <c r="E466" s="10" t="n"/>
      <c r="F466" s="10" t="n"/>
      <c r="G466" s="10">
        <f>IF(COUNT(D466:F466)=0,"",MIN(D466:F466))</f>
        <v/>
      </c>
      <c r="H466" s="10">
        <f>IF(COUNT(D466:F466)=0,"",MEDIAN(D466:F466))</f>
        <v/>
      </c>
      <c r="I466" s="10">
        <f>IF(COUNT(D466:F466)=0,"",MAX(D466:F466))</f>
        <v/>
      </c>
      <c r="J466" s="11">
        <f>IF(OR(G466="",G466=0),"",(I466-G466)/G466)</f>
        <v/>
      </c>
      <c r="K466" s="4">
        <f>IF(COUNT(D466:F466)=0,"",INDEX($D$1:$F$1,MATCH(MIN(D466:F466),D466:F466,0)))</f>
        <v/>
      </c>
      <c r="L466" s="10" t="n">
        <v>192.26</v>
      </c>
      <c r="M466" s="12" t="n">
        <v>1</v>
      </c>
    </row>
    <row r="467">
      <c r="A467" s="4" t="inlineStr">
        <is>
          <t>MAT-22-021</t>
        </is>
      </c>
      <c r="B467" s="5" t="inlineStr">
        <is>
          <t>Tela metálica calibre 18, retícula 1" x 1/2", 3 pies de alto</t>
        </is>
      </c>
      <c r="C467" s="4" t="inlineStr">
        <is>
          <t>yarda</t>
        </is>
      </c>
      <c r="D467" s="10" t="n">
        <v>106.11</v>
      </c>
      <c r="E467" s="10" t="n"/>
      <c r="F467" s="10" t="n"/>
      <c r="G467" s="10">
        <f>IF(COUNT(D467:F467)=0,"",MIN(D467:F467))</f>
        <v/>
      </c>
      <c r="H467" s="10">
        <f>IF(COUNT(D467:F467)=0,"",MEDIAN(D467:F467))</f>
        <v/>
      </c>
      <c r="I467" s="10">
        <f>IF(COUNT(D467:F467)=0,"",MAX(D467:F467))</f>
        <v/>
      </c>
      <c r="J467" s="11">
        <f>IF(OR(G467="",G467=0),"",(I467-G467)/G467)</f>
        <v/>
      </c>
      <c r="K467" s="4">
        <f>IF(COUNT(D467:F467)=0,"",INDEX($D$1:$F$1,MATCH(MIN(D467:F467),D467:F467,0)))</f>
        <v/>
      </c>
      <c r="L467" s="10" t="n">
        <v>106.11</v>
      </c>
      <c r="M467" s="12" t="n">
        <v>1</v>
      </c>
    </row>
    <row r="468">
      <c r="A468" s="4" t="inlineStr">
        <is>
          <t>MAT-22-022</t>
        </is>
      </c>
      <c r="B468" s="5" t="inlineStr">
        <is>
          <t>Tela metálica calibre 18, retícula 1" x 1/2", 4 pies de alto</t>
        </is>
      </c>
      <c r="C468" s="4" t="inlineStr">
        <is>
          <t>yarda</t>
        </is>
      </c>
      <c r="D468" s="10" t="n">
        <v>145.1</v>
      </c>
      <c r="E468" s="10" t="n"/>
      <c r="F468" s="10" t="n"/>
      <c r="G468" s="10">
        <f>IF(COUNT(D468:F468)=0,"",MIN(D468:F468))</f>
        <v/>
      </c>
      <c r="H468" s="10">
        <f>IF(COUNT(D468:F468)=0,"",MEDIAN(D468:F468))</f>
        <v/>
      </c>
      <c r="I468" s="10">
        <f>IF(COUNT(D468:F468)=0,"",MAX(D468:F468))</f>
        <v/>
      </c>
      <c r="J468" s="11">
        <f>IF(OR(G468="",G468=0),"",(I468-G468)/G468)</f>
        <v/>
      </c>
      <c r="K468" s="4">
        <f>IF(COUNT(D468:F468)=0,"",INDEX($D$1:$F$1,MATCH(MIN(D468:F468),D468:F468,0)))</f>
        <v/>
      </c>
      <c r="L468" s="10" t="n">
        <v>145.1</v>
      </c>
      <c r="M468" s="12" t="n">
        <v>1</v>
      </c>
    </row>
    <row r="469">
      <c r="A469" s="4" t="inlineStr">
        <is>
          <t>MAT-22-023</t>
        </is>
      </c>
      <c r="B469" s="5" t="inlineStr">
        <is>
          <t>Tela metálica calibre 20, retícula 1" x 2", 3 pies de alto</t>
        </is>
      </c>
      <c r="C469" s="4" t="inlineStr">
        <is>
          <t>yarda</t>
        </is>
      </c>
      <c r="D469" s="10" t="n">
        <v>37.54</v>
      </c>
      <c r="E469" s="10" t="n"/>
      <c r="F469" s="10" t="n"/>
      <c r="G469" s="10">
        <f>IF(COUNT(D469:F469)=0,"",MIN(D469:F469))</f>
        <v/>
      </c>
      <c r="H469" s="10">
        <f>IF(COUNT(D469:F469)=0,"",MEDIAN(D469:F469))</f>
        <v/>
      </c>
      <c r="I469" s="10">
        <f>IF(COUNT(D469:F469)=0,"",MAX(D469:F469))</f>
        <v/>
      </c>
      <c r="J469" s="11">
        <f>IF(OR(G469="",G469=0),"",(I469-G469)/G469)</f>
        <v/>
      </c>
      <c r="K469" s="4">
        <f>IF(COUNT(D469:F469)=0,"",INDEX($D$1:$F$1,MATCH(MIN(D469:F469),D469:F469,0)))</f>
        <v/>
      </c>
      <c r="L469" s="10" t="n">
        <v>37.54</v>
      </c>
      <c r="M469" s="12" t="n">
        <v>1</v>
      </c>
    </row>
    <row r="470">
      <c r="A470" s="4" t="inlineStr">
        <is>
          <t>MAT-22-024</t>
        </is>
      </c>
      <c r="B470" s="5" t="inlineStr">
        <is>
          <t>Tela metálica calibre 21, retícula 3/8" x 3/8", 3 pies de alto</t>
        </is>
      </c>
      <c r="C470" s="4" t="inlineStr">
        <is>
          <t>yarda</t>
        </is>
      </c>
      <c r="D470" s="10" t="n">
        <v>72.61</v>
      </c>
      <c r="E470" s="10" t="n"/>
      <c r="F470" s="10" t="n"/>
      <c r="G470" s="10">
        <f>IF(COUNT(D470:F470)=0,"",MIN(D470:F470))</f>
        <v/>
      </c>
      <c r="H470" s="10">
        <f>IF(COUNT(D470:F470)=0,"",MEDIAN(D470:F470))</f>
        <v/>
      </c>
      <c r="I470" s="10">
        <f>IF(COUNT(D470:F470)=0,"",MAX(D470:F470))</f>
        <v/>
      </c>
      <c r="J470" s="11">
        <f>IF(OR(G470="",G470=0),"",(I470-G470)/G470)</f>
        <v/>
      </c>
      <c r="K470" s="4">
        <f>IF(COUNT(D470:F470)=0,"",INDEX($D$1:$F$1,MATCH(MIN(D470:F470),D470:F470,0)))</f>
        <v/>
      </c>
      <c r="L470" s="10" t="n">
        <v>72.61</v>
      </c>
      <c r="M470" s="12" t="n">
        <v>1</v>
      </c>
    </row>
    <row r="471">
      <c r="A471" s="4" t="inlineStr">
        <is>
          <t>MAT-22-025</t>
        </is>
      </c>
      <c r="B471" s="5" t="inlineStr">
        <is>
          <t>Tela para gallinero calibre 19, 3 pies de alto</t>
        </is>
      </c>
      <c r="C471" s="4" t="inlineStr">
        <is>
          <t>yarda</t>
        </is>
      </c>
      <c r="D471" s="10" t="n">
        <v>54.04</v>
      </c>
      <c r="E471" s="10" t="n"/>
      <c r="F471" s="10" t="n"/>
      <c r="G471" s="10">
        <f>IF(COUNT(D471:F471)=0,"",MIN(D471:F471))</f>
        <v/>
      </c>
      <c r="H471" s="10">
        <f>IF(COUNT(D471:F471)=0,"",MEDIAN(D471:F471))</f>
        <v/>
      </c>
      <c r="I471" s="10">
        <f>IF(COUNT(D471:F471)=0,"",MAX(D471:F471))</f>
        <v/>
      </c>
      <c r="J471" s="11">
        <f>IF(OR(G471="",G471=0),"",(I471-G471)/G471)</f>
        <v/>
      </c>
      <c r="K471" s="4">
        <f>IF(COUNT(D471:F471)=0,"",INDEX($D$1:$F$1,MATCH(MIN(D471:F471),D471:F471,0)))</f>
        <v/>
      </c>
      <c r="L471" s="10" t="n">
        <v>54.04</v>
      </c>
      <c r="M471" s="12" t="n">
        <v>1</v>
      </c>
    </row>
    <row r="472">
      <c r="A472" s="4" t="inlineStr">
        <is>
          <t>MAT-22-026</t>
        </is>
      </c>
      <c r="B472" s="5" t="inlineStr">
        <is>
          <t>Tela para gallinero calibre 20, 3 pies de alto</t>
        </is>
      </c>
      <c r="C472" s="4" t="inlineStr">
        <is>
          <t>yarda</t>
        </is>
      </c>
      <c r="D472" s="10" t="n">
        <v>46.53</v>
      </c>
      <c r="E472" s="10" t="n"/>
      <c r="F472" s="10" t="n"/>
      <c r="G472" s="10">
        <f>IF(COUNT(D472:F472)=0,"",MIN(D472:F472))</f>
        <v/>
      </c>
      <c r="H472" s="10">
        <f>IF(COUNT(D472:F472)=0,"",MEDIAN(D472:F472))</f>
        <v/>
      </c>
      <c r="I472" s="10">
        <f>IF(COUNT(D472:F472)=0,"",MAX(D472:F472))</f>
        <v/>
      </c>
      <c r="J472" s="11">
        <f>IF(OR(G472="",G472=0),"",(I472-G472)/G472)</f>
        <v/>
      </c>
      <c r="K472" s="4">
        <f>IF(COUNT(D472:F472)=0,"",INDEX($D$1:$F$1,MATCH(MIN(D472:F472),D472:F472,0)))</f>
        <v/>
      </c>
      <c r="L472" s="10" t="n">
        <v>46.53</v>
      </c>
      <c r="M472" s="12" t="n">
        <v>1</v>
      </c>
    </row>
    <row r="473">
      <c r="A473" s="4" t="inlineStr">
        <is>
          <t>MAT-22-027</t>
        </is>
      </c>
      <c r="B473" s="5" t="inlineStr">
        <is>
          <t>Abrazadera corta para malla ciclónica 1 1/4"</t>
        </is>
      </c>
      <c r="C473" s="4" t="inlineStr">
        <is>
          <t>unidad</t>
        </is>
      </c>
      <c r="D473" s="10" t="n">
        <v>16.91</v>
      </c>
      <c r="E473" s="10" t="n"/>
      <c r="F473" s="10" t="n"/>
      <c r="G473" s="10">
        <f>IF(COUNT(D473:F473)=0,"",MIN(D473:F473))</f>
        <v/>
      </c>
      <c r="H473" s="10">
        <f>IF(COUNT(D473:F473)=0,"",MEDIAN(D473:F473))</f>
        <v/>
      </c>
      <c r="I473" s="10">
        <f>IF(COUNT(D473:F473)=0,"",MAX(D473:F473))</f>
        <v/>
      </c>
      <c r="J473" s="11">
        <f>IF(OR(G473="",G473=0),"",(I473-G473)/G473)</f>
        <v/>
      </c>
      <c r="K473" s="4">
        <f>IF(COUNT(D473:F473)=0,"",INDEX($D$1:$F$1,MATCH(MIN(D473:F473),D473:F473,0)))</f>
        <v/>
      </c>
      <c r="L473" s="10" t="n">
        <v>16.91</v>
      </c>
      <c r="M473" s="12" t="n">
        <v>1</v>
      </c>
    </row>
    <row r="474">
      <c r="A474" s="4" t="inlineStr">
        <is>
          <t>MAT-22-028</t>
        </is>
      </c>
      <c r="B474" s="5" t="inlineStr">
        <is>
          <t>Copa pasante para malla ciclónica 1 1/4" x 1 1/2"</t>
        </is>
      </c>
      <c r="C474" s="4" t="inlineStr">
        <is>
          <t>unidad</t>
        </is>
      </c>
      <c r="D474" s="10" t="n">
        <v>76.66</v>
      </c>
      <c r="E474" s="10" t="n">
        <v>98</v>
      </c>
      <c r="F474" s="10" t="n"/>
      <c r="G474" s="10">
        <f>IF(COUNT(D474:F474)=0,"",MIN(D474:F474))</f>
        <v/>
      </c>
      <c r="H474" s="10">
        <f>IF(COUNT(D474:F474)=0,"",MEDIAN(D474:F474))</f>
        <v/>
      </c>
      <c r="I474" s="10">
        <f>IF(COUNT(D474:F474)=0,"",MAX(D474:F474))</f>
        <v/>
      </c>
      <c r="J474" s="11">
        <f>IF(OR(G474="",G474=0),"",(I474-G474)/G474)</f>
        <v/>
      </c>
      <c r="K474" s="4">
        <f>IF(COUNT(D474:F474)=0,"",INDEX($D$1:$F$1,MATCH(MIN(D474:F474),D474:F474,0)))</f>
        <v/>
      </c>
      <c r="L474" s="10" t="n">
        <v>87.33</v>
      </c>
      <c r="M474" s="12" t="n">
        <v>2</v>
      </c>
    </row>
    <row r="475">
      <c r="A475" s="4" t="inlineStr">
        <is>
          <t>MAT-22-029</t>
        </is>
      </c>
      <c r="B475" s="5" t="inlineStr">
        <is>
          <t>Copa tensora para malla ciclónica 1 1/4"</t>
        </is>
      </c>
      <c r="C475" s="4" t="inlineStr">
        <is>
          <t>unidad</t>
        </is>
      </c>
      <c r="D475" s="10" t="n">
        <v>55.61</v>
      </c>
      <c r="E475" s="10" t="n"/>
      <c r="F475" s="10" t="n"/>
      <c r="G475" s="10">
        <f>IF(COUNT(D475:F475)=0,"",MIN(D475:F475))</f>
        <v/>
      </c>
      <c r="H475" s="10">
        <f>IF(COUNT(D475:F475)=0,"",MEDIAN(D475:F475))</f>
        <v/>
      </c>
      <c r="I475" s="10">
        <f>IF(COUNT(D475:F475)=0,"",MAX(D475:F475))</f>
        <v/>
      </c>
      <c r="J475" s="11">
        <f>IF(OR(G475="",G475=0),"",(I475-G475)/G475)</f>
        <v/>
      </c>
      <c r="K475" s="4">
        <f>IF(COUNT(D475:F475)=0,"",INDEX($D$1:$F$1,MATCH(MIN(D475:F475),D475:F475,0)))</f>
        <v/>
      </c>
      <c r="L475" s="10" t="n">
        <v>55.61</v>
      </c>
      <c r="M475" s="12" t="n">
        <v>1</v>
      </c>
    </row>
    <row r="476">
      <c r="A476" s="4" t="inlineStr">
        <is>
          <t>MAT-22-030</t>
        </is>
      </c>
      <c r="B476" s="5" t="inlineStr">
        <is>
          <t>Copa terminal para malla ciclónica 1 1/4"</t>
        </is>
      </c>
      <c r="C476" s="4" t="inlineStr">
        <is>
          <t>unidad</t>
        </is>
      </c>
      <c r="D476" s="10" t="n">
        <v>36.96</v>
      </c>
      <c r="E476" s="10" t="n"/>
      <c r="F476" s="10" t="n"/>
      <c r="G476" s="10">
        <f>IF(COUNT(D476:F476)=0,"",MIN(D476:F476))</f>
        <v/>
      </c>
      <c r="H476" s="10">
        <f>IF(COUNT(D476:F476)=0,"",MEDIAN(D476:F476))</f>
        <v/>
      </c>
      <c r="I476" s="10">
        <f>IF(COUNT(D476:F476)=0,"",MAX(D476:F476))</f>
        <v/>
      </c>
      <c r="J476" s="11">
        <f>IF(OR(G476="",G476=0),"",(I476-G476)/G476)</f>
        <v/>
      </c>
      <c r="K476" s="4">
        <f>IF(COUNT(D476:F476)=0,"",INDEX($D$1:$F$1,MATCH(MIN(D476:F476),D476:F476,0)))</f>
        <v/>
      </c>
      <c r="L476" s="10" t="n">
        <v>36.96</v>
      </c>
      <c r="M476" s="12" t="n">
        <v>1</v>
      </c>
    </row>
    <row r="477">
      <c r="A477" s="4" t="inlineStr">
        <is>
          <t>MAT-22-031</t>
        </is>
      </c>
      <c r="B477" s="5" t="inlineStr">
        <is>
          <t>Unión reforzada para malla ciclónica 1 1/4"</t>
        </is>
      </c>
      <c r="C477" s="4" t="inlineStr">
        <is>
          <t>unidad</t>
        </is>
      </c>
      <c r="D477" s="10" t="n">
        <v>60.03</v>
      </c>
      <c r="E477" s="10" t="n"/>
      <c r="F477" s="10" t="n"/>
      <c r="G477" s="10">
        <f>IF(COUNT(D477:F477)=0,"",MIN(D477:F477))</f>
        <v/>
      </c>
      <c r="H477" s="10">
        <f>IF(COUNT(D477:F477)=0,"",MEDIAN(D477:F477))</f>
        <v/>
      </c>
      <c r="I477" s="10">
        <f>IF(COUNT(D477:F477)=0,"",MAX(D477:F477))</f>
        <v/>
      </c>
      <c r="J477" s="11">
        <f>IF(OR(G477="",G477=0),"",(I477-G477)/G477)</f>
        <v/>
      </c>
      <c r="K477" s="4">
        <f>IF(COUNT(D477:F477)=0,"",INDEX($D$1:$F$1,MATCH(MIN(D477:F477),D477:F477,0)))</f>
        <v/>
      </c>
      <c r="L477" s="10" t="n">
        <v>60.03</v>
      </c>
      <c r="M477" s="12" t="n">
        <v>1</v>
      </c>
    </row>
    <row r="478">
      <c r="A478" s="4" t="inlineStr">
        <is>
          <t>MAT-22-032</t>
        </is>
      </c>
      <c r="B478" s="5" t="inlineStr">
        <is>
          <t>Abrazadera corta para malla ciclónica 1 1/2"</t>
        </is>
      </c>
      <c r="C478" s="4" t="inlineStr">
        <is>
          <t>unidad</t>
        </is>
      </c>
      <c r="D478" s="10" t="n">
        <v>19.14</v>
      </c>
      <c r="E478" s="10" t="n"/>
      <c r="F478" s="10" t="n"/>
      <c r="G478" s="10">
        <f>IF(COUNT(D478:F478)=0,"",MIN(D478:F478))</f>
        <v/>
      </c>
      <c r="H478" s="10">
        <f>IF(COUNT(D478:F478)=0,"",MEDIAN(D478:F478))</f>
        <v/>
      </c>
      <c r="I478" s="10">
        <f>IF(COUNT(D478:F478)=0,"",MAX(D478:F478))</f>
        <v/>
      </c>
      <c r="J478" s="11">
        <f>IF(OR(G478="",G478=0),"",(I478-G478)/G478)</f>
        <v/>
      </c>
      <c r="K478" s="4">
        <f>IF(COUNT(D478:F478)=0,"",INDEX($D$1:$F$1,MATCH(MIN(D478:F478),D478:F478,0)))</f>
        <v/>
      </c>
      <c r="L478" s="10" t="n">
        <v>19.14</v>
      </c>
      <c r="M478" s="12" t="n">
        <v>1</v>
      </c>
    </row>
    <row r="479">
      <c r="A479" s="4" t="inlineStr">
        <is>
          <t>MAT-22-033</t>
        </is>
      </c>
      <c r="B479" s="5" t="inlineStr">
        <is>
          <t>Abrazadera larga para malla ciclónica 1 1/2"</t>
        </is>
      </c>
      <c r="C479" s="4" t="inlineStr">
        <is>
          <t>unidad</t>
        </is>
      </c>
      <c r="D479" s="10" t="n">
        <v>28.77</v>
      </c>
      <c r="E479" s="10" t="n">
        <v>46</v>
      </c>
      <c r="F479" s="10" t="n"/>
      <c r="G479" s="10">
        <f>IF(COUNT(D479:F479)=0,"",MIN(D479:F479))</f>
        <v/>
      </c>
      <c r="H479" s="10">
        <f>IF(COUNT(D479:F479)=0,"",MEDIAN(D479:F479))</f>
        <v/>
      </c>
      <c r="I479" s="10">
        <f>IF(COUNT(D479:F479)=0,"",MAX(D479:F479))</f>
        <v/>
      </c>
      <c r="J479" s="11">
        <f>IF(OR(G479="",G479=0),"",(I479-G479)/G479)</f>
        <v/>
      </c>
      <c r="K479" s="4">
        <f>IF(COUNT(D479:F479)=0,"",INDEX($D$1:$F$1,MATCH(MIN(D479:F479),D479:F479,0)))</f>
        <v/>
      </c>
      <c r="L479" s="10" t="n">
        <v>37.39</v>
      </c>
      <c r="M479" s="12" t="n">
        <v>2</v>
      </c>
    </row>
    <row r="480">
      <c r="A480" s="4" t="inlineStr">
        <is>
          <t>MAT-22-034</t>
        </is>
      </c>
      <c r="B480" s="5" t="inlineStr">
        <is>
          <t>Brazo doble para malla ciclónica 1 1/2" x 1 1/4"</t>
        </is>
      </c>
      <c r="C480" s="4" t="inlineStr">
        <is>
          <t>unidad</t>
        </is>
      </c>
      <c r="D480" s="10" t="n">
        <v>187.9</v>
      </c>
      <c r="E480" s="10" t="n">
        <v>277</v>
      </c>
      <c r="F480" s="10" t="n"/>
      <c r="G480" s="10">
        <f>IF(COUNT(D480:F480)=0,"",MIN(D480:F480))</f>
        <v/>
      </c>
      <c r="H480" s="10">
        <f>IF(COUNT(D480:F480)=0,"",MEDIAN(D480:F480))</f>
        <v/>
      </c>
      <c r="I480" s="10">
        <f>IF(COUNT(D480:F480)=0,"",MAX(D480:F480))</f>
        <v/>
      </c>
      <c r="J480" s="11">
        <f>IF(OR(G480="",G480=0),"",(I480-G480)/G480)</f>
        <v/>
      </c>
      <c r="K480" s="4">
        <f>IF(COUNT(D480:F480)=0,"",INDEX($D$1:$F$1,MATCH(MIN(D480:F480),D480:F480,0)))</f>
        <v/>
      </c>
      <c r="L480" s="10" t="n">
        <v>232.45</v>
      </c>
      <c r="M480" s="12" t="n">
        <v>2</v>
      </c>
    </row>
    <row r="481">
      <c r="A481" s="4" t="inlineStr">
        <is>
          <t>MAT-22-035</t>
        </is>
      </c>
      <c r="B481" s="5" t="inlineStr">
        <is>
          <t>Brazo sencillo para malla ciclónica 1 1/2" x 1 1/4"</t>
        </is>
      </c>
      <c r="C481" s="4" t="inlineStr">
        <is>
          <t>unidad</t>
        </is>
      </c>
      <c r="D481" s="10" t="n">
        <v>124.76</v>
      </c>
      <c r="E481" s="10" t="n">
        <v>168</v>
      </c>
      <c r="F481" s="10" t="n"/>
      <c r="G481" s="10">
        <f>IF(COUNT(D481:F481)=0,"",MIN(D481:F481))</f>
        <v/>
      </c>
      <c r="H481" s="10">
        <f>IF(COUNT(D481:F481)=0,"",MEDIAN(D481:F481))</f>
        <v/>
      </c>
      <c r="I481" s="10">
        <f>IF(COUNT(D481:F481)=0,"",MAX(D481:F481))</f>
        <v/>
      </c>
      <c r="J481" s="11">
        <f>IF(OR(G481="",G481=0),"",(I481-G481)/G481)</f>
        <v/>
      </c>
      <c r="K481" s="4">
        <f>IF(COUNT(D481:F481)=0,"",INDEX($D$1:$F$1,MATCH(MIN(D481:F481),D481:F481,0)))</f>
        <v/>
      </c>
      <c r="L481" s="10" t="n">
        <v>146.38</v>
      </c>
      <c r="M481" s="12" t="n">
        <v>2</v>
      </c>
    </row>
    <row r="482">
      <c r="A482" s="4" t="inlineStr">
        <is>
          <t>MAT-22-036</t>
        </is>
      </c>
      <c r="B482" s="5" t="inlineStr">
        <is>
          <t>Copa pasante para malla ciclónica 1 1/2" x 1 1/2"</t>
        </is>
      </c>
      <c r="C482" s="4" t="inlineStr">
        <is>
          <t>unidad</t>
        </is>
      </c>
      <c r="D482" s="10" t="n">
        <v>76.66</v>
      </c>
      <c r="E482" s="10" t="n"/>
      <c r="F482" s="10" t="n"/>
      <c r="G482" s="10">
        <f>IF(COUNT(D482:F482)=0,"",MIN(D482:F482))</f>
        <v/>
      </c>
      <c r="H482" s="10">
        <f>IF(COUNT(D482:F482)=0,"",MEDIAN(D482:F482))</f>
        <v/>
      </c>
      <c r="I482" s="10">
        <f>IF(COUNT(D482:F482)=0,"",MAX(D482:F482))</f>
        <v/>
      </c>
      <c r="J482" s="11">
        <f>IF(OR(G482="",G482=0),"",(I482-G482)/G482)</f>
        <v/>
      </c>
      <c r="K482" s="4">
        <f>IF(COUNT(D482:F482)=0,"",INDEX($D$1:$F$1,MATCH(MIN(D482:F482),D482:F482,0)))</f>
        <v/>
      </c>
      <c r="L482" s="10" t="n">
        <v>76.66</v>
      </c>
      <c r="M482" s="12" t="n">
        <v>1</v>
      </c>
    </row>
    <row r="483">
      <c r="A483" s="4" t="inlineStr">
        <is>
          <t>MAT-22-037</t>
        </is>
      </c>
      <c r="B483" s="5" t="inlineStr">
        <is>
          <t>Copa terminal para malla ciclónica 1 1/2"</t>
        </is>
      </c>
      <c r="C483" s="4" t="inlineStr">
        <is>
          <t>unidad</t>
        </is>
      </c>
      <c r="D483" s="10" t="n">
        <v>61.63</v>
      </c>
      <c r="E483" s="10" t="n">
        <v>105</v>
      </c>
      <c r="F483" s="10" t="n"/>
      <c r="G483" s="10">
        <f>IF(COUNT(D483:F483)=0,"",MIN(D483:F483))</f>
        <v/>
      </c>
      <c r="H483" s="10">
        <f>IF(COUNT(D483:F483)=0,"",MEDIAN(D483:F483))</f>
        <v/>
      </c>
      <c r="I483" s="10">
        <f>IF(COUNT(D483:F483)=0,"",MAX(D483:F483))</f>
        <v/>
      </c>
      <c r="J483" s="11">
        <f>IF(OR(G483="",G483=0),"",(I483-G483)/G483)</f>
        <v/>
      </c>
      <c r="K483" s="4">
        <f>IF(COUNT(D483:F483)=0,"",INDEX($D$1:$F$1,MATCH(MIN(D483:F483),D483:F483,0)))</f>
        <v/>
      </c>
      <c r="L483" s="10" t="n">
        <v>83.31999999999999</v>
      </c>
      <c r="M483" s="12" t="n">
        <v>2</v>
      </c>
    </row>
    <row r="484">
      <c r="A484" s="4" t="inlineStr">
        <is>
          <t>MAT-22-038</t>
        </is>
      </c>
      <c r="B484" s="5" t="inlineStr">
        <is>
          <t>Abrazadera corta para malla ciclónica 2"</t>
        </is>
      </c>
      <c r="C484" s="4" t="inlineStr">
        <is>
          <t>unidad</t>
        </is>
      </c>
      <c r="D484" s="10" t="n">
        <v>21.04</v>
      </c>
      <c r="E484" s="10" t="n"/>
      <c r="F484" s="10" t="n"/>
      <c r="G484" s="10">
        <f>IF(COUNT(D484:F484)=0,"",MIN(D484:F484))</f>
        <v/>
      </c>
      <c r="H484" s="10">
        <f>IF(COUNT(D484:F484)=0,"",MEDIAN(D484:F484))</f>
        <v/>
      </c>
      <c r="I484" s="10">
        <f>IF(COUNT(D484:F484)=0,"",MAX(D484:F484))</f>
        <v/>
      </c>
      <c r="J484" s="11">
        <f>IF(OR(G484="",G484=0),"",(I484-G484)/G484)</f>
        <v/>
      </c>
      <c r="K484" s="4">
        <f>IF(COUNT(D484:F484)=0,"",INDEX($D$1:$F$1,MATCH(MIN(D484:F484),D484:F484,0)))</f>
        <v/>
      </c>
      <c r="L484" s="10" t="n">
        <v>21.04</v>
      </c>
      <c r="M484" s="12" t="n">
        <v>1</v>
      </c>
    </row>
    <row r="485">
      <c r="A485" s="4" t="inlineStr">
        <is>
          <t>MAT-22-039</t>
        </is>
      </c>
      <c r="B485" s="5" t="inlineStr">
        <is>
          <t>Abrazadera larga para malla ciclónica 2"</t>
        </is>
      </c>
      <c r="C485" s="4" t="inlineStr">
        <is>
          <t>unidad</t>
        </is>
      </c>
      <c r="D485" s="10" t="n">
        <v>20.38</v>
      </c>
      <c r="E485" s="10" t="n"/>
      <c r="F485" s="10" t="n"/>
      <c r="G485" s="10">
        <f>IF(COUNT(D485:F485)=0,"",MIN(D485:F485))</f>
        <v/>
      </c>
      <c r="H485" s="10">
        <f>IF(COUNT(D485:F485)=0,"",MEDIAN(D485:F485))</f>
        <v/>
      </c>
      <c r="I485" s="10">
        <f>IF(COUNT(D485:F485)=0,"",MAX(D485:F485))</f>
        <v/>
      </c>
      <c r="J485" s="11">
        <f>IF(OR(G485="",G485=0),"",(I485-G485)/G485)</f>
        <v/>
      </c>
      <c r="K485" s="4">
        <f>IF(COUNT(D485:F485)=0,"",INDEX($D$1:$F$1,MATCH(MIN(D485:F485),D485:F485,0)))</f>
        <v/>
      </c>
      <c r="L485" s="10" t="n">
        <v>20.38</v>
      </c>
      <c r="M485" s="12" t="n">
        <v>1</v>
      </c>
    </row>
    <row r="486">
      <c r="A486" s="4" t="inlineStr">
        <is>
          <t>MAT-22-040</t>
        </is>
      </c>
      <c r="B486" s="5" t="inlineStr">
        <is>
          <t>Brazo sencillo para malla ciclónica 2" x 1 1/4"</t>
        </is>
      </c>
      <c r="C486" s="4" t="inlineStr">
        <is>
          <t>unidad</t>
        </is>
      </c>
      <c r="D486" s="10" t="n">
        <v>187.9</v>
      </c>
      <c r="E486" s="10" t="n"/>
      <c r="F486" s="10" t="n"/>
      <c r="G486" s="10">
        <f>IF(COUNT(D486:F486)=0,"",MIN(D486:F486))</f>
        <v/>
      </c>
      <c r="H486" s="10">
        <f>IF(COUNT(D486:F486)=0,"",MEDIAN(D486:F486))</f>
        <v/>
      </c>
      <c r="I486" s="10">
        <f>IF(COUNT(D486:F486)=0,"",MAX(D486:F486))</f>
        <v/>
      </c>
      <c r="J486" s="11">
        <f>IF(OR(G486="",G486=0),"",(I486-G486)/G486)</f>
        <v/>
      </c>
      <c r="K486" s="4">
        <f>IF(COUNT(D486:F486)=0,"",INDEX($D$1:$F$1,MATCH(MIN(D486:F486),D486:F486,0)))</f>
        <v/>
      </c>
      <c r="L486" s="10" t="n">
        <v>187.9</v>
      </c>
      <c r="M486" s="12" t="n">
        <v>1</v>
      </c>
    </row>
    <row r="487">
      <c r="A487" s="4" t="inlineStr">
        <is>
          <t>MAT-22-041</t>
        </is>
      </c>
      <c r="B487" s="5" t="inlineStr">
        <is>
          <t>Brazo doble para malla ciclónica 2" x 1 1/2"</t>
        </is>
      </c>
      <c r="C487" s="4" t="inlineStr">
        <is>
          <t>unidad</t>
        </is>
      </c>
      <c r="D487" s="10" t="n">
        <v>373.18</v>
      </c>
      <c r="E487" s="10" t="n"/>
      <c r="F487" s="10" t="n"/>
      <c r="G487" s="10">
        <f>IF(COUNT(D487:F487)=0,"",MIN(D487:F487))</f>
        <v/>
      </c>
      <c r="H487" s="10">
        <f>IF(COUNT(D487:F487)=0,"",MEDIAN(D487:F487))</f>
        <v/>
      </c>
      <c r="I487" s="10">
        <f>IF(COUNT(D487:F487)=0,"",MAX(D487:F487))</f>
        <v/>
      </c>
      <c r="J487" s="11">
        <f>IF(OR(G487="",G487=0),"",(I487-G487)/G487)</f>
        <v/>
      </c>
      <c r="K487" s="4">
        <f>IF(COUNT(D487:F487)=0,"",INDEX($D$1:$F$1,MATCH(MIN(D487:F487),D487:F487,0)))</f>
        <v/>
      </c>
      <c r="L487" s="10" t="n">
        <v>373.18</v>
      </c>
      <c r="M487" s="12" t="n">
        <v>1</v>
      </c>
    </row>
    <row r="488">
      <c r="A488" s="4" t="inlineStr">
        <is>
          <t>MAT-22-042</t>
        </is>
      </c>
      <c r="B488" s="5" t="inlineStr">
        <is>
          <t>Copa terminal para malla ciclónica 2"</t>
        </is>
      </c>
      <c r="C488" s="4" t="inlineStr">
        <is>
          <t>unidad</t>
        </is>
      </c>
      <c r="D488" s="10" t="n">
        <v>51.11</v>
      </c>
      <c r="E488" s="10" t="n"/>
      <c r="F488" s="10" t="n"/>
      <c r="G488" s="10">
        <f>IF(COUNT(D488:F488)=0,"",MIN(D488:F488))</f>
        <v/>
      </c>
      <c r="H488" s="10">
        <f>IF(COUNT(D488:F488)=0,"",MEDIAN(D488:F488))</f>
        <v/>
      </c>
      <c r="I488" s="10">
        <f>IF(COUNT(D488:F488)=0,"",MAX(D488:F488))</f>
        <v/>
      </c>
      <c r="J488" s="11">
        <f>IF(OR(G488="",G488=0),"",(I488-G488)/G488)</f>
        <v/>
      </c>
      <c r="K488" s="4">
        <f>IF(COUNT(D488:F488)=0,"",INDEX($D$1:$F$1,MATCH(MIN(D488:F488),D488:F488,0)))</f>
        <v/>
      </c>
      <c r="L488" s="10" t="n">
        <v>51.11</v>
      </c>
      <c r="M488" s="12" t="n">
        <v>1</v>
      </c>
    </row>
    <row r="489">
      <c r="A489" s="4" t="inlineStr">
        <is>
          <t>MAT-22-043</t>
        </is>
      </c>
      <c r="B489" s="5" t="inlineStr">
        <is>
          <t>Brazo para malla ciclónica 2 3/8" x 1 1/2"</t>
        </is>
      </c>
      <c r="C489" s="4" t="inlineStr">
        <is>
          <t>unidad</t>
        </is>
      </c>
      <c r="D489" s="10" t="n">
        <v>300.64</v>
      </c>
      <c r="E489" s="10" t="n"/>
      <c r="F489" s="10" t="n"/>
      <c r="G489" s="10">
        <f>IF(COUNT(D489:F489)=0,"",MIN(D489:F489))</f>
        <v/>
      </c>
      <c r="H489" s="10">
        <f>IF(COUNT(D489:F489)=0,"",MEDIAN(D489:F489))</f>
        <v/>
      </c>
      <c r="I489" s="10">
        <f>IF(COUNT(D489:F489)=0,"",MAX(D489:F489))</f>
        <v/>
      </c>
      <c r="J489" s="11">
        <f>IF(OR(G489="",G489=0),"",(I489-G489)/G489)</f>
        <v/>
      </c>
      <c r="K489" s="4">
        <f>IF(COUNT(D489:F489)=0,"",INDEX($D$1:$F$1,MATCH(MIN(D489:F489),D489:F489,0)))</f>
        <v/>
      </c>
      <c r="L489" s="10" t="n">
        <v>300.64</v>
      </c>
      <c r="M489" s="12" t="n">
        <v>1</v>
      </c>
    </row>
    <row r="490">
      <c r="A490" s="4" t="inlineStr">
        <is>
          <t>MAT-22-044</t>
        </is>
      </c>
      <c r="B490" s="5" t="inlineStr">
        <is>
          <t>Copa terminal para malla ciclónica 3"</t>
        </is>
      </c>
      <c r="C490" s="4" t="inlineStr">
        <is>
          <t>unidad</t>
        </is>
      </c>
      <c r="D490" s="10" t="n">
        <v>36.5</v>
      </c>
      <c r="E490" s="10" t="n"/>
      <c r="F490" s="10" t="n"/>
      <c r="G490" s="10">
        <f>IF(COUNT(D490:F490)=0,"",MIN(D490:F490))</f>
        <v/>
      </c>
      <c r="H490" s="10">
        <f>IF(COUNT(D490:F490)=0,"",MEDIAN(D490:F490))</f>
        <v/>
      </c>
      <c r="I490" s="10">
        <f>IF(COUNT(D490:F490)=0,"",MAX(D490:F490))</f>
        <v/>
      </c>
      <c r="J490" s="11">
        <f>IF(OR(G490="",G490=0),"",(I490-G490)/G490)</f>
        <v/>
      </c>
      <c r="K490" s="4">
        <f>IF(COUNT(D490:F490)=0,"",INDEX($D$1:$F$1,MATCH(MIN(D490:F490),D490:F490,0)))</f>
        <v/>
      </c>
      <c r="L490" s="10" t="n">
        <v>36.5</v>
      </c>
      <c r="M490" s="12" t="n">
        <v>1</v>
      </c>
    </row>
    <row r="491">
      <c r="A491" s="4" t="inlineStr">
        <is>
          <t>MAT-23-001</t>
        </is>
      </c>
      <c r="B491" s="5" t="inlineStr">
        <is>
          <t>Tubo redondo de aluminio 3/8" x 19.20 pies</t>
        </is>
      </c>
      <c r="C491" s="4" t="inlineStr">
        <is>
          <t>unidad</t>
        </is>
      </c>
      <c r="D491" s="10" t="n">
        <v>299.9</v>
      </c>
      <c r="E491" s="10" t="n"/>
      <c r="F491" s="10" t="n"/>
      <c r="G491" s="10">
        <f>IF(COUNT(D491:F491)=0,"",MIN(D491:F491))</f>
        <v/>
      </c>
      <c r="H491" s="10">
        <f>IF(COUNT(D491:F491)=0,"",MEDIAN(D491:F491))</f>
        <v/>
      </c>
      <c r="I491" s="10">
        <f>IF(COUNT(D491:F491)=0,"",MAX(D491:F491))</f>
        <v/>
      </c>
      <c r="J491" s="11">
        <f>IF(OR(G491="",G491=0),"",(I491-G491)/G491)</f>
        <v/>
      </c>
      <c r="K491" s="4">
        <f>IF(COUNT(D491:F491)=0,"",INDEX($D$1:$F$1,MATCH(MIN(D491:F491),D491:F491,0)))</f>
        <v/>
      </c>
      <c r="L491" s="10" t="n">
        <v>299.9</v>
      </c>
      <c r="M491" s="12" t="n">
        <v>1</v>
      </c>
    </row>
    <row r="492">
      <c r="A492" s="4" t="inlineStr">
        <is>
          <t>MAT-23-002</t>
        </is>
      </c>
      <c r="B492" s="5" t="inlineStr">
        <is>
          <t>Tubo redondo de aluminio 1/2" x 19.20 pies</t>
        </is>
      </c>
      <c r="C492" s="4" t="inlineStr">
        <is>
          <t>unidad</t>
        </is>
      </c>
      <c r="D492" s="10" t="n">
        <v>373.61</v>
      </c>
      <c r="E492" s="10" t="n"/>
      <c r="F492" s="10" t="n"/>
      <c r="G492" s="10">
        <f>IF(COUNT(D492:F492)=0,"",MIN(D492:F492))</f>
        <v/>
      </c>
      <c r="H492" s="10">
        <f>IF(COUNT(D492:F492)=0,"",MEDIAN(D492:F492))</f>
        <v/>
      </c>
      <c r="I492" s="10">
        <f>IF(COUNT(D492:F492)=0,"",MAX(D492:F492))</f>
        <v/>
      </c>
      <c r="J492" s="11">
        <f>IF(OR(G492="",G492=0),"",(I492-G492)/G492)</f>
        <v/>
      </c>
      <c r="K492" s="4">
        <f>IF(COUNT(D492:F492)=0,"",INDEX($D$1:$F$1,MATCH(MIN(D492:F492),D492:F492,0)))</f>
        <v/>
      </c>
      <c r="L492" s="10" t="n">
        <v>373.61</v>
      </c>
      <c r="M492" s="12" t="n">
        <v>1</v>
      </c>
    </row>
    <row r="493">
      <c r="A493" s="4" t="inlineStr">
        <is>
          <t>MAT-23-003</t>
        </is>
      </c>
      <c r="B493" s="5" t="inlineStr">
        <is>
          <t>Planchuela de aluminio 1/2" x 1/8" x 19.20 pies</t>
        </is>
      </c>
      <c r="C493" s="4" t="inlineStr">
        <is>
          <t>unidad</t>
        </is>
      </c>
      <c r="D493" s="10" t="n">
        <v>452.36</v>
      </c>
      <c r="E493" s="10" t="n"/>
      <c r="F493" s="10" t="n"/>
      <c r="G493" s="10">
        <f>IF(COUNT(D493:F493)=0,"",MIN(D493:F493))</f>
        <v/>
      </c>
      <c r="H493" s="10">
        <f>IF(COUNT(D493:F493)=0,"",MEDIAN(D493:F493))</f>
        <v/>
      </c>
      <c r="I493" s="10">
        <f>IF(COUNT(D493:F493)=0,"",MAX(D493:F493))</f>
        <v/>
      </c>
      <c r="J493" s="11">
        <f>IF(OR(G493="",G493=0),"",(I493-G493)/G493)</f>
        <v/>
      </c>
      <c r="K493" s="4">
        <f>IF(COUNT(D493:F493)=0,"",INDEX($D$1:$F$1,MATCH(MIN(D493:F493),D493:F493,0)))</f>
        <v/>
      </c>
      <c r="L493" s="10" t="n">
        <v>452.36</v>
      </c>
      <c r="M493" s="12" t="n">
        <v>1</v>
      </c>
    </row>
    <row r="494">
      <c r="A494" s="4" t="inlineStr">
        <is>
          <t>MAT-23-004</t>
        </is>
      </c>
      <c r="B494" s="5" t="inlineStr">
        <is>
          <t>Angular de aluminio 1/2" x 1/2" x 19.20 pies</t>
        </is>
      </c>
      <c r="C494" s="4" t="inlineStr">
        <is>
          <t>unidad</t>
        </is>
      </c>
      <c r="D494" s="10" t="n">
        <v>394.72</v>
      </c>
      <c r="E494" s="10" t="n">
        <v>295</v>
      </c>
      <c r="F494" s="10" t="n"/>
      <c r="G494" s="10">
        <f>IF(COUNT(D494:F494)=0,"",MIN(D494:F494))</f>
        <v/>
      </c>
      <c r="H494" s="10">
        <f>IF(COUNT(D494:F494)=0,"",MEDIAN(D494:F494))</f>
        <v/>
      </c>
      <c r="I494" s="10">
        <f>IF(COUNT(D494:F494)=0,"",MAX(D494:F494))</f>
        <v/>
      </c>
      <c r="J494" s="11">
        <f>IF(OR(G494="",G494=0),"",(I494-G494)/G494)</f>
        <v/>
      </c>
      <c r="K494" s="4">
        <f>IF(COUNT(D494:F494)=0,"",INDEX($D$1:$F$1,MATCH(MIN(D494:F494),D494:F494,0)))</f>
        <v/>
      </c>
      <c r="L494" s="10" t="n">
        <v>344.86</v>
      </c>
      <c r="M494" s="12" t="n">
        <v>2</v>
      </c>
    </row>
    <row r="495">
      <c r="A495" s="4" t="inlineStr">
        <is>
          <t>MAT-23-005</t>
        </is>
      </c>
      <c r="B495" s="5" t="inlineStr">
        <is>
          <t>Moldura U de aluminio 1/2" x 1/2" x 19.20 pies</t>
        </is>
      </c>
      <c r="C495" s="4" t="inlineStr">
        <is>
          <t>unidad</t>
        </is>
      </c>
      <c r="D495" s="10" t="n">
        <v>377.71</v>
      </c>
      <c r="E495" s="10" t="n"/>
      <c r="F495" s="10" t="n"/>
      <c r="G495" s="10">
        <f>IF(COUNT(D495:F495)=0,"",MIN(D495:F495))</f>
        <v/>
      </c>
      <c r="H495" s="10">
        <f>IF(COUNT(D495:F495)=0,"",MEDIAN(D495:F495))</f>
        <v/>
      </c>
      <c r="I495" s="10">
        <f>IF(COUNT(D495:F495)=0,"",MAX(D495:F495))</f>
        <v/>
      </c>
      <c r="J495" s="11">
        <f>IF(OR(G495="",G495=0),"",(I495-G495)/G495)</f>
        <v/>
      </c>
      <c r="K495" s="4">
        <f>IF(COUNT(D495:F495)=0,"",INDEX($D$1:$F$1,MATCH(MIN(D495:F495),D495:F495,0)))</f>
        <v/>
      </c>
      <c r="L495" s="10" t="n">
        <v>377.71</v>
      </c>
      <c r="M495" s="12" t="n">
        <v>1</v>
      </c>
    </row>
    <row r="496">
      <c r="A496" s="4" t="inlineStr">
        <is>
          <t>MAT-23-006</t>
        </is>
      </c>
      <c r="B496" s="5" t="inlineStr">
        <is>
          <t>Angular Aluminio 1 x 1"X19'</t>
        </is>
      </c>
      <c r="C496" s="4" t="inlineStr">
        <is>
          <t>unidad</t>
        </is>
      </c>
      <c r="D496" s="10" t="n"/>
      <c r="E496" s="10" t="n">
        <v>750</v>
      </c>
      <c r="F496" s="10" t="n"/>
      <c r="G496" s="10">
        <f>IF(COUNT(D496:F496)=0,"",MIN(D496:F496))</f>
        <v/>
      </c>
      <c r="H496" s="10">
        <f>IF(COUNT(D496:F496)=0,"",MEDIAN(D496:F496))</f>
        <v/>
      </c>
      <c r="I496" s="10">
        <f>IF(COUNT(D496:F496)=0,"",MAX(D496:F496))</f>
        <v/>
      </c>
      <c r="J496" s="11">
        <f>IF(OR(G496="",G496=0),"",(I496-G496)/G496)</f>
        <v/>
      </c>
      <c r="K496" s="4">
        <f>IF(COUNT(D496:F496)=0,"",INDEX($D$1:$F$1,MATCH(MIN(D496:F496),D496:F496,0)))</f>
        <v/>
      </c>
      <c r="L496" s="10" t="n">
        <v>750</v>
      </c>
      <c r="M496" s="12" t="n">
        <v>1</v>
      </c>
    </row>
    <row r="497">
      <c r="A497" s="4" t="inlineStr">
        <is>
          <t>MAT-23-007</t>
        </is>
      </c>
      <c r="B497" s="5" t="inlineStr">
        <is>
          <t>Angular Aluminio 3 / 4 x 1 / 2"X19'</t>
        </is>
      </c>
      <c r="C497" s="4" t="inlineStr">
        <is>
          <t>unidad</t>
        </is>
      </c>
      <c r="D497" s="10" t="n"/>
      <c r="E497" s="10" t="n">
        <v>398</v>
      </c>
      <c r="F497" s="10" t="n"/>
      <c r="G497" s="10">
        <f>IF(COUNT(D497:F497)=0,"",MIN(D497:F497))</f>
        <v/>
      </c>
      <c r="H497" s="10">
        <f>IF(COUNT(D497:F497)=0,"",MEDIAN(D497:F497))</f>
        <v/>
      </c>
      <c r="I497" s="10">
        <f>IF(COUNT(D497:F497)=0,"",MAX(D497:F497))</f>
        <v/>
      </c>
      <c r="J497" s="11">
        <f>IF(OR(G497="",G497=0),"",(I497-G497)/G497)</f>
        <v/>
      </c>
      <c r="K497" s="4">
        <f>IF(COUNT(D497:F497)=0,"",INDEX($D$1:$F$1,MATCH(MIN(D497:F497),D497:F497,0)))</f>
        <v/>
      </c>
      <c r="L497" s="10" t="n">
        <v>398</v>
      </c>
      <c r="M497" s="12" t="n">
        <v>1</v>
      </c>
    </row>
    <row r="498">
      <c r="A498" s="4" t="inlineStr">
        <is>
          <t>MAT-23-008</t>
        </is>
      </c>
      <c r="B498" s="5" t="inlineStr">
        <is>
          <t>Moldura U de aluminio 5/8" x 5/8" x 19.20 pies</t>
        </is>
      </c>
      <c r="C498" s="4" t="inlineStr">
        <is>
          <t>unidad</t>
        </is>
      </c>
      <c r="D498" s="10" t="n">
        <v>827.9</v>
      </c>
      <c r="E498" s="10" t="n"/>
      <c r="F498" s="10" t="n"/>
      <c r="G498" s="10">
        <f>IF(COUNT(D498:F498)=0,"",MIN(D498:F498))</f>
        <v/>
      </c>
      <c r="H498" s="10">
        <f>IF(COUNT(D498:F498)=0,"",MEDIAN(D498:F498))</f>
        <v/>
      </c>
      <c r="I498" s="10">
        <f>IF(COUNT(D498:F498)=0,"",MAX(D498:F498))</f>
        <v/>
      </c>
      <c r="J498" s="11">
        <f>IF(OR(G498="",G498=0),"",(I498-G498)/G498)</f>
        <v/>
      </c>
      <c r="K498" s="4">
        <f>IF(COUNT(D498:F498)=0,"",INDEX($D$1:$F$1,MATCH(MIN(D498:F498),D498:F498,0)))</f>
        <v/>
      </c>
      <c r="L498" s="10" t="n">
        <v>827.9</v>
      </c>
      <c r="M498" s="12" t="n">
        <v>1</v>
      </c>
    </row>
    <row r="499">
      <c r="A499" s="4" t="inlineStr">
        <is>
          <t>MAT-23-009</t>
        </is>
      </c>
      <c r="B499" s="5" t="inlineStr">
        <is>
          <t>Tubo redondo de aluminio 3/4" x 19.20 pies</t>
        </is>
      </c>
      <c r="C499" s="4" t="inlineStr">
        <is>
          <t>unidad</t>
        </is>
      </c>
      <c r="D499" s="10" t="n">
        <v>772.42</v>
      </c>
      <c r="E499" s="10" t="n"/>
      <c r="F499" s="10" t="n"/>
      <c r="G499" s="10">
        <f>IF(COUNT(D499:F499)=0,"",MIN(D499:F499))</f>
        <v/>
      </c>
      <c r="H499" s="10">
        <f>IF(COUNT(D499:F499)=0,"",MEDIAN(D499:F499))</f>
        <v/>
      </c>
      <c r="I499" s="10">
        <f>IF(COUNT(D499:F499)=0,"",MAX(D499:F499))</f>
        <v/>
      </c>
      <c r="J499" s="11">
        <f>IF(OR(G499="",G499=0),"",(I499-G499)/G499)</f>
        <v/>
      </c>
      <c r="K499" s="4">
        <f>IF(COUNT(D499:F499)=0,"",INDEX($D$1:$F$1,MATCH(MIN(D499:F499),D499:F499,0)))</f>
        <v/>
      </c>
      <c r="L499" s="10" t="n">
        <v>772.42</v>
      </c>
      <c r="M499" s="12" t="n">
        <v>1</v>
      </c>
    </row>
    <row r="500">
      <c r="A500" s="4" t="inlineStr">
        <is>
          <t>MAT-23-010</t>
        </is>
      </c>
      <c r="B500" s="5" t="inlineStr">
        <is>
          <t>Angular de aluminio 3/4" x 3/4" x 19.20 pies</t>
        </is>
      </c>
      <c r="C500" s="4" t="inlineStr">
        <is>
          <t>unidad</t>
        </is>
      </c>
      <c r="D500" s="10" t="n">
        <v>436.29</v>
      </c>
      <c r="E500" s="10" t="n">
        <v>445</v>
      </c>
      <c r="F500" s="10" t="n"/>
      <c r="G500" s="10">
        <f>IF(COUNT(D500:F500)=0,"",MIN(D500:F500))</f>
        <v/>
      </c>
      <c r="H500" s="10">
        <f>IF(COUNT(D500:F500)=0,"",MEDIAN(D500:F500))</f>
        <v/>
      </c>
      <c r="I500" s="10">
        <f>IF(COUNT(D500:F500)=0,"",MAX(D500:F500))</f>
        <v/>
      </c>
      <c r="J500" s="11">
        <f>IF(OR(G500="",G500=0),"",(I500-G500)/G500)</f>
        <v/>
      </c>
      <c r="K500" s="4">
        <f>IF(COUNT(D500:F500)=0,"",INDEX($D$1:$F$1,MATCH(MIN(D500:F500),D500:F500,0)))</f>
        <v/>
      </c>
      <c r="L500" s="10" t="n">
        <v>440.65</v>
      </c>
      <c r="M500" s="12" t="n">
        <v>2</v>
      </c>
    </row>
    <row r="501">
      <c r="A501" s="4" t="inlineStr">
        <is>
          <t>MAT-23-011</t>
        </is>
      </c>
      <c r="B501" s="5" t="inlineStr">
        <is>
          <t>Tubo redondo de aluminio 1" x 19.20 pies</t>
        </is>
      </c>
      <c r="C501" s="4" t="inlineStr">
        <is>
          <t>unidad</t>
        </is>
      </c>
      <c r="D501" s="10" t="n">
        <v>957.33</v>
      </c>
      <c r="E501" s="10" t="n"/>
      <c r="F501" s="10" t="n"/>
      <c r="G501" s="10">
        <f>IF(COUNT(D501:F501)=0,"",MIN(D501:F501))</f>
        <v/>
      </c>
      <c r="H501" s="10">
        <f>IF(COUNT(D501:F501)=0,"",MEDIAN(D501:F501))</f>
        <v/>
      </c>
      <c r="I501" s="10">
        <f>IF(COUNT(D501:F501)=0,"",MAX(D501:F501))</f>
        <v/>
      </c>
      <c r="J501" s="11">
        <f>IF(OR(G501="",G501=0),"",(I501-G501)/G501)</f>
        <v/>
      </c>
      <c r="K501" s="4">
        <f>IF(COUNT(D501:F501)=0,"",INDEX($D$1:$F$1,MATCH(MIN(D501:F501),D501:F501,0)))</f>
        <v/>
      </c>
      <c r="L501" s="10" t="n">
        <v>957.33</v>
      </c>
      <c r="M501" s="12" t="n">
        <v>1</v>
      </c>
    </row>
    <row r="502">
      <c r="A502" s="4" t="inlineStr">
        <is>
          <t>MAT-23-012</t>
        </is>
      </c>
      <c r="B502" s="5" t="inlineStr">
        <is>
          <t>Planchuela de aluminio 1" x 1/4" x 19.20 pies</t>
        </is>
      </c>
      <c r="C502" s="4" t="inlineStr">
        <is>
          <t>unidad</t>
        </is>
      </c>
      <c r="D502" s="10" t="n">
        <v>1709.91</v>
      </c>
      <c r="E502" s="10" t="n"/>
      <c r="F502" s="10" t="n"/>
      <c r="G502" s="10">
        <f>IF(COUNT(D502:F502)=0,"",MIN(D502:F502))</f>
        <v/>
      </c>
      <c r="H502" s="10">
        <f>IF(COUNT(D502:F502)=0,"",MEDIAN(D502:F502))</f>
        <v/>
      </c>
      <c r="I502" s="10">
        <f>IF(COUNT(D502:F502)=0,"",MAX(D502:F502))</f>
        <v/>
      </c>
      <c r="J502" s="11">
        <f>IF(OR(G502="",G502=0),"",(I502-G502)/G502)</f>
        <v/>
      </c>
      <c r="K502" s="4">
        <f>IF(COUNT(D502:F502)=0,"",INDEX($D$1:$F$1,MATCH(MIN(D502:F502),D502:F502,0)))</f>
        <v/>
      </c>
      <c r="L502" s="10" t="n">
        <v>1709.91</v>
      </c>
      <c r="M502" s="12" t="n">
        <v>1</v>
      </c>
    </row>
    <row r="503">
      <c r="A503" s="4" t="inlineStr">
        <is>
          <t>MAT-23-013</t>
        </is>
      </c>
      <c r="B503" s="5" t="inlineStr">
        <is>
          <t>Angular de aluminio 1" x 3/4" x 19.20 pies</t>
        </is>
      </c>
      <c r="C503" s="4" t="inlineStr">
        <is>
          <t>unidad</t>
        </is>
      </c>
      <c r="D503" s="10" t="n">
        <v>626.5700000000001</v>
      </c>
      <c r="E503" s="10" t="n">
        <v>755</v>
      </c>
      <c r="F503" s="10" t="n"/>
      <c r="G503" s="10">
        <f>IF(COUNT(D503:F503)=0,"",MIN(D503:F503))</f>
        <v/>
      </c>
      <c r="H503" s="10">
        <f>IF(COUNT(D503:F503)=0,"",MEDIAN(D503:F503))</f>
        <v/>
      </c>
      <c r="I503" s="10">
        <f>IF(COUNT(D503:F503)=0,"",MAX(D503:F503))</f>
        <v/>
      </c>
      <c r="J503" s="11">
        <f>IF(OR(G503="",G503=0),"",(I503-G503)/G503)</f>
        <v/>
      </c>
      <c r="K503" s="4">
        <f>IF(COUNT(D503:F503)=0,"",INDEX($D$1:$F$1,MATCH(MIN(D503:F503),D503:F503,0)))</f>
        <v/>
      </c>
      <c r="L503" s="10" t="n">
        <v>690.79</v>
      </c>
      <c r="M503" s="12" t="n">
        <v>2</v>
      </c>
    </row>
    <row r="504">
      <c r="A504" s="4" t="inlineStr">
        <is>
          <t>MAT-23-014</t>
        </is>
      </c>
      <c r="B504" s="5" t="inlineStr">
        <is>
          <t>Perfil de aluminio 1" x 1" x 19.20 pies</t>
        </is>
      </c>
      <c r="C504" s="4" t="inlineStr">
        <is>
          <t>unidad</t>
        </is>
      </c>
      <c r="D504" s="10" t="n">
        <v>1336.93</v>
      </c>
      <c r="E504" s="10" t="n"/>
      <c r="F504" s="10" t="n"/>
      <c r="G504" s="10">
        <f>IF(COUNT(D504:F504)=0,"",MIN(D504:F504))</f>
        <v/>
      </c>
      <c r="H504" s="10">
        <f>IF(COUNT(D504:F504)=0,"",MEDIAN(D504:F504))</f>
        <v/>
      </c>
      <c r="I504" s="10">
        <f>IF(COUNT(D504:F504)=0,"",MAX(D504:F504))</f>
        <v/>
      </c>
      <c r="J504" s="11">
        <f>IF(OR(G504="",G504=0),"",(I504-G504)/G504)</f>
        <v/>
      </c>
      <c r="K504" s="4">
        <f>IF(COUNT(D504:F504)=0,"",INDEX($D$1:$F$1,MATCH(MIN(D504:F504),D504:F504,0)))</f>
        <v/>
      </c>
      <c r="L504" s="10" t="n">
        <v>1336.93</v>
      </c>
      <c r="M504" s="12" t="n">
        <v>1</v>
      </c>
    </row>
    <row r="505">
      <c r="A505" s="4" t="inlineStr">
        <is>
          <t>MAT-23-015</t>
        </is>
      </c>
      <c r="B505" s="5" t="inlineStr">
        <is>
          <t>Tubo redondo de aluminio 1 1/4" x 19.20 pies</t>
        </is>
      </c>
      <c r="C505" s="4" t="inlineStr">
        <is>
          <t>unidad</t>
        </is>
      </c>
      <c r="D505" s="10" t="n">
        <v>2185.58</v>
      </c>
      <c r="E505" s="10" t="n"/>
      <c r="F505" s="10" t="n"/>
      <c r="G505" s="10">
        <f>IF(COUNT(D505:F505)=0,"",MIN(D505:F505))</f>
        <v/>
      </c>
      <c r="H505" s="10">
        <f>IF(COUNT(D505:F505)=0,"",MEDIAN(D505:F505))</f>
        <v/>
      </c>
      <c r="I505" s="10">
        <f>IF(COUNT(D505:F505)=0,"",MAX(D505:F505))</f>
        <v/>
      </c>
      <c r="J505" s="11">
        <f>IF(OR(G505="",G505=0),"",(I505-G505)/G505)</f>
        <v/>
      </c>
      <c r="K505" s="4">
        <f>IF(COUNT(D505:F505)=0,"",INDEX($D$1:$F$1,MATCH(MIN(D505:F505),D505:F505,0)))</f>
        <v/>
      </c>
      <c r="L505" s="10" t="n">
        <v>2185.58</v>
      </c>
      <c r="M505" s="12" t="n">
        <v>1</v>
      </c>
    </row>
    <row r="506">
      <c r="A506" s="4" t="inlineStr">
        <is>
          <t>MAT-23-016</t>
        </is>
      </c>
      <c r="B506" s="5" t="inlineStr">
        <is>
          <t>Angular de aluminio 1 1/4" x 1 1/4" x 19.20 pies</t>
        </is>
      </c>
      <c r="C506" s="4" t="inlineStr">
        <is>
          <t>unidad</t>
        </is>
      </c>
      <c r="D506" s="10" t="n">
        <v>982.22</v>
      </c>
      <c r="E506" s="10" t="n">
        <v>1165</v>
      </c>
      <c r="F506" s="10" t="n"/>
      <c r="G506" s="10">
        <f>IF(COUNT(D506:F506)=0,"",MIN(D506:F506))</f>
        <v/>
      </c>
      <c r="H506" s="10">
        <f>IF(COUNT(D506:F506)=0,"",MEDIAN(D506:F506))</f>
        <v/>
      </c>
      <c r="I506" s="10">
        <f>IF(COUNT(D506:F506)=0,"",MAX(D506:F506))</f>
        <v/>
      </c>
      <c r="J506" s="11">
        <f>IF(OR(G506="",G506=0),"",(I506-G506)/G506)</f>
        <v/>
      </c>
      <c r="K506" s="4">
        <f>IF(COUNT(D506:F506)=0,"",INDEX($D$1:$F$1,MATCH(MIN(D506:F506),D506:F506,0)))</f>
        <v/>
      </c>
      <c r="L506" s="10" t="n">
        <v>1073.61</v>
      </c>
      <c r="M506" s="12" t="n">
        <v>2</v>
      </c>
    </row>
    <row r="507">
      <c r="A507" s="4" t="inlineStr">
        <is>
          <t>MAT-23-017</t>
        </is>
      </c>
      <c r="B507" s="5" t="inlineStr">
        <is>
          <t>Planchuela de aluminio 1 1/2" x 1/4" x 19.20 pies</t>
        </is>
      </c>
      <c r="C507" s="4" t="inlineStr">
        <is>
          <t>unidad</t>
        </is>
      </c>
      <c r="D507" s="10" t="n">
        <v>2567.7</v>
      </c>
      <c r="E507" s="10" t="n"/>
      <c r="F507" s="10" t="n"/>
      <c r="G507" s="10">
        <f>IF(COUNT(D507:F507)=0,"",MIN(D507:F507))</f>
        <v/>
      </c>
      <c r="H507" s="10">
        <f>IF(COUNT(D507:F507)=0,"",MEDIAN(D507:F507))</f>
        <v/>
      </c>
      <c r="I507" s="10">
        <f>IF(COUNT(D507:F507)=0,"",MAX(D507:F507))</f>
        <v/>
      </c>
      <c r="J507" s="11">
        <f>IF(OR(G507="",G507=0),"",(I507-G507)/G507)</f>
        <v/>
      </c>
      <c r="K507" s="4">
        <f>IF(COUNT(D507:F507)=0,"",INDEX($D$1:$F$1,MATCH(MIN(D507:F507),D507:F507,0)))</f>
        <v/>
      </c>
      <c r="L507" s="10" t="n">
        <v>2567.7</v>
      </c>
      <c r="M507" s="12" t="n">
        <v>1</v>
      </c>
    </row>
    <row r="508">
      <c r="A508" s="4" t="inlineStr">
        <is>
          <t>MAT-23-018</t>
        </is>
      </c>
      <c r="B508" s="5" t="inlineStr">
        <is>
          <t>Moldura U de aluminio 1 1/2" x 3/4" x 19.20 pies</t>
        </is>
      </c>
      <c r="C508" s="4" t="inlineStr">
        <is>
          <t>unidad</t>
        </is>
      </c>
      <c r="D508" s="10" t="n">
        <v>1117.37</v>
      </c>
      <c r="E508" s="10" t="n"/>
      <c r="F508" s="10" t="n"/>
      <c r="G508" s="10">
        <f>IF(COUNT(D508:F508)=0,"",MIN(D508:F508))</f>
        <v/>
      </c>
      <c r="H508" s="10">
        <f>IF(COUNT(D508:F508)=0,"",MEDIAN(D508:F508))</f>
        <v/>
      </c>
      <c r="I508" s="10">
        <f>IF(COUNT(D508:F508)=0,"",MAX(D508:F508))</f>
        <v/>
      </c>
      <c r="J508" s="11">
        <f>IF(OR(G508="",G508=0),"",(I508-G508)/G508)</f>
        <v/>
      </c>
      <c r="K508" s="4">
        <f>IF(COUNT(D508:F508)=0,"",INDEX($D$1:$F$1,MATCH(MIN(D508:F508),D508:F508,0)))</f>
        <v/>
      </c>
      <c r="L508" s="10" t="n">
        <v>1117.37</v>
      </c>
      <c r="M508" s="12" t="n">
        <v>1</v>
      </c>
    </row>
    <row r="509">
      <c r="A509" s="4" t="inlineStr">
        <is>
          <t>MAT-23-019</t>
        </is>
      </c>
      <c r="B509" s="5" t="inlineStr">
        <is>
          <t>Angular de aluminio 1 1/2" x 1 1/2" x 19.20 pies</t>
        </is>
      </c>
      <c r="C509" s="4" t="inlineStr">
        <is>
          <t>unidad</t>
        </is>
      </c>
      <c r="D509" s="10" t="n">
        <v>2473.52</v>
      </c>
      <c r="E509" s="10" t="n"/>
      <c r="F509" s="10" t="n"/>
      <c r="G509" s="10">
        <f>IF(COUNT(D509:F509)=0,"",MIN(D509:F509))</f>
        <v/>
      </c>
      <c r="H509" s="10">
        <f>IF(COUNT(D509:F509)=0,"",MEDIAN(D509:F509))</f>
        <v/>
      </c>
      <c r="I509" s="10">
        <f>IF(COUNT(D509:F509)=0,"",MAX(D509:F509))</f>
        <v/>
      </c>
      <c r="J509" s="11">
        <f>IF(OR(G509="",G509=0),"",(I509-G509)/G509)</f>
        <v/>
      </c>
      <c r="K509" s="4">
        <f>IF(COUNT(D509:F509)=0,"",INDEX($D$1:$F$1,MATCH(MIN(D509:F509),D509:F509,0)))</f>
        <v/>
      </c>
      <c r="L509" s="10" t="n">
        <v>2473.52</v>
      </c>
      <c r="M509" s="12" t="n">
        <v>1</v>
      </c>
    </row>
    <row r="510">
      <c r="A510" s="4" t="inlineStr">
        <is>
          <t>MAT-23-020</t>
        </is>
      </c>
      <c r="B510" s="5" t="inlineStr">
        <is>
          <t>Perfil cuadrado de aluminio 1 1/2" x 1 1/2" x 19.20 pies</t>
        </is>
      </c>
      <c r="C510" s="4" t="inlineStr">
        <is>
          <t>unidad</t>
        </is>
      </c>
      <c r="D510" s="10" t="n">
        <v>1701.73</v>
      </c>
      <c r="E510" s="10" t="n"/>
      <c r="F510" s="10" t="n"/>
      <c r="G510" s="10">
        <f>IF(COUNT(D510:F510)=0,"",MIN(D510:F510))</f>
        <v/>
      </c>
      <c r="H510" s="10">
        <f>IF(COUNT(D510:F510)=0,"",MEDIAN(D510:F510))</f>
        <v/>
      </c>
      <c r="I510" s="10">
        <f>IF(COUNT(D510:F510)=0,"",MAX(D510:F510))</f>
        <v/>
      </c>
      <c r="J510" s="11">
        <f>IF(OR(G510="",G510=0),"",(I510-G510)/G510)</f>
        <v/>
      </c>
      <c r="K510" s="4">
        <f>IF(COUNT(D510:F510)=0,"",INDEX($D$1:$F$1,MATCH(MIN(D510:F510),D510:F510,0)))</f>
        <v/>
      </c>
      <c r="L510" s="10" t="n">
        <v>1701.73</v>
      </c>
      <c r="M510" s="12" t="n">
        <v>1</v>
      </c>
    </row>
    <row r="511">
      <c r="A511" s="4" t="inlineStr">
        <is>
          <t>MAT-23-021</t>
        </is>
      </c>
      <c r="B511" s="5" t="inlineStr">
        <is>
          <t>Perfil rectangular de aluminio 2" x 1" x 19.20 pies</t>
        </is>
      </c>
      <c r="C511" s="4" t="inlineStr">
        <is>
          <t>unidad</t>
        </is>
      </c>
      <c r="D511" s="10" t="n">
        <v>1846.63</v>
      </c>
      <c r="E511" s="10" t="n"/>
      <c r="F511" s="10" t="n"/>
      <c r="G511" s="10">
        <f>IF(COUNT(D511:F511)=0,"",MIN(D511:F511))</f>
        <v/>
      </c>
      <c r="H511" s="10">
        <f>IF(COUNT(D511:F511)=0,"",MEDIAN(D511:F511))</f>
        <v/>
      </c>
      <c r="I511" s="10">
        <f>IF(COUNT(D511:F511)=0,"",MAX(D511:F511))</f>
        <v/>
      </c>
      <c r="J511" s="11">
        <f>IF(OR(G511="",G511=0),"",(I511-G511)/G511)</f>
        <v/>
      </c>
      <c r="K511" s="4">
        <f>IF(COUNT(D511:F511)=0,"",INDEX($D$1:$F$1,MATCH(MIN(D511:F511),D511:F511,0)))</f>
        <v/>
      </c>
      <c r="L511" s="10" t="n">
        <v>1846.63</v>
      </c>
      <c r="M511" s="12" t="n">
        <v>1</v>
      </c>
    </row>
    <row r="512">
      <c r="A512" s="4" t="inlineStr">
        <is>
          <t>MAT-23-022</t>
        </is>
      </c>
      <c r="B512" s="5" t="inlineStr">
        <is>
          <t>Angular de aluminio 2" x 2" x 19.20 pies</t>
        </is>
      </c>
      <c r="C512" s="4" t="inlineStr">
        <is>
          <t>unidad</t>
        </is>
      </c>
      <c r="D512" s="10" t="n">
        <v>3334.76</v>
      </c>
      <c r="E512" s="10" t="n"/>
      <c r="F512" s="10" t="n"/>
      <c r="G512" s="10">
        <f>IF(COUNT(D512:F512)=0,"",MIN(D512:F512))</f>
        <v/>
      </c>
      <c r="H512" s="10">
        <f>IF(COUNT(D512:F512)=0,"",MEDIAN(D512:F512))</f>
        <v/>
      </c>
      <c r="I512" s="10">
        <f>IF(COUNT(D512:F512)=0,"",MAX(D512:F512))</f>
        <v/>
      </c>
      <c r="J512" s="11">
        <f>IF(OR(G512="",G512=0),"",(I512-G512)/G512)</f>
        <v/>
      </c>
      <c r="K512" s="4">
        <f>IF(COUNT(D512:F512)=0,"",INDEX($D$1:$F$1,MATCH(MIN(D512:F512),D512:F512,0)))</f>
        <v/>
      </c>
      <c r="L512" s="10" t="n">
        <v>3334.76</v>
      </c>
      <c r="M512" s="12" t="n">
        <v>1</v>
      </c>
    </row>
    <row r="513">
      <c r="A513" s="4" t="inlineStr">
        <is>
          <t>MAT-23-023</t>
        </is>
      </c>
      <c r="B513" s="5" t="inlineStr">
        <is>
          <t>Planchuela de aluminio 3" x 3/16" x 19.20 pies</t>
        </is>
      </c>
      <c r="C513" s="4" t="inlineStr">
        <is>
          <t>unidad</t>
        </is>
      </c>
      <c r="D513" s="10" t="n">
        <v>2695.59</v>
      </c>
      <c r="E513" s="10" t="n"/>
      <c r="F513" s="10" t="n"/>
      <c r="G513" s="10">
        <f>IF(COUNT(D513:F513)=0,"",MIN(D513:F513))</f>
        <v/>
      </c>
      <c r="H513" s="10">
        <f>IF(COUNT(D513:F513)=0,"",MEDIAN(D513:F513))</f>
        <v/>
      </c>
      <c r="I513" s="10">
        <f>IF(COUNT(D513:F513)=0,"",MAX(D513:F513))</f>
        <v/>
      </c>
      <c r="J513" s="11">
        <f>IF(OR(G513="",G513=0),"",(I513-G513)/G513)</f>
        <v/>
      </c>
      <c r="K513" s="4">
        <f>IF(COUNT(D513:F513)=0,"",INDEX($D$1:$F$1,MATCH(MIN(D513:F513),D513:F513,0)))</f>
        <v/>
      </c>
      <c r="L513" s="10" t="n">
        <v>2695.59</v>
      </c>
      <c r="M513" s="12" t="n">
        <v>1</v>
      </c>
    </row>
    <row r="514">
      <c r="A514" s="4" t="inlineStr">
        <is>
          <t>MAT-23-024</t>
        </is>
      </c>
      <c r="B514" s="5" t="inlineStr">
        <is>
          <t>Perfil rectangular de aluminio 3" x 1 1/2" x 19.20 pies</t>
        </is>
      </c>
      <c r="C514" s="4" t="inlineStr">
        <is>
          <t>unidad</t>
        </is>
      </c>
      <c r="D514" s="10" t="n">
        <v>3956.93</v>
      </c>
      <c r="E514" s="10" t="n"/>
      <c r="F514" s="10" t="n"/>
      <c r="G514" s="10">
        <f>IF(COUNT(D514:F514)=0,"",MIN(D514:F514))</f>
        <v/>
      </c>
      <c r="H514" s="10">
        <f>IF(COUNT(D514:F514)=0,"",MEDIAN(D514:F514))</f>
        <v/>
      </c>
      <c r="I514" s="10">
        <f>IF(COUNT(D514:F514)=0,"",MAX(D514:F514))</f>
        <v/>
      </c>
      <c r="J514" s="11">
        <f>IF(OR(G514="",G514=0),"",(I514-G514)/G514)</f>
        <v/>
      </c>
      <c r="K514" s="4">
        <f>IF(COUNT(D514:F514)=0,"",INDEX($D$1:$F$1,MATCH(MIN(D514:F514),D514:F514,0)))</f>
        <v/>
      </c>
      <c r="L514" s="10" t="n">
        <v>3956.93</v>
      </c>
      <c r="M514" s="12" t="n">
        <v>1</v>
      </c>
    </row>
    <row r="515">
      <c r="A515" s="4" t="inlineStr">
        <is>
          <t>MAT-23-025</t>
        </is>
      </c>
      <c r="B515" s="5" t="inlineStr">
        <is>
          <t>Planchuela de aluminio 4" x 1/8" x 19.20 pies</t>
        </is>
      </c>
      <c r="C515" s="4" t="inlineStr">
        <is>
          <t>unidad</t>
        </is>
      </c>
      <c r="D515" s="10" t="n">
        <v>3464.55</v>
      </c>
      <c r="E515" s="10" t="n"/>
      <c r="F515" s="10" t="n"/>
      <c r="G515" s="10">
        <f>IF(COUNT(D515:F515)=0,"",MIN(D515:F515))</f>
        <v/>
      </c>
      <c r="H515" s="10">
        <f>IF(COUNT(D515:F515)=0,"",MEDIAN(D515:F515))</f>
        <v/>
      </c>
      <c r="I515" s="10">
        <f>IF(COUNT(D515:F515)=0,"",MAX(D515:F515))</f>
        <v/>
      </c>
      <c r="J515" s="11">
        <f>IF(OR(G515="",G515=0),"",(I515-G515)/G515)</f>
        <v/>
      </c>
      <c r="K515" s="4">
        <f>IF(COUNT(D515:F515)=0,"",INDEX($D$1:$F$1,MATCH(MIN(D515:F515),D515:F515,0)))</f>
        <v/>
      </c>
      <c r="L515" s="10" t="n">
        <v>3464.55</v>
      </c>
      <c r="M515" s="12" t="n">
        <v>1</v>
      </c>
    </row>
    <row r="516">
      <c r="A516" s="4" t="inlineStr">
        <is>
          <t>MAT-23-026</t>
        </is>
      </c>
      <c r="B516" s="5" t="inlineStr">
        <is>
          <t>Perfil rectangular de aluminio 4" x 1 3/4" x 19.20 pies</t>
        </is>
      </c>
      <c r="C516" s="4" t="inlineStr">
        <is>
          <t>unidad</t>
        </is>
      </c>
      <c r="D516" s="10" t="n">
        <v>5142.65</v>
      </c>
      <c r="E516" s="10" t="n"/>
      <c r="F516" s="10" t="n"/>
      <c r="G516" s="10">
        <f>IF(COUNT(D516:F516)=0,"",MIN(D516:F516))</f>
        <v/>
      </c>
      <c r="H516" s="10">
        <f>IF(COUNT(D516:F516)=0,"",MEDIAN(D516:F516))</f>
        <v/>
      </c>
      <c r="I516" s="10">
        <f>IF(COUNT(D516:F516)=0,"",MAX(D516:F516))</f>
        <v/>
      </c>
      <c r="J516" s="11">
        <f>IF(OR(G516="",G516=0),"",(I516-G516)/G516)</f>
        <v/>
      </c>
      <c r="K516" s="4">
        <f>IF(COUNT(D516:F516)=0,"",INDEX($D$1:$F$1,MATCH(MIN(D516:F516),D516:F516,0)))</f>
        <v/>
      </c>
      <c r="L516" s="10" t="n">
        <v>5142.65</v>
      </c>
      <c r="M516" s="12" t="n">
        <v>1</v>
      </c>
    </row>
    <row r="517">
      <c r="A517" s="4" t="inlineStr">
        <is>
          <t>MAT-24-001</t>
        </is>
      </c>
      <c r="B517" s="5" t="inlineStr">
        <is>
          <t>Inodoro Aguazul Con Asiento, blanco</t>
        </is>
      </c>
      <c r="C517" s="4" t="inlineStr">
        <is>
          <t>unidad</t>
        </is>
      </c>
      <c r="D517" s="10" t="n">
        <v>5981.36</v>
      </c>
      <c r="E517" s="10" t="n"/>
      <c r="F517" s="10" t="n"/>
      <c r="G517" s="10">
        <f>IF(COUNT(D517:F517)=0,"",MIN(D517:F517))</f>
        <v/>
      </c>
      <c r="H517" s="10">
        <f>IF(COUNT(D517:F517)=0,"",MEDIAN(D517:F517))</f>
        <v/>
      </c>
      <c r="I517" s="10">
        <f>IF(COUNT(D517:F517)=0,"",MAX(D517:F517))</f>
        <v/>
      </c>
      <c r="J517" s="11">
        <f>IF(OR(G517="",G517=0),"",(I517-G517)/G517)</f>
        <v/>
      </c>
      <c r="K517" s="4">
        <f>IF(COUNT(D517:F517)=0,"",INDEX($D$1:$F$1,MATCH(MIN(D517:F517),D517:F517,0)))</f>
        <v/>
      </c>
      <c r="L517" s="10" t="n">
        <v>5981.36</v>
      </c>
      <c r="M517" s="12" t="n">
        <v>1</v>
      </c>
    </row>
    <row r="518">
      <c r="A518" s="4" t="inlineStr">
        <is>
          <t>MAT-24-002</t>
        </is>
      </c>
      <c r="B518" s="5" t="inlineStr">
        <is>
          <t>Inodoro One Piece Ares con Asiento, blanco</t>
        </is>
      </c>
      <c r="C518" s="4" t="inlineStr">
        <is>
          <t>unidad</t>
        </is>
      </c>
      <c r="D518" s="10" t="n">
        <v>6162.56</v>
      </c>
      <c r="E518" s="10" t="n"/>
      <c r="F518" s="10" t="n"/>
      <c r="G518" s="10">
        <f>IF(COUNT(D518:F518)=0,"",MIN(D518:F518))</f>
        <v/>
      </c>
      <c r="H518" s="10">
        <f>IF(COUNT(D518:F518)=0,"",MEDIAN(D518:F518))</f>
        <v/>
      </c>
      <c r="I518" s="10">
        <f>IF(COUNT(D518:F518)=0,"",MAX(D518:F518))</f>
        <v/>
      </c>
      <c r="J518" s="11">
        <f>IF(OR(G518="",G518=0),"",(I518-G518)/G518)</f>
        <v/>
      </c>
      <c r="K518" s="4">
        <f>IF(COUNT(D518:F518)=0,"",INDEX($D$1:$F$1,MATCH(MIN(D518:F518),D518:F518,0)))</f>
        <v/>
      </c>
      <c r="L518" s="10" t="n">
        <v>6162.56</v>
      </c>
      <c r="M518" s="12" t="n">
        <v>1</v>
      </c>
    </row>
    <row r="519">
      <c r="A519" s="4" t="inlineStr">
        <is>
          <t>MAT-24-003</t>
        </is>
      </c>
      <c r="B519" s="5" t="inlineStr">
        <is>
          <t>Inodoro elongado Anubis con Asiento, blanco</t>
        </is>
      </c>
      <c r="C519" s="4" t="inlineStr">
        <is>
          <t>unidad</t>
        </is>
      </c>
      <c r="D519" s="10" t="n">
        <v>6458.6</v>
      </c>
      <c r="E519" s="10" t="n"/>
      <c r="F519" s="10" t="n"/>
      <c r="G519" s="10">
        <f>IF(COUNT(D519:F519)=0,"",MIN(D519:F519))</f>
        <v/>
      </c>
      <c r="H519" s="10">
        <f>IF(COUNT(D519:F519)=0,"",MEDIAN(D519:F519))</f>
        <v/>
      </c>
      <c r="I519" s="10">
        <f>IF(COUNT(D519:F519)=0,"",MAX(D519:F519))</f>
        <v/>
      </c>
      <c r="J519" s="11">
        <f>IF(OR(G519="",G519=0),"",(I519-G519)/G519)</f>
        <v/>
      </c>
      <c r="K519" s="4">
        <f>IF(COUNT(D519:F519)=0,"",INDEX($D$1:$F$1,MATCH(MIN(D519:F519),D519:F519,0)))</f>
        <v/>
      </c>
      <c r="L519" s="10" t="n">
        <v>6458.6</v>
      </c>
      <c r="M519" s="12" t="n">
        <v>1</v>
      </c>
    </row>
    <row r="520">
      <c r="A520" s="4" t="inlineStr">
        <is>
          <t>MAT-24-004</t>
        </is>
      </c>
      <c r="B520" s="5" t="inlineStr">
        <is>
          <t>Inodoro Jazmin redondo con Asiento, blanco</t>
        </is>
      </c>
      <c r="C520" s="4" t="inlineStr">
        <is>
          <t>unidad</t>
        </is>
      </c>
      <c r="D520" s="10" t="n">
        <v>7263.45</v>
      </c>
      <c r="E520" s="10" t="n"/>
      <c r="F520" s="10" t="n"/>
      <c r="G520" s="10">
        <f>IF(COUNT(D520:F520)=0,"",MIN(D520:F520))</f>
        <v/>
      </c>
      <c r="H520" s="10">
        <f>IF(COUNT(D520:F520)=0,"",MEDIAN(D520:F520))</f>
        <v/>
      </c>
      <c r="I520" s="10">
        <f>IF(COUNT(D520:F520)=0,"",MAX(D520:F520))</f>
        <v/>
      </c>
      <c r="J520" s="11">
        <f>IF(OR(G520="",G520=0),"",(I520-G520)/G520)</f>
        <v/>
      </c>
      <c r="K520" s="4">
        <f>IF(COUNT(D520:F520)=0,"",INDEX($D$1:$F$1,MATCH(MIN(D520:F520),D520:F520,0)))</f>
        <v/>
      </c>
      <c r="L520" s="10" t="n">
        <v>7263.45</v>
      </c>
      <c r="M520" s="12" t="n">
        <v>1</v>
      </c>
    </row>
    <row r="521">
      <c r="A521" s="4" t="inlineStr">
        <is>
          <t>MAT-24-005</t>
        </is>
      </c>
      <c r="B521" s="5" t="inlineStr">
        <is>
          <t>Inodoro elongado Milenio con Asiento, blanco</t>
        </is>
      </c>
      <c r="C521" s="4" t="inlineStr">
        <is>
          <t>unidad</t>
        </is>
      </c>
      <c r="D521" s="10" t="n">
        <v>8109.8</v>
      </c>
      <c r="E521" s="10" t="n"/>
      <c r="F521" s="10" t="n"/>
      <c r="G521" s="10">
        <f>IF(COUNT(D521:F521)=0,"",MIN(D521:F521))</f>
        <v/>
      </c>
      <c r="H521" s="10">
        <f>IF(COUNT(D521:F521)=0,"",MEDIAN(D521:F521))</f>
        <v/>
      </c>
      <c r="I521" s="10">
        <f>IF(COUNT(D521:F521)=0,"",MAX(D521:F521))</f>
        <v/>
      </c>
      <c r="J521" s="11">
        <f>IF(OR(G521="",G521=0),"",(I521-G521)/G521)</f>
        <v/>
      </c>
      <c r="K521" s="4">
        <f>IF(COUNT(D521:F521)=0,"",INDEX($D$1:$F$1,MATCH(MIN(D521:F521),D521:F521,0)))</f>
        <v/>
      </c>
      <c r="L521" s="10" t="n">
        <v>8109.8</v>
      </c>
      <c r="M521" s="12" t="n">
        <v>1</v>
      </c>
    </row>
    <row r="522">
      <c r="A522" s="4" t="inlineStr">
        <is>
          <t>MAT-24-006</t>
        </is>
      </c>
      <c r="B522" s="5" t="inlineStr">
        <is>
          <t>Inodoro elongado Zurich con Asiento, blanco</t>
        </is>
      </c>
      <c r="C522" s="4" t="inlineStr">
        <is>
          <t>unidad</t>
        </is>
      </c>
      <c r="D522" s="10" t="n">
        <v>8116.49</v>
      </c>
      <c r="E522" s="10" t="n"/>
      <c r="F522" s="10" t="n"/>
      <c r="G522" s="10">
        <f>IF(COUNT(D522:F522)=0,"",MIN(D522:F522))</f>
        <v/>
      </c>
      <c r="H522" s="10">
        <f>IF(COUNT(D522:F522)=0,"",MEDIAN(D522:F522))</f>
        <v/>
      </c>
      <c r="I522" s="10">
        <f>IF(COUNT(D522:F522)=0,"",MAX(D522:F522))</f>
        <v/>
      </c>
      <c r="J522" s="11">
        <f>IF(OR(G522="",G522=0),"",(I522-G522)/G522)</f>
        <v/>
      </c>
      <c r="K522" s="4">
        <f>IF(COUNT(D522:F522)=0,"",INDEX($D$1:$F$1,MATCH(MIN(D522:F522),D522:F522,0)))</f>
        <v/>
      </c>
      <c r="L522" s="10" t="n">
        <v>8116.49</v>
      </c>
      <c r="M522" s="12" t="n">
        <v>1</v>
      </c>
    </row>
    <row r="523">
      <c r="A523" s="4" t="inlineStr">
        <is>
          <t>MAT-24-007</t>
        </is>
      </c>
      <c r="B523" s="5" t="inlineStr">
        <is>
          <t>Inodoro Jazmin redondo con Asiento, marfil</t>
        </is>
      </c>
      <c r="C523" s="4" t="inlineStr">
        <is>
          <t>unidad</t>
        </is>
      </c>
      <c r="D523" s="10" t="n">
        <v>8541.469999999999</v>
      </c>
      <c r="E523" s="10" t="n"/>
      <c r="F523" s="10" t="n"/>
      <c r="G523" s="10">
        <f>IF(COUNT(D523:F523)=0,"",MIN(D523:F523))</f>
        <v/>
      </c>
      <c r="H523" s="10">
        <f>IF(COUNT(D523:F523)=0,"",MEDIAN(D523:F523))</f>
        <v/>
      </c>
      <c r="I523" s="10">
        <f>IF(COUNT(D523:F523)=0,"",MAX(D523:F523))</f>
        <v/>
      </c>
      <c r="J523" s="11">
        <f>IF(OR(G523="",G523=0),"",(I523-G523)/G523)</f>
        <v/>
      </c>
      <c r="K523" s="4">
        <f>IF(COUNT(D523:F523)=0,"",INDEX($D$1:$F$1,MATCH(MIN(D523:F523),D523:F523,0)))</f>
        <v/>
      </c>
      <c r="L523" s="10" t="n">
        <v>8541.469999999999</v>
      </c>
      <c r="M523" s="12" t="n">
        <v>1</v>
      </c>
    </row>
    <row r="524">
      <c r="A524" s="4" t="inlineStr">
        <is>
          <t>MAT-24-008</t>
        </is>
      </c>
      <c r="B524" s="5" t="inlineStr">
        <is>
          <t>Inodoro elongado Tango con Asiento, blanco</t>
        </is>
      </c>
      <c r="C524" s="4" t="inlineStr">
        <is>
          <t>unidad</t>
        </is>
      </c>
      <c r="D524" s="10" t="n">
        <v>8569.280000000001</v>
      </c>
      <c r="E524" s="10" t="n"/>
      <c r="F524" s="10" t="n"/>
      <c r="G524" s="10">
        <f>IF(COUNT(D524:F524)=0,"",MIN(D524:F524))</f>
        <v/>
      </c>
      <c r="H524" s="10">
        <f>IF(COUNT(D524:F524)=0,"",MEDIAN(D524:F524))</f>
        <v/>
      </c>
      <c r="I524" s="10">
        <f>IF(COUNT(D524:F524)=0,"",MAX(D524:F524))</f>
        <v/>
      </c>
      <c r="J524" s="11">
        <f>IF(OR(G524="",G524=0),"",(I524-G524)/G524)</f>
        <v/>
      </c>
      <c r="K524" s="4">
        <f>IF(COUNT(D524:F524)=0,"",INDEX($D$1:$F$1,MATCH(MIN(D524:F524),D524:F524,0)))</f>
        <v/>
      </c>
      <c r="L524" s="10" t="n">
        <v>8569.280000000001</v>
      </c>
      <c r="M524" s="12" t="n">
        <v>1</v>
      </c>
    </row>
    <row r="525">
      <c r="A525" s="4" t="inlineStr">
        <is>
          <t>MAT-24-009</t>
        </is>
      </c>
      <c r="B525" s="5" t="inlineStr">
        <is>
          <t>Inodoro Jazmin elongado con Asiento, blanco</t>
        </is>
      </c>
      <c r="C525" s="4" t="inlineStr">
        <is>
          <t>unidad</t>
        </is>
      </c>
      <c r="D525" s="10" t="n">
        <v>8937.51</v>
      </c>
      <c r="E525" s="10" t="n"/>
      <c r="F525" s="10" t="n"/>
      <c r="G525" s="10">
        <f>IF(COUNT(D525:F525)=0,"",MIN(D525:F525))</f>
        <v/>
      </c>
      <c r="H525" s="10">
        <f>IF(COUNT(D525:F525)=0,"",MEDIAN(D525:F525))</f>
        <v/>
      </c>
      <c r="I525" s="10">
        <f>IF(COUNT(D525:F525)=0,"",MAX(D525:F525))</f>
        <v/>
      </c>
      <c r="J525" s="11">
        <f>IF(OR(G525="",G525=0),"",(I525-G525)/G525)</f>
        <v/>
      </c>
      <c r="K525" s="4">
        <f>IF(COUNT(D525:F525)=0,"",INDEX($D$1:$F$1,MATCH(MIN(D525:F525),D525:F525,0)))</f>
        <v/>
      </c>
      <c r="L525" s="10" t="n">
        <v>8937.51</v>
      </c>
      <c r="M525" s="12" t="n">
        <v>1</v>
      </c>
    </row>
    <row r="526">
      <c r="A526" s="4" t="inlineStr">
        <is>
          <t>MAT-24-010</t>
        </is>
      </c>
      <c r="B526" s="5" t="inlineStr">
        <is>
          <t>Inodoro One Piece Atenas con Asiento, blanco</t>
        </is>
      </c>
      <c r="C526" s="4" t="inlineStr">
        <is>
          <t>unidad</t>
        </is>
      </c>
      <c r="D526" s="10" t="n">
        <v>8960.540000000001</v>
      </c>
      <c r="E526" s="10" t="n"/>
      <c r="F526" s="10" t="n"/>
      <c r="G526" s="10">
        <f>IF(COUNT(D526:F526)=0,"",MIN(D526:F526))</f>
        <v/>
      </c>
      <c r="H526" s="10">
        <f>IF(COUNT(D526:F526)=0,"",MEDIAN(D526:F526))</f>
        <v/>
      </c>
      <c r="I526" s="10">
        <f>IF(COUNT(D526:F526)=0,"",MAX(D526:F526))</f>
        <v/>
      </c>
      <c r="J526" s="11">
        <f>IF(OR(G526="",G526=0),"",(I526-G526)/G526)</f>
        <v/>
      </c>
      <c r="K526" s="4">
        <f>IF(COUNT(D526:F526)=0,"",INDEX($D$1:$F$1,MATCH(MIN(D526:F526),D526:F526,0)))</f>
        <v/>
      </c>
      <c r="L526" s="10" t="n">
        <v>8960.540000000001</v>
      </c>
      <c r="M526" s="12" t="n">
        <v>1</v>
      </c>
    </row>
    <row r="527">
      <c r="A527" s="4" t="inlineStr">
        <is>
          <t>MAT-24-011</t>
        </is>
      </c>
      <c r="B527" s="5" t="inlineStr">
        <is>
          <t>Inodoro Fiore Elongado con Asiento, blanco</t>
        </is>
      </c>
      <c r="C527" s="4" t="inlineStr">
        <is>
          <t>unidad</t>
        </is>
      </c>
      <c r="D527" s="10" t="n">
        <v>9157.35</v>
      </c>
      <c r="E527" s="10" t="n"/>
      <c r="F527" s="10" t="n"/>
      <c r="G527" s="10">
        <f>IF(COUNT(D527:F527)=0,"",MIN(D527:F527))</f>
        <v/>
      </c>
      <c r="H527" s="10">
        <f>IF(COUNT(D527:F527)=0,"",MEDIAN(D527:F527))</f>
        <v/>
      </c>
      <c r="I527" s="10">
        <f>IF(COUNT(D527:F527)=0,"",MAX(D527:F527))</f>
        <v/>
      </c>
      <c r="J527" s="11">
        <f>IF(OR(G527="",G527=0),"",(I527-G527)/G527)</f>
        <v/>
      </c>
      <c r="K527" s="4">
        <f>IF(COUNT(D527:F527)=0,"",INDEX($D$1:$F$1,MATCH(MIN(D527:F527),D527:F527,0)))</f>
        <v/>
      </c>
      <c r="L527" s="10" t="n">
        <v>9157.35</v>
      </c>
      <c r="M527" s="12" t="n">
        <v>1</v>
      </c>
    </row>
    <row r="528">
      <c r="A528" s="4" t="inlineStr">
        <is>
          <t>MAT-24-012</t>
        </is>
      </c>
      <c r="B528" s="5" t="inlineStr">
        <is>
          <t>Inodoro elongado Terra con Asiento, blanco</t>
        </is>
      </c>
      <c r="C528" s="4" t="inlineStr">
        <is>
          <t>unidad</t>
        </is>
      </c>
      <c r="D528" s="10" t="n">
        <v>9595.18</v>
      </c>
      <c r="E528" s="10" t="n"/>
      <c r="F528" s="10" t="n"/>
      <c r="G528" s="10">
        <f>IF(COUNT(D528:F528)=0,"",MIN(D528:F528))</f>
        <v/>
      </c>
      <c r="H528" s="10">
        <f>IF(COUNT(D528:F528)=0,"",MEDIAN(D528:F528))</f>
        <v/>
      </c>
      <c r="I528" s="10">
        <f>IF(COUNT(D528:F528)=0,"",MAX(D528:F528))</f>
        <v/>
      </c>
      <c r="J528" s="11">
        <f>IF(OR(G528="",G528=0),"",(I528-G528)/G528)</f>
        <v/>
      </c>
      <c r="K528" s="4">
        <f>IF(COUNT(D528:F528)=0,"",INDEX($D$1:$F$1,MATCH(MIN(D528:F528),D528:F528,0)))</f>
        <v/>
      </c>
      <c r="L528" s="10" t="n">
        <v>9595.18</v>
      </c>
      <c r="M528" s="12" t="n">
        <v>1</v>
      </c>
    </row>
    <row r="529">
      <c r="A529" s="4" t="inlineStr">
        <is>
          <t>MAT-24-013</t>
        </is>
      </c>
      <c r="B529" s="5" t="inlineStr">
        <is>
          <t>Inodoro Bellini One Piece, blanco</t>
        </is>
      </c>
      <c r="C529" s="4" t="inlineStr">
        <is>
          <t>unidad</t>
        </is>
      </c>
      <c r="D529" s="10" t="n">
        <v>10133.49</v>
      </c>
      <c r="E529" s="10" t="n"/>
      <c r="F529" s="10" t="n"/>
      <c r="G529" s="10">
        <f>IF(COUNT(D529:F529)=0,"",MIN(D529:F529))</f>
        <v/>
      </c>
      <c r="H529" s="10">
        <f>IF(COUNT(D529:F529)=0,"",MEDIAN(D529:F529))</f>
        <v/>
      </c>
      <c r="I529" s="10">
        <f>IF(COUNT(D529:F529)=0,"",MAX(D529:F529))</f>
        <v/>
      </c>
      <c r="J529" s="11">
        <f>IF(OR(G529="",G529=0),"",(I529-G529)/G529)</f>
        <v/>
      </c>
      <c r="K529" s="4">
        <f>IF(COUNT(D529:F529)=0,"",INDEX($D$1:$F$1,MATCH(MIN(D529:F529),D529:F529,0)))</f>
        <v/>
      </c>
      <c r="L529" s="10" t="n">
        <v>10133.49</v>
      </c>
      <c r="M529" s="12" t="n">
        <v>1</v>
      </c>
    </row>
    <row r="530">
      <c r="A530" s="4" t="inlineStr">
        <is>
          <t>MAT-24-014</t>
        </is>
      </c>
      <c r="B530" s="5" t="inlineStr">
        <is>
          <t>Inodoro One Piece Hermes con Asiento, blanco</t>
        </is>
      </c>
      <c r="C530" s="4" t="inlineStr">
        <is>
          <t>unidad</t>
        </is>
      </c>
      <c r="D530" s="10" t="n">
        <v>10517.13</v>
      </c>
      <c r="E530" s="10" t="n"/>
      <c r="F530" s="10" t="n"/>
      <c r="G530" s="10">
        <f>IF(COUNT(D530:F530)=0,"",MIN(D530:F530))</f>
        <v/>
      </c>
      <c r="H530" s="10">
        <f>IF(COUNT(D530:F530)=0,"",MEDIAN(D530:F530))</f>
        <v/>
      </c>
      <c r="I530" s="10">
        <f>IF(COUNT(D530:F530)=0,"",MAX(D530:F530))</f>
        <v/>
      </c>
      <c r="J530" s="11">
        <f>IF(OR(G530="",G530=0),"",(I530-G530)/G530)</f>
        <v/>
      </c>
      <c r="K530" s="4">
        <f>IF(COUNT(D530:F530)=0,"",INDEX($D$1:$F$1,MATCH(MIN(D530:F530),D530:F530,0)))</f>
        <v/>
      </c>
      <c r="L530" s="10" t="n">
        <v>10517.13</v>
      </c>
      <c r="M530" s="12" t="n">
        <v>1</v>
      </c>
    </row>
    <row r="531">
      <c r="A531" s="4" t="inlineStr">
        <is>
          <t>MAT-24-015</t>
        </is>
      </c>
      <c r="B531" s="5" t="inlineStr">
        <is>
          <t>Inodoro Jazmin elongado con Asiento, marfil</t>
        </is>
      </c>
      <c r="C531" s="4" t="inlineStr">
        <is>
          <t>unidad</t>
        </is>
      </c>
      <c r="D531" s="10" t="n">
        <v>10904.75</v>
      </c>
      <c r="E531" s="10" t="n"/>
      <c r="F531" s="10" t="n"/>
      <c r="G531" s="10">
        <f>IF(COUNT(D531:F531)=0,"",MIN(D531:F531))</f>
        <v/>
      </c>
      <c r="H531" s="10">
        <f>IF(COUNT(D531:F531)=0,"",MEDIAN(D531:F531))</f>
        <v/>
      </c>
      <c r="I531" s="10">
        <f>IF(COUNT(D531:F531)=0,"",MAX(D531:F531))</f>
        <v/>
      </c>
      <c r="J531" s="11">
        <f>IF(OR(G531="",G531=0),"",(I531-G531)/G531)</f>
        <v/>
      </c>
      <c r="K531" s="4">
        <f>IF(COUNT(D531:F531)=0,"",INDEX($D$1:$F$1,MATCH(MIN(D531:F531),D531:F531,0)))</f>
        <v/>
      </c>
      <c r="L531" s="10" t="n">
        <v>10904.75</v>
      </c>
      <c r="M531" s="12" t="n">
        <v>1</v>
      </c>
    </row>
    <row r="532">
      <c r="A532" s="4" t="inlineStr">
        <is>
          <t>MAT-24-016</t>
        </is>
      </c>
      <c r="B532" s="5" t="inlineStr">
        <is>
          <t>Inodoro elongado Tango con Asiento, marfil</t>
        </is>
      </c>
      <c r="C532" s="4" t="inlineStr">
        <is>
          <t>unidad</t>
        </is>
      </c>
      <c r="D532" s="10" t="n">
        <v>11433.48</v>
      </c>
      <c r="E532" s="10" t="n"/>
      <c r="F532" s="10" t="n"/>
      <c r="G532" s="10">
        <f>IF(COUNT(D532:F532)=0,"",MIN(D532:F532))</f>
        <v/>
      </c>
      <c r="H532" s="10">
        <f>IF(COUNT(D532:F532)=0,"",MEDIAN(D532:F532))</f>
        <v/>
      </c>
      <c r="I532" s="10">
        <f>IF(COUNT(D532:F532)=0,"",MAX(D532:F532))</f>
        <v/>
      </c>
      <c r="J532" s="11">
        <f>IF(OR(G532="",G532=0),"",(I532-G532)/G532)</f>
        <v/>
      </c>
      <c r="K532" s="4">
        <f>IF(COUNT(D532:F532)=0,"",INDEX($D$1:$F$1,MATCH(MIN(D532:F532),D532:F532,0)))</f>
        <v/>
      </c>
      <c r="L532" s="10" t="n">
        <v>11433.48</v>
      </c>
      <c r="M532" s="12" t="n">
        <v>1</v>
      </c>
    </row>
    <row r="533">
      <c r="A533" s="4" t="inlineStr">
        <is>
          <t>MAT-24-017</t>
        </is>
      </c>
      <c r="B533" s="5" t="inlineStr">
        <is>
          <t>Inodoro One Piece Zaya con Asiento, blanco</t>
        </is>
      </c>
      <c r="C533" s="4" t="inlineStr">
        <is>
          <t>unidad</t>
        </is>
      </c>
      <c r="D533" s="10" t="n">
        <v>11783.07</v>
      </c>
      <c r="E533" s="10" t="n"/>
      <c r="F533" s="10" t="n"/>
      <c r="G533" s="10">
        <f>IF(COUNT(D533:F533)=0,"",MIN(D533:F533))</f>
        <v/>
      </c>
      <c r="H533" s="10">
        <f>IF(COUNT(D533:F533)=0,"",MEDIAN(D533:F533))</f>
        <v/>
      </c>
      <c r="I533" s="10">
        <f>IF(COUNT(D533:F533)=0,"",MAX(D533:F533))</f>
        <v/>
      </c>
      <c r="J533" s="11">
        <f>IF(OR(G533="",G533=0),"",(I533-G533)/G533)</f>
        <v/>
      </c>
      <c r="K533" s="4">
        <f>IF(COUNT(D533:F533)=0,"",INDEX($D$1:$F$1,MATCH(MIN(D533:F533),D533:F533,0)))</f>
        <v/>
      </c>
      <c r="L533" s="10" t="n">
        <v>11783.07</v>
      </c>
      <c r="M533" s="12" t="n">
        <v>1</v>
      </c>
    </row>
    <row r="534">
      <c r="A534" s="4" t="inlineStr">
        <is>
          <t>MAT-24-018</t>
        </is>
      </c>
      <c r="B534" s="5" t="inlineStr">
        <is>
          <t>Inodoro elongado Chichen Itza con Asiento, marfil</t>
        </is>
      </c>
      <c r="C534" s="4" t="inlineStr">
        <is>
          <t>unidad</t>
        </is>
      </c>
      <c r="D534" s="10" t="n">
        <v>11988.89</v>
      </c>
      <c r="E534" s="10" t="n"/>
      <c r="F534" s="10" t="n"/>
      <c r="G534" s="10">
        <f>IF(COUNT(D534:F534)=0,"",MIN(D534:F534))</f>
        <v/>
      </c>
      <c r="H534" s="10">
        <f>IF(COUNT(D534:F534)=0,"",MEDIAN(D534:F534))</f>
        <v/>
      </c>
      <c r="I534" s="10">
        <f>IF(COUNT(D534:F534)=0,"",MAX(D534:F534))</f>
        <v/>
      </c>
      <c r="J534" s="11">
        <f>IF(OR(G534="",G534=0),"",(I534-G534)/G534)</f>
        <v/>
      </c>
      <c r="K534" s="4">
        <f>IF(COUNT(D534:F534)=0,"",INDEX($D$1:$F$1,MATCH(MIN(D534:F534),D534:F534,0)))</f>
        <v/>
      </c>
      <c r="L534" s="10" t="n">
        <v>11988.89</v>
      </c>
      <c r="M534" s="12" t="n">
        <v>1</v>
      </c>
    </row>
    <row r="535">
      <c r="A535" s="4" t="inlineStr">
        <is>
          <t>MAT-24-019</t>
        </is>
      </c>
      <c r="B535" s="5" t="inlineStr">
        <is>
          <t>Inodoro Olimpia Con Asiento, blanco</t>
        </is>
      </c>
      <c r="C535" s="4" t="inlineStr">
        <is>
          <t>unidad</t>
        </is>
      </c>
      <c r="D535" s="10" t="n">
        <v>12917.29</v>
      </c>
      <c r="E535" s="10" t="n"/>
      <c r="F535" s="10" t="n"/>
      <c r="G535" s="10">
        <f>IF(COUNT(D535:F535)=0,"",MIN(D535:F535))</f>
        <v/>
      </c>
      <c r="H535" s="10">
        <f>IF(COUNT(D535:F535)=0,"",MEDIAN(D535:F535))</f>
        <v/>
      </c>
      <c r="I535" s="10">
        <f>IF(COUNT(D535:F535)=0,"",MAX(D535:F535))</f>
        <v/>
      </c>
      <c r="J535" s="11">
        <f>IF(OR(G535="",G535=0),"",(I535-G535)/G535)</f>
        <v/>
      </c>
      <c r="K535" s="4">
        <f>IF(COUNT(D535:F535)=0,"",INDEX($D$1:$F$1,MATCH(MIN(D535:F535),D535:F535,0)))</f>
        <v/>
      </c>
      <c r="L535" s="10" t="n">
        <v>12917.29</v>
      </c>
      <c r="M535" s="12" t="n">
        <v>1</v>
      </c>
    </row>
    <row r="536">
      <c r="A536" s="4" t="inlineStr">
        <is>
          <t>MAT-24-020</t>
        </is>
      </c>
      <c r="B536" s="5" t="inlineStr">
        <is>
          <t>Inodoro elongado Austral Compac 3.8L, blanco</t>
        </is>
      </c>
      <c r="C536" s="4" t="inlineStr">
        <is>
          <t>unidad</t>
        </is>
      </c>
      <c r="D536" s="10" t="n">
        <v>13890.26</v>
      </c>
      <c r="E536" s="10" t="n"/>
      <c r="F536" s="10" t="n"/>
      <c r="G536" s="10">
        <f>IF(COUNT(D536:F536)=0,"",MIN(D536:F536))</f>
        <v/>
      </c>
      <c r="H536" s="10">
        <f>IF(COUNT(D536:F536)=0,"",MEDIAN(D536:F536))</f>
        <v/>
      </c>
      <c r="I536" s="10">
        <f>IF(COUNT(D536:F536)=0,"",MAX(D536:F536))</f>
        <v/>
      </c>
      <c r="J536" s="11">
        <f>IF(OR(G536="",G536=0),"",(I536-G536)/G536)</f>
        <v/>
      </c>
      <c r="K536" s="4">
        <f>IF(COUNT(D536:F536)=0,"",INDEX($D$1:$F$1,MATCH(MIN(D536:F536),D536:F536,0)))</f>
        <v/>
      </c>
      <c r="L536" s="10" t="n">
        <v>13890.26</v>
      </c>
      <c r="M536" s="12" t="n">
        <v>1</v>
      </c>
    </row>
    <row r="537">
      <c r="A537" s="4" t="inlineStr">
        <is>
          <t>MAT-24-021</t>
        </is>
      </c>
      <c r="B537" s="5" t="inlineStr">
        <is>
          <t>Inodoro Option Elongado 4.8L, blanco</t>
        </is>
      </c>
      <c r="C537" s="4" t="inlineStr">
        <is>
          <t>unidad</t>
        </is>
      </c>
      <c r="D537" s="10" t="n">
        <v>14950.43</v>
      </c>
      <c r="E537" s="10" t="n"/>
      <c r="F537" s="10" t="n"/>
      <c r="G537" s="10">
        <f>IF(COUNT(D537:F537)=0,"",MIN(D537:F537))</f>
        <v/>
      </c>
      <c r="H537" s="10">
        <f>IF(COUNT(D537:F537)=0,"",MEDIAN(D537:F537))</f>
        <v/>
      </c>
      <c r="I537" s="10">
        <f>IF(COUNT(D537:F537)=0,"",MAX(D537:F537))</f>
        <v/>
      </c>
      <c r="J537" s="11">
        <f>IF(OR(G537="",G537=0),"",(I537-G537)/G537)</f>
        <v/>
      </c>
      <c r="K537" s="4">
        <f>IF(COUNT(D537:F537)=0,"",INDEX($D$1:$F$1,MATCH(MIN(D537:F537),D537:F537,0)))</f>
        <v/>
      </c>
      <c r="L537" s="10" t="n">
        <v>14950.43</v>
      </c>
      <c r="M537" s="12" t="n">
        <v>1</v>
      </c>
    </row>
    <row r="538">
      <c r="A538" s="4" t="inlineStr">
        <is>
          <t>MAT-24-022</t>
        </is>
      </c>
      <c r="B538" s="5" t="inlineStr">
        <is>
          <t>Inodoro Elongado Drakar 16, blanco</t>
        </is>
      </c>
      <c r="C538" s="4" t="inlineStr">
        <is>
          <t>unidad</t>
        </is>
      </c>
      <c r="D538" s="10" t="n">
        <v>15757.84</v>
      </c>
      <c r="E538" s="10" t="n"/>
      <c r="F538" s="10" t="n"/>
      <c r="G538" s="10">
        <f>IF(COUNT(D538:F538)=0,"",MIN(D538:F538))</f>
        <v/>
      </c>
      <c r="H538" s="10">
        <f>IF(COUNT(D538:F538)=0,"",MEDIAN(D538:F538))</f>
        <v/>
      </c>
      <c r="I538" s="10">
        <f>IF(COUNT(D538:F538)=0,"",MAX(D538:F538))</f>
        <v/>
      </c>
      <c r="J538" s="11">
        <f>IF(OR(G538="",G538=0),"",(I538-G538)/G538)</f>
        <v/>
      </c>
      <c r="K538" s="4">
        <f>IF(COUNT(D538:F538)=0,"",INDEX($D$1:$F$1,MATCH(MIN(D538:F538),D538:F538,0)))</f>
        <v/>
      </c>
      <c r="L538" s="10" t="n">
        <v>15757.84</v>
      </c>
      <c r="M538" s="12" t="n">
        <v>1</v>
      </c>
    </row>
    <row r="539">
      <c r="A539" s="4" t="inlineStr">
        <is>
          <t>MAT-24-023</t>
        </is>
      </c>
      <c r="B539" s="5" t="inlineStr">
        <is>
          <t>Inodoro elongado Sarez con Asiento, negro</t>
        </is>
      </c>
      <c r="C539" s="4" t="inlineStr">
        <is>
          <t>unidad</t>
        </is>
      </c>
      <c r="D539" s="10" t="n">
        <v>16560.53</v>
      </c>
      <c r="E539" s="10" t="n"/>
      <c r="F539" s="10" t="n"/>
      <c r="G539" s="10">
        <f>IF(COUNT(D539:F539)=0,"",MIN(D539:F539))</f>
        <v/>
      </c>
      <c r="H539" s="10">
        <f>IF(COUNT(D539:F539)=0,"",MEDIAN(D539:F539))</f>
        <v/>
      </c>
      <c r="I539" s="10">
        <f>IF(COUNT(D539:F539)=0,"",MAX(D539:F539))</f>
        <v/>
      </c>
      <c r="J539" s="11">
        <f>IF(OR(G539="",G539=0),"",(I539-G539)/G539)</f>
        <v/>
      </c>
      <c r="K539" s="4">
        <f>IF(COUNT(D539:F539)=0,"",INDEX($D$1:$F$1,MATCH(MIN(D539:F539),D539:F539,0)))</f>
        <v/>
      </c>
      <c r="L539" s="10" t="n">
        <v>16560.53</v>
      </c>
      <c r="M539" s="12" t="n">
        <v>1</v>
      </c>
    </row>
    <row r="540">
      <c r="A540" s="4" t="inlineStr">
        <is>
          <t>MAT-24-024</t>
        </is>
      </c>
      <c r="B540" s="5" t="inlineStr">
        <is>
          <t>Inodoro One Piece Nemes con Asiento, negro</t>
        </is>
      </c>
      <c r="C540" s="4" t="inlineStr">
        <is>
          <t>unidad</t>
        </is>
      </c>
      <c r="D540" s="10" t="n">
        <v>16560.53</v>
      </c>
      <c r="E540" s="10" t="n"/>
      <c r="F540" s="10" t="n"/>
      <c r="G540" s="10">
        <f>IF(COUNT(D540:F540)=0,"",MIN(D540:F540))</f>
        <v/>
      </c>
      <c r="H540" s="10">
        <f>IF(COUNT(D540:F540)=0,"",MEDIAN(D540:F540))</f>
        <v/>
      </c>
      <c r="I540" s="10">
        <f>IF(COUNT(D540:F540)=0,"",MAX(D540:F540))</f>
        <v/>
      </c>
      <c r="J540" s="11">
        <f>IF(OR(G540="",G540=0),"",(I540-G540)/G540)</f>
        <v/>
      </c>
      <c r="K540" s="4">
        <f>IF(COUNT(D540:F540)=0,"",INDEX($D$1:$F$1,MATCH(MIN(D540:F540),D540:F540,0)))</f>
        <v/>
      </c>
      <c r="L540" s="10" t="n">
        <v>16560.53</v>
      </c>
      <c r="M540" s="12" t="n">
        <v>1</v>
      </c>
    </row>
    <row r="541">
      <c r="A541" s="4" t="inlineStr">
        <is>
          <t>MAT-24-025</t>
        </is>
      </c>
      <c r="B541" s="5" t="inlineStr">
        <is>
          <t>Inodoro Elongado Bolmen, marfil</t>
        </is>
      </c>
      <c r="C541" s="4" t="inlineStr">
        <is>
          <t>unidad</t>
        </is>
      </c>
      <c r="D541" s="10" t="n">
        <v>19389.02</v>
      </c>
      <c r="E541" s="10" t="n"/>
      <c r="F541" s="10" t="n"/>
      <c r="G541" s="10">
        <f>IF(COUNT(D541:F541)=0,"",MIN(D541:F541))</f>
        <v/>
      </c>
      <c r="H541" s="10">
        <f>IF(COUNT(D541:F541)=0,"",MEDIAN(D541:F541))</f>
        <v/>
      </c>
      <c r="I541" s="10">
        <f>IF(COUNT(D541:F541)=0,"",MAX(D541:F541))</f>
        <v/>
      </c>
      <c r="J541" s="11">
        <f>IF(OR(G541="",G541=0),"",(I541-G541)/G541)</f>
        <v/>
      </c>
      <c r="K541" s="4">
        <f>IF(COUNT(D541:F541)=0,"",INDEX($D$1:$F$1,MATCH(MIN(D541:F541),D541:F541,0)))</f>
        <v/>
      </c>
      <c r="L541" s="10" t="n">
        <v>19389.02</v>
      </c>
      <c r="M541" s="12" t="n">
        <v>1</v>
      </c>
    </row>
    <row r="542">
      <c r="A542" s="4" t="inlineStr">
        <is>
          <t>MAT-24-026</t>
        </is>
      </c>
      <c r="B542" s="5" t="inlineStr">
        <is>
          <t>Inodoro Rivoli Plus One Piece, blanco</t>
        </is>
      </c>
      <c r="C542" s="4" t="inlineStr">
        <is>
          <t>unidad</t>
        </is>
      </c>
      <c r="D542" s="10" t="n">
        <v>27004.54</v>
      </c>
      <c r="E542" s="10" t="n"/>
      <c r="F542" s="10" t="n"/>
      <c r="G542" s="10">
        <f>IF(COUNT(D542:F542)=0,"",MIN(D542:F542))</f>
        <v/>
      </c>
      <c r="H542" s="10">
        <f>IF(COUNT(D542:F542)=0,"",MEDIAN(D542:F542))</f>
        <v/>
      </c>
      <c r="I542" s="10">
        <f>IF(COUNT(D542:F542)=0,"",MAX(D542:F542))</f>
        <v/>
      </c>
      <c r="J542" s="11">
        <f>IF(OR(G542="",G542=0),"",(I542-G542)/G542)</f>
        <v/>
      </c>
      <c r="K542" s="4">
        <f>IF(COUNT(D542:F542)=0,"",INDEX($D$1:$F$1,MATCH(MIN(D542:F542),D542:F542,0)))</f>
        <v/>
      </c>
      <c r="L542" s="10" t="n">
        <v>27004.54</v>
      </c>
      <c r="M542" s="12" t="n">
        <v>1</v>
      </c>
    </row>
    <row r="543">
      <c r="A543" s="4" t="inlineStr">
        <is>
          <t>MAT-24-027</t>
        </is>
      </c>
      <c r="B543" s="5" t="inlineStr">
        <is>
          <t>Inodoro suspendido Genius + Cisterna, blanco</t>
        </is>
      </c>
      <c r="C543" s="4" t="inlineStr">
        <is>
          <t>unidad</t>
        </is>
      </c>
      <c r="D543" s="10" t="n">
        <v>27009.41</v>
      </c>
      <c r="E543" s="10" t="n"/>
      <c r="F543" s="10" t="n"/>
      <c r="G543" s="10">
        <f>IF(COUNT(D543:F543)=0,"",MIN(D543:F543))</f>
        <v/>
      </c>
      <c r="H543" s="10">
        <f>IF(COUNT(D543:F543)=0,"",MEDIAN(D543:F543))</f>
        <v/>
      </c>
      <c r="I543" s="10">
        <f>IF(COUNT(D543:F543)=0,"",MAX(D543:F543))</f>
        <v/>
      </c>
      <c r="J543" s="11">
        <f>IF(OR(G543="",G543=0),"",(I543-G543)/G543)</f>
        <v/>
      </c>
      <c r="K543" s="4">
        <f>IF(COUNT(D543:F543)=0,"",INDEX($D$1:$F$1,MATCH(MIN(D543:F543),D543:F543,0)))</f>
        <v/>
      </c>
      <c r="L543" s="10" t="n">
        <v>27009.41</v>
      </c>
      <c r="M543" s="12" t="n">
        <v>1</v>
      </c>
    </row>
    <row r="544">
      <c r="A544" s="4" t="inlineStr">
        <is>
          <t>MAT-24-028</t>
        </is>
      </c>
      <c r="B544" s="5" t="inlineStr">
        <is>
          <t>Inodoro Miura 16, blanco</t>
        </is>
      </c>
      <c r="C544" s="4" t="inlineStr">
        <is>
          <t>unidad</t>
        </is>
      </c>
      <c r="D544" s="10" t="n">
        <v>32824.98</v>
      </c>
      <c r="E544" s="10" t="n"/>
      <c r="F544" s="10" t="n"/>
      <c r="G544" s="10">
        <f>IF(COUNT(D544:F544)=0,"",MIN(D544:F544))</f>
        <v/>
      </c>
      <c r="H544" s="10">
        <f>IF(COUNT(D544:F544)=0,"",MEDIAN(D544:F544))</f>
        <v/>
      </c>
      <c r="I544" s="10">
        <f>IF(COUNT(D544:F544)=0,"",MAX(D544:F544))</f>
        <v/>
      </c>
      <c r="J544" s="11">
        <f>IF(OR(G544="",G544=0),"",(I544-G544)/G544)</f>
        <v/>
      </c>
      <c r="K544" s="4">
        <f>IF(COUNT(D544:F544)=0,"",INDEX($D$1:$F$1,MATCH(MIN(D544:F544),D544:F544,0)))</f>
        <v/>
      </c>
      <c r="L544" s="10" t="n">
        <v>32824.98</v>
      </c>
      <c r="M544" s="12" t="n">
        <v>1</v>
      </c>
    </row>
    <row r="545">
      <c r="A545" s="4" t="inlineStr">
        <is>
          <t>MAT-24-029</t>
        </is>
      </c>
      <c r="B545" s="5" t="inlineStr">
        <is>
          <t>Inodoro Op Capri Plus 4.8 Lpd</t>
        </is>
      </c>
      <c r="C545" s="4" t="inlineStr">
        <is>
          <t>unidad</t>
        </is>
      </c>
      <c r="D545" s="10" t="n">
        <v>34487.85</v>
      </c>
      <c r="E545" s="10" t="n"/>
      <c r="F545" s="10" t="n"/>
      <c r="G545" s="10">
        <f>IF(COUNT(D545:F545)=0,"",MIN(D545:F545))</f>
        <v/>
      </c>
      <c r="H545" s="10">
        <f>IF(COUNT(D545:F545)=0,"",MEDIAN(D545:F545))</f>
        <v/>
      </c>
      <c r="I545" s="10">
        <f>IF(COUNT(D545:F545)=0,"",MAX(D545:F545))</f>
        <v/>
      </c>
      <c r="J545" s="11">
        <f>IF(OR(G545="",G545=0),"",(I545-G545)/G545)</f>
        <v/>
      </c>
      <c r="K545" s="4">
        <f>IF(COUNT(D545:F545)=0,"",INDEX($D$1:$F$1,MATCH(MIN(D545:F545),D545:F545,0)))</f>
        <v/>
      </c>
      <c r="L545" s="10" t="n">
        <v>34487.85</v>
      </c>
      <c r="M545" s="12" t="n">
        <v>1</v>
      </c>
    </row>
    <row r="546">
      <c r="A546" s="4" t="inlineStr">
        <is>
          <t>MAT-24-030</t>
        </is>
      </c>
      <c r="B546" s="5" t="inlineStr">
        <is>
          <t>Tanque Para Inodoro Bellini, blanco</t>
        </is>
      </c>
      <c r="C546" s="4" t="inlineStr">
        <is>
          <t>unidad</t>
        </is>
      </c>
      <c r="D546" s="10" t="n">
        <v>586.47</v>
      </c>
      <c r="E546" s="10" t="n"/>
      <c r="F546" s="10" t="n"/>
      <c r="G546" s="10">
        <f>IF(COUNT(D546:F546)=0,"",MIN(D546:F546))</f>
        <v/>
      </c>
      <c r="H546" s="10">
        <f>IF(COUNT(D546:F546)=0,"",MEDIAN(D546:F546))</f>
        <v/>
      </c>
      <c r="I546" s="10">
        <f>IF(COUNT(D546:F546)=0,"",MAX(D546:F546))</f>
        <v/>
      </c>
      <c r="J546" s="11">
        <f>IF(OR(G546="",G546=0),"",(I546-G546)/G546)</f>
        <v/>
      </c>
      <c r="K546" s="4">
        <f>IF(COUNT(D546:F546)=0,"",INDEX($D$1:$F$1,MATCH(MIN(D546:F546),D546:F546,0)))</f>
        <v/>
      </c>
      <c r="L546" s="10" t="n">
        <v>586.47</v>
      </c>
      <c r="M546" s="12" t="n">
        <v>1</v>
      </c>
    </row>
    <row r="547">
      <c r="A547" s="4" t="inlineStr">
        <is>
          <t>MAT-24-031</t>
        </is>
      </c>
      <c r="B547" s="5" t="inlineStr">
        <is>
          <t>Tanque Ceres, blanco</t>
        </is>
      </c>
      <c r="C547" s="4" t="inlineStr">
        <is>
          <t>unidad</t>
        </is>
      </c>
      <c r="D547" s="10" t="n">
        <v>1220.26</v>
      </c>
      <c r="E547" s="10" t="n"/>
      <c r="F547" s="10" t="n"/>
      <c r="G547" s="10">
        <f>IF(COUNT(D547:F547)=0,"",MIN(D547:F547))</f>
        <v/>
      </c>
      <c r="H547" s="10">
        <f>IF(COUNT(D547:F547)=0,"",MEDIAN(D547:F547))</f>
        <v/>
      </c>
      <c r="I547" s="10">
        <f>IF(COUNT(D547:F547)=0,"",MAX(D547:F547))</f>
        <v/>
      </c>
      <c r="J547" s="11">
        <f>IF(OR(G547="",G547=0),"",(I547-G547)/G547)</f>
        <v/>
      </c>
      <c r="K547" s="4">
        <f>IF(COUNT(D547:F547)=0,"",INDEX($D$1:$F$1,MATCH(MIN(D547:F547),D547:F547,0)))</f>
        <v/>
      </c>
      <c r="L547" s="10" t="n">
        <v>1220.26</v>
      </c>
      <c r="M547" s="12" t="n">
        <v>1</v>
      </c>
    </row>
    <row r="548">
      <c r="A548" s="4" t="inlineStr">
        <is>
          <t>MAT-24-032</t>
        </is>
      </c>
      <c r="B548" s="5" t="inlineStr">
        <is>
          <t>Tanque Toronto Ii Ada Manija, marfil</t>
        </is>
      </c>
      <c r="C548" s="4" t="inlineStr">
        <is>
          <t>unidad</t>
        </is>
      </c>
      <c r="D548" s="10" t="n">
        <v>1707.44</v>
      </c>
      <c r="E548" s="10" t="n"/>
      <c r="F548" s="10" t="n"/>
      <c r="G548" s="10">
        <f>IF(COUNT(D548:F548)=0,"",MIN(D548:F548))</f>
        <v/>
      </c>
      <c r="H548" s="10">
        <f>IF(COUNT(D548:F548)=0,"",MEDIAN(D548:F548))</f>
        <v/>
      </c>
      <c r="I548" s="10">
        <f>IF(COUNT(D548:F548)=0,"",MAX(D548:F548))</f>
        <v/>
      </c>
      <c r="J548" s="11">
        <f>IF(OR(G548="",G548=0),"",(I548-G548)/G548)</f>
        <v/>
      </c>
      <c r="K548" s="4">
        <f>IF(COUNT(D548:F548)=0,"",INDEX($D$1:$F$1,MATCH(MIN(D548:F548),D548:F548,0)))</f>
        <v/>
      </c>
      <c r="L548" s="10" t="n">
        <v>1707.44</v>
      </c>
      <c r="M548" s="12" t="n">
        <v>1</v>
      </c>
    </row>
    <row r="549">
      <c r="A549" s="4" t="inlineStr">
        <is>
          <t>MAT-24-033</t>
        </is>
      </c>
      <c r="B549" s="5" t="inlineStr">
        <is>
          <t>Tanque Lucas redondo 3'' 4.8 Lpd, blanco</t>
        </is>
      </c>
      <c r="C549" s="4" t="inlineStr">
        <is>
          <t>unidad</t>
        </is>
      </c>
      <c r="D549" s="10" t="n">
        <v>2559.07</v>
      </c>
      <c r="E549" s="10" t="n"/>
      <c r="F549" s="10" t="n"/>
      <c r="G549" s="10">
        <f>IF(COUNT(D549:F549)=0,"",MIN(D549:F549))</f>
        <v/>
      </c>
      <c r="H549" s="10">
        <f>IF(COUNT(D549:F549)=0,"",MEDIAN(D549:F549))</f>
        <v/>
      </c>
      <c r="I549" s="10">
        <f>IF(COUNT(D549:F549)=0,"",MAX(D549:F549))</f>
        <v/>
      </c>
      <c r="J549" s="11">
        <f>IF(OR(G549="",G549=0),"",(I549-G549)/G549)</f>
        <v/>
      </c>
      <c r="K549" s="4">
        <f>IF(COUNT(D549:F549)=0,"",INDEX($D$1:$F$1,MATCH(MIN(D549:F549),D549:F549,0)))</f>
        <v/>
      </c>
      <c r="L549" s="10" t="n">
        <v>2559.07</v>
      </c>
      <c r="M549" s="12" t="n">
        <v>1</v>
      </c>
    </row>
    <row r="550">
      <c r="A550" s="4" t="inlineStr">
        <is>
          <t>MAT-24-034</t>
        </is>
      </c>
      <c r="B550" s="5" t="inlineStr">
        <is>
          <t>Tanque Artemis Push 710 x 415 x 800 Mm, blanco</t>
        </is>
      </c>
      <c r="C550" s="4" t="inlineStr">
        <is>
          <t>unidad</t>
        </is>
      </c>
      <c r="D550" s="10" t="n">
        <v>2587.8</v>
      </c>
      <c r="E550" s="10" t="n"/>
      <c r="F550" s="10" t="n"/>
      <c r="G550" s="10">
        <f>IF(COUNT(D550:F550)=0,"",MIN(D550:F550))</f>
        <v/>
      </c>
      <c r="H550" s="10">
        <f>IF(COUNT(D550:F550)=0,"",MEDIAN(D550:F550))</f>
        <v/>
      </c>
      <c r="I550" s="10">
        <f>IF(COUNT(D550:F550)=0,"",MAX(D550:F550))</f>
        <v/>
      </c>
      <c r="J550" s="11">
        <f>IF(OR(G550="",G550=0),"",(I550-G550)/G550)</f>
        <v/>
      </c>
      <c r="K550" s="4">
        <f>IF(COUNT(D550:F550)=0,"",INDEX($D$1:$F$1,MATCH(MIN(D550:F550),D550:F550,0)))</f>
        <v/>
      </c>
      <c r="L550" s="10" t="n">
        <v>2587.8</v>
      </c>
      <c r="M550" s="12" t="n">
        <v>1</v>
      </c>
    </row>
    <row r="551">
      <c r="A551" s="4" t="inlineStr">
        <is>
          <t>MAT-24-035</t>
        </is>
      </c>
      <c r="B551" s="5" t="inlineStr">
        <is>
          <t>Tanque Aguazul Calidad Universal, blanco</t>
        </is>
      </c>
      <c r="C551" s="4" t="inlineStr">
        <is>
          <t>unidad</t>
        </is>
      </c>
      <c r="D551" s="10" t="n">
        <v>2732.09</v>
      </c>
      <c r="E551" s="10" t="n"/>
      <c r="F551" s="10" t="n"/>
      <c r="G551" s="10">
        <f>IF(COUNT(D551:F551)=0,"",MIN(D551:F551))</f>
        <v/>
      </c>
      <c r="H551" s="10">
        <f>IF(COUNT(D551:F551)=0,"",MEDIAN(D551:F551))</f>
        <v/>
      </c>
      <c r="I551" s="10">
        <f>IF(COUNT(D551:F551)=0,"",MAX(D551:F551))</f>
        <v/>
      </c>
      <c r="J551" s="11">
        <f>IF(OR(G551="",G551=0),"",(I551-G551)/G551)</f>
        <v/>
      </c>
      <c r="K551" s="4">
        <f>IF(COUNT(D551:F551)=0,"",INDEX($D$1:$F$1,MATCH(MIN(D551:F551),D551:F551,0)))</f>
        <v/>
      </c>
      <c r="L551" s="10" t="n">
        <v>2732.09</v>
      </c>
      <c r="M551" s="12" t="n">
        <v>1</v>
      </c>
    </row>
    <row r="552">
      <c r="A552" s="4" t="inlineStr">
        <is>
          <t>MAT-24-036</t>
        </is>
      </c>
      <c r="B552" s="5" t="inlineStr">
        <is>
          <t>Tanque Para Inodoro Milenio, blanco</t>
        </is>
      </c>
      <c r="C552" s="4" t="inlineStr">
        <is>
          <t>unidad</t>
        </is>
      </c>
      <c r="D552" s="10" t="n">
        <v>2942.09</v>
      </c>
      <c r="E552" s="10" t="n"/>
      <c r="F552" s="10" t="n"/>
      <c r="G552" s="10">
        <f>IF(COUNT(D552:F552)=0,"",MIN(D552:F552))</f>
        <v/>
      </c>
      <c r="H552" s="10">
        <f>IF(COUNT(D552:F552)=0,"",MEDIAN(D552:F552))</f>
        <v/>
      </c>
      <c r="I552" s="10">
        <f>IF(COUNT(D552:F552)=0,"",MAX(D552:F552))</f>
        <v/>
      </c>
      <c r="J552" s="11">
        <f>IF(OR(G552="",G552=0),"",(I552-G552)/G552)</f>
        <v/>
      </c>
      <c r="K552" s="4">
        <f>IF(COUNT(D552:F552)=0,"",INDEX($D$1:$F$1,MATCH(MIN(D552:F552),D552:F552,0)))</f>
        <v/>
      </c>
      <c r="L552" s="10" t="n">
        <v>2942.09</v>
      </c>
      <c r="M552" s="12" t="n">
        <v>1</v>
      </c>
    </row>
    <row r="553">
      <c r="A553" s="4" t="inlineStr">
        <is>
          <t>MAT-24-037</t>
        </is>
      </c>
      <c r="B553" s="5" t="inlineStr">
        <is>
          <t>Tanque Para Inodoro Zurich, blanco</t>
        </is>
      </c>
      <c r="C553" s="4" t="inlineStr">
        <is>
          <t>unidad</t>
        </is>
      </c>
      <c r="D553" s="10" t="n">
        <v>2953.4</v>
      </c>
      <c r="E553" s="10" t="n"/>
      <c r="F553" s="10" t="n"/>
      <c r="G553" s="10">
        <f>IF(COUNT(D553:F553)=0,"",MIN(D553:F553))</f>
        <v/>
      </c>
      <c r="H553" s="10">
        <f>IF(COUNT(D553:F553)=0,"",MEDIAN(D553:F553))</f>
        <v/>
      </c>
      <c r="I553" s="10">
        <f>IF(COUNT(D553:F553)=0,"",MAX(D553:F553))</f>
        <v/>
      </c>
      <c r="J553" s="11">
        <f>IF(OR(G553="",G553=0),"",(I553-G553)/G553)</f>
        <v/>
      </c>
      <c r="K553" s="4">
        <f>IF(COUNT(D553:F553)=0,"",INDEX($D$1:$F$1,MATCH(MIN(D553:F553),D553:F553,0)))</f>
        <v/>
      </c>
      <c r="L553" s="10" t="n">
        <v>2953.4</v>
      </c>
      <c r="M553" s="12" t="n">
        <v>1</v>
      </c>
    </row>
    <row r="554">
      <c r="A554" s="4" t="inlineStr">
        <is>
          <t>MAT-24-038</t>
        </is>
      </c>
      <c r="B554" s="5" t="inlineStr">
        <is>
          <t>Tanque 3'' Lucas 4.8, negro</t>
        </is>
      </c>
      <c r="C554" s="4" t="inlineStr">
        <is>
          <t>unidad</t>
        </is>
      </c>
      <c r="D554" s="10" t="n">
        <v>3205.05</v>
      </c>
      <c r="E554" s="10" t="n"/>
      <c r="F554" s="10" t="n"/>
      <c r="G554" s="10">
        <f>IF(COUNT(D554:F554)=0,"",MIN(D554:F554))</f>
        <v/>
      </c>
      <c r="H554" s="10">
        <f>IF(COUNT(D554:F554)=0,"",MEDIAN(D554:F554))</f>
        <v/>
      </c>
      <c r="I554" s="10">
        <f>IF(COUNT(D554:F554)=0,"",MAX(D554:F554))</f>
        <v/>
      </c>
      <c r="J554" s="11">
        <f>IF(OR(G554="",G554=0),"",(I554-G554)/G554)</f>
        <v/>
      </c>
      <c r="K554" s="4">
        <f>IF(COUNT(D554:F554)=0,"",INDEX($D$1:$F$1,MATCH(MIN(D554:F554),D554:F554,0)))</f>
        <v/>
      </c>
      <c r="L554" s="10" t="n">
        <v>3205.05</v>
      </c>
      <c r="M554" s="12" t="n">
        <v>1</v>
      </c>
    </row>
    <row r="555">
      <c r="A555" s="4" t="inlineStr">
        <is>
          <t>MAT-24-039</t>
        </is>
      </c>
      <c r="B555" s="5" t="inlineStr">
        <is>
          <t>Tanque Milenio, marfil</t>
        </is>
      </c>
      <c r="C555" s="4" t="inlineStr">
        <is>
          <t>unidad</t>
        </is>
      </c>
      <c r="D555" s="10" t="n">
        <v>3281.77</v>
      </c>
      <c r="E555" s="10" t="n"/>
      <c r="F555" s="10" t="n"/>
      <c r="G555" s="10">
        <f>IF(COUNT(D555:F555)=0,"",MIN(D555:F555))</f>
        <v/>
      </c>
      <c r="H555" s="10">
        <f>IF(COUNT(D555:F555)=0,"",MEDIAN(D555:F555))</f>
        <v/>
      </c>
      <c r="I555" s="10">
        <f>IF(COUNT(D555:F555)=0,"",MAX(D555:F555))</f>
        <v/>
      </c>
      <c r="J555" s="11">
        <f>IF(OR(G555="",G555=0),"",(I555-G555)/G555)</f>
        <v/>
      </c>
      <c r="K555" s="4">
        <f>IF(COUNT(D555:F555)=0,"",INDEX($D$1:$F$1,MATCH(MIN(D555:F555),D555:F555,0)))</f>
        <v/>
      </c>
      <c r="L555" s="10" t="n">
        <v>3281.77</v>
      </c>
      <c r="M555" s="12" t="n">
        <v>1</v>
      </c>
    </row>
    <row r="556">
      <c r="A556" s="4" t="inlineStr">
        <is>
          <t>MAT-24-040</t>
        </is>
      </c>
      <c r="B556" s="5" t="inlineStr">
        <is>
          <t>Tanque Para Inodoro Zurich, marfil</t>
        </is>
      </c>
      <c r="C556" s="4" t="inlineStr">
        <is>
          <t>unidad</t>
        </is>
      </c>
      <c r="D556" s="10" t="n">
        <v>3294.37</v>
      </c>
      <c r="E556" s="10" t="n"/>
      <c r="F556" s="10" t="n"/>
      <c r="G556" s="10">
        <f>IF(COUNT(D556:F556)=0,"",MIN(D556:F556))</f>
        <v/>
      </c>
      <c r="H556" s="10">
        <f>IF(COUNT(D556:F556)=0,"",MEDIAN(D556:F556))</f>
        <v/>
      </c>
      <c r="I556" s="10">
        <f>IF(COUNT(D556:F556)=0,"",MAX(D556:F556))</f>
        <v/>
      </c>
      <c r="J556" s="11">
        <f>IF(OR(G556="",G556=0),"",(I556-G556)/G556)</f>
        <v/>
      </c>
      <c r="K556" s="4">
        <f>IF(COUNT(D556:F556)=0,"",INDEX($D$1:$F$1,MATCH(MIN(D556:F556),D556:F556,0)))</f>
        <v/>
      </c>
      <c r="L556" s="10" t="n">
        <v>3294.37</v>
      </c>
      <c r="M556" s="12" t="n">
        <v>1</v>
      </c>
    </row>
    <row r="557">
      <c r="A557" s="4" t="inlineStr">
        <is>
          <t>MAT-24-041</t>
        </is>
      </c>
      <c r="B557" s="5" t="inlineStr">
        <is>
          <t>Tanque Para Inodoro Jazmin, blanco</t>
        </is>
      </c>
      <c r="C557" s="4" t="inlineStr">
        <is>
          <t>unidad</t>
        </is>
      </c>
      <c r="D557" s="10" t="n">
        <v>3353.81</v>
      </c>
      <c r="E557" s="10" t="n"/>
      <c r="F557" s="10" t="n"/>
      <c r="G557" s="10">
        <f>IF(COUNT(D557:F557)=0,"",MIN(D557:F557))</f>
        <v/>
      </c>
      <c r="H557" s="10">
        <f>IF(COUNT(D557:F557)=0,"",MEDIAN(D557:F557))</f>
        <v/>
      </c>
      <c r="I557" s="10">
        <f>IF(COUNT(D557:F557)=0,"",MAX(D557:F557))</f>
        <v/>
      </c>
      <c r="J557" s="11">
        <f>IF(OR(G557="",G557=0),"",(I557-G557)/G557)</f>
        <v/>
      </c>
      <c r="K557" s="4">
        <f>IF(COUNT(D557:F557)=0,"",INDEX($D$1:$F$1,MATCH(MIN(D557:F557),D557:F557,0)))</f>
        <v/>
      </c>
      <c r="L557" s="10" t="n">
        <v>3353.81</v>
      </c>
      <c r="M557" s="12" t="n">
        <v>1</v>
      </c>
    </row>
    <row r="558">
      <c r="A558" s="4" t="inlineStr">
        <is>
          <t>MAT-24-042</t>
        </is>
      </c>
      <c r="B558" s="5" t="inlineStr">
        <is>
          <t>Tanque Aguazul Calidad Universal, marfil</t>
        </is>
      </c>
      <c r="C558" s="4" t="inlineStr">
        <is>
          <t>unidad</t>
        </is>
      </c>
      <c r="D558" s="10" t="n">
        <v>3460.52</v>
      </c>
      <c r="E558" s="10" t="n"/>
      <c r="F558" s="10" t="n"/>
      <c r="G558" s="10">
        <f>IF(COUNT(D558:F558)=0,"",MIN(D558:F558))</f>
        <v/>
      </c>
      <c r="H558" s="10">
        <f>IF(COUNT(D558:F558)=0,"",MEDIAN(D558:F558))</f>
        <v/>
      </c>
      <c r="I558" s="10">
        <f>IF(COUNT(D558:F558)=0,"",MAX(D558:F558))</f>
        <v/>
      </c>
      <c r="J558" s="11">
        <f>IF(OR(G558="",G558=0),"",(I558-G558)/G558)</f>
        <v/>
      </c>
      <c r="K558" s="4">
        <f>IF(COUNT(D558:F558)=0,"",INDEX($D$1:$F$1,MATCH(MIN(D558:F558),D558:F558,0)))</f>
        <v/>
      </c>
      <c r="L558" s="10" t="n">
        <v>3460.52</v>
      </c>
      <c r="M558" s="12" t="n">
        <v>1</v>
      </c>
    </row>
    <row r="559">
      <c r="A559" s="4" t="inlineStr">
        <is>
          <t>MAT-24-043</t>
        </is>
      </c>
      <c r="B559" s="5" t="inlineStr">
        <is>
          <t>Tanque Tango 3", blanco</t>
        </is>
      </c>
      <c r="C559" s="4" t="inlineStr">
        <is>
          <t>unidad</t>
        </is>
      </c>
      <c r="D559" s="10" t="n">
        <v>3504.93</v>
      </c>
      <c r="E559" s="10" t="n"/>
      <c r="F559" s="10" t="n"/>
      <c r="G559" s="10">
        <f>IF(COUNT(D559:F559)=0,"",MIN(D559:F559))</f>
        <v/>
      </c>
      <c r="H559" s="10">
        <f>IF(COUNT(D559:F559)=0,"",MEDIAN(D559:F559))</f>
        <v/>
      </c>
      <c r="I559" s="10">
        <f>IF(COUNT(D559:F559)=0,"",MAX(D559:F559))</f>
        <v/>
      </c>
      <c r="J559" s="11">
        <f>IF(OR(G559="",G559=0),"",(I559-G559)/G559)</f>
        <v/>
      </c>
      <c r="K559" s="4">
        <f>IF(COUNT(D559:F559)=0,"",INDEX($D$1:$F$1,MATCH(MIN(D559:F559),D559:F559,0)))</f>
        <v/>
      </c>
      <c r="L559" s="10" t="n">
        <v>3504.93</v>
      </c>
      <c r="M559" s="12" t="n">
        <v>1</v>
      </c>
    </row>
    <row r="560">
      <c r="A560" s="4" t="inlineStr">
        <is>
          <t>MAT-24-044</t>
        </is>
      </c>
      <c r="B560" s="5" t="inlineStr">
        <is>
          <t>Tanque Para Inodoro Fiore, blanco</t>
        </is>
      </c>
      <c r="C560" s="4" t="inlineStr">
        <is>
          <t>unidad</t>
        </is>
      </c>
      <c r="D560" s="10" t="n">
        <v>3523.85</v>
      </c>
      <c r="E560" s="10" t="n"/>
      <c r="F560" s="10" t="n"/>
      <c r="G560" s="10">
        <f>IF(COUNT(D560:F560)=0,"",MIN(D560:F560))</f>
        <v/>
      </c>
      <c r="H560" s="10">
        <f>IF(COUNT(D560:F560)=0,"",MEDIAN(D560:F560))</f>
        <v/>
      </c>
      <c r="I560" s="10">
        <f>IF(COUNT(D560:F560)=0,"",MAX(D560:F560))</f>
        <v/>
      </c>
      <c r="J560" s="11">
        <f>IF(OR(G560="",G560=0),"",(I560-G560)/G560)</f>
        <v/>
      </c>
      <c r="K560" s="4">
        <f>IF(COUNT(D560:F560)=0,"",INDEX($D$1:$F$1,MATCH(MIN(D560:F560),D560:F560,0)))</f>
        <v/>
      </c>
      <c r="L560" s="10" t="n">
        <v>3523.85</v>
      </c>
      <c r="M560" s="12" t="n">
        <v>1</v>
      </c>
    </row>
    <row r="561">
      <c r="A561" s="4" t="inlineStr">
        <is>
          <t>MAT-24-045</t>
        </is>
      </c>
      <c r="B561" s="5" t="inlineStr">
        <is>
          <t>Tanque Para Inodoro Jazmin, marfil</t>
        </is>
      </c>
      <c r="C561" s="4" t="inlineStr">
        <is>
          <t>unidad</t>
        </is>
      </c>
      <c r="D561" s="10" t="n">
        <v>3686.21</v>
      </c>
      <c r="E561" s="10" t="n"/>
      <c r="F561" s="10" t="n"/>
      <c r="G561" s="10">
        <f>IF(COUNT(D561:F561)=0,"",MIN(D561:F561))</f>
        <v/>
      </c>
      <c r="H561" s="10">
        <f>IF(COUNT(D561:F561)=0,"",MEDIAN(D561:F561))</f>
        <v/>
      </c>
      <c r="I561" s="10">
        <f>IF(COUNT(D561:F561)=0,"",MAX(D561:F561))</f>
        <v/>
      </c>
      <c r="J561" s="11">
        <f>IF(OR(G561="",G561=0),"",(I561-G561)/G561)</f>
        <v/>
      </c>
      <c r="K561" s="4">
        <f>IF(COUNT(D561:F561)=0,"",INDEX($D$1:$F$1,MATCH(MIN(D561:F561),D561:F561,0)))</f>
        <v/>
      </c>
      <c r="L561" s="10" t="n">
        <v>3686.21</v>
      </c>
      <c r="M561" s="12" t="n">
        <v>1</v>
      </c>
    </row>
    <row r="562">
      <c r="A562" s="4" t="inlineStr">
        <is>
          <t>MAT-24-046</t>
        </is>
      </c>
      <c r="B562" s="5" t="inlineStr">
        <is>
          <t>Tanque Goya con Boton 3.8, blanco</t>
        </is>
      </c>
      <c r="C562" s="4" t="inlineStr">
        <is>
          <t>unidad</t>
        </is>
      </c>
      <c r="D562" s="10" t="n">
        <v>3935.55</v>
      </c>
      <c r="E562" s="10" t="n"/>
      <c r="F562" s="10" t="n"/>
      <c r="G562" s="10">
        <f>IF(COUNT(D562:F562)=0,"",MIN(D562:F562))</f>
        <v/>
      </c>
      <c r="H562" s="10">
        <f>IF(COUNT(D562:F562)=0,"",MEDIAN(D562:F562))</f>
        <v/>
      </c>
      <c r="I562" s="10">
        <f>IF(COUNT(D562:F562)=0,"",MAX(D562:F562))</f>
        <v/>
      </c>
      <c r="J562" s="11">
        <f>IF(OR(G562="",G562=0),"",(I562-G562)/G562)</f>
        <v/>
      </c>
      <c r="K562" s="4">
        <f>IF(COUNT(D562:F562)=0,"",INDEX($D$1:$F$1,MATCH(MIN(D562:F562),D562:F562,0)))</f>
        <v/>
      </c>
      <c r="L562" s="10" t="n">
        <v>3935.55</v>
      </c>
      <c r="M562" s="12" t="n">
        <v>1</v>
      </c>
    </row>
    <row r="563">
      <c r="A563" s="4" t="inlineStr">
        <is>
          <t>MAT-24-047</t>
        </is>
      </c>
      <c r="B563" s="5" t="inlineStr">
        <is>
          <t>Tanque De Inodoro Rodano, marfil</t>
        </is>
      </c>
      <c r="C563" s="4" t="inlineStr">
        <is>
          <t>unidad</t>
        </is>
      </c>
      <c r="D563" s="10" t="n">
        <v>3963.53</v>
      </c>
      <c r="E563" s="10" t="n"/>
      <c r="F563" s="10" t="n"/>
      <c r="G563" s="10">
        <f>IF(COUNT(D563:F563)=0,"",MIN(D563:F563))</f>
        <v/>
      </c>
      <c r="H563" s="10">
        <f>IF(COUNT(D563:F563)=0,"",MEDIAN(D563:F563))</f>
        <v/>
      </c>
      <c r="I563" s="10">
        <f>IF(COUNT(D563:F563)=0,"",MAX(D563:F563))</f>
        <v/>
      </c>
      <c r="J563" s="11">
        <f>IF(OR(G563="",G563=0),"",(I563-G563)/G563)</f>
        <v/>
      </c>
      <c r="K563" s="4">
        <f>IF(COUNT(D563:F563)=0,"",INDEX($D$1:$F$1,MATCH(MIN(D563:F563),D563:F563,0)))</f>
        <v/>
      </c>
      <c r="L563" s="10" t="n">
        <v>3963.53</v>
      </c>
      <c r="M563" s="12" t="n">
        <v>1</v>
      </c>
    </row>
    <row r="564">
      <c r="A564" s="4" t="inlineStr">
        <is>
          <t>MAT-24-048</t>
        </is>
      </c>
      <c r="B564" s="5" t="inlineStr">
        <is>
          <t>Tanque Inodoro Chichen Itza, blanco</t>
        </is>
      </c>
      <c r="C564" s="4" t="inlineStr">
        <is>
          <t>unidad</t>
        </is>
      </c>
      <c r="D564" s="10" t="n">
        <v>3963.96</v>
      </c>
      <c r="E564" s="10" t="n"/>
      <c r="F564" s="10" t="n"/>
      <c r="G564" s="10">
        <f>IF(COUNT(D564:F564)=0,"",MIN(D564:F564))</f>
        <v/>
      </c>
      <c r="H564" s="10">
        <f>IF(COUNT(D564:F564)=0,"",MEDIAN(D564:F564))</f>
        <v/>
      </c>
      <c r="I564" s="10">
        <f>IF(COUNT(D564:F564)=0,"",MAX(D564:F564))</f>
        <v/>
      </c>
      <c r="J564" s="11">
        <f>IF(OR(G564="",G564=0),"",(I564-G564)/G564)</f>
        <v/>
      </c>
      <c r="K564" s="4">
        <f>IF(COUNT(D564:F564)=0,"",INDEX($D$1:$F$1,MATCH(MIN(D564:F564),D564:F564,0)))</f>
        <v/>
      </c>
      <c r="L564" s="10" t="n">
        <v>3963.96</v>
      </c>
      <c r="M564" s="12" t="n">
        <v>1</v>
      </c>
    </row>
    <row r="565">
      <c r="A565" s="4" t="inlineStr">
        <is>
          <t>MAT-24-049</t>
        </is>
      </c>
      <c r="B565" s="5" t="inlineStr">
        <is>
          <t>Tanque Para Inodoro Terra Iii, blanco</t>
        </is>
      </c>
      <c r="C565" s="4" t="inlineStr">
        <is>
          <t>unidad</t>
        </is>
      </c>
      <c r="D565" s="10" t="n">
        <v>4050.93</v>
      </c>
      <c r="E565" s="10" t="n"/>
      <c r="F565" s="10" t="n"/>
      <c r="G565" s="10">
        <f>IF(COUNT(D565:F565)=0,"",MIN(D565:F565))</f>
        <v/>
      </c>
      <c r="H565" s="10">
        <f>IF(COUNT(D565:F565)=0,"",MEDIAN(D565:F565))</f>
        <v/>
      </c>
      <c r="I565" s="10">
        <f>IF(COUNT(D565:F565)=0,"",MAX(D565:F565))</f>
        <v/>
      </c>
      <c r="J565" s="11">
        <f>IF(OR(G565="",G565=0),"",(I565-G565)/G565)</f>
        <v/>
      </c>
      <c r="K565" s="4">
        <f>IF(COUNT(D565:F565)=0,"",INDEX($D$1:$F$1,MATCH(MIN(D565:F565),D565:F565,0)))</f>
        <v/>
      </c>
      <c r="L565" s="10" t="n">
        <v>4050.93</v>
      </c>
      <c r="M565" s="12" t="n">
        <v>1</v>
      </c>
    </row>
    <row r="566">
      <c r="A566" s="4" t="inlineStr">
        <is>
          <t>MAT-24-050</t>
        </is>
      </c>
      <c r="B566" s="5" t="inlineStr">
        <is>
          <t>Tanque Para Inodoro Tango, marfil</t>
        </is>
      </c>
      <c r="C566" s="4" t="inlineStr">
        <is>
          <t>unidad</t>
        </is>
      </c>
      <c r="D566" s="10" t="n">
        <v>4346.65</v>
      </c>
      <c r="E566" s="10" t="n"/>
      <c r="F566" s="10" t="n"/>
      <c r="G566" s="10">
        <f>IF(COUNT(D566:F566)=0,"",MIN(D566:F566))</f>
        <v/>
      </c>
      <c r="H566" s="10">
        <f>IF(COUNT(D566:F566)=0,"",MEDIAN(D566:F566))</f>
        <v/>
      </c>
      <c r="I566" s="10">
        <f>IF(COUNT(D566:F566)=0,"",MAX(D566:F566))</f>
        <v/>
      </c>
      <c r="J566" s="11">
        <f>IF(OR(G566="",G566=0),"",(I566-G566)/G566)</f>
        <v/>
      </c>
      <c r="K566" s="4">
        <f>IF(COUNT(D566:F566)=0,"",INDEX($D$1:$F$1,MATCH(MIN(D566:F566),D566:F566,0)))</f>
        <v/>
      </c>
      <c r="L566" s="10" t="n">
        <v>4346.65</v>
      </c>
      <c r="M566" s="12" t="n">
        <v>1</v>
      </c>
    </row>
    <row r="567">
      <c r="A567" s="4" t="inlineStr">
        <is>
          <t>MAT-24-051</t>
        </is>
      </c>
      <c r="B567" s="5" t="inlineStr">
        <is>
          <t>Tanque Olimpia, blanco</t>
        </is>
      </c>
      <c r="C567" s="4" t="inlineStr">
        <is>
          <t>unidad</t>
        </is>
      </c>
      <c r="D567" s="10" t="n">
        <v>4513.21</v>
      </c>
      <c r="E567" s="10" t="n"/>
      <c r="F567" s="10" t="n"/>
      <c r="G567" s="10">
        <f>IF(COUNT(D567:F567)=0,"",MIN(D567:F567))</f>
        <v/>
      </c>
      <c r="H567" s="10">
        <f>IF(COUNT(D567:F567)=0,"",MEDIAN(D567:F567))</f>
        <v/>
      </c>
      <c r="I567" s="10">
        <f>IF(COUNT(D567:F567)=0,"",MAX(D567:F567))</f>
        <v/>
      </c>
      <c r="J567" s="11">
        <f>IF(OR(G567="",G567=0),"",(I567-G567)/G567)</f>
        <v/>
      </c>
      <c r="K567" s="4">
        <f>IF(COUNT(D567:F567)=0,"",INDEX($D$1:$F$1,MATCH(MIN(D567:F567),D567:F567,0)))</f>
        <v/>
      </c>
      <c r="L567" s="10" t="n">
        <v>4513.21</v>
      </c>
      <c r="M567" s="12" t="n">
        <v>1</v>
      </c>
    </row>
    <row r="568">
      <c r="A568" s="4" t="inlineStr">
        <is>
          <t>MAT-24-052</t>
        </is>
      </c>
      <c r="B568" s="5" t="inlineStr">
        <is>
          <t>Tanque Inodoro Chichen Itza, marfil</t>
        </is>
      </c>
      <c r="C568" s="4" t="inlineStr">
        <is>
          <t>unidad</t>
        </is>
      </c>
      <c r="D568" s="10" t="n">
        <v>4532.11</v>
      </c>
      <c r="E568" s="10" t="n"/>
      <c r="F568" s="10" t="n"/>
      <c r="G568" s="10">
        <f>IF(COUNT(D568:F568)=0,"",MIN(D568:F568))</f>
        <v/>
      </c>
      <c r="H568" s="10">
        <f>IF(COUNT(D568:F568)=0,"",MEDIAN(D568:F568))</f>
        <v/>
      </c>
      <c r="I568" s="10">
        <f>IF(COUNT(D568:F568)=0,"",MAX(D568:F568))</f>
        <v/>
      </c>
      <c r="J568" s="11">
        <f>IF(OR(G568="",G568=0),"",(I568-G568)/G568)</f>
        <v/>
      </c>
      <c r="K568" s="4">
        <f>IF(COUNT(D568:F568)=0,"",INDEX($D$1:$F$1,MATCH(MIN(D568:F568),D568:F568,0)))</f>
        <v/>
      </c>
      <c r="L568" s="10" t="n">
        <v>4532.11</v>
      </c>
      <c r="M568" s="12" t="n">
        <v>1</v>
      </c>
    </row>
    <row r="569">
      <c r="A569" s="4" t="inlineStr">
        <is>
          <t>MAT-24-053</t>
        </is>
      </c>
      <c r="B569" s="5" t="inlineStr">
        <is>
          <t>Tanque Terra 3", marfil</t>
        </is>
      </c>
      <c r="C569" s="4" t="inlineStr">
        <is>
          <t>unidad</t>
        </is>
      </c>
      <c r="D569" s="10" t="n">
        <v>4629.65</v>
      </c>
      <c r="E569" s="10" t="n"/>
      <c r="F569" s="10" t="n"/>
      <c r="G569" s="10">
        <f>IF(COUNT(D569:F569)=0,"",MIN(D569:F569))</f>
        <v/>
      </c>
      <c r="H569" s="10">
        <f>IF(COUNT(D569:F569)=0,"",MEDIAN(D569:F569))</f>
        <v/>
      </c>
      <c r="I569" s="10">
        <f>IF(COUNT(D569:F569)=0,"",MAX(D569:F569))</f>
        <v/>
      </c>
      <c r="J569" s="11">
        <f>IF(OR(G569="",G569=0),"",(I569-G569)/G569)</f>
        <v/>
      </c>
      <c r="K569" s="4">
        <f>IF(COUNT(D569:F569)=0,"",INDEX($D$1:$F$1,MATCH(MIN(D569:F569),D569:F569,0)))</f>
        <v/>
      </c>
      <c r="L569" s="10" t="n">
        <v>4629.65</v>
      </c>
      <c r="M569" s="12" t="n">
        <v>1</v>
      </c>
    </row>
    <row r="570">
      <c r="A570" s="4" t="inlineStr">
        <is>
          <t>MAT-24-054</t>
        </is>
      </c>
      <c r="B570" s="5" t="inlineStr">
        <is>
          <t>Tanque De Inodoro Option, blanco</t>
        </is>
      </c>
      <c r="C570" s="4" t="inlineStr">
        <is>
          <t>unidad</t>
        </is>
      </c>
      <c r="D570" s="10" t="n">
        <v>4844.47</v>
      </c>
      <c r="E570" s="10" t="n"/>
      <c r="F570" s="10" t="n"/>
      <c r="G570" s="10">
        <f>IF(COUNT(D570:F570)=0,"",MIN(D570:F570))</f>
        <v/>
      </c>
      <c r="H570" s="10">
        <f>IF(COUNT(D570:F570)=0,"",MEDIAN(D570:F570))</f>
        <v/>
      </c>
      <c r="I570" s="10">
        <f>IF(COUNT(D570:F570)=0,"",MAX(D570:F570))</f>
        <v/>
      </c>
      <c r="J570" s="11">
        <f>IF(OR(G570="",G570=0),"",(I570-G570)/G570)</f>
        <v/>
      </c>
      <c r="K570" s="4">
        <f>IF(COUNT(D570:F570)=0,"",INDEX($D$1:$F$1,MATCH(MIN(D570:F570),D570:F570,0)))</f>
        <v/>
      </c>
      <c r="L570" s="10" t="n">
        <v>4844.47</v>
      </c>
      <c r="M570" s="12" t="n">
        <v>1</v>
      </c>
    </row>
    <row r="571">
      <c r="A571" s="4" t="inlineStr">
        <is>
          <t>MAT-24-055</t>
        </is>
      </c>
      <c r="B571" s="5" t="inlineStr">
        <is>
          <t>Tanque De Inodoro Rodano, blanco</t>
        </is>
      </c>
      <c r="C571" s="4" t="inlineStr">
        <is>
          <t>unidad</t>
        </is>
      </c>
      <c r="D571" s="10" t="n">
        <v>4864.27</v>
      </c>
      <c r="E571" s="10" t="n"/>
      <c r="F571" s="10" t="n"/>
      <c r="G571" s="10">
        <f>IF(COUNT(D571:F571)=0,"",MIN(D571:F571))</f>
        <v/>
      </c>
      <c r="H571" s="10">
        <f>IF(COUNT(D571:F571)=0,"",MEDIAN(D571:F571))</f>
        <v/>
      </c>
      <c r="I571" s="10">
        <f>IF(COUNT(D571:F571)=0,"",MAX(D571:F571))</f>
        <v/>
      </c>
      <c r="J571" s="11">
        <f>IF(OR(G571="",G571=0),"",(I571-G571)/G571)</f>
        <v/>
      </c>
      <c r="K571" s="4">
        <f>IF(COUNT(D571:F571)=0,"",INDEX($D$1:$F$1,MATCH(MIN(D571:F571),D571:F571,0)))</f>
        <v/>
      </c>
      <c r="L571" s="10" t="n">
        <v>4864.27</v>
      </c>
      <c r="M571" s="12" t="n">
        <v>1</v>
      </c>
    </row>
    <row r="572">
      <c r="A572" s="4" t="inlineStr">
        <is>
          <t>MAT-24-056</t>
        </is>
      </c>
      <c r="B572" s="5" t="inlineStr">
        <is>
          <t>Tanque Olimpia, marfil</t>
        </is>
      </c>
      <c r="C572" s="4" t="inlineStr">
        <is>
          <t>unidad</t>
        </is>
      </c>
      <c r="D572" s="10" t="n">
        <v>4918.97</v>
      </c>
      <c r="E572" s="10" t="n"/>
      <c r="F572" s="10" t="n"/>
      <c r="G572" s="10">
        <f>IF(COUNT(D572:F572)=0,"",MIN(D572:F572))</f>
        <v/>
      </c>
      <c r="H572" s="10">
        <f>IF(COUNT(D572:F572)=0,"",MEDIAN(D572:F572))</f>
        <v/>
      </c>
      <c r="I572" s="10">
        <f>IF(COUNT(D572:F572)=0,"",MAX(D572:F572))</f>
        <v/>
      </c>
      <c r="J572" s="11">
        <f>IF(OR(G572="",G572=0),"",(I572-G572)/G572)</f>
        <v/>
      </c>
      <c r="K572" s="4">
        <f>IF(COUNT(D572:F572)=0,"",INDEX($D$1:$F$1,MATCH(MIN(D572:F572),D572:F572,0)))</f>
        <v/>
      </c>
      <c r="L572" s="10" t="n">
        <v>4918.97</v>
      </c>
      <c r="M572" s="12" t="n">
        <v>1</v>
      </c>
    </row>
    <row r="573">
      <c r="A573" s="4" t="inlineStr">
        <is>
          <t>MAT-24-057</t>
        </is>
      </c>
      <c r="B573" s="5" t="inlineStr">
        <is>
          <t>Tanque Austral, blanco</t>
        </is>
      </c>
      <c r="C573" s="4" t="inlineStr">
        <is>
          <t>unidad</t>
        </is>
      </c>
      <c r="D573" s="10" t="n">
        <v>5209.9</v>
      </c>
      <c r="E573" s="10" t="n"/>
      <c r="F573" s="10" t="n"/>
      <c r="G573" s="10">
        <f>IF(COUNT(D573:F573)=0,"",MIN(D573:F573))</f>
        <v/>
      </c>
      <c r="H573" s="10">
        <f>IF(COUNT(D573:F573)=0,"",MEDIAN(D573:F573))</f>
        <v/>
      </c>
      <c r="I573" s="10">
        <f>IF(COUNT(D573:F573)=0,"",MAX(D573:F573))</f>
        <v/>
      </c>
      <c r="J573" s="11">
        <f>IF(OR(G573="",G573=0),"",(I573-G573)/G573)</f>
        <v/>
      </c>
      <c r="K573" s="4">
        <f>IF(COUNT(D573:F573)=0,"",INDEX($D$1:$F$1,MATCH(MIN(D573:F573),D573:F573,0)))</f>
        <v/>
      </c>
      <c r="L573" s="10" t="n">
        <v>5209.9</v>
      </c>
      <c r="M573" s="12" t="n">
        <v>1</v>
      </c>
    </row>
    <row r="574">
      <c r="A574" s="4" t="inlineStr">
        <is>
          <t>MAT-24-058</t>
        </is>
      </c>
      <c r="B574" s="5" t="inlineStr">
        <is>
          <t>Tanque Inodoro Drakar 16, blanco</t>
        </is>
      </c>
      <c r="C574" s="4" t="inlineStr">
        <is>
          <t>unidad</t>
        </is>
      </c>
      <c r="D574" s="10" t="n">
        <v>5283.05</v>
      </c>
      <c r="E574" s="10" t="n"/>
      <c r="F574" s="10" t="n"/>
      <c r="G574" s="10">
        <f>IF(COUNT(D574:F574)=0,"",MIN(D574:F574))</f>
        <v/>
      </c>
      <c r="H574" s="10">
        <f>IF(COUNT(D574:F574)=0,"",MEDIAN(D574:F574))</f>
        <v/>
      </c>
      <c r="I574" s="10">
        <f>IF(COUNT(D574:F574)=0,"",MAX(D574:F574))</f>
        <v/>
      </c>
      <c r="J574" s="11">
        <f>IF(OR(G574="",G574=0),"",(I574-G574)/G574)</f>
        <v/>
      </c>
      <c r="K574" s="4">
        <f>IF(COUNT(D574:F574)=0,"",INDEX($D$1:$F$1,MATCH(MIN(D574:F574),D574:F574,0)))</f>
        <v/>
      </c>
      <c r="L574" s="10" t="n">
        <v>5283.05</v>
      </c>
      <c r="M574" s="12" t="n">
        <v>1</v>
      </c>
    </row>
    <row r="575">
      <c r="A575" s="4" t="inlineStr">
        <is>
          <t>MAT-24-059</t>
        </is>
      </c>
      <c r="B575" s="5" t="inlineStr">
        <is>
          <t>Tanque Sustenta, blanco</t>
        </is>
      </c>
      <c r="C575" s="4" t="inlineStr">
        <is>
          <t>unidad</t>
        </is>
      </c>
      <c r="D575" s="10" t="n">
        <v>5467.75</v>
      </c>
      <c r="E575" s="10" t="n"/>
      <c r="F575" s="10" t="n"/>
      <c r="G575" s="10">
        <f>IF(COUNT(D575:F575)=0,"",MIN(D575:F575))</f>
        <v/>
      </c>
      <c r="H575" s="10">
        <f>IF(COUNT(D575:F575)=0,"",MEDIAN(D575:F575))</f>
        <v/>
      </c>
      <c r="I575" s="10">
        <f>IF(COUNT(D575:F575)=0,"",MAX(D575:F575))</f>
        <v/>
      </c>
      <c r="J575" s="11">
        <f>IF(OR(G575="",G575=0),"",(I575-G575)/G575)</f>
        <v/>
      </c>
      <c r="K575" s="4">
        <f>IF(COUNT(D575:F575)=0,"",INDEX($D$1:$F$1,MATCH(MIN(D575:F575),D575:F575,0)))</f>
        <v/>
      </c>
      <c r="L575" s="10" t="n">
        <v>5467.75</v>
      </c>
      <c r="M575" s="12" t="n">
        <v>1</v>
      </c>
    </row>
    <row r="576">
      <c r="A576" s="4" t="inlineStr">
        <is>
          <t>MAT-24-060</t>
        </is>
      </c>
      <c r="B576" s="5" t="inlineStr">
        <is>
          <t>Tanque Bolmen 16, blanco</t>
        </is>
      </c>
      <c r="C576" s="4" t="inlineStr">
        <is>
          <t>unidad</t>
        </is>
      </c>
      <c r="D576" s="10" t="n">
        <v>5914.29</v>
      </c>
      <c r="E576" s="10" t="n"/>
      <c r="F576" s="10" t="n"/>
      <c r="G576" s="10">
        <f>IF(COUNT(D576:F576)=0,"",MIN(D576:F576))</f>
        <v/>
      </c>
      <c r="H576" s="10">
        <f>IF(COUNT(D576:F576)=0,"",MEDIAN(D576:F576))</f>
        <v/>
      </c>
      <c r="I576" s="10">
        <f>IF(COUNT(D576:F576)=0,"",MAX(D576:F576))</f>
        <v/>
      </c>
      <c r="J576" s="11">
        <f>IF(OR(G576="",G576=0),"",(I576-G576)/G576)</f>
        <v/>
      </c>
      <c r="K576" s="4">
        <f>IF(COUNT(D576:F576)=0,"",INDEX($D$1:$F$1,MATCH(MIN(D576:F576),D576:F576,0)))</f>
        <v/>
      </c>
      <c r="L576" s="10" t="n">
        <v>5914.29</v>
      </c>
      <c r="M576" s="12" t="n">
        <v>1</v>
      </c>
    </row>
    <row r="577">
      <c r="A577" s="4" t="inlineStr">
        <is>
          <t>MAT-24-061</t>
        </is>
      </c>
      <c r="B577" s="5" t="inlineStr">
        <is>
          <t>Tanque Para Inodoros Rodano, blanco</t>
        </is>
      </c>
      <c r="C577" s="4" t="inlineStr">
        <is>
          <t>unidad</t>
        </is>
      </c>
      <c r="D577" s="10" t="n">
        <v>6050.86</v>
      </c>
      <c r="E577" s="10" t="n"/>
      <c r="F577" s="10" t="n"/>
      <c r="G577" s="10">
        <f>IF(COUNT(D577:F577)=0,"",MIN(D577:F577))</f>
        <v/>
      </c>
      <c r="H577" s="10">
        <f>IF(COUNT(D577:F577)=0,"",MEDIAN(D577:F577))</f>
        <v/>
      </c>
      <c r="I577" s="10">
        <f>IF(COUNT(D577:F577)=0,"",MAX(D577:F577))</f>
        <v/>
      </c>
      <c r="J577" s="11">
        <f>IF(OR(G577="",G577=0),"",(I577-G577)/G577)</f>
        <v/>
      </c>
      <c r="K577" s="4">
        <f>IF(COUNT(D577:F577)=0,"",INDEX($D$1:$F$1,MATCH(MIN(D577:F577),D577:F577,0)))</f>
        <v/>
      </c>
      <c r="L577" s="10" t="n">
        <v>6050.86</v>
      </c>
      <c r="M577" s="12" t="n">
        <v>1</v>
      </c>
    </row>
    <row r="578">
      <c r="A578" s="4" t="inlineStr">
        <is>
          <t>MAT-24-062</t>
        </is>
      </c>
      <c r="B578" s="5" t="inlineStr">
        <is>
          <t>Tanque Rodano 16, marfil</t>
        </is>
      </c>
      <c r="C578" s="4" t="inlineStr">
        <is>
          <t>unidad</t>
        </is>
      </c>
      <c r="D578" s="10" t="n">
        <v>6289.99</v>
      </c>
      <c r="E578" s="10" t="n"/>
      <c r="F578" s="10" t="n"/>
      <c r="G578" s="10">
        <f>IF(COUNT(D578:F578)=0,"",MIN(D578:F578))</f>
        <v/>
      </c>
      <c r="H578" s="10">
        <f>IF(COUNT(D578:F578)=0,"",MEDIAN(D578:F578))</f>
        <v/>
      </c>
      <c r="I578" s="10">
        <f>IF(COUNT(D578:F578)=0,"",MAX(D578:F578))</f>
        <v/>
      </c>
      <c r="J578" s="11">
        <f>IF(OR(G578="",G578=0),"",(I578-G578)/G578)</f>
        <v/>
      </c>
      <c r="K578" s="4">
        <f>IF(COUNT(D578:F578)=0,"",INDEX($D$1:$F$1,MATCH(MIN(D578:F578),D578:F578,0)))</f>
        <v/>
      </c>
      <c r="L578" s="10" t="n">
        <v>6289.99</v>
      </c>
      <c r="M578" s="12" t="n">
        <v>1</v>
      </c>
    </row>
    <row r="579">
      <c r="A579" s="4" t="inlineStr">
        <is>
          <t>MAT-24-063</t>
        </is>
      </c>
      <c r="B579" s="5" t="inlineStr">
        <is>
          <t>Tanque Para Inodoro Bolmen, marfil</t>
        </is>
      </c>
      <c r="C579" s="4" t="inlineStr">
        <is>
          <t>unidad</t>
        </is>
      </c>
      <c r="D579" s="10" t="n">
        <v>6467.83</v>
      </c>
      <c r="E579" s="10" t="n"/>
      <c r="F579" s="10" t="n"/>
      <c r="G579" s="10">
        <f>IF(COUNT(D579:F579)=0,"",MIN(D579:F579))</f>
        <v/>
      </c>
      <c r="H579" s="10">
        <f>IF(COUNT(D579:F579)=0,"",MEDIAN(D579:F579))</f>
        <v/>
      </c>
      <c r="I579" s="10">
        <f>IF(COUNT(D579:F579)=0,"",MAX(D579:F579))</f>
        <v/>
      </c>
      <c r="J579" s="11">
        <f>IF(OR(G579="",G579=0),"",(I579-G579)/G579)</f>
        <v/>
      </c>
      <c r="K579" s="4">
        <f>IF(COUNT(D579:F579)=0,"",INDEX($D$1:$F$1,MATCH(MIN(D579:F579),D579:F579,0)))</f>
        <v/>
      </c>
      <c r="L579" s="10" t="n">
        <v>6467.83</v>
      </c>
      <c r="M579" s="12" t="n">
        <v>1</v>
      </c>
    </row>
    <row r="580">
      <c r="A580" s="4" t="inlineStr">
        <is>
          <t>MAT-24-064</t>
        </is>
      </c>
      <c r="B580" s="5" t="inlineStr">
        <is>
          <t>Tanque Murano Murano, blanco</t>
        </is>
      </c>
      <c r="C580" s="4" t="inlineStr">
        <is>
          <t>unidad</t>
        </is>
      </c>
      <c r="D580" s="10" t="n">
        <v>10691.99</v>
      </c>
      <c r="E580" s="10" t="n"/>
      <c r="F580" s="10" t="n"/>
      <c r="G580" s="10">
        <f>IF(COUNT(D580:F580)=0,"",MIN(D580:F580))</f>
        <v/>
      </c>
      <c r="H580" s="10">
        <f>IF(COUNT(D580:F580)=0,"",MEDIAN(D580:F580))</f>
        <v/>
      </c>
      <c r="I580" s="10">
        <f>IF(COUNT(D580:F580)=0,"",MAX(D580:F580))</f>
        <v/>
      </c>
      <c r="J580" s="11">
        <f>IF(OR(G580="",G580=0),"",(I580-G580)/G580)</f>
        <v/>
      </c>
      <c r="K580" s="4">
        <f>IF(COUNT(D580:F580)=0,"",INDEX($D$1:$F$1,MATCH(MIN(D580:F580),D580:F580,0)))</f>
        <v/>
      </c>
      <c r="L580" s="10" t="n">
        <v>10691.99</v>
      </c>
      <c r="M580" s="12" t="n">
        <v>1</v>
      </c>
    </row>
    <row r="581">
      <c r="A581" s="4" t="inlineStr">
        <is>
          <t>MAT-24-065</t>
        </is>
      </c>
      <c r="B581" s="5" t="inlineStr">
        <is>
          <t>Tanque Miura 16, blanco</t>
        </is>
      </c>
      <c r="C581" s="4" t="inlineStr">
        <is>
          <t>unidad</t>
        </is>
      </c>
      <c r="D581" s="10" t="n">
        <v>13128.56</v>
      </c>
      <c r="E581" s="10" t="n"/>
      <c r="F581" s="10" t="n"/>
      <c r="G581" s="10">
        <f>IF(COUNT(D581:F581)=0,"",MIN(D581:F581))</f>
        <v/>
      </c>
      <c r="H581" s="10">
        <f>IF(COUNT(D581:F581)=0,"",MEDIAN(D581:F581))</f>
        <v/>
      </c>
      <c r="I581" s="10">
        <f>IF(COUNT(D581:F581)=0,"",MAX(D581:F581))</f>
        <v/>
      </c>
      <c r="J581" s="11">
        <f>IF(OR(G581="",G581=0),"",(I581-G581)/G581)</f>
        <v/>
      </c>
      <c r="K581" s="4">
        <f>IF(COUNT(D581:F581)=0,"",INDEX($D$1:$F$1,MATCH(MIN(D581:F581),D581:F581,0)))</f>
        <v/>
      </c>
      <c r="L581" s="10" t="n">
        <v>13128.56</v>
      </c>
      <c r="M581" s="12" t="n">
        <v>1</v>
      </c>
    </row>
    <row r="582">
      <c r="A582" s="4" t="inlineStr">
        <is>
          <t>MAT-24-066</t>
        </is>
      </c>
      <c r="B582" s="5" t="inlineStr">
        <is>
          <t>Tanque Miura Con Sensor Miura 4.8, blanco</t>
        </is>
      </c>
      <c r="C582" s="4" t="inlineStr">
        <is>
          <t>unidad</t>
        </is>
      </c>
      <c r="D582" s="10" t="n">
        <v>18906.72</v>
      </c>
      <c r="E582" s="10" t="n"/>
      <c r="F582" s="10" t="n"/>
      <c r="G582" s="10">
        <f>IF(COUNT(D582:F582)=0,"",MIN(D582:F582))</f>
        <v/>
      </c>
      <c r="H582" s="10">
        <f>IF(COUNT(D582:F582)=0,"",MEDIAN(D582:F582))</f>
        <v/>
      </c>
      <c r="I582" s="10">
        <f>IF(COUNT(D582:F582)=0,"",MAX(D582:F582))</f>
        <v/>
      </c>
      <c r="J582" s="11">
        <f>IF(OR(G582="",G582=0),"",(I582-G582)/G582)</f>
        <v/>
      </c>
      <c r="K582" s="4">
        <f>IF(COUNT(D582:F582)=0,"",INDEX($D$1:$F$1,MATCH(MIN(D582:F582),D582:F582,0)))</f>
        <v/>
      </c>
      <c r="L582" s="10" t="n">
        <v>18906.72</v>
      </c>
      <c r="M582" s="12" t="n">
        <v>1</v>
      </c>
    </row>
    <row r="583">
      <c r="A583" s="4" t="inlineStr">
        <is>
          <t>MAT-24-067</t>
        </is>
      </c>
      <c r="B583" s="5" t="inlineStr">
        <is>
          <t>Basineta Universal, blanco</t>
        </is>
      </c>
      <c r="C583" s="4" t="inlineStr">
        <is>
          <t>unidad</t>
        </is>
      </c>
      <c r="D583" s="10" t="n">
        <v>2129.12</v>
      </c>
      <c r="E583" s="10" t="n"/>
      <c r="F583" s="10" t="n"/>
      <c r="G583" s="10">
        <f>IF(COUNT(D583:F583)=0,"",MIN(D583:F583))</f>
        <v/>
      </c>
      <c r="H583" s="10">
        <f>IF(COUNT(D583:F583)=0,"",MEDIAN(D583:F583))</f>
        <v/>
      </c>
      <c r="I583" s="10">
        <f>IF(COUNT(D583:F583)=0,"",MAX(D583:F583))</f>
        <v/>
      </c>
      <c r="J583" s="11">
        <f>IF(OR(G583="",G583=0),"",(I583-G583)/G583)</f>
        <v/>
      </c>
      <c r="K583" s="4">
        <f>IF(COUNT(D583:F583)=0,"",INDEX($D$1:$F$1,MATCH(MIN(D583:F583),D583:F583,0)))</f>
        <v/>
      </c>
      <c r="L583" s="10" t="n">
        <v>2129.12</v>
      </c>
      <c r="M583" s="12" t="n">
        <v>1</v>
      </c>
    </row>
    <row r="584">
      <c r="A584" s="4" t="inlineStr">
        <is>
          <t>MAT-24-068</t>
        </is>
      </c>
      <c r="B584" s="5" t="inlineStr">
        <is>
          <t>Basineta Elongado Ceres, blanco</t>
        </is>
      </c>
      <c r="C584" s="4" t="inlineStr">
        <is>
          <t>unidad</t>
        </is>
      </c>
      <c r="D584" s="10" t="n">
        <v>2176.6</v>
      </c>
      <c r="E584" s="10" t="n"/>
      <c r="F584" s="10" t="n"/>
      <c r="G584" s="10">
        <f>IF(COUNT(D584:F584)=0,"",MIN(D584:F584))</f>
        <v/>
      </c>
      <c r="H584" s="10">
        <f>IF(COUNT(D584:F584)=0,"",MEDIAN(D584:F584))</f>
        <v/>
      </c>
      <c r="I584" s="10">
        <f>IF(COUNT(D584:F584)=0,"",MAX(D584:F584))</f>
        <v/>
      </c>
      <c r="J584" s="11">
        <f>IF(OR(G584="",G584=0),"",(I584-G584)/G584)</f>
        <v/>
      </c>
      <c r="K584" s="4">
        <f>IF(COUNT(D584:F584)=0,"",INDEX($D$1:$F$1,MATCH(MIN(D584:F584),D584:F584,0)))</f>
        <v/>
      </c>
      <c r="L584" s="10" t="n">
        <v>2176.6</v>
      </c>
      <c r="M584" s="12" t="n">
        <v>1</v>
      </c>
    </row>
    <row r="585">
      <c r="A585" s="4" t="inlineStr">
        <is>
          <t>MAT-24-069</t>
        </is>
      </c>
      <c r="B585" s="5" t="inlineStr">
        <is>
          <t>Basineta De Cerámica Redonda, blanco</t>
        </is>
      </c>
      <c r="C585" s="4" t="inlineStr">
        <is>
          <t>unidad</t>
        </is>
      </c>
      <c r="D585" s="10" t="n">
        <v>2501.14</v>
      </c>
      <c r="E585" s="10" t="n"/>
      <c r="F585" s="10" t="n"/>
      <c r="G585" s="10">
        <f>IF(COUNT(D585:F585)=0,"",MIN(D585:F585))</f>
        <v/>
      </c>
      <c r="H585" s="10">
        <f>IF(COUNT(D585:F585)=0,"",MEDIAN(D585:F585))</f>
        <v/>
      </c>
      <c r="I585" s="10">
        <f>IF(COUNT(D585:F585)=0,"",MAX(D585:F585))</f>
        <v/>
      </c>
      <c r="J585" s="11">
        <f>IF(OR(G585="",G585=0),"",(I585-G585)/G585)</f>
        <v/>
      </c>
      <c r="K585" s="4">
        <f>IF(COUNT(D585:F585)=0,"",INDEX($D$1:$F$1,MATCH(MIN(D585:F585),D585:F585,0)))</f>
        <v/>
      </c>
      <c r="L585" s="10" t="n">
        <v>2501.14</v>
      </c>
      <c r="M585" s="12" t="n">
        <v>1</v>
      </c>
    </row>
    <row r="586">
      <c r="A586" s="4" t="inlineStr">
        <is>
          <t>MAT-24-070</t>
        </is>
      </c>
      <c r="B586" s="5" t="inlineStr">
        <is>
          <t>Basineta Lucas redondo 3'' 4.8 Lpd, blanco</t>
        </is>
      </c>
      <c r="C586" s="4" t="inlineStr">
        <is>
          <t>unidad</t>
        </is>
      </c>
      <c r="D586" s="10" t="n">
        <v>2558.56</v>
      </c>
      <c r="E586" s="10" t="n"/>
      <c r="F586" s="10" t="n"/>
      <c r="G586" s="10">
        <f>IF(COUNT(D586:F586)=0,"",MIN(D586:F586))</f>
        <v/>
      </c>
      <c r="H586" s="10">
        <f>IF(COUNT(D586:F586)=0,"",MEDIAN(D586:F586))</f>
        <v/>
      </c>
      <c r="I586" s="10">
        <f>IF(COUNT(D586:F586)=0,"",MAX(D586:F586))</f>
        <v/>
      </c>
      <c r="J586" s="11">
        <f>IF(OR(G586="",G586=0),"",(I586-G586)/G586)</f>
        <v/>
      </c>
      <c r="K586" s="4">
        <f>IF(COUNT(D586:F586)=0,"",INDEX($D$1:$F$1,MATCH(MIN(D586:F586),D586:F586,0)))</f>
        <v/>
      </c>
      <c r="L586" s="10" t="n">
        <v>2558.56</v>
      </c>
      <c r="M586" s="12" t="n">
        <v>1</v>
      </c>
    </row>
    <row r="587">
      <c r="A587" s="4" t="inlineStr">
        <is>
          <t>MAT-24-071</t>
        </is>
      </c>
      <c r="B587" s="5" t="inlineStr">
        <is>
          <t>Basineta Aguazul redondo Calidad Universal, blanca</t>
        </is>
      </c>
      <c r="C587" s="4" t="inlineStr">
        <is>
          <t>unidad</t>
        </is>
      </c>
      <c r="D587" s="10" t="n">
        <v>2731.31</v>
      </c>
      <c r="E587" s="10" t="n"/>
      <c r="F587" s="10" t="n"/>
      <c r="G587" s="10">
        <f>IF(COUNT(D587:F587)=0,"",MIN(D587:F587))</f>
        <v/>
      </c>
      <c r="H587" s="10">
        <f>IF(COUNT(D587:F587)=0,"",MEDIAN(D587:F587))</f>
        <v/>
      </c>
      <c r="I587" s="10">
        <f>IF(COUNT(D587:F587)=0,"",MAX(D587:F587))</f>
        <v/>
      </c>
      <c r="J587" s="11">
        <f>IF(OR(G587="",G587=0),"",(I587-G587)/G587)</f>
        <v/>
      </c>
      <c r="K587" s="4">
        <f>IF(COUNT(D587:F587)=0,"",INDEX($D$1:$F$1,MATCH(MIN(D587:F587),D587:F587,0)))</f>
        <v/>
      </c>
      <c r="L587" s="10" t="n">
        <v>2731.31</v>
      </c>
      <c r="M587" s="12" t="n">
        <v>1</v>
      </c>
    </row>
    <row r="588">
      <c r="A588" s="4" t="inlineStr">
        <is>
          <t>MAT-24-072</t>
        </is>
      </c>
      <c r="B588" s="5" t="inlineStr">
        <is>
          <t>Basineta Baby, blanco</t>
        </is>
      </c>
      <c r="C588" s="4" t="inlineStr">
        <is>
          <t>unidad</t>
        </is>
      </c>
      <c r="D588" s="10" t="n">
        <v>3026.71</v>
      </c>
      <c r="E588" s="10" t="n"/>
      <c r="F588" s="10" t="n"/>
      <c r="G588" s="10">
        <f>IF(COUNT(D588:F588)=0,"",MIN(D588:F588))</f>
        <v/>
      </c>
      <c r="H588" s="10">
        <f>IF(COUNT(D588:F588)=0,"",MEDIAN(D588:F588))</f>
        <v/>
      </c>
      <c r="I588" s="10">
        <f>IF(COUNT(D588:F588)=0,"",MAX(D588:F588))</f>
        <v/>
      </c>
      <c r="J588" s="11">
        <f>IF(OR(G588="",G588=0),"",(I588-G588)/G588)</f>
        <v/>
      </c>
      <c r="K588" s="4">
        <f>IF(COUNT(D588:F588)=0,"",INDEX($D$1:$F$1,MATCH(MIN(D588:F588),D588:F588,0)))</f>
        <v/>
      </c>
      <c r="L588" s="10" t="n">
        <v>3026.71</v>
      </c>
      <c r="M588" s="12" t="n">
        <v>1</v>
      </c>
    </row>
    <row r="589">
      <c r="A589" s="4" t="inlineStr">
        <is>
          <t>MAT-24-073</t>
        </is>
      </c>
      <c r="B589" s="5" t="inlineStr">
        <is>
          <t>Basineta redondo 3'' Lucas 4.8, negro</t>
        </is>
      </c>
      <c r="C589" s="4" t="inlineStr">
        <is>
          <t>unidad</t>
        </is>
      </c>
      <c r="D589" s="10" t="n">
        <v>3204.84</v>
      </c>
      <c r="E589" s="10" t="n"/>
      <c r="F589" s="10" t="n"/>
      <c r="G589" s="10">
        <f>IF(COUNT(D589:F589)=0,"",MIN(D589:F589))</f>
        <v/>
      </c>
      <c r="H589" s="10">
        <f>IF(COUNT(D589:F589)=0,"",MEDIAN(D589:F589))</f>
        <v/>
      </c>
      <c r="I589" s="10">
        <f>IF(COUNT(D589:F589)=0,"",MAX(D589:F589))</f>
        <v/>
      </c>
      <c r="J589" s="11">
        <f>IF(OR(G589="",G589=0),"",(I589-G589)/G589)</f>
        <v/>
      </c>
      <c r="K589" s="4">
        <f>IF(COUNT(D589:F589)=0,"",INDEX($D$1:$F$1,MATCH(MIN(D589:F589),D589:F589,0)))</f>
        <v/>
      </c>
      <c r="L589" s="10" t="n">
        <v>3204.84</v>
      </c>
      <c r="M589" s="12" t="n">
        <v>1</v>
      </c>
    </row>
    <row r="590">
      <c r="A590" s="4" t="inlineStr">
        <is>
          <t>MAT-24-074</t>
        </is>
      </c>
      <c r="B590" s="5" t="inlineStr">
        <is>
          <t>Basineta Jazmin redondo 3" 4.8 Lpd, blanca</t>
        </is>
      </c>
      <c r="C590" s="4" t="inlineStr">
        <is>
          <t>unidad</t>
        </is>
      </c>
      <c r="D590" s="10" t="n">
        <v>3391.69</v>
      </c>
      <c r="E590" s="10" t="n"/>
      <c r="F590" s="10" t="n"/>
      <c r="G590" s="10">
        <f>IF(COUNT(D590:F590)=0,"",MIN(D590:F590))</f>
        <v/>
      </c>
      <c r="H590" s="10">
        <f>IF(COUNT(D590:F590)=0,"",MEDIAN(D590:F590))</f>
        <v/>
      </c>
      <c r="I590" s="10">
        <f>IF(COUNT(D590:F590)=0,"",MAX(D590:F590))</f>
        <v/>
      </c>
      <c r="J590" s="11">
        <f>IF(OR(G590="",G590=0),"",(I590-G590)/G590)</f>
        <v/>
      </c>
      <c r="K590" s="4">
        <f>IF(COUNT(D590:F590)=0,"",INDEX($D$1:$F$1,MATCH(MIN(D590:F590),D590:F590,0)))</f>
        <v/>
      </c>
      <c r="L590" s="10" t="n">
        <v>3391.69</v>
      </c>
      <c r="M590" s="12" t="n">
        <v>1</v>
      </c>
    </row>
    <row r="591">
      <c r="A591" s="4" t="inlineStr">
        <is>
          <t>MAT-24-075</t>
        </is>
      </c>
      <c r="B591" s="5" t="inlineStr">
        <is>
          <t>Basineta Aguazul redondo Calidad Universal, marfil</t>
        </is>
      </c>
      <c r="C591" s="4" t="inlineStr">
        <is>
          <t>unidad</t>
        </is>
      </c>
      <c r="D591" s="10" t="n">
        <v>3445.23</v>
      </c>
      <c r="E591" s="10" t="n"/>
      <c r="F591" s="10" t="n"/>
      <c r="G591" s="10">
        <f>IF(COUNT(D591:F591)=0,"",MIN(D591:F591))</f>
        <v/>
      </c>
      <c r="H591" s="10">
        <f>IF(COUNT(D591:F591)=0,"",MEDIAN(D591:F591))</f>
        <v/>
      </c>
      <c r="I591" s="10">
        <f>IF(COUNT(D591:F591)=0,"",MAX(D591:F591))</f>
        <v/>
      </c>
      <c r="J591" s="11">
        <f>IF(OR(G591="",G591=0),"",(I591-G591)/G591)</f>
        <v/>
      </c>
      <c r="K591" s="4">
        <f>IF(COUNT(D591:F591)=0,"",INDEX($D$1:$F$1,MATCH(MIN(D591:F591),D591:F591,0)))</f>
        <v/>
      </c>
      <c r="L591" s="10" t="n">
        <v>3445.23</v>
      </c>
      <c r="M591" s="12" t="n">
        <v>1</v>
      </c>
    </row>
    <row r="592">
      <c r="A592" s="4" t="inlineStr">
        <is>
          <t>MAT-24-076</t>
        </is>
      </c>
      <c r="B592" s="5" t="inlineStr">
        <is>
          <t>Basineta Jazmin redondo 3" 4.8 Lpd, marfil</t>
        </is>
      </c>
      <c r="C592" s="4" t="inlineStr">
        <is>
          <t>unidad</t>
        </is>
      </c>
      <c r="D592" s="10" t="n">
        <v>3686.21</v>
      </c>
      <c r="E592" s="10" t="n"/>
      <c r="F592" s="10" t="n"/>
      <c r="G592" s="10">
        <f>IF(COUNT(D592:F592)=0,"",MIN(D592:F592))</f>
        <v/>
      </c>
      <c r="H592" s="10">
        <f>IF(COUNT(D592:F592)=0,"",MEDIAN(D592:F592))</f>
        <v/>
      </c>
      <c r="I592" s="10">
        <f>IF(COUNT(D592:F592)=0,"",MAX(D592:F592))</f>
        <v/>
      </c>
      <c r="J592" s="11">
        <f>IF(OR(G592="",G592=0),"",(I592-G592)/G592)</f>
        <v/>
      </c>
      <c r="K592" s="4">
        <f>IF(COUNT(D592:F592)=0,"",INDEX($D$1:$F$1,MATCH(MIN(D592:F592),D592:F592,0)))</f>
        <v/>
      </c>
      <c r="L592" s="10" t="n">
        <v>3686.21</v>
      </c>
      <c r="M592" s="12" t="n">
        <v>1</v>
      </c>
    </row>
    <row r="593">
      <c r="A593" s="4" t="inlineStr">
        <is>
          <t>MAT-24-077</t>
        </is>
      </c>
      <c r="B593" s="5" t="inlineStr">
        <is>
          <t>Basineta elongado Anubis con Asientos, blanco</t>
        </is>
      </c>
      <c r="C593" s="4" t="inlineStr">
        <is>
          <t>unidad</t>
        </is>
      </c>
      <c r="D593" s="10" t="n">
        <v>3893.76</v>
      </c>
      <c r="E593" s="10" t="n"/>
      <c r="F593" s="10" t="n"/>
      <c r="G593" s="10">
        <f>IF(COUNT(D593:F593)=0,"",MIN(D593:F593))</f>
        <v/>
      </c>
      <c r="H593" s="10">
        <f>IF(COUNT(D593:F593)=0,"",MEDIAN(D593:F593))</f>
        <v/>
      </c>
      <c r="I593" s="10">
        <f>IF(COUNT(D593:F593)=0,"",MAX(D593:F593))</f>
        <v/>
      </c>
      <c r="J593" s="11">
        <f>IF(OR(G593="",G593=0),"",(I593-G593)/G593)</f>
        <v/>
      </c>
      <c r="K593" s="4">
        <f>IF(COUNT(D593:F593)=0,"",INDEX($D$1:$F$1,MATCH(MIN(D593:F593),D593:F593,0)))</f>
        <v/>
      </c>
      <c r="L593" s="10" t="n">
        <v>3893.76</v>
      </c>
      <c r="M593" s="12" t="n">
        <v>1</v>
      </c>
    </row>
    <row r="594">
      <c r="A594" s="4" t="inlineStr">
        <is>
          <t>MAT-24-078</t>
        </is>
      </c>
      <c r="B594" s="5" t="inlineStr">
        <is>
          <t>Basineta Artemis 2 con A. 700 x 360 x 740, blanco</t>
        </is>
      </c>
      <c r="C594" s="4" t="inlineStr">
        <is>
          <t>unidad</t>
        </is>
      </c>
      <c r="D594" s="10" t="n">
        <v>4011.15</v>
      </c>
      <c r="E594" s="10" t="n"/>
      <c r="F594" s="10" t="n"/>
      <c r="G594" s="10">
        <f>IF(COUNT(D594:F594)=0,"",MIN(D594:F594))</f>
        <v/>
      </c>
      <c r="H594" s="10">
        <f>IF(COUNT(D594:F594)=0,"",MEDIAN(D594:F594))</f>
        <v/>
      </c>
      <c r="I594" s="10">
        <f>IF(COUNT(D594:F594)=0,"",MAX(D594:F594))</f>
        <v/>
      </c>
      <c r="J594" s="11">
        <f>IF(OR(G594="",G594=0),"",(I594-G594)/G594)</f>
        <v/>
      </c>
      <c r="K594" s="4">
        <f>IF(COUNT(D594:F594)=0,"",INDEX($D$1:$F$1,MATCH(MIN(D594:F594),D594:F594,0)))</f>
        <v/>
      </c>
      <c r="L594" s="10" t="n">
        <v>4011.15</v>
      </c>
      <c r="M594" s="12" t="n">
        <v>1</v>
      </c>
    </row>
    <row r="595">
      <c r="A595" s="4" t="inlineStr">
        <is>
          <t>MAT-24-079</t>
        </is>
      </c>
      <c r="B595" s="5" t="inlineStr">
        <is>
          <t>Basineta elongado Armin con Asiento, blanco</t>
        </is>
      </c>
      <c r="C595" s="4" t="inlineStr">
        <is>
          <t>unidad</t>
        </is>
      </c>
      <c r="D595" s="10" t="n">
        <v>4090.27</v>
      </c>
      <c r="E595" s="10" t="n"/>
      <c r="F595" s="10" t="n"/>
      <c r="G595" s="10">
        <f>IF(COUNT(D595:F595)=0,"",MIN(D595:F595))</f>
        <v/>
      </c>
      <c r="H595" s="10">
        <f>IF(COUNT(D595:F595)=0,"",MEDIAN(D595:F595))</f>
        <v/>
      </c>
      <c r="I595" s="10">
        <f>IF(COUNT(D595:F595)=0,"",MAX(D595:F595))</f>
        <v/>
      </c>
      <c r="J595" s="11">
        <f>IF(OR(G595="",G595=0),"",(I595-G595)/G595)</f>
        <v/>
      </c>
      <c r="K595" s="4">
        <f>IF(COUNT(D595:F595)=0,"",INDEX($D$1:$F$1,MATCH(MIN(D595:F595),D595:F595,0)))</f>
        <v/>
      </c>
      <c r="L595" s="10" t="n">
        <v>4090.27</v>
      </c>
      <c r="M595" s="12" t="n">
        <v>1</v>
      </c>
    </row>
    <row r="596">
      <c r="A596" s="4" t="inlineStr">
        <is>
          <t>MAT-24-080</t>
        </is>
      </c>
      <c r="B596" s="5" t="inlineStr">
        <is>
          <t>Basineta elongado Artemis con A. 710 x 415 x 800, blanco</t>
        </is>
      </c>
      <c r="C596" s="4" t="inlineStr">
        <is>
          <t>unidad</t>
        </is>
      </c>
      <c r="D596" s="10" t="n">
        <v>4174.16</v>
      </c>
      <c r="E596" s="10" t="n"/>
      <c r="F596" s="10" t="n"/>
      <c r="G596" s="10">
        <f>IF(COUNT(D596:F596)=0,"",MIN(D596:F596))</f>
        <v/>
      </c>
      <c r="H596" s="10">
        <f>IF(COUNT(D596:F596)=0,"",MEDIAN(D596:F596))</f>
        <v/>
      </c>
      <c r="I596" s="10">
        <f>IF(COUNT(D596:F596)=0,"",MAX(D596:F596))</f>
        <v/>
      </c>
      <c r="J596" s="11">
        <f>IF(OR(G596="",G596=0),"",(I596-G596)/G596)</f>
        <v/>
      </c>
      <c r="K596" s="4">
        <f>IF(COUNT(D596:F596)=0,"",INDEX($D$1:$F$1,MATCH(MIN(D596:F596),D596:F596,0)))</f>
        <v/>
      </c>
      <c r="L596" s="10" t="n">
        <v>4174.16</v>
      </c>
      <c r="M596" s="12" t="n">
        <v>1</v>
      </c>
    </row>
    <row r="597">
      <c r="A597" s="4" t="inlineStr">
        <is>
          <t>MAT-24-081</t>
        </is>
      </c>
      <c r="B597" s="5" t="inlineStr">
        <is>
          <t>Basineta elongado Tango elongado 3" 3.8 Lpd, blanco</t>
        </is>
      </c>
      <c r="C597" s="4" t="inlineStr">
        <is>
          <t>unidad</t>
        </is>
      </c>
      <c r="D597" s="10" t="n">
        <v>4494.81</v>
      </c>
      <c r="E597" s="10" t="n"/>
      <c r="F597" s="10" t="n"/>
      <c r="G597" s="10">
        <f>IF(COUNT(D597:F597)=0,"",MIN(D597:F597))</f>
        <v/>
      </c>
      <c r="H597" s="10">
        <f>IF(COUNT(D597:F597)=0,"",MEDIAN(D597:F597))</f>
        <v/>
      </c>
      <c r="I597" s="10">
        <f>IF(COUNT(D597:F597)=0,"",MAX(D597:F597))</f>
        <v/>
      </c>
      <c r="J597" s="11">
        <f>IF(OR(G597="",G597=0),"",(I597-G597)/G597)</f>
        <v/>
      </c>
      <c r="K597" s="4">
        <f>IF(COUNT(D597:F597)=0,"",INDEX($D$1:$F$1,MATCH(MIN(D597:F597),D597:F597,0)))</f>
        <v/>
      </c>
      <c r="L597" s="10" t="n">
        <v>4494.81</v>
      </c>
      <c r="M597" s="12" t="n">
        <v>1</v>
      </c>
    </row>
    <row r="598">
      <c r="A598" s="4" t="inlineStr">
        <is>
          <t>MAT-24-082</t>
        </is>
      </c>
      <c r="B598" s="5" t="inlineStr">
        <is>
          <t>Basineta elongado Zurich 3" 4.8 Lpd, blanca</t>
        </is>
      </c>
      <c r="C598" s="4" t="inlineStr">
        <is>
          <t>unidad</t>
        </is>
      </c>
      <c r="D598" s="10" t="n">
        <v>4593.55</v>
      </c>
      <c r="E598" s="10" t="n"/>
      <c r="F598" s="10" t="n"/>
      <c r="G598" s="10">
        <f>IF(COUNT(D598:F598)=0,"",MIN(D598:F598))</f>
        <v/>
      </c>
      <c r="H598" s="10">
        <f>IF(COUNT(D598:F598)=0,"",MEDIAN(D598:F598))</f>
        <v/>
      </c>
      <c r="I598" s="10">
        <f>IF(COUNT(D598:F598)=0,"",MAX(D598:F598))</f>
        <v/>
      </c>
      <c r="J598" s="11">
        <f>IF(OR(G598="",G598=0),"",(I598-G598)/G598)</f>
        <v/>
      </c>
      <c r="K598" s="4">
        <f>IF(COUNT(D598:F598)=0,"",INDEX($D$1:$F$1,MATCH(MIN(D598:F598),D598:F598,0)))</f>
        <v/>
      </c>
      <c r="L598" s="10" t="n">
        <v>4593.55</v>
      </c>
      <c r="M598" s="12" t="n">
        <v>1</v>
      </c>
    </row>
    <row r="599">
      <c r="A599" s="4" t="inlineStr">
        <is>
          <t>MAT-24-083</t>
        </is>
      </c>
      <c r="B599" s="5" t="inlineStr">
        <is>
          <t>Basineta Milenio elongado 3.8 Lpd, blanco</t>
        </is>
      </c>
      <c r="C599" s="4" t="inlineStr">
        <is>
          <t>unidad</t>
        </is>
      </c>
      <c r="D599" s="10" t="n">
        <v>4598.17</v>
      </c>
      <c r="E599" s="10" t="n"/>
      <c r="F599" s="10" t="n"/>
      <c r="G599" s="10">
        <f>IF(COUNT(D599:F599)=0,"",MIN(D599:F599))</f>
        <v/>
      </c>
      <c r="H599" s="10">
        <f>IF(COUNT(D599:F599)=0,"",MEDIAN(D599:F599))</f>
        <v/>
      </c>
      <c r="I599" s="10">
        <f>IF(COUNT(D599:F599)=0,"",MAX(D599:F599))</f>
        <v/>
      </c>
      <c r="J599" s="11">
        <f>IF(OR(G599="",G599=0),"",(I599-G599)/G599)</f>
        <v/>
      </c>
      <c r="K599" s="4">
        <f>IF(COUNT(D599:F599)=0,"",INDEX($D$1:$F$1,MATCH(MIN(D599:F599),D599:F599,0)))</f>
        <v/>
      </c>
      <c r="L599" s="10" t="n">
        <v>4598.17</v>
      </c>
      <c r="M599" s="12" t="n">
        <v>1</v>
      </c>
    </row>
    <row r="600">
      <c r="A600" s="4" t="inlineStr">
        <is>
          <t>MAT-24-084</t>
        </is>
      </c>
      <c r="B600" s="5" t="inlineStr">
        <is>
          <t>Basineta inodoro Drakar 1 Tt1, blanco</t>
        </is>
      </c>
      <c r="C600" s="4" t="inlineStr">
        <is>
          <t>unidad</t>
        </is>
      </c>
      <c r="D600" s="10" t="n">
        <v>4717.05</v>
      </c>
      <c r="E600" s="10" t="n"/>
      <c r="F600" s="10" t="n"/>
      <c r="G600" s="10">
        <f>IF(COUNT(D600:F600)=0,"",MIN(D600:F600))</f>
        <v/>
      </c>
      <c r="H600" s="10">
        <f>IF(COUNT(D600:F600)=0,"",MEDIAN(D600:F600))</f>
        <v/>
      </c>
      <c r="I600" s="10">
        <f>IF(COUNT(D600:F600)=0,"",MAX(D600:F600))</f>
        <v/>
      </c>
      <c r="J600" s="11">
        <f>IF(OR(G600="",G600=0),"",(I600-G600)/G600)</f>
        <v/>
      </c>
      <c r="K600" s="4">
        <f>IF(COUNT(D600:F600)=0,"",INDEX($D$1:$F$1,MATCH(MIN(D600:F600),D600:F600,0)))</f>
        <v/>
      </c>
      <c r="L600" s="10" t="n">
        <v>4717.05</v>
      </c>
      <c r="M600" s="12" t="n">
        <v>1</v>
      </c>
    </row>
    <row r="601">
      <c r="A601" s="4" t="inlineStr">
        <is>
          <t>MAT-24-085</t>
        </is>
      </c>
      <c r="B601" s="5" t="inlineStr">
        <is>
          <t>Basineta elongado Terra 3" 4.8 Lpd, blanca</t>
        </is>
      </c>
      <c r="C601" s="4" t="inlineStr">
        <is>
          <t>unidad</t>
        </is>
      </c>
      <c r="D601" s="10" t="n">
        <v>4974.71</v>
      </c>
      <c r="E601" s="10" t="n"/>
      <c r="F601" s="10" t="n"/>
      <c r="G601" s="10">
        <f>IF(COUNT(D601:F601)=0,"",MIN(D601:F601))</f>
        <v/>
      </c>
      <c r="H601" s="10">
        <f>IF(COUNT(D601:F601)=0,"",MEDIAN(D601:F601))</f>
        <v/>
      </c>
      <c r="I601" s="10">
        <f>IF(COUNT(D601:F601)=0,"",MAX(D601:F601))</f>
        <v/>
      </c>
      <c r="J601" s="11">
        <f>IF(OR(G601="",G601=0),"",(I601-G601)/G601)</f>
        <v/>
      </c>
      <c r="K601" s="4">
        <f>IF(COUNT(D601:F601)=0,"",INDEX($D$1:$F$1,MATCH(MIN(D601:F601),D601:F601,0)))</f>
        <v/>
      </c>
      <c r="L601" s="10" t="n">
        <v>4974.71</v>
      </c>
      <c r="M601" s="12" t="n">
        <v>1</v>
      </c>
    </row>
    <row r="602">
      <c r="A602" s="4" t="inlineStr">
        <is>
          <t>MAT-24-086</t>
        </is>
      </c>
      <c r="B602" s="5" t="inlineStr">
        <is>
          <t>Basineta Jazmin elongado 3" 4.8 Lpd, blanca</t>
        </is>
      </c>
      <c r="C602" s="4" t="inlineStr">
        <is>
          <t>unidad</t>
        </is>
      </c>
      <c r="D602" s="10" t="n">
        <v>5014.16</v>
      </c>
      <c r="E602" s="10" t="n"/>
      <c r="F602" s="10" t="n"/>
      <c r="G602" s="10">
        <f>IF(COUNT(D602:F602)=0,"",MIN(D602:F602))</f>
        <v/>
      </c>
      <c r="H602" s="10">
        <f>IF(COUNT(D602:F602)=0,"",MEDIAN(D602:F602))</f>
        <v/>
      </c>
      <c r="I602" s="10">
        <f>IF(COUNT(D602:F602)=0,"",MAX(D602:F602))</f>
        <v/>
      </c>
      <c r="J602" s="11">
        <f>IF(OR(G602="",G602=0),"",(I602-G602)/G602)</f>
        <v/>
      </c>
      <c r="K602" s="4">
        <f>IF(COUNT(D602:F602)=0,"",INDEX($D$1:$F$1,MATCH(MIN(D602:F602),D602:F602,0)))</f>
        <v/>
      </c>
      <c r="L602" s="10" t="n">
        <v>5014.16</v>
      </c>
      <c r="M602" s="12" t="n">
        <v>1</v>
      </c>
    </row>
    <row r="603">
      <c r="A603" s="4" t="inlineStr">
        <is>
          <t>MAT-24-087</t>
        </is>
      </c>
      <c r="B603" s="5" t="inlineStr">
        <is>
          <t>Basineta De Cerámica Fiore, blanco</t>
        </is>
      </c>
      <c r="C603" s="4" t="inlineStr">
        <is>
          <t>unidad</t>
        </is>
      </c>
      <c r="D603" s="10" t="n">
        <v>5063.97</v>
      </c>
      <c r="E603" s="10" t="n"/>
      <c r="F603" s="10" t="n"/>
      <c r="G603" s="10">
        <f>IF(COUNT(D603:F603)=0,"",MIN(D603:F603))</f>
        <v/>
      </c>
      <c r="H603" s="10">
        <f>IF(COUNT(D603:F603)=0,"",MEDIAN(D603:F603))</f>
        <v/>
      </c>
      <c r="I603" s="10">
        <f>IF(COUNT(D603:F603)=0,"",MAX(D603:F603))</f>
        <v/>
      </c>
      <c r="J603" s="11">
        <f>IF(OR(G603="",G603=0),"",(I603-G603)/G603)</f>
        <v/>
      </c>
      <c r="K603" s="4">
        <f>IF(COUNT(D603:F603)=0,"",INDEX($D$1:$F$1,MATCH(MIN(D603:F603),D603:F603,0)))</f>
        <v/>
      </c>
      <c r="L603" s="10" t="n">
        <v>5063.97</v>
      </c>
      <c r="M603" s="12" t="n">
        <v>1</v>
      </c>
    </row>
    <row r="604">
      <c r="A604" s="4" t="inlineStr">
        <is>
          <t>MAT-24-088</t>
        </is>
      </c>
      <c r="B604" s="5" t="inlineStr">
        <is>
          <t>Basineta elongado Goya 3" 3.8 Lpd, blanco</t>
        </is>
      </c>
      <c r="C604" s="4" t="inlineStr">
        <is>
          <t>unidad</t>
        </is>
      </c>
      <c r="D604" s="10" t="n">
        <v>5127.81</v>
      </c>
      <c r="E604" s="10" t="n"/>
      <c r="F604" s="10" t="n"/>
      <c r="G604" s="10">
        <f>IF(COUNT(D604:F604)=0,"",MIN(D604:F604))</f>
        <v/>
      </c>
      <c r="H604" s="10">
        <f>IF(COUNT(D604:F604)=0,"",MEDIAN(D604:F604))</f>
        <v/>
      </c>
      <c r="I604" s="10">
        <f>IF(COUNT(D604:F604)=0,"",MAX(D604:F604))</f>
        <v/>
      </c>
      <c r="J604" s="11">
        <f>IF(OR(G604="",G604=0),"",(I604-G604)/G604)</f>
        <v/>
      </c>
      <c r="K604" s="4">
        <f>IF(COUNT(D604:F604)=0,"",INDEX($D$1:$F$1,MATCH(MIN(D604:F604),D604:F604,0)))</f>
        <v/>
      </c>
      <c r="L604" s="10" t="n">
        <v>5127.81</v>
      </c>
      <c r="M604" s="12" t="n">
        <v>1</v>
      </c>
    </row>
    <row r="605">
      <c r="A605" s="4" t="inlineStr">
        <is>
          <t>MAT-24-089</t>
        </is>
      </c>
      <c r="B605" s="5" t="inlineStr">
        <is>
          <t>Basineta elongado Tango 3" 3.8 Lpd, marfil</t>
        </is>
      </c>
      <c r="C605" s="4" t="inlineStr">
        <is>
          <t>unidad</t>
        </is>
      </c>
      <c r="D605" s="10" t="n">
        <v>5568.04</v>
      </c>
      <c r="E605" s="10" t="n"/>
      <c r="F605" s="10" t="n"/>
      <c r="G605" s="10">
        <f>IF(COUNT(D605:F605)=0,"",MIN(D605:F605))</f>
        <v/>
      </c>
      <c r="H605" s="10">
        <f>IF(COUNT(D605:F605)=0,"",MEDIAN(D605:F605))</f>
        <v/>
      </c>
      <c r="I605" s="10">
        <f>IF(COUNT(D605:F605)=0,"",MAX(D605:F605))</f>
        <v/>
      </c>
      <c r="J605" s="11">
        <f>IF(OR(G605="",G605=0),"",(I605-G605)/G605)</f>
        <v/>
      </c>
      <c r="K605" s="4">
        <f>IF(COUNT(D605:F605)=0,"",INDEX($D$1:$F$1,MATCH(MIN(D605:F605),D605:F605,0)))</f>
        <v/>
      </c>
      <c r="L605" s="10" t="n">
        <v>5568.04</v>
      </c>
      <c r="M605" s="12" t="n">
        <v>1</v>
      </c>
    </row>
    <row r="606">
      <c r="A606" s="4" t="inlineStr">
        <is>
          <t>MAT-24-090</t>
        </is>
      </c>
      <c r="B606" s="5" t="inlineStr">
        <is>
          <t>Basineta elongado Zurich 3" 4.8 Lpd, marfil</t>
        </is>
      </c>
      <c r="C606" s="4" t="inlineStr">
        <is>
          <t>unidad</t>
        </is>
      </c>
      <c r="D606" s="10" t="n">
        <v>5574.97</v>
      </c>
      <c r="E606" s="10" t="n"/>
      <c r="F606" s="10" t="n"/>
      <c r="G606" s="10">
        <f>IF(COUNT(D606:F606)=0,"",MIN(D606:F606))</f>
        <v/>
      </c>
      <c r="H606" s="10">
        <f>IF(COUNT(D606:F606)=0,"",MEDIAN(D606:F606))</f>
        <v/>
      </c>
      <c r="I606" s="10">
        <f>IF(COUNT(D606:F606)=0,"",MAX(D606:F606))</f>
        <v/>
      </c>
      <c r="J606" s="11">
        <f>IF(OR(G606="",G606=0),"",(I606-G606)/G606)</f>
        <v/>
      </c>
      <c r="K606" s="4">
        <f>IF(COUNT(D606:F606)=0,"",INDEX($D$1:$F$1,MATCH(MIN(D606:F606),D606:F606,0)))</f>
        <v/>
      </c>
      <c r="L606" s="10" t="n">
        <v>5574.97</v>
      </c>
      <c r="M606" s="12" t="n">
        <v>1</v>
      </c>
    </row>
    <row r="607">
      <c r="A607" s="4" t="inlineStr">
        <is>
          <t>MAT-24-091</t>
        </is>
      </c>
      <c r="B607" s="5" t="inlineStr">
        <is>
          <t>Basineta Milenio elongado 3.8 Lpd, marfil</t>
        </is>
      </c>
      <c r="C607" s="4" t="inlineStr">
        <is>
          <t>unidad</t>
        </is>
      </c>
      <c r="D607" s="10" t="n">
        <v>5574.97</v>
      </c>
      <c r="E607" s="10" t="n"/>
      <c r="F607" s="10" t="n"/>
      <c r="G607" s="10">
        <f>IF(COUNT(D607:F607)=0,"",MIN(D607:F607))</f>
        <v/>
      </c>
      <c r="H607" s="10">
        <f>IF(COUNT(D607:F607)=0,"",MEDIAN(D607:F607))</f>
        <v/>
      </c>
      <c r="I607" s="10">
        <f>IF(COUNT(D607:F607)=0,"",MAX(D607:F607))</f>
        <v/>
      </c>
      <c r="J607" s="11">
        <f>IF(OR(G607="",G607=0),"",(I607-G607)/G607)</f>
        <v/>
      </c>
      <c r="K607" s="4">
        <f>IF(COUNT(D607:F607)=0,"",INDEX($D$1:$F$1,MATCH(MIN(D607:F607),D607:F607,0)))</f>
        <v/>
      </c>
      <c r="L607" s="10" t="n">
        <v>5574.97</v>
      </c>
      <c r="M607" s="12" t="n">
        <v>1</v>
      </c>
    </row>
    <row r="608">
      <c r="A608" s="4" t="inlineStr">
        <is>
          <t>MAT-24-092</t>
        </is>
      </c>
      <c r="B608" s="5" t="inlineStr">
        <is>
          <t>Basineta elongado Terra 3" 3.8 Lpd, marfil</t>
        </is>
      </c>
      <c r="C608" s="4" t="inlineStr">
        <is>
          <t>unidad</t>
        </is>
      </c>
      <c r="D608" s="10" t="n">
        <v>5688.79</v>
      </c>
      <c r="E608" s="10" t="n"/>
      <c r="F608" s="10" t="n"/>
      <c r="G608" s="10">
        <f>IF(COUNT(D608:F608)=0,"",MIN(D608:F608))</f>
        <v/>
      </c>
      <c r="H608" s="10">
        <f>IF(COUNT(D608:F608)=0,"",MEDIAN(D608:F608))</f>
        <v/>
      </c>
      <c r="I608" s="10">
        <f>IF(COUNT(D608:F608)=0,"",MAX(D608:F608))</f>
        <v/>
      </c>
      <c r="J608" s="11">
        <f>IF(OR(G608="",G608=0),"",(I608-G608)/G608)</f>
        <v/>
      </c>
      <c r="K608" s="4">
        <f>IF(COUNT(D608:F608)=0,"",INDEX($D$1:$F$1,MATCH(MIN(D608:F608),D608:F608,0)))</f>
        <v/>
      </c>
      <c r="L608" s="10" t="n">
        <v>5688.79</v>
      </c>
      <c r="M608" s="12" t="n">
        <v>1</v>
      </c>
    </row>
    <row r="609">
      <c r="A609" s="4" t="inlineStr">
        <is>
          <t>MAT-24-093</t>
        </is>
      </c>
      <c r="B609" s="5" t="inlineStr">
        <is>
          <t>Basineta Jazmin elongado 3" 4.8 Lpd, marfil</t>
        </is>
      </c>
      <c r="C609" s="4" t="inlineStr">
        <is>
          <t>unidad</t>
        </is>
      </c>
      <c r="D609" s="10" t="n">
        <v>5699.74</v>
      </c>
      <c r="E609" s="10" t="n"/>
      <c r="F609" s="10" t="n"/>
      <c r="G609" s="10">
        <f>IF(COUNT(D609:F609)=0,"",MIN(D609:F609))</f>
        <v/>
      </c>
      <c r="H609" s="10">
        <f>IF(COUNT(D609:F609)=0,"",MEDIAN(D609:F609))</f>
        <v/>
      </c>
      <c r="I609" s="10">
        <f>IF(COUNT(D609:F609)=0,"",MAX(D609:F609))</f>
        <v/>
      </c>
      <c r="J609" s="11">
        <f>IF(OR(G609="",G609=0),"",(I609-G609)/G609)</f>
        <v/>
      </c>
      <c r="K609" s="4">
        <f>IF(COUNT(D609:F609)=0,"",INDEX($D$1:$F$1,MATCH(MIN(D609:F609),D609:F609,0)))</f>
        <v/>
      </c>
      <c r="L609" s="10" t="n">
        <v>5699.74</v>
      </c>
      <c r="M609" s="12" t="n">
        <v>1</v>
      </c>
    </row>
    <row r="610">
      <c r="A610" s="4" t="inlineStr">
        <is>
          <t>MAT-24-094</t>
        </is>
      </c>
      <c r="B610" s="5" t="inlineStr">
        <is>
          <t>Basineta Emma Square</t>
        </is>
      </c>
      <c r="C610" s="4" t="inlineStr">
        <is>
          <t>unidad</t>
        </is>
      </c>
      <c r="D610" s="10" t="n">
        <v>5846.69</v>
      </c>
      <c r="E610" s="10" t="n"/>
      <c r="F610" s="10" t="n"/>
      <c r="G610" s="10">
        <f>IF(COUNT(D610:F610)=0,"",MIN(D610:F610))</f>
        <v/>
      </c>
      <c r="H610" s="10">
        <f>IF(COUNT(D610:F610)=0,"",MEDIAN(D610:F610))</f>
        <v/>
      </c>
      <c r="I610" s="10">
        <f>IF(COUNT(D610:F610)=0,"",MAX(D610:F610))</f>
        <v/>
      </c>
      <c r="J610" s="11">
        <f>IF(OR(G610="",G610=0),"",(I610-G610)/G610)</f>
        <v/>
      </c>
      <c r="K610" s="4">
        <f>IF(COUNT(D610:F610)=0,"",INDEX($D$1:$F$1,MATCH(MIN(D610:F610),D610:F610,0)))</f>
        <v/>
      </c>
      <c r="L610" s="10" t="n">
        <v>5846.69</v>
      </c>
      <c r="M610" s="12" t="n">
        <v>1</v>
      </c>
    </row>
    <row r="611">
      <c r="A611" s="4" t="inlineStr">
        <is>
          <t>MAT-24-095</t>
        </is>
      </c>
      <c r="B611" s="5" t="inlineStr">
        <is>
          <t>Basineta elongado Goya 3" 3.8 Lpd, marfil</t>
        </is>
      </c>
      <c r="C611" s="4" t="inlineStr">
        <is>
          <t>unidad</t>
        </is>
      </c>
      <c r="D611" s="10" t="n">
        <v>5938</v>
      </c>
      <c r="E611" s="10" t="n"/>
      <c r="F611" s="10" t="n"/>
      <c r="G611" s="10">
        <f>IF(COUNT(D611:F611)=0,"",MIN(D611:F611))</f>
        <v/>
      </c>
      <c r="H611" s="10">
        <f>IF(COUNT(D611:F611)=0,"",MEDIAN(D611:F611))</f>
        <v/>
      </c>
      <c r="I611" s="10">
        <f>IF(COUNT(D611:F611)=0,"",MAX(D611:F611))</f>
        <v/>
      </c>
      <c r="J611" s="11">
        <f>IF(OR(G611="",G611=0),"",(I611-G611)/G611)</f>
        <v/>
      </c>
      <c r="K611" s="4">
        <f>IF(COUNT(D611:F611)=0,"",INDEX($D$1:$F$1,MATCH(MIN(D611:F611),D611:F611,0)))</f>
        <v/>
      </c>
      <c r="L611" s="10" t="n">
        <v>5938</v>
      </c>
      <c r="M611" s="12" t="n">
        <v>1</v>
      </c>
    </row>
    <row r="612">
      <c r="A612" s="4" t="inlineStr">
        <is>
          <t>MAT-24-096</t>
        </is>
      </c>
      <c r="B612" s="5" t="inlineStr">
        <is>
          <t>Basineta elongado Austral 3.8 L, blanco</t>
        </is>
      </c>
      <c r="C612" s="4" t="inlineStr">
        <is>
          <t>unidad</t>
        </is>
      </c>
      <c r="D612" s="10" t="n">
        <v>6111.94</v>
      </c>
      <c r="E612" s="10" t="n"/>
      <c r="F612" s="10" t="n"/>
      <c r="G612" s="10">
        <f>IF(COUNT(D612:F612)=0,"",MIN(D612:F612))</f>
        <v/>
      </c>
      <c r="H612" s="10">
        <f>IF(COUNT(D612:F612)=0,"",MEDIAN(D612:F612))</f>
        <v/>
      </c>
      <c r="I612" s="10">
        <f>IF(COUNT(D612:F612)=0,"",MAX(D612:F612))</f>
        <v/>
      </c>
      <c r="J612" s="11">
        <f>IF(OR(G612="",G612=0),"",(I612-G612)/G612)</f>
        <v/>
      </c>
      <c r="K612" s="4">
        <f>IF(COUNT(D612:F612)=0,"",INDEX($D$1:$F$1,MATCH(MIN(D612:F612),D612:F612,0)))</f>
        <v/>
      </c>
      <c r="L612" s="10" t="n">
        <v>6111.94</v>
      </c>
      <c r="M612" s="12" t="n">
        <v>1</v>
      </c>
    </row>
    <row r="613">
      <c r="A613" s="4" t="inlineStr">
        <is>
          <t>MAT-24-097</t>
        </is>
      </c>
      <c r="B613" s="5" t="inlineStr">
        <is>
          <t>Basineta Olimpia redondo, blanco</t>
        </is>
      </c>
      <c r="C613" s="4" t="inlineStr">
        <is>
          <t>unidad</t>
        </is>
      </c>
      <c r="D613" s="10" t="n">
        <v>6768.83</v>
      </c>
      <c r="E613" s="10" t="n"/>
      <c r="F613" s="10" t="n"/>
      <c r="G613" s="10">
        <f>IF(COUNT(D613:F613)=0,"",MIN(D613:F613))</f>
        <v/>
      </c>
      <c r="H613" s="10">
        <f>IF(COUNT(D613:F613)=0,"",MEDIAN(D613:F613))</f>
        <v/>
      </c>
      <c r="I613" s="10">
        <f>IF(COUNT(D613:F613)=0,"",MAX(D613:F613))</f>
        <v/>
      </c>
      <c r="J613" s="11">
        <f>IF(OR(G613="",G613=0),"",(I613-G613)/G613)</f>
        <v/>
      </c>
      <c r="K613" s="4">
        <f>IF(COUNT(D613:F613)=0,"",INDEX($D$1:$F$1,MATCH(MIN(D613:F613),D613:F613,0)))</f>
        <v/>
      </c>
      <c r="L613" s="10" t="n">
        <v>6768.83</v>
      </c>
      <c r="M613" s="12" t="n">
        <v>1</v>
      </c>
    </row>
    <row r="614">
      <c r="A614" s="4" t="inlineStr">
        <is>
          <t>MAT-24-098</t>
        </is>
      </c>
      <c r="B614" s="5" t="inlineStr">
        <is>
          <t>Taza De Inodoro Olimpia, marfil</t>
        </is>
      </c>
      <c r="C614" s="4" t="inlineStr">
        <is>
          <t>unidad</t>
        </is>
      </c>
      <c r="D614" s="10" t="n">
        <v>7335.22</v>
      </c>
      <c r="E614" s="10" t="n"/>
      <c r="F614" s="10" t="n"/>
      <c r="G614" s="10">
        <f>IF(COUNT(D614:F614)=0,"",MIN(D614:F614))</f>
        <v/>
      </c>
      <c r="H614" s="10">
        <f>IF(COUNT(D614:F614)=0,"",MEDIAN(D614:F614))</f>
        <v/>
      </c>
      <c r="I614" s="10">
        <f>IF(COUNT(D614:F614)=0,"",MAX(D614:F614))</f>
        <v/>
      </c>
      <c r="J614" s="11">
        <f>IF(OR(G614="",G614=0),"",(I614-G614)/G614)</f>
        <v/>
      </c>
      <c r="K614" s="4">
        <f>IF(COUNT(D614:F614)=0,"",INDEX($D$1:$F$1,MATCH(MIN(D614:F614),D614:F614,0)))</f>
        <v/>
      </c>
      <c r="L614" s="10" t="n">
        <v>7335.22</v>
      </c>
      <c r="M614" s="12" t="n">
        <v>1</v>
      </c>
    </row>
    <row r="615">
      <c r="A615" s="4" t="inlineStr">
        <is>
          <t>MAT-24-099</t>
        </is>
      </c>
      <c r="B615" s="5" t="inlineStr">
        <is>
          <t>Taza De Inodoro Option, blanco</t>
        </is>
      </c>
      <c r="C615" s="4" t="inlineStr">
        <is>
          <t>unidad</t>
        </is>
      </c>
      <c r="D615" s="10" t="n">
        <v>7537.55</v>
      </c>
      <c r="E615" s="10" t="n"/>
      <c r="F615" s="10" t="n"/>
      <c r="G615" s="10">
        <f>IF(COUNT(D615:F615)=0,"",MIN(D615:F615))</f>
        <v/>
      </c>
      <c r="H615" s="10">
        <f>IF(COUNT(D615:F615)=0,"",MEDIAN(D615:F615))</f>
        <v/>
      </c>
      <c r="I615" s="10">
        <f>IF(COUNT(D615:F615)=0,"",MAX(D615:F615))</f>
        <v/>
      </c>
      <c r="J615" s="11">
        <f>IF(OR(G615="",G615=0),"",(I615-G615)/G615)</f>
        <v/>
      </c>
      <c r="K615" s="4">
        <f>IF(COUNT(D615:F615)=0,"",INDEX($D$1:$F$1,MATCH(MIN(D615:F615),D615:F615,0)))</f>
        <v/>
      </c>
      <c r="L615" s="10" t="n">
        <v>7537.55</v>
      </c>
      <c r="M615" s="12" t="n">
        <v>1</v>
      </c>
    </row>
    <row r="616">
      <c r="A616" s="4" t="inlineStr">
        <is>
          <t>MAT-24-100</t>
        </is>
      </c>
      <c r="B616" s="5" t="inlineStr">
        <is>
          <t>Taza Terra Fluxometro, blanco</t>
        </is>
      </c>
      <c r="C616" s="4" t="inlineStr">
        <is>
          <t>unidad</t>
        </is>
      </c>
      <c r="D616" s="10" t="n">
        <v>7759.2</v>
      </c>
      <c r="E616" s="10" t="n"/>
      <c r="F616" s="10" t="n"/>
      <c r="G616" s="10">
        <f>IF(COUNT(D616:F616)=0,"",MIN(D616:F616))</f>
        <v/>
      </c>
      <c r="H616" s="10">
        <f>IF(COUNT(D616:F616)=0,"",MEDIAN(D616:F616))</f>
        <v/>
      </c>
      <c r="I616" s="10">
        <f>IF(COUNT(D616:F616)=0,"",MAX(D616:F616))</f>
        <v/>
      </c>
      <c r="J616" s="11">
        <f>IF(OR(G616="",G616=0),"",(I616-G616)/G616)</f>
        <v/>
      </c>
      <c r="K616" s="4">
        <f>IF(COUNT(D616:F616)=0,"",INDEX($D$1:$F$1,MATCH(MIN(D616:F616),D616:F616,0)))</f>
        <v/>
      </c>
      <c r="L616" s="10" t="n">
        <v>7759.2</v>
      </c>
      <c r="M616" s="12" t="n">
        <v>1</v>
      </c>
    </row>
    <row r="617">
      <c r="A617" s="4" t="inlineStr">
        <is>
          <t>MAT-24-101</t>
        </is>
      </c>
      <c r="B617" s="5" t="inlineStr">
        <is>
          <t>Basineta Drakar 16, blanco</t>
        </is>
      </c>
      <c r="C617" s="4" t="inlineStr">
        <is>
          <t>unidad</t>
        </is>
      </c>
      <c r="D617" s="10" t="n">
        <v>7906.37</v>
      </c>
      <c r="E617" s="10" t="n"/>
      <c r="F617" s="10" t="n"/>
      <c r="G617" s="10">
        <f>IF(COUNT(D617:F617)=0,"",MIN(D617:F617))</f>
        <v/>
      </c>
      <c r="H617" s="10">
        <f>IF(COUNT(D617:F617)=0,"",MEDIAN(D617:F617))</f>
        <v/>
      </c>
      <c r="I617" s="10">
        <f>IF(COUNT(D617:F617)=0,"",MAX(D617:F617))</f>
        <v/>
      </c>
      <c r="J617" s="11">
        <f>IF(OR(G617="",G617=0),"",(I617-G617)/G617)</f>
        <v/>
      </c>
      <c r="K617" s="4">
        <f>IF(COUNT(D617:F617)=0,"",INDEX($D$1:$F$1,MATCH(MIN(D617:F617),D617:F617,0)))</f>
        <v/>
      </c>
      <c r="L617" s="10" t="n">
        <v>7906.37</v>
      </c>
      <c r="M617" s="12" t="n">
        <v>1</v>
      </c>
    </row>
    <row r="618">
      <c r="A618" s="4" t="inlineStr">
        <is>
          <t>MAT-24-102</t>
        </is>
      </c>
      <c r="B618" s="5" t="inlineStr">
        <is>
          <t>Basineta Elongada Sustenta, blanco</t>
        </is>
      </c>
      <c r="C618" s="4" t="inlineStr">
        <is>
          <t>unidad</t>
        </is>
      </c>
      <c r="D618" s="10" t="n">
        <v>8277.43</v>
      </c>
      <c r="E618" s="10" t="n"/>
      <c r="F618" s="10" t="n"/>
      <c r="G618" s="10">
        <f>IF(COUNT(D618:F618)=0,"",MIN(D618:F618))</f>
        <v/>
      </c>
      <c r="H618" s="10">
        <f>IF(COUNT(D618:F618)=0,"",MEDIAN(D618:F618))</f>
        <v/>
      </c>
      <c r="I618" s="10">
        <f>IF(COUNT(D618:F618)=0,"",MAX(D618:F618))</f>
        <v/>
      </c>
      <c r="J618" s="11">
        <f>IF(OR(G618="",G618=0),"",(I618-G618)/G618)</f>
        <v/>
      </c>
      <c r="K618" s="4">
        <f>IF(COUNT(D618:F618)=0,"",INDEX($D$1:$F$1,MATCH(MIN(D618:F618),D618:F618,0)))</f>
        <v/>
      </c>
      <c r="L618" s="10" t="n">
        <v>8277.43</v>
      </c>
      <c r="M618" s="12" t="n">
        <v>1</v>
      </c>
    </row>
    <row r="619">
      <c r="A619" s="4" t="inlineStr">
        <is>
          <t>MAT-24-103</t>
        </is>
      </c>
      <c r="B619" s="5" t="inlineStr">
        <is>
          <t>Basineta Bolmen 16, blanco</t>
        </is>
      </c>
      <c r="C619" s="4" t="inlineStr">
        <is>
          <t>unidad</t>
        </is>
      </c>
      <c r="D619" s="10" t="n">
        <v>8732.4</v>
      </c>
      <c r="E619" s="10" t="n"/>
      <c r="F619" s="10" t="n"/>
      <c r="G619" s="10">
        <f>IF(COUNT(D619:F619)=0,"",MIN(D619:F619))</f>
        <v/>
      </c>
      <c r="H619" s="10">
        <f>IF(COUNT(D619:F619)=0,"",MEDIAN(D619:F619))</f>
        <v/>
      </c>
      <c r="I619" s="10">
        <f>IF(COUNT(D619:F619)=0,"",MAX(D619:F619))</f>
        <v/>
      </c>
      <c r="J619" s="11">
        <f>IF(OR(G619="",G619=0),"",(I619-G619)/G619)</f>
        <v/>
      </c>
      <c r="K619" s="4">
        <f>IF(COUNT(D619:F619)=0,"",INDEX($D$1:$F$1,MATCH(MIN(D619:F619),D619:F619,0)))</f>
        <v/>
      </c>
      <c r="L619" s="10" t="n">
        <v>8732.4</v>
      </c>
      <c r="M619" s="12" t="n">
        <v>1</v>
      </c>
    </row>
    <row r="620">
      <c r="A620" s="4" t="inlineStr">
        <is>
          <t>MAT-24-104</t>
        </is>
      </c>
      <c r="B620" s="5" t="inlineStr">
        <is>
          <t>Basineta Rodano 16, blanco</t>
        </is>
      </c>
      <c r="C620" s="4" t="inlineStr">
        <is>
          <t>unidad</t>
        </is>
      </c>
      <c r="D620" s="10" t="n">
        <v>8922.82</v>
      </c>
      <c r="E620" s="10" t="n"/>
      <c r="F620" s="10" t="n"/>
      <c r="G620" s="10">
        <f>IF(COUNT(D620:F620)=0,"",MIN(D620:F620))</f>
        <v/>
      </c>
      <c r="H620" s="10">
        <f>IF(COUNT(D620:F620)=0,"",MEDIAN(D620:F620))</f>
        <v/>
      </c>
      <c r="I620" s="10">
        <f>IF(COUNT(D620:F620)=0,"",MAX(D620:F620))</f>
        <v/>
      </c>
      <c r="J620" s="11">
        <f>IF(OR(G620="",G620=0),"",(I620-G620)/G620)</f>
        <v/>
      </c>
      <c r="K620" s="4">
        <f>IF(COUNT(D620:F620)=0,"",INDEX($D$1:$F$1,MATCH(MIN(D620:F620),D620:F620,0)))</f>
        <v/>
      </c>
      <c r="L620" s="10" t="n">
        <v>8922.82</v>
      </c>
      <c r="M620" s="12" t="n">
        <v>1</v>
      </c>
    </row>
    <row r="621">
      <c r="A621" s="4" t="inlineStr">
        <is>
          <t>MAT-24-105</t>
        </is>
      </c>
      <c r="B621" s="5" t="inlineStr">
        <is>
          <t>Basineta Bolmen 16, marfil</t>
        </is>
      </c>
      <c r="C621" s="4" t="inlineStr">
        <is>
          <t>unidad</t>
        </is>
      </c>
      <c r="D621" s="10" t="n">
        <v>9558</v>
      </c>
      <c r="E621" s="10" t="n"/>
      <c r="F621" s="10" t="n"/>
      <c r="G621" s="10">
        <f>IF(COUNT(D621:F621)=0,"",MIN(D621:F621))</f>
        <v/>
      </c>
      <c r="H621" s="10">
        <f>IF(COUNT(D621:F621)=0,"",MEDIAN(D621:F621))</f>
        <v/>
      </c>
      <c r="I621" s="10">
        <f>IF(COUNT(D621:F621)=0,"",MAX(D621:F621))</f>
        <v/>
      </c>
      <c r="J621" s="11">
        <f>IF(OR(G621="",G621=0),"",(I621-G621)/G621)</f>
        <v/>
      </c>
      <c r="K621" s="4">
        <f>IF(COUNT(D621:F621)=0,"",INDEX($D$1:$F$1,MATCH(MIN(D621:F621),D621:F621,0)))</f>
        <v/>
      </c>
      <c r="L621" s="10" t="n">
        <v>9558</v>
      </c>
      <c r="M621" s="12" t="n">
        <v>1</v>
      </c>
    </row>
    <row r="622">
      <c r="A622" s="4" t="inlineStr">
        <is>
          <t>MAT-24-106</t>
        </is>
      </c>
      <c r="B622" s="5" t="inlineStr">
        <is>
          <t>Taza Fluxpared Semiocul 3.5, 4.8, 6L Nao</t>
        </is>
      </c>
      <c r="C622" s="4" t="inlineStr">
        <is>
          <t>unidad</t>
        </is>
      </c>
      <c r="D622" s="10" t="n">
        <v>15300.18</v>
      </c>
      <c r="E622" s="10" t="n"/>
      <c r="F622" s="10" t="n"/>
      <c r="G622" s="10">
        <f>IF(COUNT(D622:F622)=0,"",MIN(D622:F622))</f>
        <v/>
      </c>
      <c r="H622" s="10">
        <f>IF(COUNT(D622:F622)=0,"",MEDIAN(D622:F622))</f>
        <v/>
      </c>
      <c r="I622" s="10">
        <f>IF(COUNT(D622:F622)=0,"",MAX(D622:F622))</f>
        <v/>
      </c>
      <c r="J622" s="11">
        <f>IF(OR(G622="",G622=0),"",(I622-G622)/G622)</f>
        <v/>
      </c>
      <c r="K622" s="4">
        <f>IF(COUNT(D622:F622)=0,"",INDEX($D$1:$F$1,MATCH(MIN(D622:F622),D622:F622,0)))</f>
        <v/>
      </c>
      <c r="L622" s="10" t="n">
        <v>15300.18</v>
      </c>
      <c r="M622" s="12" t="n">
        <v>1</v>
      </c>
    </row>
    <row r="623">
      <c r="A623" s="4" t="inlineStr">
        <is>
          <t>MAT-24-107</t>
        </is>
      </c>
      <c r="B623" s="5" t="inlineStr">
        <is>
          <t>Taza Para Flux Nao con Asiento</t>
        </is>
      </c>
      <c r="C623" s="4" t="inlineStr">
        <is>
          <t>unidad</t>
        </is>
      </c>
      <c r="D623" s="10" t="n">
        <v>15716.08</v>
      </c>
      <c r="E623" s="10" t="n"/>
      <c r="F623" s="10" t="n"/>
      <c r="G623" s="10">
        <f>IF(COUNT(D623:F623)=0,"",MIN(D623:F623))</f>
        <v/>
      </c>
      <c r="H623" s="10">
        <f>IF(COUNT(D623:F623)=0,"",MEDIAN(D623:F623))</f>
        <v/>
      </c>
      <c r="I623" s="10">
        <f>IF(COUNT(D623:F623)=0,"",MAX(D623:F623))</f>
        <v/>
      </c>
      <c r="J623" s="11">
        <f>IF(OR(G623="",G623=0),"",(I623-G623)/G623)</f>
        <v/>
      </c>
      <c r="K623" s="4">
        <f>IF(COUNT(D623:F623)=0,"",INDEX($D$1:$F$1,MATCH(MIN(D623:F623),D623:F623,0)))</f>
        <v/>
      </c>
      <c r="L623" s="10" t="n">
        <v>15716.08</v>
      </c>
      <c r="M623" s="12" t="n">
        <v>1</v>
      </c>
    </row>
    <row r="624">
      <c r="A624" s="4" t="inlineStr">
        <is>
          <t>MAT-24-108</t>
        </is>
      </c>
      <c r="B624" s="5" t="inlineStr">
        <is>
          <t>Basineta con Asiento Murano, blanco</t>
        </is>
      </c>
      <c r="C624" s="4" t="inlineStr">
        <is>
          <t>unidad</t>
        </is>
      </c>
      <c r="D624" s="10" t="n">
        <v>15899.37</v>
      </c>
      <c r="E624" s="10" t="n"/>
      <c r="F624" s="10" t="n"/>
      <c r="G624" s="10">
        <f>IF(COUNT(D624:F624)=0,"",MIN(D624:F624))</f>
        <v/>
      </c>
      <c r="H624" s="10">
        <f>IF(COUNT(D624:F624)=0,"",MEDIAN(D624:F624))</f>
        <v/>
      </c>
      <c r="I624" s="10">
        <f>IF(COUNT(D624:F624)=0,"",MAX(D624:F624))</f>
        <v/>
      </c>
      <c r="J624" s="11">
        <f>IF(OR(G624="",G624=0),"",(I624-G624)/G624)</f>
        <v/>
      </c>
      <c r="K624" s="4">
        <f>IF(COUNT(D624:F624)=0,"",INDEX($D$1:$F$1,MATCH(MIN(D624:F624),D624:F624,0)))</f>
        <v/>
      </c>
      <c r="L624" s="10" t="n">
        <v>15899.37</v>
      </c>
      <c r="M624" s="12" t="n">
        <v>1</v>
      </c>
    </row>
    <row r="625">
      <c r="A625" s="4" t="inlineStr">
        <is>
          <t>MAT-24-109</t>
        </is>
      </c>
      <c r="B625" s="5" t="inlineStr">
        <is>
          <t>Basineta Miura 16 Con Asiento, blanco</t>
        </is>
      </c>
      <c r="C625" s="4" t="inlineStr">
        <is>
          <t>unidad</t>
        </is>
      </c>
      <c r="D625" s="10" t="n">
        <v>19696.42</v>
      </c>
      <c r="E625" s="10" t="n"/>
      <c r="F625" s="10" t="n"/>
      <c r="G625" s="10">
        <f>IF(COUNT(D625:F625)=0,"",MIN(D625:F625))</f>
        <v/>
      </c>
      <c r="H625" s="10">
        <f>IF(COUNT(D625:F625)=0,"",MEDIAN(D625:F625))</f>
        <v/>
      </c>
      <c r="I625" s="10">
        <f>IF(COUNT(D625:F625)=0,"",MAX(D625:F625))</f>
        <v/>
      </c>
      <c r="J625" s="11">
        <f>IF(OR(G625="",G625=0),"",(I625-G625)/G625)</f>
        <v/>
      </c>
      <c r="K625" s="4">
        <f>IF(COUNT(D625:F625)=0,"",INDEX($D$1:$F$1,MATCH(MIN(D625:F625),D625:F625,0)))</f>
        <v/>
      </c>
      <c r="L625" s="10" t="n">
        <v>19696.42</v>
      </c>
      <c r="M625" s="12" t="n">
        <v>1</v>
      </c>
    </row>
    <row r="626">
      <c r="A626" s="4" t="inlineStr">
        <is>
          <t>MAT-24-110</t>
        </is>
      </c>
      <c r="B626" s="5" t="inlineStr">
        <is>
          <t>Orinal Duero con Accesorios, blanco</t>
        </is>
      </c>
      <c r="C626" s="4" t="inlineStr">
        <is>
          <t>unidad</t>
        </is>
      </c>
      <c r="D626" s="10" t="n">
        <v>4422.13</v>
      </c>
      <c r="E626" s="10" t="n"/>
      <c r="F626" s="10" t="n"/>
      <c r="G626" s="10">
        <f>IF(COUNT(D626:F626)=0,"",MIN(D626:F626))</f>
        <v/>
      </c>
      <c r="H626" s="10">
        <f>IF(COUNT(D626:F626)=0,"",MEDIAN(D626:F626))</f>
        <v/>
      </c>
      <c r="I626" s="10">
        <f>IF(COUNT(D626:F626)=0,"",MAX(D626:F626))</f>
        <v/>
      </c>
      <c r="J626" s="11">
        <f>IF(OR(G626="",G626=0),"",(I626-G626)/G626)</f>
        <v/>
      </c>
      <c r="K626" s="4">
        <f>IF(COUNT(D626:F626)=0,"",INDEX($D$1:$F$1,MATCH(MIN(D626:F626),D626:F626,0)))</f>
        <v/>
      </c>
      <c r="L626" s="10" t="n">
        <v>4422.13</v>
      </c>
      <c r="M626" s="12" t="n">
        <v>1</v>
      </c>
    </row>
    <row r="627">
      <c r="A627" s="4" t="inlineStr">
        <is>
          <t>MAT-24-111</t>
        </is>
      </c>
      <c r="B627" s="5" t="inlineStr">
        <is>
          <t>Mingitorio Orinal Misisipi, blanco</t>
        </is>
      </c>
      <c r="C627" s="4" t="inlineStr">
        <is>
          <t>unidad</t>
        </is>
      </c>
      <c r="D627" s="10" t="n">
        <v>5473.28</v>
      </c>
      <c r="E627" s="10" t="n"/>
      <c r="F627" s="10" t="n"/>
      <c r="G627" s="10">
        <f>IF(COUNT(D627:F627)=0,"",MIN(D627:F627))</f>
        <v/>
      </c>
      <c r="H627" s="10">
        <f>IF(COUNT(D627:F627)=0,"",MEDIAN(D627:F627))</f>
        <v/>
      </c>
      <c r="I627" s="10">
        <f>IF(COUNT(D627:F627)=0,"",MAX(D627:F627))</f>
        <v/>
      </c>
      <c r="J627" s="11">
        <f>IF(OR(G627="",G627=0),"",(I627-G627)/G627)</f>
        <v/>
      </c>
      <c r="K627" s="4">
        <f>IF(COUNT(D627:F627)=0,"",INDEX($D$1:$F$1,MATCH(MIN(D627:F627),D627:F627,0)))</f>
        <v/>
      </c>
      <c r="L627" s="10" t="n">
        <v>5473.28</v>
      </c>
      <c r="M627" s="12" t="n">
        <v>1</v>
      </c>
    </row>
    <row r="628">
      <c r="A628" s="4" t="inlineStr">
        <is>
          <t>MAT-24-112</t>
        </is>
      </c>
      <c r="B628" s="5" t="inlineStr">
        <is>
          <t>Orinal Volga con Accesorios, blanco</t>
        </is>
      </c>
      <c r="C628" s="4" t="inlineStr">
        <is>
          <t>unidad</t>
        </is>
      </c>
      <c r="D628" s="10" t="n">
        <v>5887.21</v>
      </c>
      <c r="E628" s="10" t="n"/>
      <c r="F628" s="10" t="n"/>
      <c r="G628" s="10">
        <f>IF(COUNT(D628:F628)=0,"",MIN(D628:F628))</f>
        <v/>
      </c>
      <c r="H628" s="10">
        <f>IF(COUNT(D628:F628)=0,"",MEDIAN(D628:F628))</f>
        <v/>
      </c>
      <c r="I628" s="10">
        <f>IF(COUNT(D628:F628)=0,"",MAX(D628:F628))</f>
        <v/>
      </c>
      <c r="J628" s="11">
        <f>IF(OR(G628="",G628=0),"",(I628-G628)/G628)</f>
        <v/>
      </c>
      <c r="K628" s="4">
        <f>IF(COUNT(D628:F628)=0,"",INDEX($D$1:$F$1,MATCH(MIN(D628:F628),D628:F628,0)))</f>
        <v/>
      </c>
      <c r="L628" s="10" t="n">
        <v>5887.21</v>
      </c>
      <c r="M628" s="12" t="n">
        <v>1</v>
      </c>
    </row>
    <row r="629">
      <c r="A629" s="4" t="inlineStr">
        <is>
          <t>MAT-24-113</t>
        </is>
      </c>
      <c r="B629" s="5" t="inlineStr">
        <is>
          <t>Orinal Obi con Sensor, blanco</t>
        </is>
      </c>
      <c r="C629" s="4" t="inlineStr">
        <is>
          <t>unidad</t>
        </is>
      </c>
      <c r="D629" s="10" t="n">
        <v>7374.92</v>
      </c>
      <c r="E629" s="10" t="n"/>
      <c r="F629" s="10" t="n"/>
      <c r="G629" s="10">
        <f>IF(COUNT(D629:F629)=0,"",MIN(D629:F629))</f>
        <v/>
      </c>
      <c r="H629" s="10">
        <f>IF(COUNT(D629:F629)=0,"",MEDIAN(D629:F629))</f>
        <v/>
      </c>
      <c r="I629" s="10">
        <f>IF(COUNT(D629:F629)=0,"",MAX(D629:F629))</f>
        <v/>
      </c>
      <c r="J629" s="11">
        <f>IF(OR(G629="",G629=0),"",(I629-G629)/G629)</f>
        <v/>
      </c>
      <c r="K629" s="4">
        <f>IF(COUNT(D629:F629)=0,"",INDEX($D$1:$F$1,MATCH(MIN(D629:F629),D629:F629,0)))</f>
        <v/>
      </c>
      <c r="L629" s="10" t="n">
        <v>7374.92</v>
      </c>
      <c r="M629" s="12" t="n">
        <v>1</v>
      </c>
    </row>
    <row r="630">
      <c r="A630" s="4" t="inlineStr">
        <is>
          <t>MAT-24-114</t>
        </is>
      </c>
      <c r="B630" s="5" t="inlineStr">
        <is>
          <t>Orinal Victoria con Sensor, blanco</t>
        </is>
      </c>
      <c r="C630" s="4" t="inlineStr">
        <is>
          <t>unidad</t>
        </is>
      </c>
      <c r="D630" s="10" t="n">
        <v>8145.95</v>
      </c>
      <c r="E630" s="10" t="n"/>
      <c r="F630" s="10" t="n"/>
      <c r="G630" s="10">
        <f>IF(COUNT(D630:F630)=0,"",MIN(D630:F630))</f>
        <v/>
      </c>
      <c r="H630" s="10">
        <f>IF(COUNT(D630:F630)=0,"",MEDIAN(D630:F630))</f>
        <v/>
      </c>
      <c r="I630" s="10">
        <f>IF(COUNT(D630:F630)=0,"",MAX(D630:F630))</f>
        <v/>
      </c>
      <c r="J630" s="11">
        <f>IF(OR(G630="",G630=0),"",(I630-G630)/G630)</f>
        <v/>
      </c>
      <c r="K630" s="4">
        <f>IF(COUNT(D630:F630)=0,"",INDEX($D$1:$F$1,MATCH(MIN(D630:F630),D630:F630,0)))</f>
        <v/>
      </c>
      <c r="L630" s="10" t="n">
        <v>8145.95</v>
      </c>
      <c r="M630" s="12" t="n">
        <v>1</v>
      </c>
    </row>
    <row r="631">
      <c r="A631" s="4" t="inlineStr">
        <is>
          <t>MAT-24-115</t>
        </is>
      </c>
      <c r="B631" s="5" t="inlineStr">
        <is>
          <t>Mingitorio / Orinal Terra Iii, blanco</t>
        </is>
      </c>
      <c r="C631" s="4" t="inlineStr">
        <is>
          <t>unidad</t>
        </is>
      </c>
      <c r="D631" s="10" t="n">
        <v>11016.2</v>
      </c>
      <c r="E631" s="10" t="n"/>
      <c r="F631" s="10" t="n"/>
      <c r="G631" s="10">
        <f>IF(COUNT(D631:F631)=0,"",MIN(D631:F631))</f>
        <v/>
      </c>
      <c r="H631" s="10">
        <f>IF(COUNT(D631:F631)=0,"",MEDIAN(D631:F631))</f>
        <v/>
      </c>
      <c r="I631" s="10">
        <f>IF(COUNT(D631:F631)=0,"",MAX(D631:F631))</f>
        <v/>
      </c>
      <c r="J631" s="11">
        <f>IF(OR(G631="",G631=0),"",(I631-G631)/G631)</f>
        <v/>
      </c>
      <c r="K631" s="4">
        <f>IF(COUNT(D631:F631)=0,"",INDEX($D$1:$F$1,MATCH(MIN(D631:F631),D631:F631,0)))</f>
        <v/>
      </c>
      <c r="L631" s="10" t="n">
        <v>11016.2</v>
      </c>
      <c r="M631" s="12" t="n">
        <v>1</v>
      </c>
    </row>
    <row r="632">
      <c r="A632" s="4" t="inlineStr">
        <is>
          <t>MAT-24-116</t>
        </is>
      </c>
      <c r="B632" s="5" t="inlineStr">
        <is>
          <t>Urinario Ferris, blanco</t>
        </is>
      </c>
      <c r="C632" s="4" t="inlineStr">
        <is>
          <t>unidad</t>
        </is>
      </c>
      <c r="D632" s="10" t="n">
        <v>21399.06</v>
      </c>
      <c r="E632" s="10" t="n"/>
      <c r="F632" s="10" t="n"/>
      <c r="G632" s="10">
        <f>IF(COUNT(D632:F632)=0,"",MIN(D632:F632))</f>
        <v/>
      </c>
      <c r="H632" s="10">
        <f>IF(COUNT(D632:F632)=0,"",MEDIAN(D632:F632))</f>
        <v/>
      </c>
      <c r="I632" s="10">
        <f>IF(COUNT(D632:F632)=0,"",MAX(D632:F632))</f>
        <v/>
      </c>
      <c r="J632" s="11">
        <f>IF(OR(G632="",G632=0),"",(I632-G632)/G632)</f>
        <v/>
      </c>
      <c r="K632" s="4">
        <f>IF(COUNT(D632:F632)=0,"",INDEX($D$1:$F$1,MATCH(MIN(D632:F632),D632:F632,0)))</f>
        <v/>
      </c>
      <c r="L632" s="10" t="n">
        <v>21399.06</v>
      </c>
      <c r="M632" s="12" t="n">
        <v>1</v>
      </c>
    </row>
    <row r="633">
      <c r="A633" s="4" t="inlineStr">
        <is>
          <t>MAT-25-001</t>
        </is>
      </c>
      <c r="B633" s="5" t="inlineStr">
        <is>
          <t>Lavamanos De Esquina Bnw209, blanco</t>
        </is>
      </c>
      <c r="C633" s="4" t="inlineStr">
        <is>
          <t>unidad</t>
        </is>
      </c>
      <c r="D633" s="10" t="n">
        <v>684.67</v>
      </c>
      <c r="E633" s="10" t="n"/>
      <c r="F633" s="10" t="n"/>
      <c r="G633" s="10">
        <f>IF(COUNT(D633:F633)=0,"",MIN(D633:F633))</f>
        <v/>
      </c>
      <c r="H633" s="10">
        <f>IF(COUNT(D633:F633)=0,"",MEDIAN(D633:F633))</f>
        <v/>
      </c>
      <c r="I633" s="10">
        <f>IF(COUNT(D633:F633)=0,"",MAX(D633:F633))</f>
        <v/>
      </c>
      <c r="J633" s="11">
        <f>IF(OR(G633="",G633=0),"",(I633-G633)/G633)</f>
        <v/>
      </c>
      <c r="K633" s="4">
        <f>IF(COUNT(D633:F633)=0,"",INDEX($D$1:$F$1,MATCH(MIN(D633:F633),D633:F633,0)))</f>
        <v/>
      </c>
      <c r="L633" s="10" t="n">
        <v>684.67</v>
      </c>
      <c r="M633" s="12" t="n">
        <v>1</v>
      </c>
    </row>
    <row r="634">
      <c r="A634" s="4" t="inlineStr">
        <is>
          <t>MAT-25-002</t>
        </is>
      </c>
      <c r="B634" s="5" t="inlineStr">
        <is>
          <t>Lavamanos Erie, blanco</t>
        </is>
      </c>
      <c r="C634" s="4" t="inlineStr">
        <is>
          <t>unidad</t>
        </is>
      </c>
      <c r="D634" s="10" t="n">
        <v>1093</v>
      </c>
      <c r="E634" s="10" t="n"/>
      <c r="F634" s="10" t="n"/>
      <c r="G634" s="10">
        <f>IF(COUNT(D634:F634)=0,"",MIN(D634:F634))</f>
        <v/>
      </c>
      <c r="H634" s="10">
        <f>IF(COUNT(D634:F634)=0,"",MEDIAN(D634:F634))</f>
        <v/>
      </c>
      <c r="I634" s="10">
        <f>IF(COUNT(D634:F634)=0,"",MAX(D634:F634))</f>
        <v/>
      </c>
      <c r="J634" s="11">
        <f>IF(OR(G634="",G634=0),"",(I634-G634)/G634)</f>
        <v/>
      </c>
      <c r="K634" s="4">
        <f>IF(COUNT(D634:F634)=0,"",INDEX($D$1:$F$1,MATCH(MIN(D634:F634),D634:F634,0)))</f>
        <v/>
      </c>
      <c r="L634" s="10" t="n">
        <v>1093</v>
      </c>
      <c r="M634" s="12" t="n">
        <v>1</v>
      </c>
    </row>
    <row r="635">
      <c r="A635" s="4" t="inlineStr">
        <is>
          <t>MAT-25-003</t>
        </is>
      </c>
      <c r="B635" s="5" t="inlineStr">
        <is>
          <t>Lavamanos Caprio, blanco</t>
        </is>
      </c>
      <c r="C635" s="4" t="inlineStr">
        <is>
          <t>unidad</t>
        </is>
      </c>
      <c r="D635" s="10" t="n">
        <v>1325.53</v>
      </c>
      <c r="E635" s="10" t="n"/>
      <c r="F635" s="10" t="n"/>
      <c r="G635" s="10">
        <f>IF(COUNT(D635:F635)=0,"",MIN(D635:F635))</f>
        <v/>
      </c>
      <c r="H635" s="10">
        <f>IF(COUNT(D635:F635)=0,"",MEDIAN(D635:F635))</f>
        <v/>
      </c>
      <c r="I635" s="10">
        <f>IF(COUNT(D635:F635)=0,"",MAX(D635:F635))</f>
        <v/>
      </c>
      <c r="J635" s="11">
        <f>IF(OR(G635="",G635=0),"",(I635-G635)/G635)</f>
        <v/>
      </c>
      <c r="K635" s="4">
        <f>IF(COUNT(D635:F635)=0,"",INDEX($D$1:$F$1,MATCH(MIN(D635:F635),D635:F635,0)))</f>
        <v/>
      </c>
      <c r="L635" s="10" t="n">
        <v>1325.53</v>
      </c>
      <c r="M635" s="12" t="n">
        <v>1</v>
      </c>
    </row>
    <row r="636">
      <c r="A636" s="4" t="inlineStr">
        <is>
          <t>MAT-25-004</t>
        </is>
      </c>
      <c r="B636" s="5" t="inlineStr">
        <is>
          <t>Lavamanos Argos, blanco</t>
        </is>
      </c>
      <c r="C636" s="4" t="inlineStr">
        <is>
          <t>unidad</t>
        </is>
      </c>
      <c r="D636" s="10" t="n">
        <v>1381.04</v>
      </c>
      <c r="E636" s="10" t="n"/>
      <c r="F636" s="10" t="n"/>
      <c r="G636" s="10">
        <f>IF(COUNT(D636:F636)=0,"",MIN(D636:F636))</f>
        <v/>
      </c>
      <c r="H636" s="10">
        <f>IF(COUNT(D636:F636)=0,"",MEDIAN(D636:F636))</f>
        <v/>
      </c>
      <c r="I636" s="10">
        <f>IF(COUNT(D636:F636)=0,"",MAX(D636:F636))</f>
        <v/>
      </c>
      <c r="J636" s="11">
        <f>IF(OR(G636="",G636=0),"",(I636-G636)/G636)</f>
        <v/>
      </c>
      <c r="K636" s="4">
        <f>IF(COUNT(D636:F636)=0,"",INDEX($D$1:$F$1,MATCH(MIN(D636:F636),D636:F636,0)))</f>
        <v/>
      </c>
      <c r="L636" s="10" t="n">
        <v>1381.04</v>
      </c>
      <c r="M636" s="12" t="n">
        <v>1</v>
      </c>
    </row>
    <row r="637">
      <c r="A637" s="4" t="inlineStr">
        <is>
          <t>MAT-25-005</t>
        </is>
      </c>
      <c r="B637" s="5" t="inlineStr">
        <is>
          <t>Lavamanos Cerámica Junior, blanco</t>
        </is>
      </c>
      <c r="C637" s="4" t="inlineStr">
        <is>
          <t>unidad</t>
        </is>
      </c>
      <c r="D637" s="10" t="n">
        <v>1527.27</v>
      </c>
      <c r="E637" s="10" t="n"/>
      <c r="F637" s="10" t="n"/>
      <c r="G637" s="10">
        <f>IF(COUNT(D637:F637)=0,"",MIN(D637:F637))</f>
        <v/>
      </c>
      <c r="H637" s="10">
        <f>IF(COUNT(D637:F637)=0,"",MEDIAN(D637:F637))</f>
        <v/>
      </c>
      <c r="I637" s="10">
        <f>IF(COUNT(D637:F637)=0,"",MAX(D637:F637))</f>
        <v/>
      </c>
      <c r="J637" s="11">
        <f>IF(OR(G637="",G637=0),"",(I637-G637)/G637)</f>
        <v/>
      </c>
      <c r="K637" s="4">
        <f>IF(COUNT(D637:F637)=0,"",INDEX($D$1:$F$1,MATCH(MIN(D637:F637),D637:F637,0)))</f>
        <v/>
      </c>
      <c r="L637" s="10" t="n">
        <v>1527.27</v>
      </c>
      <c r="M637" s="12" t="n">
        <v>1</v>
      </c>
    </row>
    <row r="638">
      <c r="A638" s="4" t="inlineStr">
        <is>
          <t>MAT-25-006</t>
        </is>
      </c>
      <c r="B638" s="5" t="inlineStr">
        <is>
          <t>Lavamanos De Cerámica Junior, blanco</t>
        </is>
      </c>
      <c r="C638" s="4" t="inlineStr">
        <is>
          <t>unidad</t>
        </is>
      </c>
      <c r="D638" s="10" t="n">
        <v>1527.27</v>
      </c>
      <c r="E638" s="10" t="n"/>
      <c r="F638" s="10" t="n"/>
      <c r="G638" s="10">
        <f>IF(COUNT(D638:F638)=0,"",MIN(D638:F638))</f>
        <v/>
      </c>
      <c r="H638" s="10">
        <f>IF(COUNT(D638:F638)=0,"",MEDIAN(D638:F638))</f>
        <v/>
      </c>
      <c r="I638" s="10">
        <f>IF(COUNT(D638:F638)=0,"",MAX(D638:F638))</f>
        <v/>
      </c>
      <c r="J638" s="11">
        <f>IF(OR(G638="",G638=0),"",(I638-G638)/G638)</f>
        <v/>
      </c>
      <c r="K638" s="4">
        <f>IF(COUNT(D638:F638)=0,"",INDEX($D$1:$F$1,MATCH(MIN(D638:F638),D638:F638,0)))</f>
        <v/>
      </c>
      <c r="L638" s="10" t="n">
        <v>1527.27</v>
      </c>
      <c r="M638" s="12" t="n">
        <v>1</v>
      </c>
    </row>
    <row r="639">
      <c r="A639" s="4" t="inlineStr">
        <is>
          <t>MAT-25-007</t>
        </is>
      </c>
      <c r="B639" s="5" t="inlineStr">
        <is>
          <t>Lavamanos De Cerámica Junior, marfil</t>
        </is>
      </c>
      <c r="C639" s="4" t="inlineStr">
        <is>
          <t>unidad</t>
        </is>
      </c>
      <c r="D639" s="10" t="n">
        <v>1582.49</v>
      </c>
      <c r="E639" s="10" t="n"/>
      <c r="F639" s="10" t="n"/>
      <c r="G639" s="10">
        <f>IF(COUNT(D639:F639)=0,"",MIN(D639:F639))</f>
        <v/>
      </c>
      <c r="H639" s="10">
        <f>IF(COUNT(D639:F639)=0,"",MEDIAN(D639:F639))</f>
        <v/>
      </c>
      <c r="I639" s="10">
        <f>IF(COUNT(D639:F639)=0,"",MAX(D639:F639))</f>
        <v/>
      </c>
      <c r="J639" s="11">
        <f>IF(OR(G639="",G639=0),"",(I639-G639)/G639)</f>
        <v/>
      </c>
      <c r="K639" s="4">
        <f>IF(COUNT(D639:F639)=0,"",INDEX($D$1:$F$1,MATCH(MIN(D639:F639),D639:F639,0)))</f>
        <v/>
      </c>
      <c r="L639" s="10" t="n">
        <v>1582.49</v>
      </c>
      <c r="M639" s="12" t="n">
        <v>1</v>
      </c>
    </row>
    <row r="640">
      <c r="A640" s="4" t="inlineStr">
        <is>
          <t>MAT-25-008</t>
        </is>
      </c>
      <c r="B640" s="5" t="inlineStr">
        <is>
          <t>Lavamanos De Cerámica Jazmin, marfil</t>
        </is>
      </c>
      <c r="C640" s="4" t="inlineStr">
        <is>
          <t>unidad</t>
        </is>
      </c>
      <c r="D640" s="10" t="n">
        <v>1789.16</v>
      </c>
      <c r="E640" s="10" t="n"/>
      <c r="F640" s="10" t="n"/>
      <c r="G640" s="10">
        <f>IF(COUNT(D640:F640)=0,"",MIN(D640:F640))</f>
        <v/>
      </c>
      <c r="H640" s="10">
        <f>IF(COUNT(D640:F640)=0,"",MEDIAN(D640:F640))</f>
        <v/>
      </c>
      <c r="I640" s="10">
        <f>IF(COUNT(D640:F640)=0,"",MAX(D640:F640))</f>
        <v/>
      </c>
      <c r="J640" s="11">
        <f>IF(OR(G640="",G640=0),"",(I640-G640)/G640)</f>
        <v/>
      </c>
      <c r="K640" s="4">
        <f>IF(COUNT(D640:F640)=0,"",INDEX($D$1:$F$1,MATCH(MIN(D640:F640),D640:F640,0)))</f>
        <v/>
      </c>
      <c r="L640" s="10" t="n">
        <v>1973.66</v>
      </c>
      <c r="M640" s="12" t="n">
        <v>1</v>
      </c>
    </row>
    <row r="641">
      <c r="A641" s="4" t="inlineStr">
        <is>
          <t>MAT-25-009</t>
        </is>
      </c>
      <c r="B641" s="5" t="inlineStr">
        <is>
          <t>Lavamanos De Cerámica Jazmin, blanco</t>
        </is>
      </c>
      <c r="C641" s="4" t="inlineStr">
        <is>
          <t>unidad</t>
        </is>
      </c>
      <c r="D641" s="10" t="n">
        <v>1681.49</v>
      </c>
      <c r="E641" s="10" t="n"/>
      <c r="F641" s="10" t="n"/>
      <c r="G641" s="10">
        <f>IF(COUNT(D641:F641)=0,"",MIN(D641:F641))</f>
        <v/>
      </c>
      <c r="H641" s="10">
        <f>IF(COUNT(D641:F641)=0,"",MEDIAN(D641:F641))</f>
        <v/>
      </c>
      <c r="I641" s="10">
        <f>IF(COUNT(D641:F641)=0,"",MAX(D641:F641))</f>
        <v/>
      </c>
      <c r="J641" s="11">
        <f>IF(OR(G641="",G641=0),"",(I641-G641)/G641)</f>
        <v/>
      </c>
      <c r="K641" s="4">
        <f>IF(COUNT(D641:F641)=0,"",INDEX($D$1:$F$1,MATCH(MIN(D641:F641),D641:F641,0)))</f>
        <v/>
      </c>
      <c r="L641" s="10" t="n">
        <v>1770.56</v>
      </c>
      <c r="M641" s="12" t="n">
        <v>1</v>
      </c>
    </row>
    <row r="642">
      <c r="A642" s="4" t="inlineStr">
        <is>
          <t>MAT-25-010</t>
        </is>
      </c>
      <c r="B642" s="5" t="inlineStr">
        <is>
          <t>Lavamanos 4'' Lucas, negro</t>
        </is>
      </c>
      <c r="C642" s="4" t="inlineStr">
        <is>
          <t>unidad</t>
        </is>
      </c>
      <c r="D642" s="10" t="n">
        <v>1879.63</v>
      </c>
      <c r="E642" s="10" t="n"/>
      <c r="F642" s="10" t="n"/>
      <c r="G642" s="10">
        <f>IF(COUNT(D642:F642)=0,"",MIN(D642:F642))</f>
        <v/>
      </c>
      <c r="H642" s="10">
        <f>IF(COUNT(D642:F642)=0,"",MEDIAN(D642:F642))</f>
        <v/>
      </c>
      <c r="I642" s="10">
        <f>IF(COUNT(D642:F642)=0,"",MAX(D642:F642))</f>
        <v/>
      </c>
      <c r="J642" s="11">
        <f>IF(OR(G642="",G642=0),"",(I642-G642)/G642)</f>
        <v/>
      </c>
      <c r="K642" s="4">
        <f>IF(COUNT(D642:F642)=0,"",INDEX($D$1:$F$1,MATCH(MIN(D642:F642),D642:F642,0)))</f>
        <v/>
      </c>
      <c r="L642" s="10" t="n">
        <v>1879.63</v>
      </c>
      <c r="M642" s="12" t="n">
        <v>1</v>
      </c>
    </row>
    <row r="643">
      <c r="A643" s="4" t="inlineStr">
        <is>
          <t>MAT-25-011</t>
        </is>
      </c>
      <c r="B643" s="5" t="inlineStr">
        <is>
          <t>Lavamanos Atenas 36 x 36, blanco</t>
        </is>
      </c>
      <c r="C643" s="4" t="inlineStr">
        <is>
          <t>unidad</t>
        </is>
      </c>
      <c r="D643" s="10" t="n">
        <v>2085.37</v>
      </c>
      <c r="E643" s="10" t="n"/>
      <c r="F643" s="10" t="n"/>
      <c r="G643" s="10">
        <f>IF(COUNT(D643:F643)=0,"",MIN(D643:F643))</f>
        <v/>
      </c>
      <c r="H643" s="10">
        <f>IF(COUNT(D643:F643)=0,"",MEDIAN(D643:F643))</f>
        <v/>
      </c>
      <c r="I643" s="10">
        <f>IF(COUNT(D643:F643)=0,"",MAX(D643:F643))</f>
        <v/>
      </c>
      <c r="J643" s="11">
        <f>IF(OR(G643="",G643=0),"",(I643-G643)/G643)</f>
        <v/>
      </c>
      <c r="K643" s="4">
        <f>IF(COUNT(D643:F643)=0,"",INDEX($D$1:$F$1,MATCH(MIN(D643:F643),D643:F643,0)))</f>
        <v/>
      </c>
      <c r="L643" s="10" t="n">
        <v>2085.37</v>
      </c>
      <c r="M643" s="12" t="n">
        <v>1</v>
      </c>
    </row>
    <row r="644">
      <c r="A644" s="4" t="inlineStr">
        <is>
          <t>MAT-25-012</t>
        </is>
      </c>
      <c r="B644" s="5" t="inlineStr">
        <is>
          <t>Lavamanos Jazmin 1 H, marfil</t>
        </is>
      </c>
      <c r="C644" s="4" t="inlineStr">
        <is>
          <t>unidad</t>
        </is>
      </c>
      <c r="D644" s="10" t="n">
        <v>2158.15</v>
      </c>
      <c r="E644" s="10" t="n"/>
      <c r="F644" s="10" t="n"/>
      <c r="G644" s="10">
        <f>IF(COUNT(D644:F644)=0,"",MIN(D644:F644))</f>
        <v/>
      </c>
      <c r="H644" s="10">
        <f>IF(COUNT(D644:F644)=0,"",MEDIAN(D644:F644))</f>
        <v/>
      </c>
      <c r="I644" s="10">
        <f>IF(COUNT(D644:F644)=0,"",MAX(D644:F644))</f>
        <v/>
      </c>
      <c r="J644" s="11">
        <f>IF(OR(G644="",G644=0),"",(I644-G644)/G644)</f>
        <v/>
      </c>
      <c r="K644" s="4">
        <f>IF(COUNT(D644:F644)=0,"",INDEX($D$1:$F$1,MATCH(MIN(D644:F644),D644:F644,0)))</f>
        <v/>
      </c>
      <c r="L644" s="10" t="n">
        <v>2158.15</v>
      </c>
      <c r="M644" s="12" t="n">
        <v>1</v>
      </c>
    </row>
    <row r="645">
      <c r="A645" s="4" t="inlineStr">
        <is>
          <t>MAT-25-013</t>
        </is>
      </c>
      <c r="B645" s="5" t="inlineStr">
        <is>
          <t>Lavamanos Eros 41 x 41, blanco</t>
        </is>
      </c>
      <c r="C645" s="4" t="inlineStr">
        <is>
          <t>unidad</t>
        </is>
      </c>
      <c r="D645" s="10" t="n">
        <v>2177.81</v>
      </c>
      <c r="E645" s="10" t="n"/>
      <c r="F645" s="10" t="n"/>
      <c r="G645" s="10">
        <f>IF(COUNT(D645:F645)=0,"",MIN(D645:F645))</f>
        <v/>
      </c>
      <c r="H645" s="10">
        <f>IF(COUNT(D645:F645)=0,"",MEDIAN(D645:F645))</f>
        <v/>
      </c>
      <c r="I645" s="10">
        <f>IF(COUNT(D645:F645)=0,"",MAX(D645:F645))</f>
        <v/>
      </c>
      <c r="J645" s="11">
        <f>IF(OR(G645="",G645=0),"",(I645-G645)/G645)</f>
        <v/>
      </c>
      <c r="K645" s="4">
        <f>IF(COUNT(D645:F645)=0,"",INDEX($D$1:$F$1,MATCH(MIN(D645:F645),D645:F645,0)))</f>
        <v/>
      </c>
      <c r="L645" s="10" t="n">
        <v>2177.81</v>
      </c>
      <c r="M645" s="12" t="n">
        <v>1</v>
      </c>
    </row>
    <row r="646">
      <c r="A646" s="4" t="inlineStr">
        <is>
          <t>MAT-25-014</t>
        </is>
      </c>
      <c r="B646" s="5" t="inlineStr">
        <is>
          <t>Lavamanos con Pedestal Bp518., blanco</t>
        </is>
      </c>
      <c r="C646" s="4" t="inlineStr">
        <is>
          <t>unidad</t>
        </is>
      </c>
      <c r="D646" s="10" t="n">
        <v>2188.73</v>
      </c>
      <c r="E646" s="10" t="n"/>
      <c r="F646" s="10" t="n"/>
      <c r="G646" s="10">
        <f>IF(COUNT(D646:F646)=0,"",MIN(D646:F646))</f>
        <v/>
      </c>
      <c r="H646" s="10">
        <f>IF(COUNT(D646:F646)=0,"",MEDIAN(D646:F646))</f>
        <v/>
      </c>
      <c r="I646" s="10">
        <f>IF(COUNT(D646:F646)=0,"",MAX(D646:F646))</f>
        <v/>
      </c>
      <c r="J646" s="11">
        <f>IF(OR(G646="",G646=0),"",(I646-G646)/G646)</f>
        <v/>
      </c>
      <c r="K646" s="4">
        <f>IF(COUNT(D646:F646)=0,"",INDEX($D$1:$F$1,MATCH(MIN(D646:F646),D646:F646,0)))</f>
        <v/>
      </c>
      <c r="L646" s="10" t="n">
        <v>2188.73</v>
      </c>
      <c r="M646" s="12" t="n">
        <v>1</v>
      </c>
    </row>
    <row r="647">
      <c r="A647" s="4" t="inlineStr">
        <is>
          <t>MAT-25-015</t>
        </is>
      </c>
      <c r="B647" s="5" t="inlineStr">
        <is>
          <t>Lavamanos De Cerámica, blanco</t>
        </is>
      </c>
      <c r="C647" s="4" t="inlineStr">
        <is>
          <t>unidad</t>
        </is>
      </c>
      <c r="D647" s="10" t="n">
        <v>2565.83</v>
      </c>
      <c r="E647" s="10" t="n"/>
      <c r="F647" s="10" t="n"/>
      <c r="G647" s="10">
        <f>IF(COUNT(D647:F647)=0,"",MIN(D647:F647))</f>
        <v/>
      </c>
      <c r="H647" s="10">
        <f>IF(COUNT(D647:F647)=0,"",MEDIAN(D647:F647))</f>
        <v/>
      </c>
      <c r="I647" s="10">
        <f>IF(COUNT(D647:F647)=0,"",MAX(D647:F647))</f>
        <v/>
      </c>
      <c r="J647" s="11">
        <f>IF(OR(G647="",G647=0),"",(I647-G647)/G647)</f>
        <v/>
      </c>
      <c r="K647" s="4">
        <f>IF(COUNT(D647:F647)=0,"",INDEX($D$1:$F$1,MATCH(MIN(D647:F647),D647:F647,0)))</f>
        <v/>
      </c>
      <c r="L647" s="10" t="n">
        <v>2565.83</v>
      </c>
      <c r="M647" s="12" t="n">
        <v>1</v>
      </c>
    </row>
    <row r="648">
      <c r="A648" s="4" t="inlineStr">
        <is>
          <t>MAT-25-016</t>
        </is>
      </c>
      <c r="B648" s="5" t="inlineStr">
        <is>
          <t>Lavamanos De Cerámica Terra, blanco</t>
        </is>
      </c>
      <c r="C648" s="4" t="inlineStr">
        <is>
          <t>unidad</t>
        </is>
      </c>
      <c r="D648" s="10" t="n">
        <v>2653.91</v>
      </c>
      <c r="E648" s="10" t="n"/>
      <c r="F648" s="10" t="n"/>
      <c r="G648" s="10">
        <f>IF(COUNT(D648:F648)=0,"",MIN(D648:F648))</f>
        <v/>
      </c>
      <c r="H648" s="10">
        <f>IF(COUNT(D648:F648)=0,"",MEDIAN(D648:F648))</f>
        <v/>
      </c>
      <c r="I648" s="10">
        <f>IF(COUNT(D648:F648)=0,"",MAX(D648:F648))</f>
        <v/>
      </c>
      <c r="J648" s="11">
        <f>IF(OR(G648="",G648=0),"",(I648-G648)/G648)</f>
        <v/>
      </c>
      <c r="K648" s="4">
        <f>IF(COUNT(D648:F648)=0,"",INDEX($D$1:$F$1,MATCH(MIN(D648:F648),D648:F648,0)))</f>
        <v/>
      </c>
      <c r="L648" s="10" t="n">
        <v>2656.26</v>
      </c>
      <c r="M648" s="12" t="n">
        <v>1</v>
      </c>
    </row>
    <row r="649">
      <c r="A649" s="4" t="inlineStr">
        <is>
          <t>MAT-25-017</t>
        </is>
      </c>
      <c r="B649" s="5" t="inlineStr">
        <is>
          <t>Lavamanos Jano redondo, blanco</t>
        </is>
      </c>
      <c r="C649" s="4" t="inlineStr">
        <is>
          <t>unidad</t>
        </is>
      </c>
      <c r="D649" s="10" t="n">
        <v>2769.61</v>
      </c>
      <c r="E649" s="10" t="n"/>
      <c r="F649" s="10" t="n"/>
      <c r="G649" s="10">
        <f>IF(COUNT(D649:F649)=0,"",MIN(D649:F649))</f>
        <v/>
      </c>
      <c r="H649" s="10">
        <f>IF(COUNT(D649:F649)=0,"",MEDIAN(D649:F649))</f>
        <v/>
      </c>
      <c r="I649" s="10">
        <f>IF(COUNT(D649:F649)=0,"",MAX(D649:F649))</f>
        <v/>
      </c>
      <c r="J649" s="11">
        <f>IF(OR(G649="",G649=0),"",(I649-G649)/G649)</f>
        <v/>
      </c>
      <c r="K649" s="4">
        <f>IF(COUNT(D649:F649)=0,"",INDEX($D$1:$F$1,MATCH(MIN(D649:F649),D649:F649,0)))</f>
        <v/>
      </c>
      <c r="L649" s="10" t="n">
        <v>2769.61</v>
      </c>
      <c r="M649" s="12" t="n">
        <v>1</v>
      </c>
    </row>
    <row r="650">
      <c r="A650" s="4" t="inlineStr">
        <is>
          <t>MAT-25-018</t>
        </is>
      </c>
      <c r="B650" s="5" t="inlineStr">
        <is>
          <t>Lavamanos Elpis 61 x 79, blanco</t>
        </is>
      </c>
      <c r="C650" s="4" t="inlineStr">
        <is>
          <t>unidad</t>
        </is>
      </c>
      <c r="D650" s="10" t="n">
        <v>2807.64</v>
      </c>
      <c r="E650" s="10" t="n"/>
      <c r="F650" s="10" t="n"/>
      <c r="G650" s="10">
        <f>IF(COUNT(D650:F650)=0,"",MIN(D650:F650))</f>
        <v/>
      </c>
      <c r="H650" s="10">
        <f>IF(COUNT(D650:F650)=0,"",MEDIAN(D650:F650))</f>
        <v/>
      </c>
      <c r="I650" s="10">
        <f>IF(COUNT(D650:F650)=0,"",MAX(D650:F650))</f>
        <v/>
      </c>
      <c r="J650" s="11">
        <f>IF(OR(G650="",G650=0),"",(I650-G650)/G650)</f>
        <v/>
      </c>
      <c r="K650" s="4">
        <f>IF(COUNT(D650:F650)=0,"",INDEX($D$1:$F$1,MATCH(MIN(D650:F650),D650:F650,0)))</f>
        <v/>
      </c>
      <c r="L650" s="10" t="n">
        <v>2807.64</v>
      </c>
      <c r="M650" s="12" t="n">
        <v>1</v>
      </c>
    </row>
    <row r="651">
      <c r="A651" s="4" t="inlineStr">
        <is>
          <t>MAT-25-019</t>
        </is>
      </c>
      <c r="B651" s="5" t="inlineStr">
        <is>
          <t>Lavamanos De Cerámica Zurich, blanco</t>
        </is>
      </c>
      <c r="C651" s="4" t="inlineStr">
        <is>
          <t>unidad</t>
        </is>
      </c>
      <c r="D651" s="10" t="n">
        <v>2913.99</v>
      </c>
      <c r="E651" s="10" t="n"/>
      <c r="F651" s="10" t="n"/>
      <c r="G651" s="10">
        <f>IF(COUNT(D651:F651)=0,"",MIN(D651:F651))</f>
        <v/>
      </c>
      <c r="H651" s="10">
        <f>IF(COUNT(D651:F651)=0,"",MEDIAN(D651:F651))</f>
        <v/>
      </c>
      <c r="I651" s="10">
        <f>IF(COUNT(D651:F651)=0,"",MAX(D651:F651))</f>
        <v/>
      </c>
      <c r="J651" s="11">
        <f>IF(OR(G651="",G651=0),"",(I651-G651)/G651)</f>
        <v/>
      </c>
      <c r="K651" s="4">
        <f>IF(COUNT(D651:F651)=0,"",INDEX($D$1:$F$1,MATCH(MIN(D651:F651),D651:F651,0)))</f>
        <v/>
      </c>
      <c r="L651" s="10" t="n">
        <v>2923.3</v>
      </c>
      <c r="M651" s="12" t="n">
        <v>1</v>
      </c>
    </row>
    <row r="652">
      <c r="A652" s="4" t="inlineStr">
        <is>
          <t>MAT-25-020</t>
        </is>
      </c>
      <c r="B652" s="5" t="inlineStr">
        <is>
          <t>Lavamanos Mono Milenio, blanco</t>
        </is>
      </c>
      <c r="C652" s="4" t="inlineStr">
        <is>
          <t>unidad</t>
        </is>
      </c>
      <c r="D652" s="10" t="n">
        <v>2925.8</v>
      </c>
      <c r="E652" s="10" t="n"/>
      <c r="F652" s="10" t="n"/>
      <c r="G652" s="10">
        <f>IF(COUNT(D652:F652)=0,"",MIN(D652:F652))</f>
        <v/>
      </c>
      <c r="H652" s="10">
        <f>IF(COUNT(D652:F652)=0,"",MEDIAN(D652:F652))</f>
        <v/>
      </c>
      <c r="I652" s="10">
        <f>IF(COUNT(D652:F652)=0,"",MAX(D652:F652))</f>
        <v/>
      </c>
      <c r="J652" s="11">
        <f>IF(OR(G652="",G652=0),"",(I652-G652)/G652)</f>
        <v/>
      </c>
      <c r="K652" s="4">
        <f>IF(COUNT(D652:F652)=0,"",INDEX($D$1:$F$1,MATCH(MIN(D652:F652),D652:F652,0)))</f>
        <v/>
      </c>
      <c r="L652" s="10" t="n">
        <v>2925.8</v>
      </c>
      <c r="M652" s="12" t="n">
        <v>1</v>
      </c>
    </row>
    <row r="653">
      <c r="A653" s="4" t="inlineStr">
        <is>
          <t>MAT-25-021</t>
        </is>
      </c>
      <c r="B653" s="5" t="inlineStr">
        <is>
          <t>Lavamanos Sobreponer Ovalin 4", blanco</t>
        </is>
      </c>
      <c r="C653" s="4" t="inlineStr">
        <is>
          <t>unidad</t>
        </is>
      </c>
      <c r="D653" s="10" t="n">
        <v>2960.63</v>
      </c>
      <c r="E653" s="10" t="n"/>
      <c r="F653" s="10" t="n"/>
      <c r="G653" s="10">
        <f>IF(COUNT(D653:F653)=0,"",MIN(D653:F653))</f>
        <v/>
      </c>
      <c r="H653" s="10">
        <f>IF(COUNT(D653:F653)=0,"",MEDIAN(D653:F653))</f>
        <v/>
      </c>
      <c r="I653" s="10">
        <f>IF(COUNT(D653:F653)=0,"",MAX(D653:F653))</f>
        <v/>
      </c>
      <c r="J653" s="11">
        <f>IF(OR(G653="",G653=0),"",(I653-G653)/G653)</f>
        <v/>
      </c>
      <c r="K653" s="4">
        <f>IF(COUNT(D653:F653)=0,"",INDEX($D$1:$F$1,MATCH(MIN(D653:F653),D653:F653,0)))</f>
        <v/>
      </c>
      <c r="L653" s="10" t="n">
        <v>2960.63</v>
      </c>
      <c r="M653" s="12" t="n">
        <v>1</v>
      </c>
    </row>
    <row r="654">
      <c r="A654" s="4" t="inlineStr">
        <is>
          <t>MAT-25-022</t>
        </is>
      </c>
      <c r="B654" s="5" t="inlineStr">
        <is>
          <t>Lavamanos De Cerámica Terra, marfil</t>
        </is>
      </c>
      <c r="C654" s="4" t="inlineStr">
        <is>
          <t>unidad</t>
        </is>
      </c>
      <c r="D654" s="10" t="n">
        <v>3026.28</v>
      </c>
      <c r="E654" s="10" t="n"/>
      <c r="F654" s="10" t="n"/>
      <c r="G654" s="10">
        <f>IF(COUNT(D654:F654)=0,"",MIN(D654:F654))</f>
        <v/>
      </c>
      <c r="H654" s="10">
        <f>IF(COUNT(D654:F654)=0,"",MEDIAN(D654:F654))</f>
        <v/>
      </c>
      <c r="I654" s="10">
        <f>IF(COUNT(D654:F654)=0,"",MAX(D654:F654))</f>
        <v/>
      </c>
      <c r="J654" s="11">
        <f>IF(OR(G654="",G654=0),"",(I654-G654)/G654)</f>
        <v/>
      </c>
      <c r="K654" s="4">
        <f>IF(COUNT(D654:F654)=0,"",INDEX($D$1:$F$1,MATCH(MIN(D654:F654),D654:F654,0)))</f>
        <v/>
      </c>
      <c r="L654" s="10" t="n">
        <v>3026.74</v>
      </c>
      <c r="M654" s="12" t="n">
        <v>1</v>
      </c>
    </row>
    <row r="655">
      <c r="A655" s="4" t="inlineStr">
        <is>
          <t>MAT-25-023</t>
        </is>
      </c>
      <c r="B655" s="5" t="inlineStr">
        <is>
          <t>Lavamanos Square 38 x 38, blanco</t>
        </is>
      </c>
      <c r="C655" s="4" t="inlineStr">
        <is>
          <t>unidad</t>
        </is>
      </c>
      <c r="D655" s="10" t="n">
        <v>3056.22</v>
      </c>
      <c r="E655" s="10" t="n"/>
      <c r="F655" s="10" t="n"/>
      <c r="G655" s="10">
        <f>IF(COUNT(D655:F655)=0,"",MIN(D655:F655))</f>
        <v/>
      </c>
      <c r="H655" s="10">
        <f>IF(COUNT(D655:F655)=0,"",MEDIAN(D655:F655))</f>
        <v/>
      </c>
      <c r="I655" s="10">
        <f>IF(COUNT(D655:F655)=0,"",MAX(D655:F655))</f>
        <v/>
      </c>
      <c r="J655" s="11">
        <f>IF(OR(G655="",G655=0),"",(I655-G655)/G655)</f>
        <v/>
      </c>
      <c r="K655" s="4">
        <f>IF(COUNT(D655:F655)=0,"",INDEX($D$1:$F$1,MATCH(MIN(D655:F655),D655:F655,0)))</f>
        <v/>
      </c>
      <c r="L655" s="10" t="n">
        <v>3056.22</v>
      </c>
      <c r="M655" s="12" t="n">
        <v>1</v>
      </c>
    </row>
    <row r="656">
      <c r="A656" s="4" t="inlineStr">
        <is>
          <t>MAT-25-024</t>
        </is>
      </c>
      <c r="B656" s="5" t="inlineStr">
        <is>
          <t>Lavamanos Mono Milenio, marfil</t>
        </is>
      </c>
      <c r="C656" s="4" t="inlineStr">
        <is>
          <t>unidad</t>
        </is>
      </c>
      <c r="D656" s="10" t="n">
        <v>3186.28</v>
      </c>
      <c r="E656" s="10" t="n"/>
      <c r="F656" s="10" t="n"/>
      <c r="G656" s="10">
        <f>IF(COUNT(D656:F656)=0,"",MIN(D656:F656))</f>
        <v/>
      </c>
      <c r="H656" s="10">
        <f>IF(COUNT(D656:F656)=0,"",MEDIAN(D656:F656))</f>
        <v/>
      </c>
      <c r="I656" s="10">
        <f>IF(COUNT(D656:F656)=0,"",MAX(D656:F656))</f>
        <v/>
      </c>
      <c r="J656" s="11">
        <f>IF(OR(G656="",G656=0),"",(I656-G656)/G656)</f>
        <v/>
      </c>
      <c r="K656" s="4">
        <f>IF(COUNT(D656:F656)=0,"",INDEX($D$1:$F$1,MATCH(MIN(D656:F656),D656:F656,0)))</f>
        <v/>
      </c>
      <c r="L656" s="10" t="n">
        <v>3186.28</v>
      </c>
      <c r="M656" s="12" t="n">
        <v>1</v>
      </c>
    </row>
    <row r="657">
      <c r="A657" s="4" t="inlineStr">
        <is>
          <t>MAT-25-025</t>
        </is>
      </c>
      <c r="B657" s="5" t="inlineStr">
        <is>
          <t>Lavamanos Label, blanco</t>
        </is>
      </c>
      <c r="C657" s="4" t="inlineStr">
        <is>
          <t>unidad</t>
        </is>
      </c>
      <c r="D657" s="10" t="n">
        <v>3246.27</v>
      </c>
      <c r="E657" s="10" t="n"/>
      <c r="F657" s="10" t="n"/>
      <c r="G657" s="10">
        <f>IF(COUNT(D657:F657)=0,"",MIN(D657:F657))</f>
        <v/>
      </c>
      <c r="H657" s="10">
        <f>IF(COUNT(D657:F657)=0,"",MEDIAN(D657:F657))</f>
        <v/>
      </c>
      <c r="I657" s="10">
        <f>IF(COUNT(D657:F657)=0,"",MAX(D657:F657))</f>
        <v/>
      </c>
      <c r="J657" s="11">
        <f>IF(OR(G657="",G657=0),"",(I657-G657)/G657)</f>
        <v/>
      </c>
      <c r="K657" s="4">
        <f>IF(COUNT(D657:F657)=0,"",INDEX($D$1:$F$1,MATCH(MIN(D657:F657),D657:F657,0)))</f>
        <v/>
      </c>
      <c r="L657" s="10" t="n">
        <v>3246.27</v>
      </c>
      <c r="M657" s="12" t="n">
        <v>1</v>
      </c>
    </row>
    <row r="658">
      <c r="A658" s="4" t="inlineStr">
        <is>
          <t>MAT-25-026</t>
        </is>
      </c>
      <c r="B658" s="5" t="inlineStr">
        <is>
          <t>Lavamanos Sobreponer Redondo 4", blanco</t>
        </is>
      </c>
      <c r="C658" s="4" t="inlineStr">
        <is>
          <t>unidad</t>
        </is>
      </c>
      <c r="D658" s="10" t="n">
        <v>3253.11</v>
      </c>
      <c r="E658" s="10" t="n"/>
      <c r="F658" s="10" t="n"/>
      <c r="G658" s="10">
        <f>IF(COUNT(D658:F658)=0,"",MIN(D658:F658))</f>
        <v/>
      </c>
      <c r="H658" s="10">
        <f>IF(COUNT(D658:F658)=0,"",MEDIAN(D658:F658))</f>
        <v/>
      </c>
      <c r="I658" s="10">
        <f>IF(COUNT(D658:F658)=0,"",MAX(D658:F658))</f>
        <v/>
      </c>
      <c r="J658" s="11">
        <f>IF(OR(G658="",G658=0),"",(I658-G658)/G658)</f>
        <v/>
      </c>
      <c r="K658" s="4">
        <f>IF(COUNT(D658:F658)=0,"",INDEX($D$1:$F$1,MATCH(MIN(D658:F658),D658:F658,0)))</f>
        <v/>
      </c>
      <c r="L658" s="10" t="n">
        <v>3253.11</v>
      </c>
      <c r="M658" s="12" t="n">
        <v>1</v>
      </c>
    </row>
    <row r="659">
      <c r="A659" s="4" t="inlineStr">
        <is>
          <t>MAT-25-027</t>
        </is>
      </c>
      <c r="B659" s="5" t="inlineStr">
        <is>
          <t>Lavamanos Sobreponer Redondo 1H, blanco</t>
        </is>
      </c>
      <c r="C659" s="4" t="inlineStr">
        <is>
          <t>unidad</t>
        </is>
      </c>
      <c r="D659" s="10" t="n">
        <v>3261.93</v>
      </c>
      <c r="E659" s="10" t="n"/>
      <c r="F659" s="10" t="n"/>
      <c r="G659" s="10">
        <f>IF(COUNT(D659:F659)=0,"",MIN(D659:F659))</f>
        <v/>
      </c>
      <c r="H659" s="10">
        <f>IF(COUNT(D659:F659)=0,"",MEDIAN(D659:F659))</f>
        <v/>
      </c>
      <c r="I659" s="10">
        <f>IF(COUNT(D659:F659)=0,"",MAX(D659:F659))</f>
        <v/>
      </c>
      <c r="J659" s="11">
        <f>IF(OR(G659="",G659=0),"",(I659-G659)/G659)</f>
        <v/>
      </c>
      <c r="K659" s="4">
        <f>IF(COUNT(D659:F659)=0,"",INDEX($D$1:$F$1,MATCH(MIN(D659:F659),D659:F659,0)))</f>
        <v/>
      </c>
      <c r="L659" s="10" t="n">
        <v>3261.93</v>
      </c>
      <c r="M659" s="12" t="n">
        <v>1</v>
      </c>
    </row>
    <row r="660">
      <c r="A660" s="4" t="inlineStr">
        <is>
          <t>MAT-25-028</t>
        </is>
      </c>
      <c r="B660" s="5" t="inlineStr">
        <is>
          <t>Lavamanos De Cerámica Goya, marfil</t>
        </is>
      </c>
      <c r="C660" s="4" t="inlineStr">
        <is>
          <t>unidad</t>
        </is>
      </c>
      <c r="D660" s="10" t="n">
        <v>3266.84</v>
      </c>
      <c r="E660" s="10" t="n"/>
      <c r="F660" s="10" t="n"/>
      <c r="G660" s="10">
        <f>IF(COUNT(D660:F660)=0,"",MIN(D660:F660))</f>
        <v/>
      </c>
      <c r="H660" s="10">
        <f>IF(COUNT(D660:F660)=0,"",MEDIAN(D660:F660))</f>
        <v/>
      </c>
      <c r="I660" s="10">
        <f>IF(COUNT(D660:F660)=0,"",MAX(D660:F660))</f>
        <v/>
      </c>
      <c r="J660" s="11">
        <f>IF(OR(G660="",G660=0),"",(I660-G660)/G660)</f>
        <v/>
      </c>
      <c r="K660" s="4">
        <f>IF(COUNT(D660:F660)=0,"",INDEX($D$1:$F$1,MATCH(MIN(D660:F660),D660:F660,0)))</f>
        <v/>
      </c>
      <c r="L660" s="10" t="n">
        <v>3266.84</v>
      </c>
      <c r="M660" s="12" t="n">
        <v>1</v>
      </c>
    </row>
    <row r="661">
      <c r="A661" s="4" t="inlineStr">
        <is>
          <t>MAT-25-029</t>
        </is>
      </c>
      <c r="B661" s="5" t="inlineStr">
        <is>
          <t>Lavamanos Sobreponer Ovalin 1H, blanco</t>
        </is>
      </c>
      <c r="C661" s="4" t="inlineStr">
        <is>
          <t>unidad</t>
        </is>
      </c>
      <c r="D661" s="10" t="n">
        <v>3272.47</v>
      </c>
      <c r="E661" s="10" t="n"/>
      <c r="F661" s="10" t="n"/>
      <c r="G661" s="10">
        <f>IF(COUNT(D661:F661)=0,"",MIN(D661:F661))</f>
        <v/>
      </c>
      <c r="H661" s="10">
        <f>IF(COUNT(D661:F661)=0,"",MEDIAN(D661:F661))</f>
        <v/>
      </c>
      <c r="I661" s="10">
        <f>IF(COUNT(D661:F661)=0,"",MAX(D661:F661))</f>
        <v/>
      </c>
      <c r="J661" s="11">
        <f>IF(OR(G661="",G661=0),"",(I661-G661)/G661)</f>
        <v/>
      </c>
      <c r="K661" s="4">
        <f>IF(COUNT(D661:F661)=0,"",INDEX($D$1:$F$1,MATCH(MIN(D661:F661),D661:F661,0)))</f>
        <v/>
      </c>
      <c r="L661" s="10" t="n">
        <v>3272.47</v>
      </c>
      <c r="M661" s="12" t="n">
        <v>1</v>
      </c>
    </row>
    <row r="662">
      <c r="A662" s="4" t="inlineStr">
        <is>
          <t>MAT-25-030</t>
        </is>
      </c>
      <c r="B662" s="5" t="inlineStr">
        <is>
          <t>Lavamanos De Cerámica Zurich, marfil</t>
        </is>
      </c>
      <c r="C662" s="4" t="inlineStr">
        <is>
          <t>unidad</t>
        </is>
      </c>
      <c r="D662" s="10" t="n">
        <v>3411.25</v>
      </c>
      <c r="E662" s="10" t="n"/>
      <c r="F662" s="10" t="n"/>
      <c r="G662" s="10">
        <f>IF(COUNT(D662:F662)=0,"",MIN(D662:F662))</f>
        <v/>
      </c>
      <c r="H662" s="10">
        <f>IF(COUNT(D662:F662)=0,"",MEDIAN(D662:F662))</f>
        <v/>
      </c>
      <c r="I662" s="10">
        <f>IF(COUNT(D662:F662)=0,"",MAX(D662:F662))</f>
        <v/>
      </c>
      <c r="J662" s="11">
        <f>IF(OR(G662="",G662=0),"",(I662-G662)/G662)</f>
        <v/>
      </c>
      <c r="K662" s="4">
        <f>IF(COUNT(D662:F662)=0,"",INDEX($D$1:$F$1,MATCH(MIN(D662:F662),D662:F662,0)))</f>
        <v/>
      </c>
      <c r="L662" s="10" t="n">
        <v>3411.25</v>
      </c>
      <c r="M662" s="12" t="n">
        <v>1</v>
      </c>
    </row>
    <row r="663">
      <c r="A663" s="4" t="inlineStr">
        <is>
          <t>MAT-25-031</t>
        </is>
      </c>
      <c r="B663" s="5" t="inlineStr">
        <is>
          <t>Lavamanos De Cerámica Tamayo, blanco</t>
        </is>
      </c>
      <c r="C663" s="4" t="inlineStr">
        <is>
          <t>unidad</t>
        </is>
      </c>
      <c r="D663" s="10" t="n">
        <v>3460.61</v>
      </c>
      <c r="E663" s="10" t="n"/>
      <c r="F663" s="10" t="n"/>
      <c r="G663" s="10">
        <f>IF(COUNT(D663:F663)=0,"",MIN(D663:F663))</f>
        <v/>
      </c>
      <c r="H663" s="10">
        <f>IF(COUNT(D663:F663)=0,"",MEDIAN(D663:F663))</f>
        <v/>
      </c>
      <c r="I663" s="10">
        <f>IF(COUNT(D663:F663)=0,"",MAX(D663:F663))</f>
        <v/>
      </c>
      <c r="J663" s="11">
        <f>IF(OR(G663="",G663=0),"",(I663-G663)/G663)</f>
        <v/>
      </c>
      <c r="K663" s="4">
        <f>IF(COUNT(D663:F663)=0,"",INDEX($D$1:$F$1,MATCH(MIN(D663:F663),D663:F663,0)))</f>
        <v/>
      </c>
      <c r="L663" s="10" t="n">
        <v>3460.61</v>
      </c>
      <c r="M663" s="12" t="n">
        <v>1</v>
      </c>
    </row>
    <row r="664">
      <c r="A664" s="4" t="inlineStr">
        <is>
          <t>MAT-25-032</t>
        </is>
      </c>
      <c r="B664" s="5" t="inlineStr">
        <is>
          <t>Lavamanos Balder Cuad., blanco</t>
        </is>
      </c>
      <c r="C664" s="4" t="inlineStr">
        <is>
          <t>unidad</t>
        </is>
      </c>
      <c r="D664" s="10" t="n">
        <v>3507.02</v>
      </c>
      <c r="E664" s="10" t="n"/>
      <c r="F664" s="10" t="n"/>
      <c r="G664" s="10">
        <f>IF(COUNT(D664:F664)=0,"",MIN(D664:F664))</f>
        <v/>
      </c>
      <c r="H664" s="10">
        <f>IF(COUNT(D664:F664)=0,"",MEDIAN(D664:F664))</f>
        <v/>
      </c>
      <c r="I664" s="10">
        <f>IF(COUNT(D664:F664)=0,"",MAX(D664:F664))</f>
        <v/>
      </c>
      <c r="J664" s="11">
        <f>IF(OR(G664="",G664=0),"",(I664-G664)/G664)</f>
        <v/>
      </c>
      <c r="K664" s="4">
        <f>IF(COUNT(D664:F664)=0,"",INDEX($D$1:$F$1,MATCH(MIN(D664:F664),D664:F664,0)))</f>
        <v/>
      </c>
      <c r="L664" s="10" t="n">
        <v>3507.02</v>
      </c>
      <c r="M664" s="12" t="n">
        <v>1</v>
      </c>
    </row>
    <row r="665">
      <c r="A665" s="4" t="inlineStr">
        <is>
          <t>MAT-25-033</t>
        </is>
      </c>
      <c r="B665" s="5" t="inlineStr">
        <is>
          <t>Lavamanos Sobre Cubierta Turin, blanco</t>
        </is>
      </c>
      <c r="C665" s="4" t="inlineStr">
        <is>
          <t>unidad</t>
        </is>
      </c>
      <c r="D665" s="10" t="n">
        <v>3524.03</v>
      </c>
      <c r="E665" s="10" t="n"/>
      <c r="F665" s="10" t="n"/>
      <c r="G665" s="10">
        <f>IF(COUNT(D665:F665)=0,"",MIN(D665:F665))</f>
        <v/>
      </c>
      <c r="H665" s="10">
        <f>IF(COUNT(D665:F665)=0,"",MEDIAN(D665:F665))</f>
        <v/>
      </c>
      <c r="I665" s="10">
        <f>IF(COUNT(D665:F665)=0,"",MAX(D665:F665))</f>
        <v/>
      </c>
      <c r="J665" s="11">
        <f>IF(OR(G665="",G665=0),"",(I665-G665)/G665)</f>
        <v/>
      </c>
      <c r="K665" s="4">
        <f>IF(COUNT(D665:F665)=0,"",INDEX($D$1:$F$1,MATCH(MIN(D665:F665),D665:F665,0)))</f>
        <v/>
      </c>
      <c r="L665" s="10" t="n">
        <v>3524.03</v>
      </c>
      <c r="M665" s="12" t="n">
        <v>1</v>
      </c>
    </row>
    <row r="666">
      <c r="A666" s="4" t="inlineStr">
        <is>
          <t>MAT-25-034</t>
        </is>
      </c>
      <c r="B666" s="5" t="inlineStr">
        <is>
          <t>Lavamanos Sobrecubierta Niza, blanco</t>
        </is>
      </c>
      <c r="C666" s="4" t="inlineStr">
        <is>
          <t>unidad</t>
        </is>
      </c>
      <c r="D666" s="10" t="n">
        <v>3524.03</v>
      </c>
      <c r="E666" s="10" t="n"/>
      <c r="F666" s="10" t="n"/>
      <c r="G666" s="10">
        <f>IF(COUNT(D666:F666)=0,"",MIN(D666:F666))</f>
        <v/>
      </c>
      <c r="H666" s="10">
        <f>IF(COUNT(D666:F666)=0,"",MEDIAN(D666:F666))</f>
        <v/>
      </c>
      <c r="I666" s="10">
        <f>IF(COUNT(D666:F666)=0,"",MAX(D666:F666))</f>
        <v/>
      </c>
      <c r="J666" s="11">
        <f>IF(OR(G666="",G666=0),"",(I666-G666)/G666)</f>
        <v/>
      </c>
      <c r="K666" s="4">
        <f>IF(COUNT(D666:F666)=0,"",INDEX($D$1:$F$1,MATCH(MIN(D666:F666),D666:F666,0)))</f>
        <v/>
      </c>
      <c r="L666" s="10" t="n">
        <v>3524.03</v>
      </c>
      <c r="M666" s="12" t="n">
        <v>1</v>
      </c>
    </row>
    <row r="667">
      <c r="A667" s="4" t="inlineStr">
        <is>
          <t>MAT-25-035</t>
        </is>
      </c>
      <c r="B667" s="5" t="inlineStr">
        <is>
          <t>Lavamanos Selene 81 x 46, blanco</t>
        </is>
      </c>
      <c r="C667" s="4" t="inlineStr">
        <is>
          <t>unidad</t>
        </is>
      </c>
      <c r="D667" s="10" t="n">
        <v>3887.52</v>
      </c>
      <c r="E667" s="10" t="n"/>
      <c r="F667" s="10" t="n"/>
      <c r="G667" s="10">
        <f>IF(COUNT(D667:F667)=0,"",MIN(D667:F667))</f>
        <v/>
      </c>
      <c r="H667" s="10">
        <f>IF(COUNT(D667:F667)=0,"",MEDIAN(D667:F667))</f>
        <v/>
      </c>
      <c r="I667" s="10">
        <f>IF(COUNT(D667:F667)=0,"",MAX(D667:F667))</f>
        <v/>
      </c>
      <c r="J667" s="11">
        <f>IF(OR(G667="",G667=0),"",(I667-G667)/G667)</f>
        <v/>
      </c>
      <c r="K667" s="4">
        <f>IF(COUNT(D667:F667)=0,"",INDEX($D$1:$F$1,MATCH(MIN(D667:F667),D667:F667,0)))</f>
        <v/>
      </c>
      <c r="L667" s="10" t="n">
        <v>3887.52</v>
      </c>
      <c r="M667" s="12" t="n">
        <v>1</v>
      </c>
    </row>
    <row r="668">
      <c r="A668" s="4" t="inlineStr">
        <is>
          <t>MAT-25-036</t>
        </is>
      </c>
      <c r="B668" s="5" t="inlineStr">
        <is>
          <t>Lavamanos De Cerámica Niza, marfil</t>
        </is>
      </c>
      <c r="C668" s="4" t="inlineStr">
        <is>
          <t>unidad</t>
        </is>
      </c>
      <c r="D668" s="10" t="n">
        <v>3915.15</v>
      </c>
      <c r="E668" s="10" t="n"/>
      <c r="F668" s="10" t="n"/>
      <c r="G668" s="10">
        <f>IF(COUNT(D668:F668)=0,"",MIN(D668:F668))</f>
        <v/>
      </c>
      <c r="H668" s="10">
        <f>IF(COUNT(D668:F668)=0,"",MEDIAN(D668:F668))</f>
        <v/>
      </c>
      <c r="I668" s="10">
        <f>IF(COUNT(D668:F668)=0,"",MAX(D668:F668))</f>
        <v/>
      </c>
      <c r="J668" s="11">
        <f>IF(OR(G668="",G668=0),"",(I668-G668)/G668)</f>
        <v/>
      </c>
      <c r="K668" s="4">
        <f>IF(COUNT(D668:F668)=0,"",INDEX($D$1:$F$1,MATCH(MIN(D668:F668),D668:F668,0)))</f>
        <v/>
      </c>
      <c r="L668" s="10" t="n">
        <v>3915.15</v>
      </c>
      <c r="M668" s="12" t="n">
        <v>1</v>
      </c>
    </row>
    <row r="669">
      <c r="A669" s="4" t="inlineStr">
        <is>
          <t>MAT-25-037</t>
        </is>
      </c>
      <c r="B669" s="5" t="inlineStr">
        <is>
          <t>Lavamanos Bragi redondo</t>
        </is>
      </c>
      <c r="C669" s="4" t="inlineStr">
        <is>
          <t>unidad</t>
        </is>
      </c>
      <c r="D669" s="10" t="n">
        <v>4072.97</v>
      </c>
      <c r="E669" s="10" t="n"/>
      <c r="F669" s="10" t="n"/>
      <c r="G669" s="10">
        <f>IF(COUNT(D669:F669)=0,"",MIN(D669:F669))</f>
        <v/>
      </c>
      <c r="H669" s="10">
        <f>IF(COUNT(D669:F669)=0,"",MEDIAN(D669:F669))</f>
        <v/>
      </c>
      <c r="I669" s="10">
        <f>IF(COUNT(D669:F669)=0,"",MAX(D669:F669))</f>
        <v/>
      </c>
      <c r="J669" s="11">
        <f>IF(OR(G669="",G669=0),"",(I669-G669)/G669)</f>
        <v/>
      </c>
      <c r="K669" s="4">
        <f>IF(COUNT(D669:F669)=0,"",INDEX($D$1:$F$1,MATCH(MIN(D669:F669),D669:F669,0)))</f>
        <v/>
      </c>
      <c r="L669" s="10" t="n">
        <v>4072.97</v>
      </c>
      <c r="M669" s="12" t="n">
        <v>1</v>
      </c>
    </row>
    <row r="670">
      <c r="A670" s="4" t="inlineStr">
        <is>
          <t>MAT-25-038</t>
        </is>
      </c>
      <c r="B670" s="5" t="inlineStr">
        <is>
          <t>Lavamanos Odin redondo</t>
        </is>
      </c>
      <c r="C670" s="4" t="inlineStr">
        <is>
          <t>unidad</t>
        </is>
      </c>
      <c r="D670" s="10" t="n">
        <v>4096.36</v>
      </c>
      <c r="E670" s="10" t="n"/>
      <c r="F670" s="10" t="n"/>
      <c r="G670" s="10">
        <f>IF(COUNT(D670:F670)=0,"",MIN(D670:F670))</f>
        <v/>
      </c>
      <c r="H670" s="10">
        <f>IF(COUNT(D670:F670)=0,"",MEDIAN(D670:F670))</f>
        <v/>
      </c>
      <c r="I670" s="10">
        <f>IF(COUNT(D670:F670)=0,"",MAX(D670:F670))</f>
        <v/>
      </c>
      <c r="J670" s="11">
        <f>IF(OR(G670="",G670=0),"",(I670-G670)/G670)</f>
        <v/>
      </c>
      <c r="K670" s="4">
        <f>IF(COUNT(D670:F670)=0,"",INDEX($D$1:$F$1,MATCH(MIN(D670:F670),D670:F670,0)))</f>
        <v/>
      </c>
      <c r="L670" s="10" t="n">
        <v>4096.36</v>
      </c>
      <c r="M670" s="12" t="n">
        <v>1</v>
      </c>
    </row>
    <row r="671">
      <c r="A671" s="4" t="inlineStr">
        <is>
          <t>MAT-25-039</t>
        </is>
      </c>
      <c r="B671" s="5" t="inlineStr">
        <is>
          <t>Lavamanos Sobreponer sin rebosadero Santorini, blanco</t>
        </is>
      </c>
      <c r="C671" s="4" t="inlineStr">
        <is>
          <t>unidad</t>
        </is>
      </c>
      <c r="D671" s="10" t="n">
        <v>4645.55</v>
      </c>
      <c r="E671" s="10" t="n"/>
      <c r="F671" s="10" t="n"/>
      <c r="G671" s="10">
        <f>IF(COUNT(D671:F671)=0,"",MIN(D671:F671))</f>
        <v/>
      </c>
      <c r="H671" s="10">
        <f>IF(COUNT(D671:F671)=0,"",MEDIAN(D671:F671))</f>
        <v/>
      </c>
      <c r="I671" s="10">
        <f>IF(COUNT(D671:F671)=0,"",MAX(D671:F671))</f>
        <v/>
      </c>
      <c r="J671" s="11">
        <f>IF(OR(G671="",G671=0),"",(I671-G671)/G671)</f>
        <v/>
      </c>
      <c r="K671" s="4">
        <f>IF(COUNT(D671:F671)=0,"",INDEX($D$1:$F$1,MATCH(MIN(D671:F671),D671:F671,0)))</f>
        <v/>
      </c>
      <c r="L671" s="10" t="n">
        <v>4645.55</v>
      </c>
      <c r="M671" s="12" t="n">
        <v>1</v>
      </c>
    </row>
    <row r="672">
      <c r="A672" s="4" t="inlineStr">
        <is>
          <t>MAT-25-040</t>
        </is>
      </c>
      <c r="B672" s="5" t="inlineStr">
        <is>
          <t>Lavamanos Sobreponer 1P Santorini, blanco</t>
        </is>
      </c>
      <c r="C672" s="4" t="inlineStr">
        <is>
          <t>unidad</t>
        </is>
      </c>
      <c r="D672" s="10" t="n">
        <v>4837.48</v>
      </c>
      <c r="E672" s="10" t="n"/>
      <c r="F672" s="10" t="n"/>
      <c r="G672" s="10">
        <f>IF(COUNT(D672:F672)=0,"",MIN(D672:F672))</f>
        <v/>
      </c>
      <c r="H672" s="10">
        <f>IF(COUNT(D672:F672)=0,"",MEDIAN(D672:F672))</f>
        <v/>
      </c>
      <c r="I672" s="10">
        <f>IF(COUNT(D672:F672)=0,"",MAX(D672:F672))</f>
        <v/>
      </c>
      <c r="J672" s="11">
        <f>IF(OR(G672="",G672=0),"",(I672-G672)/G672)</f>
        <v/>
      </c>
      <c r="K672" s="4">
        <f>IF(COUNT(D672:F672)=0,"",INDEX($D$1:$F$1,MATCH(MIN(D672:F672),D672:F672,0)))</f>
        <v/>
      </c>
      <c r="L672" s="10" t="n">
        <v>4837.48</v>
      </c>
      <c r="M672" s="12" t="n">
        <v>1</v>
      </c>
    </row>
    <row r="673">
      <c r="A673" s="4" t="inlineStr">
        <is>
          <t>MAT-25-041</t>
        </is>
      </c>
      <c r="B673" s="5" t="inlineStr">
        <is>
          <t>Lavamanos Frey Cuad., blanco</t>
        </is>
      </c>
      <c r="C673" s="4" t="inlineStr">
        <is>
          <t>unidad</t>
        </is>
      </c>
      <c r="D673" s="10" t="n">
        <v>4880.62</v>
      </c>
      <c r="E673" s="10" t="n"/>
      <c r="F673" s="10" t="n"/>
      <c r="G673" s="10">
        <f>IF(COUNT(D673:F673)=0,"",MIN(D673:F673))</f>
        <v/>
      </c>
      <c r="H673" s="10">
        <f>IF(COUNT(D673:F673)=0,"",MEDIAN(D673:F673))</f>
        <v/>
      </c>
      <c r="I673" s="10">
        <f>IF(COUNT(D673:F673)=0,"",MAX(D673:F673))</f>
        <v/>
      </c>
      <c r="J673" s="11">
        <f>IF(OR(G673="",G673=0),"",(I673-G673)/G673)</f>
        <v/>
      </c>
      <c r="K673" s="4">
        <f>IF(COUNT(D673:F673)=0,"",INDEX($D$1:$F$1,MATCH(MIN(D673:F673),D673:F673,0)))</f>
        <v/>
      </c>
      <c r="L673" s="10" t="n">
        <v>4880.62</v>
      </c>
      <c r="M673" s="12" t="n">
        <v>1</v>
      </c>
    </row>
    <row r="674">
      <c r="A674" s="4" t="inlineStr">
        <is>
          <t>MAT-25-042</t>
        </is>
      </c>
      <c r="B674" s="5" t="inlineStr">
        <is>
          <t>Lavamanos Artemis, blanco</t>
        </is>
      </c>
      <c r="C674" s="4" t="inlineStr">
        <is>
          <t>unidad</t>
        </is>
      </c>
      <c r="D674" s="10" t="n">
        <v>4912.67</v>
      </c>
      <c r="E674" s="10" t="n"/>
      <c r="F674" s="10" t="n"/>
      <c r="G674" s="10">
        <f>IF(COUNT(D674:F674)=0,"",MIN(D674:F674))</f>
        <v/>
      </c>
      <c r="H674" s="10">
        <f>IF(COUNT(D674:F674)=0,"",MEDIAN(D674:F674))</f>
        <v/>
      </c>
      <c r="I674" s="10">
        <f>IF(COUNT(D674:F674)=0,"",MAX(D674:F674))</f>
        <v/>
      </c>
      <c r="J674" s="11">
        <f>IF(OR(G674="",G674=0),"",(I674-G674)/G674)</f>
        <v/>
      </c>
      <c r="K674" s="4">
        <f>IF(COUNT(D674:F674)=0,"",INDEX($D$1:$F$1,MATCH(MIN(D674:F674),D674:F674,0)))</f>
        <v/>
      </c>
      <c r="L674" s="10" t="n">
        <v>4912.67</v>
      </c>
      <c r="M674" s="12" t="n">
        <v>1</v>
      </c>
    </row>
    <row r="675">
      <c r="A675" s="4" t="inlineStr">
        <is>
          <t>MAT-25-043</t>
        </is>
      </c>
      <c r="B675" s="5" t="inlineStr">
        <is>
          <t>Lavamanos Tuy 50 Blanco</t>
        </is>
      </c>
      <c r="C675" s="4" t="inlineStr">
        <is>
          <t>unidad</t>
        </is>
      </c>
      <c r="D675" s="10" t="n">
        <v>5360.96</v>
      </c>
      <c r="E675" s="10" t="n"/>
      <c r="F675" s="10" t="n"/>
      <c r="G675" s="10">
        <f>IF(COUNT(D675:F675)=0,"",MIN(D675:F675))</f>
        <v/>
      </c>
      <c r="H675" s="10">
        <f>IF(COUNT(D675:F675)=0,"",MEDIAN(D675:F675))</f>
        <v/>
      </c>
      <c r="I675" s="10">
        <f>IF(COUNT(D675:F675)=0,"",MAX(D675:F675))</f>
        <v/>
      </c>
      <c r="J675" s="11">
        <f>IF(OR(G675="",G675=0),"",(I675-G675)/G675)</f>
        <v/>
      </c>
      <c r="K675" s="4">
        <f>IF(COUNT(D675:F675)=0,"",INDEX($D$1:$F$1,MATCH(MIN(D675:F675),D675:F675,0)))</f>
        <v/>
      </c>
      <c r="L675" s="10" t="n">
        <v>5360.96</v>
      </c>
      <c r="M675" s="12" t="n">
        <v>1</v>
      </c>
    </row>
    <row r="676">
      <c r="A676" s="4" t="inlineStr">
        <is>
          <t>MAT-25-044</t>
        </is>
      </c>
      <c r="B676" s="5" t="inlineStr">
        <is>
          <t>Lavamanos Delos, negro</t>
        </is>
      </c>
      <c r="C676" s="4" t="inlineStr">
        <is>
          <t>unidad</t>
        </is>
      </c>
      <c r="D676" s="10" t="n">
        <v>5418.52</v>
      </c>
      <c r="E676" s="10" t="n"/>
      <c r="F676" s="10" t="n"/>
      <c r="G676" s="10">
        <f>IF(COUNT(D676:F676)=0,"",MIN(D676:F676))</f>
        <v/>
      </c>
      <c r="H676" s="10">
        <f>IF(COUNT(D676:F676)=0,"",MEDIAN(D676:F676))</f>
        <v/>
      </c>
      <c r="I676" s="10">
        <f>IF(COUNT(D676:F676)=0,"",MAX(D676:F676))</f>
        <v/>
      </c>
      <c r="J676" s="11">
        <f>IF(OR(G676="",G676=0),"",(I676-G676)/G676)</f>
        <v/>
      </c>
      <c r="K676" s="4">
        <f>IF(COUNT(D676:F676)=0,"",INDEX($D$1:$F$1,MATCH(MIN(D676:F676),D676:F676,0)))</f>
        <v/>
      </c>
      <c r="L676" s="10" t="n">
        <v>5418.52</v>
      </c>
      <c r="M676" s="12" t="n">
        <v>1</v>
      </c>
    </row>
    <row r="677">
      <c r="A677" s="4" t="inlineStr">
        <is>
          <t>MAT-25-045</t>
        </is>
      </c>
      <c r="B677" s="5" t="inlineStr">
        <is>
          <t>Lavamanos Sobreponer sin rebosadero Moreab, blanco</t>
        </is>
      </c>
      <c r="C677" s="4" t="inlineStr">
        <is>
          <t>unidad</t>
        </is>
      </c>
      <c r="D677" s="10" t="n">
        <v>5533.86</v>
      </c>
      <c r="E677" s="10" t="n"/>
      <c r="F677" s="10" t="n"/>
      <c r="G677" s="10">
        <f>IF(COUNT(D677:F677)=0,"",MIN(D677:F677))</f>
        <v/>
      </c>
      <c r="H677" s="10">
        <f>IF(COUNT(D677:F677)=0,"",MEDIAN(D677:F677))</f>
        <v/>
      </c>
      <c r="I677" s="10">
        <f>IF(COUNT(D677:F677)=0,"",MAX(D677:F677))</f>
        <v/>
      </c>
      <c r="J677" s="11">
        <f>IF(OR(G677="",G677=0),"",(I677-G677)/G677)</f>
        <v/>
      </c>
      <c r="K677" s="4">
        <f>IF(COUNT(D677:F677)=0,"",INDEX($D$1:$F$1,MATCH(MIN(D677:F677),D677:F677,0)))</f>
        <v/>
      </c>
      <c r="L677" s="10" t="n">
        <v>5533.86</v>
      </c>
      <c r="M677" s="12" t="n">
        <v>1</v>
      </c>
    </row>
    <row r="678">
      <c r="A678" s="4" t="inlineStr">
        <is>
          <t>MAT-25-046</t>
        </is>
      </c>
      <c r="B678" s="5" t="inlineStr">
        <is>
          <t>Lavamanos Isis 41 x 41, blanco</t>
        </is>
      </c>
      <c r="C678" s="4" t="inlineStr">
        <is>
          <t>unidad</t>
        </is>
      </c>
      <c r="D678" s="10" t="n">
        <v>5578.97</v>
      </c>
      <c r="E678" s="10" t="n"/>
      <c r="F678" s="10" t="n"/>
      <c r="G678" s="10">
        <f>IF(COUNT(D678:F678)=0,"",MIN(D678:F678))</f>
        <v/>
      </c>
      <c r="H678" s="10">
        <f>IF(COUNT(D678:F678)=0,"",MEDIAN(D678:F678))</f>
        <v/>
      </c>
      <c r="I678" s="10">
        <f>IF(COUNT(D678:F678)=0,"",MAX(D678:F678))</f>
        <v/>
      </c>
      <c r="J678" s="11">
        <f>IF(OR(G678="",G678=0),"",(I678-G678)/G678)</f>
        <v/>
      </c>
      <c r="K678" s="4">
        <f>IF(COUNT(D678:F678)=0,"",INDEX($D$1:$F$1,MATCH(MIN(D678:F678),D678:F678,0)))</f>
        <v/>
      </c>
      <c r="L678" s="10" t="n">
        <v>5578.97</v>
      </c>
      <c r="M678" s="12" t="n">
        <v>1</v>
      </c>
    </row>
    <row r="679">
      <c r="A679" s="4" t="inlineStr">
        <is>
          <t>MAT-25-047</t>
        </is>
      </c>
      <c r="B679" s="5" t="inlineStr">
        <is>
          <t>Lavamanos Tuy 60 Ceramico</t>
        </is>
      </c>
      <c r="C679" s="4" t="inlineStr">
        <is>
          <t>unidad</t>
        </is>
      </c>
      <c r="D679" s="10" t="n">
        <v>5627.72</v>
      </c>
      <c r="E679" s="10" t="n"/>
      <c r="F679" s="10" t="n"/>
      <c r="G679" s="10">
        <f>IF(COUNT(D679:F679)=0,"",MIN(D679:F679))</f>
        <v/>
      </c>
      <c r="H679" s="10">
        <f>IF(COUNT(D679:F679)=0,"",MEDIAN(D679:F679))</f>
        <v/>
      </c>
      <c r="I679" s="10">
        <f>IF(COUNT(D679:F679)=0,"",MAX(D679:F679))</f>
        <v/>
      </c>
      <c r="J679" s="11">
        <f>IF(OR(G679="",G679=0),"",(I679-G679)/G679)</f>
        <v/>
      </c>
      <c r="K679" s="4">
        <f>IF(COUNT(D679:F679)=0,"",INDEX($D$1:$F$1,MATCH(MIN(D679:F679),D679:F679,0)))</f>
        <v/>
      </c>
      <c r="L679" s="10" t="n">
        <v>5627.72</v>
      </c>
      <c r="M679" s="12" t="n">
        <v>1</v>
      </c>
    </row>
    <row r="680">
      <c r="A680" s="4" t="inlineStr">
        <is>
          <t>MAT-25-048</t>
        </is>
      </c>
      <c r="B680" s="5" t="inlineStr">
        <is>
          <t>Lavamanos Roubd Mini, blanco</t>
        </is>
      </c>
      <c r="C680" s="4" t="inlineStr">
        <is>
          <t>unidad</t>
        </is>
      </c>
      <c r="D680" s="10" t="n">
        <v>5761</v>
      </c>
      <c r="E680" s="10" t="n"/>
      <c r="F680" s="10" t="n"/>
      <c r="G680" s="10">
        <f>IF(COUNT(D680:F680)=0,"",MIN(D680:F680))</f>
        <v/>
      </c>
      <c r="H680" s="10">
        <f>IF(COUNT(D680:F680)=0,"",MEDIAN(D680:F680))</f>
        <v/>
      </c>
      <c r="I680" s="10">
        <f>IF(COUNT(D680:F680)=0,"",MAX(D680:F680))</f>
        <v/>
      </c>
      <c r="J680" s="11">
        <f>IF(OR(G680="",G680=0),"",(I680-G680)/G680)</f>
        <v/>
      </c>
      <c r="K680" s="4">
        <f>IF(COUNT(D680:F680)=0,"",INDEX($D$1:$F$1,MATCH(MIN(D680:F680),D680:F680,0)))</f>
        <v/>
      </c>
      <c r="L680" s="10" t="n">
        <v>5761</v>
      </c>
      <c r="M680" s="12" t="n">
        <v>1</v>
      </c>
    </row>
    <row r="681">
      <c r="A681" s="4" t="inlineStr">
        <is>
          <t>MAT-25-049</t>
        </is>
      </c>
      <c r="B681" s="5" t="inlineStr">
        <is>
          <t>Lavamanos Sobreponer 1P Moreab, blanco</t>
        </is>
      </c>
      <c r="C681" s="4" t="inlineStr">
        <is>
          <t>unidad</t>
        </is>
      </c>
      <c r="D681" s="10" t="n">
        <v>5971.47</v>
      </c>
      <c r="E681" s="10" t="n"/>
      <c r="F681" s="10" t="n"/>
      <c r="G681" s="10">
        <f>IF(COUNT(D681:F681)=0,"",MIN(D681:F681))</f>
        <v/>
      </c>
      <c r="H681" s="10">
        <f>IF(COUNT(D681:F681)=0,"",MEDIAN(D681:F681))</f>
        <v/>
      </c>
      <c r="I681" s="10">
        <f>IF(COUNT(D681:F681)=0,"",MAX(D681:F681))</f>
        <v/>
      </c>
      <c r="J681" s="11">
        <f>IF(OR(G681="",G681=0),"",(I681-G681)/G681)</f>
        <v/>
      </c>
      <c r="K681" s="4">
        <f>IF(COUNT(D681:F681)=0,"",INDEX($D$1:$F$1,MATCH(MIN(D681:F681),D681:F681,0)))</f>
        <v/>
      </c>
      <c r="L681" s="10" t="n">
        <v>5971.47</v>
      </c>
      <c r="M681" s="12" t="n">
        <v>1</v>
      </c>
    </row>
    <row r="682">
      <c r="A682" s="4" t="inlineStr">
        <is>
          <t>MAT-25-050</t>
        </is>
      </c>
      <c r="B682" s="5" t="inlineStr">
        <is>
          <t>Lavamanos Atenea, blanco</t>
        </is>
      </c>
      <c r="C682" s="4" t="inlineStr">
        <is>
          <t>unidad</t>
        </is>
      </c>
      <c r="D682" s="10" t="n">
        <v>6135.36</v>
      </c>
      <c r="E682" s="10" t="n"/>
      <c r="F682" s="10" t="n"/>
      <c r="G682" s="10">
        <f>IF(COUNT(D682:F682)=0,"",MIN(D682:F682))</f>
        <v/>
      </c>
      <c r="H682" s="10">
        <f>IF(COUNT(D682:F682)=0,"",MEDIAN(D682:F682))</f>
        <v/>
      </c>
      <c r="I682" s="10">
        <f>IF(COUNT(D682:F682)=0,"",MAX(D682:F682))</f>
        <v/>
      </c>
      <c r="J682" s="11">
        <f>IF(OR(G682="",G682=0),"",(I682-G682)/G682)</f>
        <v/>
      </c>
      <c r="K682" s="4">
        <f>IF(COUNT(D682:F682)=0,"",INDEX($D$1:$F$1,MATCH(MIN(D682:F682),D682:F682,0)))</f>
        <v/>
      </c>
      <c r="L682" s="10" t="n">
        <v>6135.36</v>
      </c>
      <c r="M682" s="12" t="n">
        <v>1</v>
      </c>
    </row>
    <row r="683">
      <c r="A683" s="4" t="inlineStr">
        <is>
          <t>MAT-25-051</t>
        </is>
      </c>
      <c r="B683" s="5" t="inlineStr">
        <is>
          <t>Lavamanos Sobrecu Elipsis, blanco</t>
        </is>
      </c>
      <c r="C683" s="4" t="inlineStr">
        <is>
          <t>unidad</t>
        </is>
      </c>
      <c r="D683" s="10" t="n">
        <v>6202.55</v>
      </c>
      <c r="E683" s="10" t="n"/>
      <c r="F683" s="10" t="n"/>
      <c r="G683" s="10">
        <f>IF(COUNT(D683:F683)=0,"",MIN(D683:F683))</f>
        <v/>
      </c>
      <c r="H683" s="10">
        <f>IF(COUNT(D683:F683)=0,"",MEDIAN(D683:F683))</f>
        <v/>
      </c>
      <c r="I683" s="10">
        <f>IF(COUNT(D683:F683)=0,"",MAX(D683:F683))</f>
        <v/>
      </c>
      <c r="J683" s="11">
        <f>IF(OR(G683="",G683=0),"",(I683-G683)/G683)</f>
        <v/>
      </c>
      <c r="K683" s="4">
        <f>IF(COUNT(D683:F683)=0,"",INDEX($D$1:$F$1,MATCH(MIN(D683:F683),D683:F683,0)))</f>
        <v/>
      </c>
      <c r="L683" s="10" t="n">
        <v>6202.55</v>
      </c>
      <c r="M683" s="12" t="n">
        <v>1</v>
      </c>
    </row>
    <row r="684">
      <c r="A684" s="4" t="inlineStr">
        <is>
          <t>MAT-25-052</t>
        </is>
      </c>
      <c r="B684" s="5" t="inlineStr">
        <is>
          <t>Lavamanos Cloe, negro</t>
        </is>
      </c>
      <c r="C684" s="4" t="inlineStr">
        <is>
          <t>unidad</t>
        </is>
      </c>
      <c r="D684" s="10" t="n">
        <v>6280.34</v>
      </c>
      <c r="E684" s="10" t="n"/>
      <c r="F684" s="10" t="n"/>
      <c r="G684" s="10">
        <f>IF(COUNT(D684:F684)=0,"",MIN(D684:F684))</f>
        <v/>
      </c>
      <c r="H684" s="10">
        <f>IF(COUNT(D684:F684)=0,"",MEDIAN(D684:F684))</f>
        <v/>
      </c>
      <c r="I684" s="10">
        <f>IF(COUNT(D684:F684)=0,"",MAX(D684:F684))</f>
        <v/>
      </c>
      <c r="J684" s="11">
        <f>IF(OR(G684="",G684=0),"",(I684-G684)/G684)</f>
        <v/>
      </c>
      <c r="K684" s="4">
        <f>IF(COUNT(D684:F684)=0,"",INDEX($D$1:$F$1,MATCH(MIN(D684:F684),D684:F684,0)))</f>
        <v/>
      </c>
      <c r="L684" s="10" t="n">
        <v>6280.34</v>
      </c>
      <c r="M684" s="12" t="n">
        <v>1</v>
      </c>
    </row>
    <row r="685">
      <c r="A685" s="4" t="inlineStr">
        <is>
          <t>MAT-25-053</t>
        </is>
      </c>
      <c r="B685" s="5" t="inlineStr">
        <is>
          <t>Lavamanos Aure, blanco</t>
        </is>
      </c>
      <c r="C685" s="4" t="inlineStr">
        <is>
          <t>unidad</t>
        </is>
      </c>
      <c r="D685" s="10" t="n">
        <v>6285.52</v>
      </c>
      <c r="E685" s="10" t="n"/>
      <c r="F685" s="10" t="n"/>
      <c r="G685" s="10">
        <f>IF(COUNT(D685:F685)=0,"",MIN(D685:F685))</f>
        <v/>
      </c>
      <c r="H685" s="10">
        <f>IF(COUNT(D685:F685)=0,"",MEDIAN(D685:F685))</f>
        <v/>
      </c>
      <c r="I685" s="10">
        <f>IF(COUNT(D685:F685)=0,"",MAX(D685:F685))</f>
        <v/>
      </c>
      <c r="J685" s="11">
        <f>IF(OR(G685="",G685=0),"",(I685-G685)/G685)</f>
        <v/>
      </c>
      <c r="K685" s="4">
        <f>IF(COUNT(D685:F685)=0,"",INDEX($D$1:$F$1,MATCH(MIN(D685:F685),D685:F685,0)))</f>
        <v/>
      </c>
      <c r="L685" s="10" t="n">
        <v>6285.52</v>
      </c>
      <c r="M685" s="12" t="n">
        <v>1</v>
      </c>
    </row>
    <row r="686">
      <c r="A686" s="4" t="inlineStr">
        <is>
          <t>MAT-25-054</t>
        </is>
      </c>
      <c r="B686" s="5" t="inlineStr">
        <is>
          <t>Lavamanos Grande Bajo Cub con rebosadero, blanco</t>
        </is>
      </c>
      <c r="C686" s="4" t="inlineStr">
        <is>
          <t>unidad</t>
        </is>
      </c>
      <c r="D686" s="10" t="n">
        <v>6325.24</v>
      </c>
      <c r="E686" s="10" t="n"/>
      <c r="F686" s="10" t="n"/>
      <c r="G686" s="10">
        <f>IF(COUNT(D686:F686)=0,"",MIN(D686:F686))</f>
        <v/>
      </c>
      <c r="H686" s="10">
        <f>IF(COUNT(D686:F686)=0,"",MEDIAN(D686:F686))</f>
        <v/>
      </c>
      <c r="I686" s="10">
        <f>IF(COUNT(D686:F686)=0,"",MAX(D686:F686))</f>
        <v/>
      </c>
      <c r="J686" s="11">
        <f>IF(OR(G686="",G686=0),"",(I686-G686)/G686)</f>
        <v/>
      </c>
      <c r="K686" s="4">
        <f>IF(COUNT(D686:F686)=0,"",INDEX($D$1:$F$1,MATCH(MIN(D686:F686),D686:F686,0)))</f>
        <v/>
      </c>
      <c r="L686" s="10" t="n">
        <v>6325.24</v>
      </c>
      <c r="M686" s="12" t="n">
        <v>1</v>
      </c>
    </row>
    <row r="687">
      <c r="A687" s="4" t="inlineStr">
        <is>
          <t>MAT-25-055</t>
        </is>
      </c>
      <c r="B687" s="5" t="inlineStr">
        <is>
          <t>Lavamanos Tuy 80 Ceramico</t>
        </is>
      </c>
      <c r="C687" s="4" t="inlineStr">
        <is>
          <t>unidad</t>
        </is>
      </c>
      <c r="D687" s="10" t="n">
        <v>7188.43</v>
      </c>
      <c r="E687" s="10" t="n"/>
      <c r="F687" s="10" t="n"/>
      <c r="G687" s="10">
        <f>IF(COUNT(D687:F687)=0,"",MIN(D687:F687))</f>
        <v/>
      </c>
      <c r="H687" s="10">
        <f>IF(COUNT(D687:F687)=0,"",MEDIAN(D687:F687))</f>
        <v/>
      </c>
      <c r="I687" s="10">
        <f>IF(COUNT(D687:F687)=0,"",MAX(D687:F687))</f>
        <v/>
      </c>
      <c r="J687" s="11">
        <f>IF(OR(G687="",G687=0),"",(I687-G687)/G687)</f>
        <v/>
      </c>
      <c r="K687" s="4">
        <f>IF(COUNT(D687:F687)=0,"",INDEX($D$1:$F$1,MATCH(MIN(D687:F687),D687:F687,0)))</f>
        <v/>
      </c>
      <c r="L687" s="10" t="n">
        <v>7188.43</v>
      </c>
      <c r="M687" s="12" t="n">
        <v>1</v>
      </c>
    </row>
    <row r="688">
      <c r="A688" s="4" t="inlineStr">
        <is>
          <t>MAT-25-056</t>
        </is>
      </c>
      <c r="B688" s="5" t="inlineStr">
        <is>
          <t>Lavamanos Clio, negro</t>
        </is>
      </c>
      <c r="C688" s="4" t="inlineStr">
        <is>
          <t>unidad</t>
        </is>
      </c>
      <c r="D688" s="10" t="n">
        <v>7649.83</v>
      </c>
      <c r="E688" s="10" t="n"/>
      <c r="F688" s="10" t="n"/>
      <c r="G688" s="10">
        <f>IF(COUNT(D688:F688)=0,"",MIN(D688:F688))</f>
        <v/>
      </c>
      <c r="H688" s="10">
        <f>IF(COUNT(D688:F688)=0,"",MEDIAN(D688:F688))</f>
        <v/>
      </c>
      <c r="I688" s="10">
        <f>IF(COUNT(D688:F688)=0,"",MAX(D688:F688))</f>
        <v/>
      </c>
      <c r="J688" s="11">
        <f>IF(OR(G688="",G688=0),"",(I688-G688)/G688)</f>
        <v/>
      </c>
      <c r="K688" s="4">
        <f>IF(COUNT(D688:F688)=0,"",INDEX($D$1:$F$1,MATCH(MIN(D688:F688),D688:F688,0)))</f>
        <v/>
      </c>
      <c r="L688" s="10" t="n">
        <v>7649.83</v>
      </c>
      <c r="M688" s="12" t="n">
        <v>1</v>
      </c>
    </row>
    <row r="689">
      <c r="A689" s="4" t="inlineStr">
        <is>
          <t>MAT-25-057</t>
        </is>
      </c>
      <c r="B689" s="5" t="inlineStr">
        <is>
          <t>Lavamanos Cibeles</t>
        </is>
      </c>
      <c r="C689" s="4" t="inlineStr">
        <is>
          <t>unidad</t>
        </is>
      </c>
      <c r="D689" s="10" t="n">
        <v>7782.01</v>
      </c>
      <c r="E689" s="10" t="n"/>
      <c r="F689" s="10" t="n"/>
      <c r="G689" s="10">
        <f>IF(COUNT(D689:F689)=0,"",MIN(D689:F689))</f>
        <v/>
      </c>
      <c r="H689" s="10">
        <f>IF(COUNT(D689:F689)=0,"",MEDIAN(D689:F689))</f>
        <v/>
      </c>
      <c r="I689" s="10">
        <f>IF(COUNT(D689:F689)=0,"",MAX(D689:F689))</f>
        <v/>
      </c>
      <c r="J689" s="11">
        <f>IF(OR(G689="",G689=0),"",(I689-G689)/G689)</f>
        <v/>
      </c>
      <c r="K689" s="4">
        <f>IF(COUNT(D689:F689)=0,"",INDEX($D$1:$F$1,MATCH(MIN(D689:F689),D689:F689,0)))</f>
        <v/>
      </c>
      <c r="L689" s="10" t="n">
        <v>7782.01</v>
      </c>
      <c r="M689" s="12" t="n">
        <v>1</v>
      </c>
    </row>
    <row r="690">
      <c r="A690" s="4" t="inlineStr">
        <is>
          <t>MAT-25-058</t>
        </is>
      </c>
      <c r="B690" s="5" t="inlineStr">
        <is>
          <t>Lavamanos Marte 85 Ceramico</t>
        </is>
      </c>
      <c r="C690" s="4" t="inlineStr">
        <is>
          <t>unidad</t>
        </is>
      </c>
      <c r="D690" s="10" t="n">
        <v>8191.83</v>
      </c>
      <c r="E690" s="10" t="n"/>
      <c r="F690" s="10" t="n"/>
      <c r="G690" s="10">
        <f>IF(COUNT(D690:F690)=0,"",MIN(D690:F690))</f>
        <v/>
      </c>
      <c r="H690" s="10">
        <f>IF(COUNT(D690:F690)=0,"",MEDIAN(D690:F690))</f>
        <v/>
      </c>
      <c r="I690" s="10">
        <f>IF(COUNT(D690:F690)=0,"",MAX(D690:F690))</f>
        <v/>
      </c>
      <c r="J690" s="11">
        <f>IF(OR(G690="",G690=0),"",(I690-G690)/G690)</f>
        <v/>
      </c>
      <c r="K690" s="4">
        <f>IF(COUNT(D690:F690)=0,"",INDEX($D$1:$F$1,MATCH(MIN(D690:F690),D690:F690,0)))</f>
        <v/>
      </c>
      <c r="L690" s="10" t="n">
        <v>8191.83</v>
      </c>
      <c r="M690" s="12" t="n">
        <v>1</v>
      </c>
    </row>
    <row r="691">
      <c r="A691" s="4" t="inlineStr">
        <is>
          <t>MAT-25-059</t>
        </is>
      </c>
      <c r="B691" s="5" t="inlineStr">
        <is>
          <t>Lavamanos Fly 45 Cm</t>
        </is>
      </c>
      <c r="C691" s="4" t="inlineStr">
        <is>
          <t>unidad</t>
        </is>
      </c>
      <c r="D691" s="10" t="n">
        <v>8612.950000000001</v>
      </c>
      <c r="E691" s="10" t="n"/>
      <c r="F691" s="10" t="n"/>
      <c r="G691" s="10">
        <f>IF(COUNT(D691:F691)=0,"",MIN(D691:F691))</f>
        <v/>
      </c>
      <c r="H691" s="10">
        <f>IF(COUNT(D691:F691)=0,"",MEDIAN(D691:F691))</f>
        <v/>
      </c>
      <c r="I691" s="10">
        <f>IF(COUNT(D691:F691)=0,"",MAX(D691:F691))</f>
        <v/>
      </c>
      <c r="J691" s="11">
        <f>IF(OR(G691="",G691=0),"",(I691-G691)/G691)</f>
        <v/>
      </c>
      <c r="K691" s="4">
        <f>IF(COUNT(D691:F691)=0,"",INDEX($D$1:$F$1,MATCH(MIN(D691:F691),D691:F691,0)))</f>
        <v/>
      </c>
      <c r="L691" s="10" t="n">
        <v>8612.950000000001</v>
      </c>
      <c r="M691" s="12" t="n">
        <v>1</v>
      </c>
    </row>
    <row r="692">
      <c r="A692" s="4" t="inlineStr">
        <is>
          <t>MAT-25-060</t>
        </is>
      </c>
      <c r="B692" s="5" t="inlineStr">
        <is>
          <t>Lavamanos Sobrecubierta Marcus, blanco</t>
        </is>
      </c>
      <c r="C692" s="4" t="inlineStr">
        <is>
          <t>unidad</t>
        </is>
      </c>
      <c r="D692" s="10" t="n">
        <v>8893.91</v>
      </c>
      <c r="E692" s="10" t="n"/>
      <c r="F692" s="10" t="n"/>
      <c r="G692" s="10">
        <f>IF(COUNT(D692:F692)=0,"",MIN(D692:F692))</f>
        <v/>
      </c>
      <c r="H692" s="10">
        <f>IF(COUNT(D692:F692)=0,"",MEDIAN(D692:F692))</f>
        <v/>
      </c>
      <c r="I692" s="10">
        <f>IF(COUNT(D692:F692)=0,"",MAX(D692:F692))</f>
        <v/>
      </c>
      <c r="J692" s="11">
        <f>IF(OR(G692="",G692=0),"",(I692-G692)/G692)</f>
        <v/>
      </c>
      <c r="K692" s="4">
        <f>IF(COUNT(D692:F692)=0,"",INDEX($D$1:$F$1,MATCH(MIN(D692:F692),D692:F692,0)))</f>
        <v/>
      </c>
      <c r="L692" s="10" t="n">
        <v>8893.91</v>
      </c>
      <c r="M692" s="12" t="n">
        <v>1</v>
      </c>
    </row>
    <row r="693">
      <c r="A693" s="4" t="inlineStr">
        <is>
          <t>MAT-25-061</t>
        </is>
      </c>
      <c r="B693" s="5" t="inlineStr">
        <is>
          <t>Lavamanos Clap Sobreponer, blanco</t>
        </is>
      </c>
      <c r="C693" s="4" t="inlineStr">
        <is>
          <t>unidad</t>
        </is>
      </c>
      <c r="D693" s="10" t="n">
        <v>8964.65</v>
      </c>
      <c r="E693" s="10" t="n"/>
      <c r="F693" s="10" t="n"/>
      <c r="G693" s="10">
        <f>IF(COUNT(D693:F693)=0,"",MIN(D693:F693))</f>
        <v/>
      </c>
      <c r="H693" s="10">
        <f>IF(COUNT(D693:F693)=0,"",MEDIAN(D693:F693))</f>
        <v/>
      </c>
      <c r="I693" s="10">
        <f>IF(COUNT(D693:F693)=0,"",MAX(D693:F693))</f>
        <v/>
      </c>
      <c r="J693" s="11">
        <f>IF(OR(G693="",G693=0),"",(I693-G693)/G693)</f>
        <v/>
      </c>
      <c r="K693" s="4">
        <f>IF(COUNT(D693:F693)=0,"",INDEX($D$1:$F$1,MATCH(MIN(D693:F693),D693:F693,0)))</f>
        <v/>
      </c>
      <c r="L693" s="10" t="n">
        <v>8964.65</v>
      </c>
      <c r="M693" s="12" t="n">
        <v>1</v>
      </c>
    </row>
    <row r="694">
      <c r="A694" s="4" t="inlineStr">
        <is>
          <t>MAT-25-062</t>
        </is>
      </c>
      <c r="B694" s="5" t="inlineStr">
        <is>
          <t>Lavamanos De Sobreponer Lucerna con R 3P, blanco</t>
        </is>
      </c>
      <c r="C694" s="4" t="inlineStr">
        <is>
          <t>unidad</t>
        </is>
      </c>
      <c r="D694" s="10" t="n">
        <v>9362.620000000001</v>
      </c>
      <c r="E694" s="10" t="n"/>
      <c r="F694" s="10" t="n"/>
      <c r="G694" s="10">
        <f>IF(COUNT(D694:F694)=0,"",MIN(D694:F694))</f>
        <v/>
      </c>
      <c r="H694" s="10">
        <f>IF(COUNT(D694:F694)=0,"",MEDIAN(D694:F694))</f>
        <v/>
      </c>
      <c r="I694" s="10">
        <f>IF(COUNT(D694:F694)=0,"",MAX(D694:F694))</f>
        <v/>
      </c>
      <c r="J694" s="11">
        <f>IF(OR(G694="",G694=0),"",(I694-G694)/G694)</f>
        <v/>
      </c>
      <c r="K694" s="4">
        <f>IF(COUNT(D694:F694)=0,"",INDEX($D$1:$F$1,MATCH(MIN(D694:F694),D694:F694,0)))</f>
        <v/>
      </c>
      <c r="L694" s="10" t="n">
        <v>9362.620000000001</v>
      </c>
      <c r="M694" s="12" t="n">
        <v>1</v>
      </c>
    </row>
    <row r="695">
      <c r="A695" s="4" t="inlineStr">
        <is>
          <t>MAT-25-063</t>
        </is>
      </c>
      <c r="B695" s="5" t="inlineStr">
        <is>
          <t>Lavamanos Trazzo Sobreponer, blanco</t>
        </is>
      </c>
      <c r="C695" s="4" t="inlineStr">
        <is>
          <t>unidad</t>
        </is>
      </c>
      <c r="D695" s="10" t="n">
        <v>10519.02</v>
      </c>
      <c r="E695" s="10" t="n"/>
      <c r="F695" s="10" t="n"/>
      <c r="G695" s="10">
        <f>IF(COUNT(D695:F695)=0,"",MIN(D695:F695))</f>
        <v/>
      </c>
      <c r="H695" s="10">
        <f>IF(COUNT(D695:F695)=0,"",MEDIAN(D695:F695))</f>
        <v/>
      </c>
      <c r="I695" s="10">
        <f>IF(COUNT(D695:F695)=0,"",MAX(D695:F695))</f>
        <v/>
      </c>
      <c r="J695" s="11">
        <f>IF(OR(G695="",G695=0),"",(I695-G695)/G695)</f>
        <v/>
      </c>
      <c r="K695" s="4">
        <f>IF(COUNT(D695:F695)=0,"",INDEX($D$1:$F$1,MATCH(MIN(D695:F695),D695:F695,0)))</f>
        <v/>
      </c>
      <c r="L695" s="10" t="n">
        <v>10519.02</v>
      </c>
      <c r="M695" s="12" t="n">
        <v>1</v>
      </c>
    </row>
    <row r="696">
      <c r="A696" s="4" t="inlineStr">
        <is>
          <t>MAT-25-064</t>
        </is>
      </c>
      <c r="B696" s="5" t="inlineStr">
        <is>
          <t>Lavamanos Go 81 x 46 x 17 Negro Mate</t>
        </is>
      </c>
      <c r="C696" s="4" t="inlineStr">
        <is>
          <t>unidad</t>
        </is>
      </c>
      <c r="D696" s="10" t="n">
        <v>10789.05</v>
      </c>
      <c r="E696" s="10" t="n"/>
      <c r="F696" s="10" t="n"/>
      <c r="G696" s="10">
        <f>IF(COUNT(D696:F696)=0,"",MIN(D696:F696))</f>
        <v/>
      </c>
      <c r="H696" s="10">
        <f>IF(COUNT(D696:F696)=0,"",MEDIAN(D696:F696))</f>
        <v/>
      </c>
      <c r="I696" s="10">
        <f>IF(COUNT(D696:F696)=0,"",MAX(D696:F696))</f>
        <v/>
      </c>
      <c r="J696" s="11">
        <f>IF(OR(G696="",G696=0),"",(I696-G696)/G696)</f>
        <v/>
      </c>
      <c r="K696" s="4">
        <f>IF(COUNT(D696:F696)=0,"",INDEX($D$1:$F$1,MATCH(MIN(D696:F696),D696:F696,0)))</f>
        <v/>
      </c>
      <c r="L696" s="10" t="n">
        <v>10789.05</v>
      </c>
      <c r="M696" s="12" t="n">
        <v>1</v>
      </c>
    </row>
    <row r="697">
      <c r="A697" s="4" t="inlineStr">
        <is>
          <t>MAT-25-065</t>
        </is>
      </c>
      <c r="B697" s="5" t="inlineStr">
        <is>
          <t>Lavamanos Trazzo Sobreponer, marfil</t>
        </is>
      </c>
      <c r="C697" s="4" t="inlineStr">
        <is>
          <t>unidad</t>
        </is>
      </c>
      <c r="D697" s="10" t="n">
        <v>10865.44</v>
      </c>
      <c r="E697" s="10" t="n"/>
      <c r="F697" s="10" t="n"/>
      <c r="G697" s="10">
        <f>IF(COUNT(D697:F697)=0,"",MIN(D697:F697))</f>
        <v/>
      </c>
      <c r="H697" s="10">
        <f>IF(COUNT(D697:F697)=0,"",MEDIAN(D697:F697))</f>
        <v/>
      </c>
      <c r="I697" s="10">
        <f>IF(COUNT(D697:F697)=0,"",MAX(D697:F697))</f>
        <v/>
      </c>
      <c r="J697" s="11">
        <f>IF(OR(G697="",G697=0),"",(I697-G697)/G697)</f>
        <v/>
      </c>
      <c r="K697" s="4">
        <f>IF(COUNT(D697:F697)=0,"",INDEX($D$1:$F$1,MATCH(MIN(D697:F697),D697:F697,0)))</f>
        <v/>
      </c>
      <c r="L697" s="10" t="n">
        <v>10865.44</v>
      </c>
      <c r="M697" s="12" t="n">
        <v>1</v>
      </c>
    </row>
    <row r="698">
      <c r="A698" s="4" t="inlineStr">
        <is>
          <t>MAT-25-066</t>
        </is>
      </c>
      <c r="B698" s="5" t="inlineStr">
        <is>
          <t>Lavamanos Cassini Sobreponer, blanco</t>
        </is>
      </c>
      <c r="C698" s="4" t="inlineStr">
        <is>
          <t>unidad</t>
        </is>
      </c>
      <c r="D698" s="10" t="n">
        <v>11061.07</v>
      </c>
      <c r="E698" s="10" t="n"/>
      <c r="F698" s="10" t="n"/>
      <c r="G698" s="10">
        <f>IF(COUNT(D698:F698)=0,"",MIN(D698:F698))</f>
        <v/>
      </c>
      <c r="H698" s="10">
        <f>IF(COUNT(D698:F698)=0,"",MEDIAN(D698:F698))</f>
        <v/>
      </c>
      <c r="I698" s="10">
        <f>IF(COUNT(D698:F698)=0,"",MAX(D698:F698))</f>
        <v/>
      </c>
      <c r="J698" s="11">
        <f>IF(OR(G698="",G698=0),"",(I698-G698)/G698)</f>
        <v/>
      </c>
      <c r="K698" s="4">
        <f>IF(COUNT(D698:F698)=0,"",INDEX($D$1:$F$1,MATCH(MIN(D698:F698),D698:F698,0)))</f>
        <v/>
      </c>
      <c r="L698" s="10" t="n">
        <v>11061.07</v>
      </c>
      <c r="M698" s="12" t="n">
        <v>1</v>
      </c>
    </row>
    <row r="699">
      <c r="A699" s="4" t="inlineStr">
        <is>
          <t>MAT-25-067</t>
        </is>
      </c>
      <c r="B699" s="5" t="inlineStr">
        <is>
          <t>Lavamanos Cassini Sobreponer, marfil</t>
        </is>
      </c>
      <c r="C699" s="4" t="inlineStr">
        <is>
          <t>unidad</t>
        </is>
      </c>
      <c r="D699" s="10" t="n">
        <v>11790.9</v>
      </c>
      <c r="E699" s="10" t="n"/>
      <c r="F699" s="10" t="n"/>
      <c r="G699" s="10">
        <f>IF(COUNT(D699:F699)=0,"",MIN(D699:F699))</f>
        <v/>
      </c>
      <c r="H699" s="10">
        <f>IF(COUNT(D699:F699)=0,"",MEDIAN(D699:F699))</f>
        <v/>
      </c>
      <c r="I699" s="10">
        <f>IF(COUNT(D699:F699)=0,"",MAX(D699:F699))</f>
        <v/>
      </c>
      <c r="J699" s="11">
        <f>IF(OR(G699="",G699=0),"",(I699-G699)/G699)</f>
        <v/>
      </c>
      <c r="K699" s="4">
        <f>IF(COUNT(D699:F699)=0,"",INDEX($D$1:$F$1,MATCH(MIN(D699:F699),D699:F699,0)))</f>
        <v/>
      </c>
      <c r="L699" s="10" t="n">
        <v>11790.9</v>
      </c>
      <c r="M699" s="12" t="n">
        <v>1</v>
      </c>
    </row>
    <row r="700">
      <c r="A700" s="4" t="inlineStr">
        <is>
          <t>MAT-25-068</t>
        </is>
      </c>
      <c r="B700" s="5" t="inlineStr">
        <is>
          <t>Lavamanos Slim 60 Ceramico</t>
        </is>
      </c>
      <c r="C700" s="4" t="inlineStr">
        <is>
          <t>unidad</t>
        </is>
      </c>
      <c r="D700" s="10" t="n">
        <v>12253.31</v>
      </c>
      <c r="E700" s="10" t="n"/>
      <c r="F700" s="10" t="n"/>
      <c r="G700" s="10">
        <f>IF(COUNT(D700:F700)=0,"",MIN(D700:F700))</f>
        <v/>
      </c>
      <c r="H700" s="10">
        <f>IF(COUNT(D700:F700)=0,"",MEDIAN(D700:F700))</f>
        <v/>
      </c>
      <c r="I700" s="10">
        <f>IF(COUNT(D700:F700)=0,"",MAX(D700:F700))</f>
        <v/>
      </c>
      <c r="J700" s="11">
        <f>IF(OR(G700="",G700=0),"",(I700-G700)/G700)</f>
        <v/>
      </c>
      <c r="K700" s="4">
        <f>IF(COUNT(D700:F700)=0,"",INDEX($D$1:$F$1,MATCH(MIN(D700:F700),D700:F700,0)))</f>
        <v/>
      </c>
      <c r="L700" s="10" t="n">
        <v>12253.31</v>
      </c>
      <c r="M700" s="12" t="n">
        <v>1</v>
      </c>
    </row>
    <row r="701">
      <c r="A701" s="4" t="inlineStr">
        <is>
          <t>MAT-25-069</t>
        </is>
      </c>
      <c r="B701" s="5" t="inlineStr">
        <is>
          <t>Lavamanos Sobreponer 1P con rebosadero Futura M</t>
        </is>
      </c>
      <c r="C701" s="4" t="inlineStr">
        <is>
          <t>unidad</t>
        </is>
      </c>
      <c r="D701" s="10" t="n">
        <v>12545.35</v>
      </c>
      <c r="E701" s="10" t="n"/>
      <c r="F701" s="10" t="n"/>
      <c r="G701" s="10">
        <f>IF(COUNT(D701:F701)=0,"",MIN(D701:F701))</f>
        <v/>
      </c>
      <c r="H701" s="10">
        <f>IF(COUNT(D701:F701)=0,"",MEDIAN(D701:F701))</f>
        <v/>
      </c>
      <c r="I701" s="10">
        <f>IF(COUNT(D701:F701)=0,"",MAX(D701:F701))</f>
        <v/>
      </c>
      <c r="J701" s="11">
        <f>IF(OR(G701="",G701=0),"",(I701-G701)/G701)</f>
        <v/>
      </c>
      <c r="K701" s="4">
        <f>IF(COUNT(D701:F701)=0,"",INDEX($D$1:$F$1,MATCH(MIN(D701:F701),D701:F701,0)))</f>
        <v/>
      </c>
      <c r="L701" s="10" t="n">
        <v>12545.35</v>
      </c>
      <c r="M701" s="12" t="n">
        <v>1</v>
      </c>
    </row>
    <row r="702">
      <c r="A702" s="4" t="inlineStr">
        <is>
          <t>MAT-25-070</t>
        </is>
      </c>
      <c r="B702" s="5" t="inlineStr">
        <is>
          <t>Lavamanos De Sobreponer Lucerna 1P</t>
        </is>
      </c>
      <c r="C702" s="4" t="inlineStr">
        <is>
          <t>unidad</t>
        </is>
      </c>
      <c r="D702" s="10" t="n">
        <v>13554.16</v>
      </c>
      <c r="E702" s="10" t="n"/>
      <c r="F702" s="10" t="n"/>
      <c r="G702" s="10">
        <f>IF(COUNT(D702:F702)=0,"",MIN(D702:F702))</f>
        <v/>
      </c>
      <c r="H702" s="10">
        <f>IF(COUNT(D702:F702)=0,"",MEDIAN(D702:F702))</f>
        <v/>
      </c>
      <c r="I702" s="10">
        <f>IF(COUNT(D702:F702)=0,"",MAX(D702:F702))</f>
        <v/>
      </c>
      <c r="J702" s="11">
        <f>IF(OR(G702="",G702=0),"",(I702-G702)/G702)</f>
        <v/>
      </c>
      <c r="K702" s="4">
        <f>IF(COUNT(D702:F702)=0,"",INDEX($D$1:$F$1,MATCH(MIN(D702:F702),D702:F702,0)))</f>
        <v/>
      </c>
      <c r="L702" s="10" t="n">
        <v>13554.16</v>
      </c>
      <c r="M702" s="12" t="n">
        <v>1</v>
      </c>
    </row>
    <row r="703">
      <c r="A703" s="4" t="inlineStr">
        <is>
          <t>MAT-25-071</t>
        </is>
      </c>
      <c r="B703" s="5" t="inlineStr">
        <is>
          <t>Lavamanos Helmi, blanco</t>
        </is>
      </c>
      <c r="C703" s="4" t="inlineStr">
        <is>
          <t>unidad</t>
        </is>
      </c>
      <c r="D703" s="10" t="n">
        <v>15293.22</v>
      </c>
      <c r="E703" s="10" t="n"/>
      <c r="F703" s="10" t="n"/>
      <c r="G703" s="10">
        <f>IF(COUNT(D703:F703)=0,"",MIN(D703:F703))</f>
        <v/>
      </c>
      <c r="H703" s="10">
        <f>IF(COUNT(D703:F703)=0,"",MEDIAN(D703:F703))</f>
        <v/>
      </c>
      <c r="I703" s="10">
        <f>IF(COUNT(D703:F703)=0,"",MAX(D703:F703))</f>
        <v/>
      </c>
      <c r="J703" s="11">
        <f>IF(OR(G703="",G703=0),"",(I703-G703)/G703)</f>
        <v/>
      </c>
      <c r="K703" s="4">
        <f>IF(COUNT(D703:F703)=0,"",INDEX($D$1:$F$1,MATCH(MIN(D703:F703),D703:F703,0)))</f>
        <v/>
      </c>
      <c r="L703" s="10" t="n">
        <v>15293.22</v>
      </c>
      <c r="M703" s="12" t="n">
        <v>1</v>
      </c>
    </row>
    <row r="704">
      <c r="A704" s="4" t="inlineStr">
        <is>
          <t>MAT-25-072</t>
        </is>
      </c>
      <c r="B704" s="5" t="inlineStr">
        <is>
          <t>Lavamanos Tuy Doble 120 Cm</t>
        </is>
      </c>
      <c r="C704" s="4" t="inlineStr">
        <is>
          <t>unidad</t>
        </is>
      </c>
      <c r="D704" s="10" t="n">
        <v>17608.28</v>
      </c>
      <c r="E704" s="10" t="n"/>
      <c r="F704" s="10" t="n"/>
      <c r="G704" s="10">
        <f>IF(COUNT(D704:F704)=0,"",MIN(D704:F704))</f>
        <v/>
      </c>
      <c r="H704" s="10">
        <f>IF(COUNT(D704:F704)=0,"",MEDIAN(D704:F704))</f>
        <v/>
      </c>
      <c r="I704" s="10">
        <f>IF(COUNT(D704:F704)=0,"",MAX(D704:F704))</f>
        <v/>
      </c>
      <c r="J704" s="11">
        <f>IF(OR(G704="",G704=0),"",(I704-G704)/G704)</f>
        <v/>
      </c>
      <c r="K704" s="4">
        <f>IF(COUNT(D704:F704)=0,"",INDEX($D$1:$F$1,MATCH(MIN(D704:F704),D704:F704,0)))</f>
        <v/>
      </c>
      <c r="L704" s="10" t="n">
        <v>17608.28</v>
      </c>
      <c r="M704" s="12" t="n">
        <v>1</v>
      </c>
    </row>
    <row r="705">
      <c r="A705" s="4" t="inlineStr">
        <is>
          <t>MAT-25-073</t>
        </is>
      </c>
      <c r="B705" s="5" t="inlineStr">
        <is>
          <t>Lavamanos Surt, blanco</t>
        </is>
      </c>
      <c r="C705" s="4" t="inlineStr">
        <is>
          <t>unidad</t>
        </is>
      </c>
      <c r="D705" s="10" t="n">
        <v>17783.95</v>
      </c>
      <c r="E705" s="10" t="n"/>
      <c r="F705" s="10" t="n"/>
      <c r="G705" s="10">
        <f>IF(COUNT(D705:F705)=0,"",MIN(D705:F705))</f>
        <v/>
      </c>
      <c r="H705" s="10">
        <f>IF(COUNT(D705:F705)=0,"",MEDIAN(D705:F705))</f>
        <v/>
      </c>
      <c r="I705" s="10">
        <f>IF(COUNT(D705:F705)=0,"",MAX(D705:F705))</f>
        <v/>
      </c>
      <c r="J705" s="11">
        <f>IF(OR(G705="",G705=0),"",(I705-G705)/G705)</f>
        <v/>
      </c>
      <c r="K705" s="4">
        <f>IF(COUNT(D705:F705)=0,"",INDEX($D$1:$F$1,MATCH(MIN(D705:F705),D705:F705,0)))</f>
        <v/>
      </c>
      <c r="L705" s="10" t="n">
        <v>17783.95</v>
      </c>
      <c r="M705" s="12" t="n">
        <v>1</v>
      </c>
    </row>
    <row r="706">
      <c r="A706" s="4" t="inlineStr">
        <is>
          <t>MAT-25-074</t>
        </is>
      </c>
      <c r="B706" s="5" t="inlineStr">
        <is>
          <t>Pedestal Magna, blanco</t>
        </is>
      </c>
      <c r="C706" s="4" t="inlineStr">
        <is>
          <t>unidad</t>
        </is>
      </c>
      <c r="D706" s="10" t="n">
        <v>891.27</v>
      </c>
      <c r="E706" s="10" t="n"/>
      <c r="F706" s="10" t="n"/>
      <c r="G706" s="10">
        <f>IF(COUNT(D706:F706)=0,"",MIN(D706:F706))</f>
        <v/>
      </c>
      <c r="H706" s="10">
        <f>IF(COUNT(D706:F706)=0,"",MEDIAN(D706:F706))</f>
        <v/>
      </c>
      <c r="I706" s="10">
        <f>IF(COUNT(D706:F706)=0,"",MAX(D706:F706))</f>
        <v/>
      </c>
      <c r="J706" s="11">
        <f>IF(OR(G706="",G706=0),"",(I706-G706)/G706)</f>
        <v/>
      </c>
      <c r="K706" s="4">
        <f>IF(COUNT(D706:F706)=0,"",INDEX($D$1:$F$1,MATCH(MIN(D706:F706),D706:F706,0)))</f>
        <v/>
      </c>
      <c r="L706" s="10" t="n">
        <v>891.27</v>
      </c>
      <c r="M706" s="12" t="n">
        <v>1</v>
      </c>
    </row>
    <row r="707">
      <c r="A707" s="4" t="inlineStr">
        <is>
          <t>MAT-25-075</t>
        </is>
      </c>
      <c r="B707" s="5" t="inlineStr">
        <is>
          <t>Pedestal Vallarta, blanco</t>
        </is>
      </c>
      <c r="C707" s="4" t="inlineStr">
        <is>
          <t>unidad</t>
        </is>
      </c>
      <c r="D707" s="10" t="n">
        <v>979.72</v>
      </c>
      <c r="E707" s="10" t="n"/>
      <c r="F707" s="10" t="n"/>
      <c r="G707" s="10">
        <f>IF(COUNT(D707:F707)=0,"",MIN(D707:F707))</f>
        <v/>
      </c>
      <c r="H707" s="10">
        <f>IF(COUNT(D707:F707)=0,"",MEDIAN(D707:F707))</f>
        <v/>
      </c>
      <c r="I707" s="10">
        <f>IF(COUNT(D707:F707)=0,"",MAX(D707:F707))</f>
        <v/>
      </c>
      <c r="J707" s="11">
        <f>IF(OR(G707="",G707=0),"",(I707-G707)/G707)</f>
        <v/>
      </c>
      <c r="K707" s="4">
        <f>IF(COUNT(D707:F707)=0,"",INDEX($D$1:$F$1,MATCH(MIN(D707:F707),D707:F707,0)))</f>
        <v/>
      </c>
      <c r="L707" s="10" t="n">
        <v>979.72</v>
      </c>
      <c r="M707" s="12" t="n">
        <v>1</v>
      </c>
    </row>
    <row r="708">
      <c r="A708" s="4" t="inlineStr">
        <is>
          <t>MAT-25-076</t>
        </is>
      </c>
      <c r="B708" s="5" t="inlineStr">
        <is>
          <t>Pedestal Erie, blanco</t>
        </is>
      </c>
      <c r="C708" s="4" t="inlineStr">
        <is>
          <t>unidad</t>
        </is>
      </c>
      <c r="D708" s="10" t="n">
        <v>1093</v>
      </c>
      <c r="E708" s="10" t="n"/>
      <c r="F708" s="10" t="n"/>
      <c r="G708" s="10">
        <f>IF(COUNT(D708:F708)=0,"",MIN(D708:F708))</f>
        <v/>
      </c>
      <c r="H708" s="10">
        <f>IF(COUNT(D708:F708)=0,"",MEDIAN(D708:F708))</f>
        <v/>
      </c>
      <c r="I708" s="10">
        <f>IF(COUNT(D708:F708)=0,"",MAX(D708:F708))</f>
        <v/>
      </c>
      <c r="J708" s="11">
        <f>IF(OR(G708="",G708=0),"",(I708-G708)/G708)</f>
        <v/>
      </c>
      <c r="K708" s="4">
        <f>IF(COUNT(D708:F708)=0,"",INDEX($D$1:$F$1,MATCH(MIN(D708:F708),D708:F708,0)))</f>
        <v/>
      </c>
      <c r="L708" s="10" t="n">
        <v>1093</v>
      </c>
      <c r="M708" s="12" t="n">
        <v>1</v>
      </c>
    </row>
    <row r="709">
      <c r="A709" s="4" t="inlineStr">
        <is>
          <t>MAT-25-077</t>
        </is>
      </c>
      <c r="B709" s="5" t="inlineStr">
        <is>
          <t>Pedestal Universal, blanco</t>
        </is>
      </c>
      <c r="C709" s="4" t="inlineStr">
        <is>
          <t>unidad</t>
        </is>
      </c>
      <c r="D709" s="10" t="n">
        <v>1102.1</v>
      </c>
      <c r="E709" s="10" t="n"/>
      <c r="F709" s="10" t="n"/>
      <c r="G709" s="10">
        <f>IF(COUNT(D709:F709)=0,"",MIN(D709:F709))</f>
        <v/>
      </c>
      <c r="H709" s="10">
        <f>IF(COUNT(D709:F709)=0,"",MEDIAN(D709:F709))</f>
        <v/>
      </c>
      <c r="I709" s="10">
        <f>IF(COUNT(D709:F709)=0,"",MAX(D709:F709))</f>
        <v/>
      </c>
      <c r="J709" s="11">
        <f>IF(OR(G709="",G709=0),"",(I709-G709)/G709)</f>
        <v/>
      </c>
      <c r="K709" s="4">
        <f>IF(COUNT(D709:F709)=0,"",INDEX($D$1:$F$1,MATCH(MIN(D709:F709),D709:F709,0)))</f>
        <v/>
      </c>
      <c r="L709" s="10" t="n">
        <v>1102.1</v>
      </c>
      <c r="M709" s="12" t="n">
        <v>1</v>
      </c>
    </row>
    <row r="710">
      <c r="A710" s="4" t="inlineStr">
        <is>
          <t>MAT-25-078</t>
        </is>
      </c>
      <c r="B710" s="5" t="inlineStr">
        <is>
          <t>Pedestal Caprio, blanco</t>
        </is>
      </c>
      <c r="C710" s="4" t="inlineStr">
        <is>
          <t>unidad</t>
        </is>
      </c>
      <c r="D710" s="10" t="n">
        <v>1327.39</v>
      </c>
      <c r="E710" s="10" t="n"/>
      <c r="F710" s="10" t="n"/>
      <c r="G710" s="10">
        <f>IF(COUNT(D710:F710)=0,"",MIN(D710:F710))</f>
        <v/>
      </c>
      <c r="H710" s="10">
        <f>IF(COUNT(D710:F710)=0,"",MEDIAN(D710:F710))</f>
        <v/>
      </c>
      <c r="I710" s="10">
        <f>IF(COUNT(D710:F710)=0,"",MAX(D710:F710))</f>
        <v/>
      </c>
      <c r="J710" s="11">
        <f>IF(OR(G710="",G710=0),"",(I710-G710)/G710)</f>
        <v/>
      </c>
      <c r="K710" s="4">
        <f>IF(COUNT(D710:F710)=0,"",INDEX($D$1:$F$1,MATCH(MIN(D710:F710),D710:F710,0)))</f>
        <v/>
      </c>
      <c r="L710" s="10" t="n">
        <v>1327.39</v>
      </c>
      <c r="M710" s="12" t="n">
        <v>1</v>
      </c>
    </row>
    <row r="711">
      <c r="A711" s="4" t="inlineStr">
        <is>
          <t>MAT-25-079</t>
        </is>
      </c>
      <c r="B711" s="5" t="inlineStr">
        <is>
          <t>Pedestal Lucas, negro</t>
        </is>
      </c>
      <c r="C711" s="4" t="inlineStr">
        <is>
          <t>unidad</t>
        </is>
      </c>
      <c r="D711" s="10" t="n">
        <v>1618.35</v>
      </c>
      <c r="E711" s="10" t="n"/>
      <c r="F711" s="10" t="n"/>
      <c r="G711" s="10">
        <f>IF(COUNT(D711:F711)=0,"",MIN(D711:F711))</f>
        <v/>
      </c>
      <c r="H711" s="10">
        <f>IF(COUNT(D711:F711)=0,"",MEDIAN(D711:F711))</f>
        <v/>
      </c>
      <c r="I711" s="10">
        <f>IF(COUNT(D711:F711)=0,"",MAX(D711:F711))</f>
        <v/>
      </c>
      <c r="J711" s="11">
        <f>IF(OR(G711="",G711=0),"",(I711-G711)/G711)</f>
        <v/>
      </c>
      <c r="K711" s="4">
        <f>IF(COUNT(D711:F711)=0,"",INDEX($D$1:$F$1,MATCH(MIN(D711:F711),D711:F711,0)))</f>
        <v/>
      </c>
      <c r="L711" s="10" t="n">
        <v>1618.35</v>
      </c>
      <c r="M711" s="12" t="n">
        <v>1</v>
      </c>
    </row>
    <row r="712">
      <c r="A712" s="4" t="inlineStr">
        <is>
          <t>MAT-25-080</t>
        </is>
      </c>
      <c r="B712" s="5" t="inlineStr">
        <is>
          <t>Pedestal Para Lavamanos Goya, blanco</t>
        </is>
      </c>
      <c r="C712" s="4" t="inlineStr">
        <is>
          <t>unidad</t>
        </is>
      </c>
      <c r="D712" s="10" t="n">
        <v>1778.99</v>
      </c>
      <c r="E712" s="10" t="n"/>
      <c r="F712" s="10" t="n"/>
      <c r="G712" s="10">
        <f>IF(COUNT(D712:F712)=0,"",MIN(D712:F712))</f>
        <v/>
      </c>
      <c r="H712" s="10">
        <f>IF(COUNT(D712:F712)=0,"",MEDIAN(D712:F712))</f>
        <v/>
      </c>
      <c r="I712" s="10">
        <f>IF(COUNT(D712:F712)=0,"",MAX(D712:F712))</f>
        <v/>
      </c>
      <c r="J712" s="11">
        <f>IF(OR(G712="",G712=0),"",(I712-G712)/G712)</f>
        <v/>
      </c>
      <c r="K712" s="4">
        <f>IF(COUNT(D712:F712)=0,"",INDEX($D$1:$F$1,MATCH(MIN(D712:F712),D712:F712,0)))</f>
        <v/>
      </c>
      <c r="L712" s="10" t="n">
        <v>1778.99</v>
      </c>
      <c r="M712" s="12" t="n">
        <v>1</v>
      </c>
    </row>
    <row r="713">
      <c r="A713" s="4" t="inlineStr">
        <is>
          <t>MAT-25-081</t>
        </is>
      </c>
      <c r="B713" s="5" t="inlineStr">
        <is>
          <t>Pedestal Para Lavamanos Jazmin, blanco</t>
        </is>
      </c>
      <c r="C713" s="4" t="inlineStr">
        <is>
          <t>unidad</t>
        </is>
      </c>
      <c r="D713" s="10" t="n">
        <v>1986.77</v>
      </c>
      <c r="E713" s="10" t="n"/>
      <c r="F713" s="10" t="n"/>
      <c r="G713" s="10">
        <f>IF(COUNT(D713:F713)=0,"",MIN(D713:F713))</f>
        <v/>
      </c>
      <c r="H713" s="10">
        <f>IF(COUNT(D713:F713)=0,"",MEDIAN(D713:F713))</f>
        <v/>
      </c>
      <c r="I713" s="10">
        <f>IF(COUNT(D713:F713)=0,"",MAX(D713:F713))</f>
        <v/>
      </c>
      <c r="J713" s="11">
        <f>IF(OR(G713="",G713=0),"",(I713-G713)/G713)</f>
        <v/>
      </c>
      <c r="K713" s="4">
        <f>IF(COUNT(D713:F713)=0,"",INDEX($D$1:$F$1,MATCH(MIN(D713:F713),D713:F713,0)))</f>
        <v/>
      </c>
      <c r="L713" s="10" t="n">
        <v>1986.77</v>
      </c>
      <c r="M713" s="12" t="n">
        <v>1</v>
      </c>
    </row>
    <row r="714">
      <c r="A714" s="4" t="inlineStr">
        <is>
          <t>MAT-25-082</t>
        </is>
      </c>
      <c r="B714" s="5" t="inlineStr">
        <is>
          <t>Pedestal Para Lavamanos Terra, blanco</t>
        </is>
      </c>
      <c r="C714" s="4" t="inlineStr">
        <is>
          <t>unidad</t>
        </is>
      </c>
      <c r="D714" s="10" t="n">
        <v>2014.01</v>
      </c>
      <c r="E714" s="10" t="n"/>
      <c r="F714" s="10" t="n"/>
      <c r="G714" s="10">
        <f>IF(COUNT(D714:F714)=0,"",MIN(D714:F714))</f>
        <v/>
      </c>
      <c r="H714" s="10">
        <f>IF(COUNT(D714:F714)=0,"",MEDIAN(D714:F714))</f>
        <v/>
      </c>
      <c r="I714" s="10">
        <f>IF(COUNT(D714:F714)=0,"",MAX(D714:F714))</f>
        <v/>
      </c>
      <c r="J714" s="11">
        <f>IF(OR(G714="",G714=0),"",(I714-G714)/G714)</f>
        <v/>
      </c>
      <c r="K714" s="4">
        <f>IF(COUNT(D714:F714)=0,"",INDEX($D$1:$F$1,MATCH(MIN(D714:F714),D714:F714,0)))</f>
        <v/>
      </c>
      <c r="L714" s="10" t="n">
        <v>2014.01</v>
      </c>
      <c r="M714" s="12" t="n">
        <v>1</v>
      </c>
    </row>
    <row r="715">
      <c r="A715" s="4" t="inlineStr">
        <is>
          <t>MAT-25-083</t>
        </is>
      </c>
      <c r="B715" s="5" t="inlineStr">
        <is>
          <t>Pedestal Zurich, blanco</t>
        </is>
      </c>
      <c r="C715" s="4" t="inlineStr">
        <is>
          <t>unidad</t>
        </is>
      </c>
      <c r="D715" s="10" t="n">
        <v>2014.28</v>
      </c>
      <c r="E715" s="10" t="n"/>
      <c r="F715" s="10" t="n"/>
      <c r="G715" s="10">
        <f>IF(COUNT(D715:F715)=0,"",MIN(D715:F715))</f>
        <v/>
      </c>
      <c r="H715" s="10">
        <f>IF(COUNT(D715:F715)=0,"",MEDIAN(D715:F715))</f>
        <v/>
      </c>
      <c r="I715" s="10">
        <f>IF(COUNT(D715:F715)=0,"",MAX(D715:F715))</f>
        <v/>
      </c>
      <c r="J715" s="11">
        <f>IF(OR(G715="",G715=0),"",(I715-G715)/G715)</f>
        <v/>
      </c>
      <c r="K715" s="4">
        <f>IF(COUNT(D715:F715)=0,"",INDEX($D$1:$F$1,MATCH(MIN(D715:F715),D715:F715,0)))</f>
        <v/>
      </c>
      <c r="L715" s="10" t="n">
        <v>2014.28</v>
      </c>
      <c r="M715" s="12" t="n">
        <v>1</v>
      </c>
    </row>
    <row r="716">
      <c r="A716" s="4" t="inlineStr">
        <is>
          <t>MAT-25-084</t>
        </is>
      </c>
      <c r="B716" s="5" t="inlineStr">
        <is>
          <t>Pedestal Lavamanos Milenio, blanco</t>
        </is>
      </c>
      <c r="C716" s="4" t="inlineStr">
        <is>
          <t>unidad</t>
        </is>
      </c>
      <c r="D716" s="10" t="n">
        <v>2016.67</v>
      </c>
      <c r="E716" s="10" t="n"/>
      <c r="F716" s="10" t="n"/>
      <c r="G716" s="10">
        <f>IF(COUNT(D716:F716)=0,"",MIN(D716:F716))</f>
        <v/>
      </c>
      <c r="H716" s="10">
        <f>IF(COUNT(D716:F716)=0,"",MEDIAN(D716:F716))</f>
        <v/>
      </c>
      <c r="I716" s="10">
        <f>IF(COUNT(D716:F716)=0,"",MAX(D716:F716))</f>
        <v/>
      </c>
      <c r="J716" s="11">
        <f>IF(OR(G716="",G716=0),"",(I716-G716)/G716)</f>
        <v/>
      </c>
      <c r="K716" s="4">
        <f>IF(COUNT(D716:F716)=0,"",INDEX($D$1:$F$1,MATCH(MIN(D716:F716),D716:F716,0)))</f>
        <v/>
      </c>
      <c r="L716" s="10" t="n">
        <v>2016.67</v>
      </c>
      <c r="M716" s="12" t="n">
        <v>1</v>
      </c>
    </row>
    <row r="717">
      <c r="A717" s="4" t="inlineStr">
        <is>
          <t>MAT-25-085</t>
        </is>
      </c>
      <c r="B717" s="5" t="inlineStr">
        <is>
          <t>Pedestal Para Lavamanos Goya, marfil</t>
        </is>
      </c>
      <c r="C717" s="4" t="inlineStr">
        <is>
          <t>unidad</t>
        </is>
      </c>
      <c r="D717" s="10" t="n">
        <v>2276.8</v>
      </c>
      <c r="E717" s="10" t="n"/>
      <c r="F717" s="10" t="n"/>
      <c r="G717" s="10">
        <f>IF(COUNT(D717:F717)=0,"",MIN(D717:F717))</f>
        <v/>
      </c>
      <c r="H717" s="10">
        <f>IF(COUNT(D717:F717)=0,"",MEDIAN(D717:F717))</f>
        <v/>
      </c>
      <c r="I717" s="10">
        <f>IF(COUNT(D717:F717)=0,"",MAX(D717:F717))</f>
        <v/>
      </c>
      <c r="J717" s="11">
        <f>IF(OR(G717="",G717=0),"",(I717-G717)/G717)</f>
        <v/>
      </c>
      <c r="K717" s="4">
        <f>IF(COUNT(D717:F717)=0,"",INDEX($D$1:$F$1,MATCH(MIN(D717:F717),D717:F717,0)))</f>
        <v/>
      </c>
      <c r="L717" s="10" t="n">
        <v>2276.8</v>
      </c>
      <c r="M717" s="12" t="n">
        <v>1</v>
      </c>
    </row>
    <row r="718">
      <c r="A718" s="4" t="inlineStr">
        <is>
          <t>MAT-25-086</t>
        </is>
      </c>
      <c r="B718" s="5" t="inlineStr">
        <is>
          <t>Pedestal Para Lavamanos, marfil</t>
        </is>
      </c>
      <c r="C718" s="4" t="inlineStr">
        <is>
          <t>unidad</t>
        </is>
      </c>
      <c r="D718" s="10" t="n">
        <v>2305.73</v>
      </c>
      <c r="E718" s="10" t="n"/>
      <c r="F718" s="10" t="n"/>
      <c r="G718" s="10">
        <f>IF(COUNT(D718:F718)=0,"",MIN(D718:F718))</f>
        <v/>
      </c>
      <c r="H718" s="10">
        <f>IF(COUNT(D718:F718)=0,"",MEDIAN(D718:F718))</f>
        <v/>
      </c>
      <c r="I718" s="10">
        <f>IF(COUNT(D718:F718)=0,"",MAX(D718:F718))</f>
        <v/>
      </c>
      <c r="J718" s="11">
        <f>IF(OR(G718="",G718=0),"",(I718-G718)/G718)</f>
        <v/>
      </c>
      <c r="K718" s="4">
        <f>IF(COUNT(D718:F718)=0,"",INDEX($D$1:$F$1,MATCH(MIN(D718:F718),D718:F718,0)))</f>
        <v/>
      </c>
      <c r="L718" s="10" t="n">
        <v>2331.49</v>
      </c>
      <c r="M718" s="12" t="n">
        <v>1</v>
      </c>
    </row>
    <row r="719">
      <c r="A719" s="4" t="inlineStr">
        <is>
          <t>MAT-25-087</t>
        </is>
      </c>
      <c r="B719" s="5" t="inlineStr">
        <is>
          <t>Pedestal Para Lavamanos Zurich, marfil</t>
        </is>
      </c>
      <c r="C719" s="4" t="inlineStr">
        <is>
          <t>unidad</t>
        </is>
      </c>
      <c r="D719" s="10" t="n">
        <v>2376.73</v>
      </c>
      <c r="E719" s="10" t="n"/>
      <c r="F719" s="10" t="n"/>
      <c r="G719" s="10">
        <f>IF(COUNT(D719:F719)=0,"",MIN(D719:F719))</f>
        <v/>
      </c>
      <c r="H719" s="10">
        <f>IF(COUNT(D719:F719)=0,"",MEDIAN(D719:F719))</f>
        <v/>
      </c>
      <c r="I719" s="10">
        <f>IF(COUNT(D719:F719)=0,"",MAX(D719:F719))</f>
        <v/>
      </c>
      <c r="J719" s="11">
        <f>IF(OR(G719="",G719=0),"",(I719-G719)/G719)</f>
        <v/>
      </c>
      <c r="K719" s="4">
        <f>IF(COUNT(D719:F719)=0,"",INDEX($D$1:$F$1,MATCH(MIN(D719:F719),D719:F719,0)))</f>
        <v/>
      </c>
      <c r="L719" s="10" t="n">
        <v>2376.73</v>
      </c>
      <c r="M719" s="12" t="n">
        <v>1</v>
      </c>
    </row>
    <row r="720">
      <c r="A720" s="4" t="inlineStr">
        <is>
          <t>MAT-25-088</t>
        </is>
      </c>
      <c r="B720" s="5" t="inlineStr">
        <is>
          <t>Pedestal Milenio, marfil</t>
        </is>
      </c>
      <c r="C720" s="4" t="inlineStr">
        <is>
          <t>unidad</t>
        </is>
      </c>
      <c r="D720" s="10" t="n">
        <v>2382.44</v>
      </c>
      <c r="E720" s="10" t="n"/>
      <c r="F720" s="10" t="n"/>
      <c r="G720" s="10">
        <f>IF(COUNT(D720:F720)=0,"",MIN(D720:F720))</f>
        <v/>
      </c>
      <c r="H720" s="10">
        <f>IF(COUNT(D720:F720)=0,"",MEDIAN(D720:F720))</f>
        <v/>
      </c>
      <c r="I720" s="10">
        <f>IF(COUNT(D720:F720)=0,"",MAX(D720:F720))</f>
        <v/>
      </c>
      <c r="J720" s="11">
        <f>IF(OR(G720="",G720=0),"",(I720-G720)/G720)</f>
        <v/>
      </c>
      <c r="K720" s="4">
        <f>IF(COUNT(D720:F720)=0,"",INDEX($D$1:$F$1,MATCH(MIN(D720:F720),D720:F720,0)))</f>
        <v/>
      </c>
      <c r="L720" s="10" t="n">
        <v>2382.44</v>
      </c>
      <c r="M720" s="12" t="n">
        <v>1</v>
      </c>
    </row>
    <row r="721">
      <c r="A721" s="4" t="inlineStr">
        <is>
          <t>MAT-25-089</t>
        </is>
      </c>
      <c r="B721" s="5" t="inlineStr">
        <is>
          <t>Pata Volga 30 (Kit 2 Uds. 2.5 x 2.5 Negro)</t>
        </is>
      </c>
      <c r="C721" s="4" t="inlineStr">
        <is>
          <t>unidad</t>
        </is>
      </c>
      <c r="D721" s="10" t="n">
        <v>3334.17</v>
      </c>
      <c r="E721" s="10" t="n"/>
      <c r="F721" s="10" t="n"/>
      <c r="G721" s="10">
        <f>IF(COUNT(D721:F721)=0,"",MIN(D721:F721))</f>
        <v/>
      </c>
      <c r="H721" s="10">
        <f>IF(COUNT(D721:F721)=0,"",MEDIAN(D721:F721))</f>
        <v/>
      </c>
      <c r="I721" s="10">
        <f>IF(COUNT(D721:F721)=0,"",MAX(D721:F721))</f>
        <v/>
      </c>
      <c r="J721" s="11">
        <f>IF(OR(G721="",G721=0),"",(I721-G721)/G721)</f>
        <v/>
      </c>
      <c r="K721" s="4">
        <f>IF(COUNT(D721:F721)=0,"",INDEX($D$1:$F$1,MATCH(MIN(D721:F721),D721:F721,0)))</f>
        <v/>
      </c>
      <c r="L721" s="10" t="n">
        <v>3334.17</v>
      </c>
      <c r="M721" s="12" t="n">
        <v>1</v>
      </c>
    </row>
    <row r="722">
      <c r="A722" s="4" t="inlineStr">
        <is>
          <t>MAT-25-090</t>
        </is>
      </c>
      <c r="B722" s="5" t="inlineStr">
        <is>
          <t>Palometa para Lavamanos sencillo</t>
        </is>
      </c>
      <c r="C722" s="4" t="inlineStr">
        <is>
          <t>unidad</t>
        </is>
      </c>
      <c r="D722" s="10" t="n">
        <v>57.88</v>
      </c>
      <c r="E722" s="10" t="n"/>
      <c r="F722" s="10" t="n"/>
      <c r="G722" s="10">
        <f>IF(COUNT(D722:F722)=0,"",MIN(D722:F722))</f>
        <v/>
      </c>
      <c r="H722" s="10">
        <f>IF(COUNT(D722:F722)=0,"",MEDIAN(D722:F722))</f>
        <v/>
      </c>
      <c r="I722" s="10">
        <f>IF(COUNT(D722:F722)=0,"",MAX(D722:F722))</f>
        <v/>
      </c>
      <c r="J722" s="11">
        <f>IF(OR(G722="",G722=0),"",(I722-G722)/G722)</f>
        <v/>
      </c>
      <c r="K722" s="4">
        <f>IF(COUNT(D722:F722)=0,"",INDEX($D$1:$F$1,MATCH(MIN(D722:F722),D722:F722,0)))</f>
        <v/>
      </c>
      <c r="L722" s="10" t="n">
        <v>57.88</v>
      </c>
      <c r="M722" s="12" t="n">
        <v>1</v>
      </c>
    </row>
    <row r="723">
      <c r="A723" s="4" t="inlineStr">
        <is>
          <t>MAT-25-091</t>
        </is>
      </c>
      <c r="B723" s="5" t="inlineStr">
        <is>
          <t>Palometa Para Lavamanos Doble</t>
        </is>
      </c>
      <c r="C723" s="4" t="inlineStr">
        <is>
          <t>unidad</t>
        </is>
      </c>
      <c r="D723" s="10" t="n">
        <v>69.48999999999999</v>
      </c>
      <c r="E723" s="10" t="n"/>
      <c r="F723" s="10" t="n"/>
      <c r="G723" s="10">
        <f>IF(COUNT(D723:F723)=0,"",MIN(D723:F723))</f>
        <v/>
      </c>
      <c r="H723" s="10">
        <f>IF(COUNT(D723:F723)=0,"",MEDIAN(D723:F723))</f>
        <v/>
      </c>
      <c r="I723" s="10">
        <f>IF(COUNT(D723:F723)=0,"",MAX(D723:F723))</f>
        <v/>
      </c>
      <c r="J723" s="11">
        <f>IF(OR(G723="",G723=0),"",(I723-G723)/G723)</f>
        <v/>
      </c>
      <c r="K723" s="4">
        <f>IF(COUNT(D723:F723)=0,"",INDEX($D$1:$F$1,MATCH(MIN(D723:F723),D723:F723,0)))</f>
        <v/>
      </c>
      <c r="L723" s="10" t="n">
        <v>70.02</v>
      </c>
      <c r="M723" s="12" t="n">
        <v>1</v>
      </c>
    </row>
    <row r="724">
      <c r="A724" s="4" t="inlineStr">
        <is>
          <t>MAT-25-092</t>
        </is>
      </c>
      <c r="B724" s="5" t="inlineStr">
        <is>
          <t>Palometa Sencilla para Lav de Metal</t>
        </is>
      </c>
      <c r="C724" s="4" t="inlineStr">
        <is>
          <t>unidad</t>
        </is>
      </c>
      <c r="D724" s="10" t="n">
        <v>80.59</v>
      </c>
      <c r="E724" s="10" t="n"/>
      <c r="F724" s="10" t="n"/>
      <c r="G724" s="10">
        <f>IF(COUNT(D724:F724)=0,"",MIN(D724:F724))</f>
        <v/>
      </c>
      <c r="H724" s="10">
        <f>IF(COUNT(D724:F724)=0,"",MEDIAN(D724:F724))</f>
        <v/>
      </c>
      <c r="I724" s="10">
        <f>IF(COUNT(D724:F724)=0,"",MAX(D724:F724))</f>
        <v/>
      </c>
      <c r="J724" s="11">
        <f>IF(OR(G724="",G724=0),"",(I724-G724)/G724)</f>
        <v/>
      </c>
      <c r="K724" s="4">
        <f>IF(COUNT(D724:F724)=0,"",INDEX($D$1:$F$1,MATCH(MIN(D724:F724),D724:F724,0)))</f>
        <v/>
      </c>
      <c r="L724" s="10" t="n">
        <v>80.59</v>
      </c>
      <c r="M724" s="12" t="n">
        <v>1</v>
      </c>
    </row>
    <row r="725">
      <c r="A725" s="4" t="inlineStr">
        <is>
          <t>MAT-25-093</t>
        </is>
      </c>
      <c r="B725" s="5" t="inlineStr">
        <is>
          <t>Conector Yee 1"</t>
        </is>
      </c>
      <c r="C725" s="4" t="inlineStr">
        <is>
          <t>unidad</t>
        </is>
      </c>
      <c r="D725" s="10" t="n">
        <v>255.94</v>
      </c>
      <c r="E725" s="10" t="n"/>
      <c r="F725" s="10" t="n"/>
      <c r="G725" s="10">
        <f>IF(COUNT(D725:F725)=0,"",MIN(D725:F725))</f>
        <v/>
      </c>
      <c r="H725" s="10">
        <f>IF(COUNT(D725:F725)=0,"",MEDIAN(D725:F725))</f>
        <v/>
      </c>
      <c r="I725" s="10">
        <f>IF(COUNT(D725:F725)=0,"",MAX(D725:F725))</f>
        <v/>
      </c>
      <c r="J725" s="11">
        <f>IF(OR(G725="",G725=0),"",(I725-G725)/G725)</f>
        <v/>
      </c>
      <c r="K725" s="4">
        <f>IF(COUNT(D725:F725)=0,"",INDEX($D$1:$F$1,MATCH(MIN(D725:F725),D725:F725,0)))</f>
        <v/>
      </c>
      <c r="L725" s="10" t="n">
        <v>255.94</v>
      </c>
      <c r="M725" s="12" t="n">
        <v>1</v>
      </c>
    </row>
    <row r="726">
      <c r="A726" s="4" t="inlineStr">
        <is>
          <t>MAT-26-001</t>
        </is>
      </c>
      <c r="B726" s="5" t="inlineStr">
        <is>
          <t>Mueble De B. para Colgar Meridian Othelo</t>
        </is>
      </c>
      <c r="C726" s="4" t="inlineStr">
        <is>
          <t>unidad</t>
        </is>
      </c>
      <c r="D726" s="10" t="n">
        <v>5433.44</v>
      </c>
      <c r="E726" s="10" t="n"/>
      <c r="F726" s="10" t="n"/>
      <c r="G726" s="10">
        <f>IF(COUNT(D726:F726)=0,"",MIN(D726:F726))</f>
        <v/>
      </c>
      <c r="H726" s="10">
        <f>IF(COUNT(D726:F726)=0,"",MEDIAN(D726:F726))</f>
        <v/>
      </c>
      <c r="I726" s="10">
        <f>IF(COUNT(D726:F726)=0,"",MAX(D726:F726))</f>
        <v/>
      </c>
      <c r="J726" s="11">
        <f>IF(OR(G726="",G726=0),"",(I726-G726)/G726)</f>
        <v/>
      </c>
      <c r="K726" s="4">
        <f>IF(COUNT(D726:F726)=0,"",INDEX($D$1:$F$1,MATCH(MIN(D726:F726),D726:F726,0)))</f>
        <v/>
      </c>
      <c r="L726" s="10" t="n">
        <v>5433.44</v>
      </c>
      <c r="M726" s="12" t="n">
        <v>1</v>
      </c>
    </row>
    <row r="727">
      <c r="A727" s="4" t="inlineStr">
        <is>
          <t>MAT-26-002</t>
        </is>
      </c>
      <c r="B727" s="5" t="inlineStr">
        <is>
          <t>Mueble Mini 40 Blanco</t>
        </is>
      </c>
      <c r="C727" s="4" t="inlineStr">
        <is>
          <t>unidad</t>
        </is>
      </c>
      <c r="D727" s="10" t="n">
        <v>8614.57</v>
      </c>
      <c r="E727" s="10" t="n"/>
      <c r="F727" s="10" t="n"/>
      <c r="G727" s="10">
        <f>IF(COUNT(D727:F727)=0,"",MIN(D727:F727))</f>
        <v/>
      </c>
      <c r="H727" s="10">
        <f>IF(COUNT(D727:F727)=0,"",MEDIAN(D727:F727))</f>
        <v/>
      </c>
      <c r="I727" s="10">
        <f>IF(COUNT(D727:F727)=0,"",MAX(D727:F727))</f>
        <v/>
      </c>
      <c r="J727" s="11">
        <f>IF(OR(G727="",G727=0),"",(I727-G727)/G727)</f>
        <v/>
      </c>
      <c r="K727" s="4">
        <f>IF(COUNT(D727:F727)=0,"",INDEX($D$1:$F$1,MATCH(MIN(D727:F727),D727:F727,0)))</f>
        <v/>
      </c>
      <c r="L727" s="10" t="n">
        <v>8614.57</v>
      </c>
      <c r="M727" s="12" t="n">
        <v>1</v>
      </c>
    </row>
    <row r="728">
      <c r="A728" s="4" t="inlineStr">
        <is>
          <t>MAT-26-003</t>
        </is>
      </c>
      <c r="B728" s="5" t="inlineStr">
        <is>
          <t>Mueble Mini Movel 40 x 21 x 50 P1+Lav Car</t>
        </is>
      </c>
      <c r="C728" s="4" t="inlineStr">
        <is>
          <t>unidad</t>
        </is>
      </c>
      <c r="D728" s="10" t="n">
        <v>9059.870000000001</v>
      </c>
      <c r="E728" s="10" t="n"/>
      <c r="F728" s="10" t="n"/>
      <c r="G728" s="10">
        <f>IF(COUNT(D728:F728)=0,"",MIN(D728:F728))</f>
        <v/>
      </c>
      <c r="H728" s="10">
        <f>IF(COUNT(D728:F728)=0,"",MEDIAN(D728:F728))</f>
        <v/>
      </c>
      <c r="I728" s="10">
        <f>IF(COUNT(D728:F728)=0,"",MAX(D728:F728))</f>
        <v/>
      </c>
      <c r="J728" s="11">
        <f>IF(OR(G728="",G728=0),"",(I728-G728)/G728)</f>
        <v/>
      </c>
      <c r="K728" s="4">
        <f>IF(COUNT(D728:F728)=0,"",INDEX($D$1:$F$1,MATCH(MIN(D728:F728),D728:F728,0)))</f>
        <v/>
      </c>
      <c r="L728" s="10" t="n">
        <v>9059.870000000001</v>
      </c>
      <c r="M728" s="12" t="n">
        <v>1</v>
      </c>
    </row>
    <row r="729">
      <c r="A729" s="4" t="inlineStr">
        <is>
          <t>MAT-26-004</t>
        </is>
      </c>
      <c r="B729" s="5" t="inlineStr">
        <is>
          <t>Mueble Anidis suspendido 60 x 45 x 44 Carvalho</t>
        </is>
      </c>
      <c r="C729" s="4" t="inlineStr">
        <is>
          <t>unidad</t>
        </is>
      </c>
      <c r="D729" s="10" t="n">
        <v>14417.02</v>
      </c>
      <c r="E729" s="10" t="n"/>
      <c r="F729" s="10" t="n"/>
      <c r="G729" s="10">
        <f>IF(COUNT(D729:F729)=0,"",MIN(D729:F729))</f>
        <v/>
      </c>
      <c r="H729" s="10">
        <f>IF(COUNT(D729:F729)=0,"",MEDIAN(D729:F729))</f>
        <v/>
      </c>
      <c r="I729" s="10">
        <f>IF(COUNT(D729:F729)=0,"",MAX(D729:F729))</f>
        <v/>
      </c>
      <c r="J729" s="11">
        <f>IF(OR(G729="",G729=0),"",(I729-G729)/G729)</f>
        <v/>
      </c>
      <c r="K729" s="4">
        <f>IF(COUNT(D729:F729)=0,"",INDEX($D$1:$F$1,MATCH(MIN(D729:F729),D729:F729,0)))</f>
        <v/>
      </c>
      <c r="L729" s="10" t="n">
        <v>14417.02</v>
      </c>
      <c r="M729" s="12" t="n">
        <v>1</v>
      </c>
    </row>
    <row r="730">
      <c r="A730" s="4" t="inlineStr">
        <is>
          <t>MAT-26-005</t>
        </is>
      </c>
      <c r="B730" s="5" t="inlineStr">
        <is>
          <t>Mueble Eco Reno / Iris Blanco 50</t>
        </is>
      </c>
      <c r="C730" s="4" t="inlineStr">
        <is>
          <t>unidad</t>
        </is>
      </c>
      <c r="D730" s="10" t="n">
        <v>14452.95</v>
      </c>
      <c r="E730" s="10" t="n"/>
      <c r="F730" s="10" t="n"/>
      <c r="G730" s="10">
        <f>IF(COUNT(D730:F730)=0,"",MIN(D730:F730))</f>
        <v/>
      </c>
      <c r="H730" s="10">
        <f>IF(COUNT(D730:F730)=0,"",MEDIAN(D730:F730))</f>
        <v/>
      </c>
      <c r="I730" s="10">
        <f>IF(COUNT(D730:F730)=0,"",MAX(D730:F730))</f>
        <v/>
      </c>
      <c r="J730" s="11">
        <f>IF(OR(G730="",G730=0),"",(I730-G730)/G730)</f>
        <v/>
      </c>
      <c r="K730" s="4">
        <f>IF(COUNT(D730:F730)=0,"",INDEX($D$1:$F$1,MATCH(MIN(D730:F730),D730:F730,0)))</f>
        <v/>
      </c>
      <c r="L730" s="10" t="n">
        <v>14452.95</v>
      </c>
      <c r="M730" s="12" t="n">
        <v>1</v>
      </c>
    </row>
    <row r="731">
      <c r="A731" s="4" t="inlineStr">
        <is>
          <t>MAT-26-006</t>
        </is>
      </c>
      <c r="B731" s="5" t="inlineStr">
        <is>
          <t>Mueble Anidis 60 Estepa</t>
        </is>
      </c>
      <c r="C731" s="4" t="inlineStr">
        <is>
          <t>unidad</t>
        </is>
      </c>
      <c r="D731" s="10" t="n">
        <v>14618.32</v>
      </c>
      <c r="E731" s="10" t="n"/>
      <c r="F731" s="10" t="n"/>
      <c r="G731" s="10">
        <f>IF(COUNT(D731:F731)=0,"",MIN(D731:F731))</f>
        <v/>
      </c>
      <c r="H731" s="10">
        <f>IF(COUNT(D731:F731)=0,"",MEDIAN(D731:F731))</f>
        <v/>
      </c>
      <c r="I731" s="10">
        <f>IF(COUNT(D731:F731)=0,"",MAX(D731:F731))</f>
        <v/>
      </c>
      <c r="J731" s="11">
        <f>IF(OR(G731="",G731=0),"",(I731-G731)/G731)</f>
        <v/>
      </c>
      <c r="K731" s="4">
        <f>IF(COUNT(D731:F731)=0,"",INDEX($D$1:$F$1,MATCH(MIN(D731:F731),D731:F731,0)))</f>
        <v/>
      </c>
      <c r="L731" s="10" t="n">
        <v>14618.32</v>
      </c>
      <c r="M731" s="12" t="n">
        <v>1</v>
      </c>
    </row>
    <row r="732">
      <c r="A732" s="4" t="inlineStr">
        <is>
          <t>MAT-26-007</t>
        </is>
      </c>
      <c r="B732" s="5" t="inlineStr">
        <is>
          <t>Mueble Anidis 60 Blanco</t>
        </is>
      </c>
      <c r="C732" s="4" t="inlineStr">
        <is>
          <t>unidad</t>
        </is>
      </c>
      <c r="D732" s="10" t="n">
        <v>14719.17</v>
      </c>
      <c r="E732" s="10" t="n"/>
      <c r="F732" s="10" t="n"/>
      <c r="G732" s="10">
        <f>IF(COUNT(D732:F732)=0,"",MIN(D732:F732))</f>
        <v/>
      </c>
      <c r="H732" s="10">
        <f>IF(COUNT(D732:F732)=0,"",MEDIAN(D732:F732))</f>
        <v/>
      </c>
      <c r="I732" s="10">
        <f>IF(COUNT(D732:F732)=0,"",MAX(D732:F732))</f>
        <v/>
      </c>
      <c r="J732" s="11">
        <f>IF(OR(G732="",G732=0),"",(I732-G732)/G732)</f>
        <v/>
      </c>
      <c r="K732" s="4">
        <f>IF(COUNT(D732:F732)=0,"",INDEX($D$1:$F$1,MATCH(MIN(D732:F732),D732:F732,0)))</f>
        <v/>
      </c>
      <c r="L732" s="10" t="n">
        <v>14719.17</v>
      </c>
      <c r="M732" s="12" t="n">
        <v>1</v>
      </c>
    </row>
    <row r="733">
      <c r="A733" s="4" t="inlineStr">
        <is>
          <t>MAT-26-008</t>
        </is>
      </c>
      <c r="B733" s="5" t="inlineStr">
        <is>
          <t>Mueble Eco Movel 60 Blanco Brillo</t>
        </is>
      </c>
      <c r="C733" s="4" t="inlineStr">
        <is>
          <t>unidad</t>
        </is>
      </c>
      <c r="D733" s="10" t="n">
        <v>16099.41</v>
      </c>
      <c r="E733" s="10" t="n"/>
      <c r="F733" s="10" t="n"/>
      <c r="G733" s="10">
        <f>IF(COUNT(D733:F733)=0,"",MIN(D733:F733))</f>
        <v/>
      </c>
      <c r="H733" s="10">
        <f>IF(COUNT(D733:F733)=0,"",MEDIAN(D733:F733))</f>
        <v/>
      </c>
      <c r="I733" s="10">
        <f>IF(COUNT(D733:F733)=0,"",MAX(D733:F733))</f>
        <v/>
      </c>
      <c r="J733" s="11">
        <f>IF(OR(G733="",G733=0),"",(I733-G733)/G733)</f>
        <v/>
      </c>
      <c r="K733" s="4">
        <f>IF(COUNT(D733:F733)=0,"",INDEX($D$1:$F$1,MATCH(MIN(D733:F733),D733:F733,0)))</f>
        <v/>
      </c>
      <c r="L733" s="10" t="n">
        <v>16099.41</v>
      </c>
      <c r="M733" s="12" t="n">
        <v>1</v>
      </c>
    </row>
    <row r="734">
      <c r="A734" s="4" t="inlineStr">
        <is>
          <t>MAT-26-009</t>
        </is>
      </c>
      <c r="B734" s="5" t="inlineStr">
        <is>
          <t>Mueble Fit G2 50 Suspend. Branco</t>
        </is>
      </c>
      <c r="C734" s="4" t="inlineStr">
        <is>
          <t>unidad</t>
        </is>
      </c>
      <c r="D734" s="10" t="n">
        <v>17006.6</v>
      </c>
      <c r="E734" s="10" t="n"/>
      <c r="F734" s="10" t="n"/>
      <c r="G734" s="10">
        <f>IF(COUNT(D734:F734)=0,"",MIN(D734:F734))</f>
        <v/>
      </c>
      <c r="H734" s="10">
        <f>IF(COUNT(D734:F734)=0,"",MEDIAN(D734:F734))</f>
        <v/>
      </c>
      <c r="I734" s="10">
        <f>IF(COUNT(D734:F734)=0,"",MAX(D734:F734))</f>
        <v/>
      </c>
      <c r="J734" s="11">
        <f>IF(OR(G734="",G734=0),"",(I734-G734)/G734)</f>
        <v/>
      </c>
      <c r="K734" s="4">
        <f>IF(COUNT(D734:F734)=0,"",INDEX($D$1:$F$1,MATCH(MIN(D734:F734),D734:F734,0)))</f>
        <v/>
      </c>
      <c r="L734" s="10" t="n">
        <v>17006.6</v>
      </c>
      <c r="M734" s="12" t="n">
        <v>1</v>
      </c>
    </row>
    <row r="735">
      <c r="A735" s="4" t="inlineStr">
        <is>
          <t>MAT-26-010</t>
        </is>
      </c>
      <c r="B735" s="5" t="inlineStr">
        <is>
          <t>Mueble Fit G2 50 Suspend. Taiga</t>
        </is>
      </c>
      <c r="C735" s="4" t="inlineStr">
        <is>
          <t>unidad</t>
        </is>
      </c>
      <c r="D735" s="10" t="n">
        <v>17007.16</v>
      </c>
      <c r="E735" s="10" t="n"/>
      <c r="F735" s="10" t="n"/>
      <c r="G735" s="10">
        <f>IF(COUNT(D735:F735)=0,"",MIN(D735:F735))</f>
        <v/>
      </c>
      <c r="H735" s="10">
        <f>IF(COUNT(D735:F735)=0,"",MEDIAN(D735:F735))</f>
        <v/>
      </c>
      <c r="I735" s="10">
        <f>IF(COUNT(D735:F735)=0,"",MAX(D735:F735))</f>
        <v/>
      </c>
      <c r="J735" s="11">
        <f>IF(OR(G735="",G735=0),"",(I735-G735)/G735)</f>
        <v/>
      </c>
      <c r="K735" s="4">
        <f>IF(COUNT(D735:F735)=0,"",INDEX($D$1:$F$1,MATCH(MIN(D735:F735),D735:F735,0)))</f>
        <v/>
      </c>
      <c r="L735" s="10" t="n">
        <v>17007.16</v>
      </c>
      <c r="M735" s="12" t="n">
        <v>1</v>
      </c>
    </row>
    <row r="736">
      <c r="A736" s="4" t="inlineStr">
        <is>
          <t>MAT-26-011</t>
        </is>
      </c>
      <c r="B736" s="5" t="inlineStr">
        <is>
          <t>Mueble Fit 50 Susp Carvalho</t>
        </is>
      </c>
      <c r="C736" s="4" t="inlineStr">
        <is>
          <t>unidad</t>
        </is>
      </c>
      <c r="D736" s="10" t="n">
        <v>17013.63</v>
      </c>
      <c r="E736" s="10" t="n"/>
      <c r="F736" s="10" t="n"/>
      <c r="G736" s="10">
        <f>IF(COUNT(D736:F736)=0,"",MIN(D736:F736))</f>
        <v/>
      </c>
      <c r="H736" s="10">
        <f>IF(COUNT(D736:F736)=0,"",MEDIAN(D736:F736))</f>
        <v/>
      </c>
      <c r="I736" s="10">
        <f>IF(COUNT(D736:F736)=0,"",MAX(D736:F736))</f>
        <v/>
      </c>
      <c r="J736" s="11">
        <f>IF(OR(G736="",G736=0),"",(I736-G736)/G736)</f>
        <v/>
      </c>
      <c r="K736" s="4">
        <f>IF(COUNT(D736:F736)=0,"",INDEX($D$1:$F$1,MATCH(MIN(D736:F736),D736:F736,0)))</f>
        <v/>
      </c>
      <c r="L736" s="10" t="n">
        <v>17013.63</v>
      </c>
      <c r="M736" s="12" t="n">
        <v>1</v>
      </c>
    </row>
    <row r="737">
      <c r="A737" s="4" t="inlineStr">
        <is>
          <t>MAT-26-012</t>
        </is>
      </c>
      <c r="B737" s="5" t="inlineStr">
        <is>
          <t>Mueble Volga 60 P2 suspendido Roble Hera</t>
        </is>
      </c>
      <c r="C737" s="4" t="inlineStr">
        <is>
          <t>unidad</t>
        </is>
      </c>
      <c r="D737" s="10" t="n">
        <v>17144.98</v>
      </c>
      <c r="E737" s="10" t="n"/>
      <c r="F737" s="10" t="n"/>
      <c r="G737" s="10">
        <f>IF(COUNT(D737:F737)=0,"",MIN(D737:F737))</f>
        <v/>
      </c>
      <c r="H737" s="10">
        <f>IF(COUNT(D737:F737)=0,"",MEDIAN(D737:F737))</f>
        <v/>
      </c>
      <c r="I737" s="10">
        <f>IF(COUNT(D737:F737)=0,"",MAX(D737:F737))</f>
        <v/>
      </c>
      <c r="J737" s="11">
        <f>IF(OR(G737="",G737=0),"",(I737-G737)/G737)</f>
        <v/>
      </c>
      <c r="K737" s="4">
        <f>IF(COUNT(D737:F737)=0,"",INDEX($D$1:$F$1,MATCH(MIN(D737:F737),D737:F737,0)))</f>
        <v/>
      </c>
      <c r="L737" s="10" t="n">
        <v>17144.98</v>
      </c>
      <c r="M737" s="12" t="n">
        <v>1</v>
      </c>
    </row>
    <row r="738">
      <c r="A738" s="4" t="inlineStr">
        <is>
          <t>MAT-26-013</t>
        </is>
      </c>
      <c r="B738" s="5" t="inlineStr">
        <is>
          <t>Mueble Fit G2 50 Suspend. Hercules</t>
        </is>
      </c>
      <c r="C738" s="4" t="inlineStr">
        <is>
          <t>unidad</t>
        </is>
      </c>
      <c r="D738" s="10" t="n">
        <v>17169.24</v>
      </c>
      <c r="E738" s="10" t="n"/>
      <c r="F738" s="10" t="n"/>
      <c r="G738" s="10">
        <f>IF(COUNT(D738:F738)=0,"",MIN(D738:F738))</f>
        <v/>
      </c>
      <c r="H738" s="10">
        <f>IF(COUNT(D738:F738)=0,"",MEDIAN(D738:F738))</f>
        <v/>
      </c>
      <c r="I738" s="10">
        <f>IF(COUNT(D738:F738)=0,"",MAX(D738:F738))</f>
        <v/>
      </c>
      <c r="J738" s="11">
        <f>IF(OR(G738="",G738=0),"",(I738-G738)/G738)</f>
        <v/>
      </c>
      <c r="K738" s="4">
        <f>IF(COUNT(D738:F738)=0,"",INDEX($D$1:$F$1,MATCH(MIN(D738:F738),D738:F738,0)))</f>
        <v/>
      </c>
      <c r="L738" s="10" t="n">
        <v>17169.24</v>
      </c>
      <c r="M738" s="12" t="n">
        <v>1</v>
      </c>
    </row>
    <row r="739">
      <c r="A739" s="4" t="inlineStr">
        <is>
          <t>MAT-26-014</t>
        </is>
      </c>
      <c r="B739" s="5" t="inlineStr">
        <is>
          <t>Mueble Anidis 80 Blanco</t>
        </is>
      </c>
      <c r="C739" s="4" t="inlineStr">
        <is>
          <t>unidad</t>
        </is>
      </c>
      <c r="D739" s="10" t="n">
        <v>17330.65</v>
      </c>
      <c r="E739" s="10" t="n"/>
      <c r="F739" s="10" t="n"/>
      <c r="G739" s="10">
        <f>IF(COUNT(D739:F739)=0,"",MIN(D739:F739))</f>
        <v/>
      </c>
      <c r="H739" s="10">
        <f>IF(COUNT(D739:F739)=0,"",MEDIAN(D739:F739))</f>
        <v/>
      </c>
      <c r="I739" s="10">
        <f>IF(COUNT(D739:F739)=0,"",MAX(D739:F739))</f>
        <v/>
      </c>
      <c r="J739" s="11">
        <f>IF(OR(G739="",G739=0),"",(I739-G739)/G739)</f>
        <v/>
      </c>
      <c r="K739" s="4">
        <f>IF(COUNT(D739:F739)=0,"",INDEX($D$1:$F$1,MATCH(MIN(D739:F739),D739:F739,0)))</f>
        <v/>
      </c>
      <c r="L739" s="10" t="n">
        <v>17330.65</v>
      </c>
      <c r="M739" s="12" t="n">
        <v>1</v>
      </c>
    </row>
    <row r="740">
      <c r="A740" s="4" t="inlineStr">
        <is>
          <t>MAT-26-015</t>
        </is>
      </c>
      <c r="B740" s="5" t="inlineStr">
        <is>
          <t>Mueble Zeus 60 Blanco</t>
        </is>
      </c>
      <c r="C740" s="4" t="inlineStr">
        <is>
          <t>unidad</t>
        </is>
      </c>
      <c r="D740" s="10" t="n">
        <v>18240.76</v>
      </c>
      <c r="E740" s="10" t="n"/>
      <c r="F740" s="10" t="n"/>
      <c r="G740" s="10">
        <f>IF(COUNT(D740:F740)=0,"",MIN(D740:F740))</f>
        <v/>
      </c>
      <c r="H740" s="10">
        <f>IF(COUNT(D740:F740)=0,"",MEDIAN(D740:F740))</f>
        <v/>
      </c>
      <c r="I740" s="10">
        <f>IF(COUNT(D740:F740)=0,"",MAX(D740:F740))</f>
        <v/>
      </c>
      <c r="J740" s="11">
        <f>IF(OR(G740="",G740=0),"",(I740-G740)/G740)</f>
        <v/>
      </c>
      <c r="K740" s="4">
        <f>IF(COUNT(D740:F740)=0,"",INDEX($D$1:$F$1,MATCH(MIN(D740:F740),D740:F740,0)))</f>
        <v/>
      </c>
      <c r="L740" s="10" t="n">
        <v>18240.76</v>
      </c>
      <c r="M740" s="12" t="n">
        <v>1</v>
      </c>
    </row>
    <row r="741">
      <c r="A741" s="4" t="inlineStr">
        <is>
          <t>MAT-26-016</t>
        </is>
      </c>
      <c r="B741" s="5" t="inlineStr">
        <is>
          <t>Mueble Eco 80 Blanco Brillo</t>
        </is>
      </c>
      <c r="C741" s="4" t="inlineStr">
        <is>
          <t>unidad</t>
        </is>
      </c>
      <c r="D741" s="10" t="n">
        <v>19035.68</v>
      </c>
      <c r="E741" s="10" t="n"/>
      <c r="F741" s="10" t="n"/>
      <c r="G741" s="10">
        <f>IF(COUNT(D741:F741)=0,"",MIN(D741:F741))</f>
        <v/>
      </c>
      <c r="H741" s="10">
        <f>IF(COUNT(D741:F741)=0,"",MEDIAN(D741:F741))</f>
        <v/>
      </c>
      <c r="I741" s="10">
        <f>IF(COUNT(D741:F741)=0,"",MAX(D741:F741))</f>
        <v/>
      </c>
      <c r="J741" s="11">
        <f>IF(OR(G741="",G741=0),"",(I741-G741)/G741)</f>
        <v/>
      </c>
      <c r="K741" s="4">
        <f>IF(COUNT(D741:F741)=0,"",INDEX($D$1:$F$1,MATCH(MIN(D741:F741),D741:F741,0)))</f>
        <v/>
      </c>
      <c r="L741" s="10" t="n">
        <v>19035.68</v>
      </c>
      <c r="M741" s="12" t="n">
        <v>1</v>
      </c>
    </row>
    <row r="742">
      <c r="A742" s="4" t="inlineStr">
        <is>
          <t>MAT-26-017</t>
        </is>
      </c>
      <c r="B742" s="5" t="inlineStr">
        <is>
          <t>Mueble Fit suspendido 50 x 40 x 55 Cinza Mate-Per</t>
        </is>
      </c>
      <c r="C742" s="4" t="inlineStr">
        <is>
          <t>unidad</t>
        </is>
      </c>
      <c r="D742" s="10" t="n">
        <v>19503.16</v>
      </c>
      <c r="E742" s="10" t="n"/>
      <c r="F742" s="10" t="n"/>
      <c r="G742" s="10">
        <f>IF(COUNT(D742:F742)=0,"",MIN(D742:F742))</f>
        <v/>
      </c>
      <c r="H742" s="10">
        <f>IF(COUNT(D742:F742)=0,"",MEDIAN(D742:F742))</f>
        <v/>
      </c>
      <c r="I742" s="10">
        <f>IF(COUNT(D742:F742)=0,"",MAX(D742:F742))</f>
        <v/>
      </c>
      <c r="J742" s="11">
        <f>IF(OR(G742="",G742=0),"",(I742-G742)/G742)</f>
        <v/>
      </c>
      <c r="K742" s="4">
        <f>IF(COUNT(D742:F742)=0,"",INDEX($D$1:$F$1,MATCH(MIN(D742:F742),D742:F742,0)))</f>
        <v/>
      </c>
      <c r="L742" s="10" t="n">
        <v>19503.16</v>
      </c>
      <c r="M742" s="12" t="n">
        <v>1</v>
      </c>
    </row>
    <row r="743">
      <c r="A743" s="4" t="inlineStr">
        <is>
          <t>MAT-26-018</t>
        </is>
      </c>
      <c r="B743" s="5" t="inlineStr">
        <is>
          <t>Mueble Fit suspendido 50 x 40 x 55 Negro Mate Pef</t>
        </is>
      </c>
      <c r="C743" s="4" t="inlineStr">
        <is>
          <t>unidad</t>
        </is>
      </c>
      <c r="D743" s="10" t="n">
        <v>19517.62</v>
      </c>
      <c r="E743" s="10" t="n"/>
      <c r="F743" s="10" t="n"/>
      <c r="G743" s="10">
        <f>IF(COUNT(D743:F743)=0,"",MIN(D743:F743))</f>
        <v/>
      </c>
      <c r="H743" s="10">
        <f>IF(COUNT(D743:F743)=0,"",MEDIAN(D743:F743))</f>
        <v/>
      </c>
      <c r="I743" s="10">
        <f>IF(COUNT(D743:F743)=0,"",MAX(D743:F743))</f>
        <v/>
      </c>
      <c r="J743" s="11">
        <f>IF(OR(G743="",G743=0),"",(I743-G743)/G743)</f>
        <v/>
      </c>
      <c r="K743" s="4">
        <f>IF(COUNT(D743:F743)=0,"",INDEX($D$1:$F$1,MATCH(MIN(D743:F743),D743:F743,0)))</f>
        <v/>
      </c>
      <c r="L743" s="10" t="n">
        <v>19517.62</v>
      </c>
      <c r="M743" s="12" t="n">
        <v>1</v>
      </c>
    </row>
    <row r="744">
      <c r="A744" s="4" t="inlineStr">
        <is>
          <t>MAT-26-019</t>
        </is>
      </c>
      <c r="B744" s="5" t="inlineStr">
        <is>
          <t>Mueble Surf 60 Lino</t>
        </is>
      </c>
      <c r="C744" s="4" t="inlineStr">
        <is>
          <t>unidad</t>
        </is>
      </c>
      <c r="D744" s="10" t="n">
        <v>19711.94</v>
      </c>
      <c r="E744" s="10" t="n"/>
      <c r="F744" s="10" t="n"/>
      <c r="G744" s="10">
        <f>IF(COUNT(D744:F744)=0,"",MIN(D744:F744))</f>
        <v/>
      </c>
      <c r="H744" s="10">
        <f>IF(COUNT(D744:F744)=0,"",MEDIAN(D744:F744))</f>
        <v/>
      </c>
      <c r="I744" s="10">
        <f>IF(COUNT(D744:F744)=0,"",MAX(D744:F744))</f>
        <v/>
      </c>
      <c r="J744" s="11">
        <f>IF(OR(G744="",G744=0),"",(I744-G744)/G744)</f>
        <v/>
      </c>
      <c r="K744" s="4">
        <f>IF(COUNT(D744:F744)=0,"",INDEX($D$1:$F$1,MATCH(MIN(D744:F744),D744:F744,0)))</f>
        <v/>
      </c>
      <c r="L744" s="10" t="n">
        <v>19711.94</v>
      </c>
      <c r="M744" s="12" t="n">
        <v>1</v>
      </c>
    </row>
    <row r="745">
      <c r="A745" s="4" t="inlineStr">
        <is>
          <t>MAT-26-020</t>
        </is>
      </c>
      <c r="B745" s="5" t="inlineStr">
        <is>
          <t>Mueble Volga 80 P2 suspendido Blanco</t>
        </is>
      </c>
      <c r="C745" s="4" t="inlineStr">
        <is>
          <t>unidad</t>
        </is>
      </c>
      <c r="D745" s="10" t="n">
        <v>19905.11</v>
      </c>
      <c r="E745" s="10" t="n"/>
      <c r="F745" s="10" t="n"/>
      <c r="G745" s="10">
        <f>IF(COUNT(D745:F745)=0,"",MIN(D745:F745))</f>
        <v/>
      </c>
      <c r="H745" s="10">
        <f>IF(COUNT(D745:F745)=0,"",MEDIAN(D745:F745))</f>
        <v/>
      </c>
      <c r="I745" s="10">
        <f>IF(COUNT(D745:F745)=0,"",MAX(D745:F745))</f>
        <v/>
      </c>
      <c r="J745" s="11">
        <f>IF(OR(G745="",G745=0),"",(I745-G745)/G745)</f>
        <v/>
      </c>
      <c r="K745" s="4">
        <f>IF(COUNT(D745:F745)=0,"",INDEX($D$1:$F$1,MATCH(MIN(D745:F745),D745:F745,0)))</f>
        <v/>
      </c>
      <c r="L745" s="10" t="n">
        <v>19905.11</v>
      </c>
      <c r="M745" s="12" t="n">
        <v>1</v>
      </c>
    </row>
    <row r="746">
      <c r="A746" s="4" t="inlineStr">
        <is>
          <t>MAT-26-021</t>
        </is>
      </c>
      <c r="B746" s="5" t="inlineStr">
        <is>
          <t>Mueble Volga 80 P2 suspendido Roble Hera</t>
        </is>
      </c>
      <c r="C746" s="4" t="inlineStr">
        <is>
          <t>unidad</t>
        </is>
      </c>
      <c r="D746" s="10" t="n">
        <v>19949.84</v>
      </c>
      <c r="E746" s="10" t="n"/>
      <c r="F746" s="10" t="n"/>
      <c r="G746" s="10">
        <f>IF(COUNT(D746:F746)=0,"",MIN(D746:F746))</f>
        <v/>
      </c>
      <c r="H746" s="10">
        <f>IF(COUNT(D746:F746)=0,"",MEDIAN(D746:F746))</f>
        <v/>
      </c>
      <c r="I746" s="10">
        <f>IF(COUNT(D746:F746)=0,"",MAX(D746:F746))</f>
        <v/>
      </c>
      <c r="J746" s="11">
        <f>IF(OR(G746="",G746=0),"",(I746-G746)/G746)</f>
        <v/>
      </c>
      <c r="K746" s="4">
        <f>IF(COUNT(D746:F746)=0,"",INDEX($D$1:$F$1,MATCH(MIN(D746:F746),D746:F746,0)))</f>
        <v/>
      </c>
      <c r="L746" s="10" t="n">
        <v>19949.84</v>
      </c>
      <c r="M746" s="12" t="n">
        <v>1</v>
      </c>
    </row>
    <row r="747">
      <c r="A747" s="4" t="inlineStr">
        <is>
          <t>MAT-26-022</t>
        </is>
      </c>
      <c r="B747" s="5" t="inlineStr">
        <is>
          <t>Mueble Volga 60 G2 suspendido Roble Hera</t>
        </is>
      </c>
      <c r="C747" s="4" t="inlineStr">
        <is>
          <t>unidad</t>
        </is>
      </c>
      <c r="D747" s="10" t="n">
        <v>20203.04</v>
      </c>
      <c r="E747" s="10" t="n"/>
      <c r="F747" s="10" t="n"/>
      <c r="G747" s="10">
        <f>IF(COUNT(D747:F747)=0,"",MIN(D747:F747))</f>
        <v/>
      </c>
      <c r="H747" s="10">
        <f>IF(COUNT(D747:F747)=0,"",MEDIAN(D747:F747))</f>
        <v/>
      </c>
      <c r="I747" s="10">
        <f>IF(COUNT(D747:F747)=0,"",MAX(D747:F747))</f>
        <v/>
      </c>
      <c r="J747" s="11">
        <f>IF(OR(G747="",G747=0),"",(I747-G747)/G747)</f>
        <v/>
      </c>
      <c r="K747" s="4">
        <f>IF(COUNT(D747:F747)=0,"",INDEX($D$1:$F$1,MATCH(MIN(D747:F747),D747:F747,0)))</f>
        <v/>
      </c>
      <c r="L747" s="10" t="n">
        <v>20203.04</v>
      </c>
      <c r="M747" s="12" t="n">
        <v>1</v>
      </c>
    </row>
    <row r="748">
      <c r="A748" s="4" t="inlineStr">
        <is>
          <t>MAT-26-023</t>
        </is>
      </c>
      <c r="B748" s="5" t="inlineStr">
        <is>
          <t>Mueble Arrabida 2 60 x 45 x 81 Carvalho Pefc</t>
        </is>
      </c>
      <c r="C748" s="4" t="inlineStr">
        <is>
          <t>unidad</t>
        </is>
      </c>
      <c r="D748" s="10" t="n">
        <v>20322.16</v>
      </c>
      <c r="E748" s="10" t="n"/>
      <c r="F748" s="10" t="n"/>
      <c r="G748" s="10">
        <f>IF(COUNT(D748:F748)=0,"",MIN(D748:F748))</f>
        <v/>
      </c>
      <c r="H748" s="10">
        <f>IF(COUNT(D748:F748)=0,"",MEDIAN(D748:F748))</f>
        <v/>
      </c>
      <c r="I748" s="10">
        <f>IF(COUNT(D748:F748)=0,"",MAX(D748:F748))</f>
        <v/>
      </c>
      <c r="J748" s="11">
        <f>IF(OR(G748="",G748=0),"",(I748-G748)/G748)</f>
        <v/>
      </c>
      <c r="K748" s="4">
        <f>IF(COUNT(D748:F748)=0,"",INDEX($D$1:$F$1,MATCH(MIN(D748:F748),D748:F748,0)))</f>
        <v/>
      </c>
      <c r="L748" s="10" t="n">
        <v>20322.16</v>
      </c>
      <c r="M748" s="12" t="n">
        <v>1</v>
      </c>
    </row>
    <row r="749">
      <c r="A749" s="4" t="inlineStr">
        <is>
          <t>MAT-26-024</t>
        </is>
      </c>
      <c r="B749" s="5" t="inlineStr">
        <is>
          <t>Mueble Volga 60 G2 suspendido Blanco</t>
        </is>
      </c>
      <c r="C749" s="4" t="inlineStr">
        <is>
          <t>unidad</t>
        </is>
      </c>
      <c r="D749" s="10" t="n">
        <v>20361.76</v>
      </c>
      <c r="E749" s="10" t="n"/>
      <c r="F749" s="10" t="n"/>
      <c r="G749" s="10">
        <f>IF(COUNT(D749:F749)=0,"",MIN(D749:F749))</f>
        <v/>
      </c>
      <c r="H749" s="10">
        <f>IF(COUNT(D749:F749)=0,"",MEDIAN(D749:F749))</f>
        <v/>
      </c>
      <c r="I749" s="10">
        <f>IF(COUNT(D749:F749)=0,"",MAX(D749:F749))</f>
        <v/>
      </c>
      <c r="J749" s="11">
        <f>IF(OR(G749="",G749=0),"",(I749-G749)/G749)</f>
        <v/>
      </c>
      <c r="K749" s="4">
        <f>IF(COUNT(D749:F749)=0,"",INDEX($D$1:$F$1,MATCH(MIN(D749:F749),D749:F749,0)))</f>
        <v/>
      </c>
      <c r="L749" s="10" t="n">
        <v>20361.76</v>
      </c>
      <c r="M749" s="12" t="n">
        <v>1</v>
      </c>
    </row>
    <row r="750">
      <c r="A750" s="4" t="inlineStr">
        <is>
          <t>MAT-26-025</t>
        </is>
      </c>
      <c r="B750" s="5" t="inlineStr">
        <is>
          <t>Mueble Roma Suspend. 80 Blanco / Taiga</t>
        </is>
      </c>
      <c r="C750" s="4" t="inlineStr">
        <is>
          <t>unidad</t>
        </is>
      </c>
      <c r="D750" s="10" t="n">
        <v>21156.93</v>
      </c>
      <c r="E750" s="10" t="n"/>
      <c r="F750" s="10" t="n"/>
      <c r="G750" s="10">
        <f>IF(COUNT(D750:F750)=0,"",MIN(D750:F750))</f>
        <v/>
      </c>
      <c r="H750" s="10">
        <f>IF(COUNT(D750:F750)=0,"",MEDIAN(D750:F750))</f>
        <v/>
      </c>
      <c r="I750" s="10">
        <f>IF(COUNT(D750:F750)=0,"",MAX(D750:F750))</f>
        <v/>
      </c>
      <c r="J750" s="11">
        <f>IF(OR(G750="",G750=0),"",(I750-G750)/G750)</f>
        <v/>
      </c>
      <c r="K750" s="4">
        <f>IF(COUNT(D750:F750)=0,"",INDEX($D$1:$F$1,MATCH(MIN(D750:F750),D750:F750,0)))</f>
        <v/>
      </c>
      <c r="L750" s="10" t="n">
        <v>21156.93</v>
      </c>
      <c r="M750" s="12" t="n">
        <v>1</v>
      </c>
    </row>
    <row r="751">
      <c r="A751" s="4" t="inlineStr">
        <is>
          <t>MAT-26-026</t>
        </is>
      </c>
      <c r="B751" s="5" t="inlineStr">
        <is>
          <t>Mueble Roma Suspend. 80 Blanco / Hercules</t>
        </is>
      </c>
      <c r="C751" s="4" t="inlineStr">
        <is>
          <t>unidad</t>
        </is>
      </c>
      <c r="D751" s="10" t="n">
        <v>21190.31</v>
      </c>
      <c r="E751" s="10" t="n"/>
      <c r="F751" s="10" t="n"/>
      <c r="G751" s="10">
        <f>IF(COUNT(D751:F751)=0,"",MIN(D751:F751))</f>
        <v/>
      </c>
      <c r="H751" s="10">
        <f>IF(COUNT(D751:F751)=0,"",MEDIAN(D751:F751))</f>
        <v/>
      </c>
      <c r="I751" s="10">
        <f>IF(COUNT(D751:F751)=0,"",MAX(D751:F751))</f>
        <v/>
      </c>
      <c r="J751" s="11">
        <f>IF(OR(G751="",G751=0),"",(I751-G751)/G751)</f>
        <v/>
      </c>
      <c r="K751" s="4">
        <f>IF(COUNT(D751:F751)=0,"",INDEX($D$1:$F$1,MATCH(MIN(D751:F751),D751:F751,0)))</f>
        <v/>
      </c>
      <c r="L751" s="10" t="n">
        <v>21190.31</v>
      </c>
      <c r="M751" s="12" t="n">
        <v>1</v>
      </c>
    </row>
    <row r="752">
      <c r="A752" s="4" t="inlineStr">
        <is>
          <t>MAT-26-027</t>
        </is>
      </c>
      <c r="B752" s="5" t="inlineStr">
        <is>
          <t>Mueble Strato 80 Wenge</t>
        </is>
      </c>
      <c r="C752" s="4" t="inlineStr">
        <is>
          <t>unidad</t>
        </is>
      </c>
      <c r="D752" s="10" t="n">
        <v>21711.03</v>
      </c>
      <c r="E752" s="10" t="n"/>
      <c r="F752" s="10" t="n"/>
      <c r="G752" s="10">
        <f>IF(COUNT(D752:F752)=0,"",MIN(D752:F752))</f>
        <v/>
      </c>
      <c r="H752" s="10">
        <f>IF(COUNT(D752:F752)=0,"",MEDIAN(D752:F752))</f>
        <v/>
      </c>
      <c r="I752" s="10">
        <f>IF(COUNT(D752:F752)=0,"",MAX(D752:F752))</f>
        <v/>
      </c>
      <c r="J752" s="11">
        <f>IF(OR(G752="",G752=0),"",(I752-G752)/G752)</f>
        <v/>
      </c>
      <c r="K752" s="4">
        <f>IF(COUNT(D752:F752)=0,"",INDEX($D$1:$F$1,MATCH(MIN(D752:F752),D752:F752,0)))</f>
        <v/>
      </c>
      <c r="L752" s="10" t="n">
        <v>21711.03</v>
      </c>
      <c r="M752" s="12" t="n">
        <v>1</v>
      </c>
    </row>
    <row r="753">
      <c r="A753" s="4" t="inlineStr">
        <is>
          <t>MAT-26-028</t>
        </is>
      </c>
      <c r="B753" s="5" t="inlineStr">
        <is>
          <t>Mueble Zeus 80 Wengue</t>
        </is>
      </c>
      <c r="C753" s="4" t="inlineStr">
        <is>
          <t>unidad</t>
        </is>
      </c>
      <c r="D753" s="10" t="n">
        <v>21795.98</v>
      </c>
      <c r="E753" s="10" t="n"/>
      <c r="F753" s="10" t="n"/>
      <c r="G753" s="10">
        <f>IF(COUNT(D753:F753)=0,"",MIN(D753:F753))</f>
        <v/>
      </c>
      <c r="H753" s="10">
        <f>IF(COUNT(D753:F753)=0,"",MEDIAN(D753:F753))</f>
        <v/>
      </c>
      <c r="I753" s="10">
        <f>IF(COUNT(D753:F753)=0,"",MAX(D753:F753))</f>
        <v/>
      </c>
      <c r="J753" s="11">
        <f>IF(OR(G753="",G753=0),"",(I753-G753)/G753)</f>
        <v/>
      </c>
      <c r="K753" s="4">
        <f>IF(COUNT(D753:F753)=0,"",INDEX($D$1:$F$1,MATCH(MIN(D753:F753),D753:F753,0)))</f>
        <v/>
      </c>
      <c r="L753" s="10" t="n">
        <v>21795.98</v>
      </c>
      <c r="M753" s="12" t="n">
        <v>1</v>
      </c>
    </row>
    <row r="754">
      <c r="A754" s="4" t="inlineStr">
        <is>
          <t>MAT-26-029</t>
        </is>
      </c>
      <c r="B754" s="5" t="inlineStr">
        <is>
          <t>Mueble Zeus 80 Blanco</t>
        </is>
      </c>
      <c r="C754" s="4" t="inlineStr">
        <is>
          <t>unidad</t>
        </is>
      </c>
      <c r="D754" s="10" t="n">
        <v>21882.03</v>
      </c>
      <c r="E754" s="10" t="n"/>
      <c r="F754" s="10" t="n"/>
      <c r="G754" s="10">
        <f>IF(COUNT(D754:F754)=0,"",MIN(D754:F754))</f>
        <v/>
      </c>
      <c r="H754" s="10">
        <f>IF(COUNT(D754:F754)=0,"",MEDIAN(D754:F754))</f>
        <v/>
      </c>
      <c r="I754" s="10">
        <f>IF(COUNT(D754:F754)=0,"",MAX(D754:F754))</f>
        <v/>
      </c>
      <c r="J754" s="11">
        <f>IF(OR(G754="",G754=0),"",(I754-G754)/G754)</f>
        <v/>
      </c>
      <c r="K754" s="4">
        <f>IF(COUNT(D754:F754)=0,"",INDEX($D$1:$F$1,MATCH(MIN(D754:F754),D754:F754,0)))</f>
        <v/>
      </c>
      <c r="L754" s="10" t="n">
        <v>21882.03</v>
      </c>
      <c r="M754" s="12" t="n">
        <v>1</v>
      </c>
    </row>
    <row r="755">
      <c r="A755" s="4" t="inlineStr">
        <is>
          <t>MAT-26-030</t>
        </is>
      </c>
      <c r="B755" s="5" t="inlineStr">
        <is>
          <t>Mueble Zen 60 G2 Hercules</t>
        </is>
      </c>
      <c r="C755" s="4" t="inlineStr">
        <is>
          <t>unidad</t>
        </is>
      </c>
      <c r="D755" s="10" t="n">
        <v>22110.04</v>
      </c>
      <c r="E755" s="10" t="n"/>
      <c r="F755" s="10" t="n"/>
      <c r="G755" s="10">
        <f>IF(COUNT(D755:F755)=0,"",MIN(D755:F755))</f>
        <v/>
      </c>
      <c r="H755" s="10">
        <f>IF(COUNT(D755:F755)=0,"",MEDIAN(D755:F755))</f>
        <v/>
      </c>
      <c r="I755" s="10">
        <f>IF(COUNT(D755:F755)=0,"",MAX(D755:F755))</f>
        <v/>
      </c>
      <c r="J755" s="11">
        <f>IF(OR(G755="",G755=0),"",(I755-G755)/G755)</f>
        <v/>
      </c>
      <c r="K755" s="4">
        <f>IF(COUNT(D755:F755)=0,"",INDEX($D$1:$F$1,MATCH(MIN(D755:F755),D755:F755,0)))</f>
        <v/>
      </c>
      <c r="L755" s="10" t="n">
        <v>22110.04</v>
      </c>
      <c r="M755" s="12" t="n">
        <v>1</v>
      </c>
    </row>
    <row r="756">
      <c r="A756" s="4" t="inlineStr">
        <is>
          <t>MAT-26-031</t>
        </is>
      </c>
      <c r="B756" s="5" t="inlineStr">
        <is>
          <t>Mueble Zen 60 G2 Blanco</t>
        </is>
      </c>
      <c r="C756" s="4" t="inlineStr">
        <is>
          <t>unidad</t>
        </is>
      </c>
      <c r="D756" s="10" t="n">
        <v>22157.17</v>
      </c>
      <c r="E756" s="10" t="n"/>
      <c r="F756" s="10" t="n"/>
      <c r="G756" s="10">
        <f>IF(COUNT(D756:F756)=0,"",MIN(D756:F756))</f>
        <v/>
      </c>
      <c r="H756" s="10">
        <f>IF(COUNT(D756:F756)=0,"",MEDIAN(D756:F756))</f>
        <v/>
      </c>
      <c r="I756" s="10">
        <f>IF(COUNT(D756:F756)=0,"",MAX(D756:F756))</f>
        <v/>
      </c>
      <c r="J756" s="11">
        <f>IF(OR(G756="",G756=0),"",(I756-G756)/G756)</f>
        <v/>
      </c>
      <c r="K756" s="4">
        <f>IF(COUNT(D756:F756)=0,"",INDEX($D$1:$F$1,MATCH(MIN(D756:F756),D756:F756,0)))</f>
        <v/>
      </c>
      <c r="L756" s="10" t="n">
        <v>22157.17</v>
      </c>
      <c r="M756" s="12" t="n">
        <v>1</v>
      </c>
    </row>
    <row r="757">
      <c r="A757" s="4" t="inlineStr">
        <is>
          <t>MAT-26-032</t>
        </is>
      </c>
      <c r="B757" s="5" t="inlineStr">
        <is>
          <t>Mueble Samba 60 Lino</t>
        </is>
      </c>
      <c r="C757" s="4" t="inlineStr">
        <is>
          <t>unidad</t>
        </is>
      </c>
      <c r="D757" s="10" t="n">
        <v>23215.59</v>
      </c>
      <c r="E757" s="10" t="n"/>
      <c r="F757" s="10" t="n"/>
      <c r="G757" s="10">
        <f>IF(COUNT(D757:F757)=0,"",MIN(D757:F757))</f>
        <v/>
      </c>
      <c r="H757" s="10">
        <f>IF(COUNT(D757:F757)=0,"",MEDIAN(D757:F757))</f>
        <v/>
      </c>
      <c r="I757" s="10">
        <f>IF(COUNT(D757:F757)=0,"",MAX(D757:F757))</f>
        <v/>
      </c>
      <c r="J757" s="11">
        <f>IF(OR(G757="",G757=0),"",(I757-G757)/G757)</f>
        <v/>
      </c>
      <c r="K757" s="4">
        <f>IF(COUNT(D757:F757)=0,"",INDEX($D$1:$F$1,MATCH(MIN(D757:F757),D757:F757,0)))</f>
        <v/>
      </c>
      <c r="L757" s="10" t="n">
        <v>23215.59</v>
      </c>
      <c r="M757" s="12" t="n">
        <v>1</v>
      </c>
    </row>
    <row r="758">
      <c r="A758" s="4" t="inlineStr">
        <is>
          <t>MAT-26-033</t>
        </is>
      </c>
      <c r="B758" s="5" t="inlineStr">
        <is>
          <t>Mueble Volga 80 G2 suspendido Roble Hera</t>
        </is>
      </c>
      <c r="C758" s="4" t="inlineStr">
        <is>
          <t>unidad</t>
        </is>
      </c>
      <c r="D758" s="10" t="n">
        <v>23218</v>
      </c>
      <c r="E758" s="10" t="n"/>
      <c r="F758" s="10" t="n"/>
      <c r="G758" s="10">
        <f>IF(COUNT(D758:F758)=0,"",MIN(D758:F758))</f>
        <v/>
      </c>
      <c r="H758" s="10">
        <f>IF(COUNT(D758:F758)=0,"",MEDIAN(D758:F758))</f>
        <v/>
      </c>
      <c r="I758" s="10">
        <f>IF(COUNT(D758:F758)=0,"",MAX(D758:F758))</f>
        <v/>
      </c>
      <c r="J758" s="11">
        <f>IF(OR(G758="",G758=0),"",(I758-G758)/G758)</f>
        <v/>
      </c>
      <c r="K758" s="4">
        <f>IF(COUNT(D758:F758)=0,"",INDEX($D$1:$F$1,MATCH(MIN(D758:F758),D758:F758,0)))</f>
        <v/>
      </c>
      <c r="L758" s="10" t="n">
        <v>23218</v>
      </c>
      <c r="M758" s="12" t="n">
        <v>1</v>
      </c>
    </row>
    <row r="759">
      <c r="A759" s="4" t="inlineStr">
        <is>
          <t>MAT-26-034</t>
        </is>
      </c>
      <c r="B759" s="5" t="inlineStr">
        <is>
          <t>Mueble Samba Play G3 60 Blanco</t>
        </is>
      </c>
      <c r="C759" s="4" t="inlineStr">
        <is>
          <t>unidad</t>
        </is>
      </c>
      <c r="D759" s="10" t="n">
        <v>23399.53</v>
      </c>
      <c r="E759" s="10" t="n"/>
      <c r="F759" s="10" t="n"/>
      <c r="G759" s="10">
        <f>IF(COUNT(D759:F759)=0,"",MIN(D759:F759))</f>
        <v/>
      </c>
      <c r="H759" s="10">
        <f>IF(COUNT(D759:F759)=0,"",MEDIAN(D759:F759))</f>
        <v/>
      </c>
      <c r="I759" s="10">
        <f>IF(COUNT(D759:F759)=0,"",MAX(D759:F759))</f>
        <v/>
      </c>
      <c r="J759" s="11">
        <f>IF(OR(G759="",G759=0),"",(I759-G759)/G759)</f>
        <v/>
      </c>
      <c r="K759" s="4">
        <f>IF(COUNT(D759:F759)=0,"",INDEX($D$1:$F$1,MATCH(MIN(D759:F759),D759:F759,0)))</f>
        <v/>
      </c>
      <c r="L759" s="10" t="n">
        <v>23399.53</v>
      </c>
      <c r="M759" s="12" t="n">
        <v>1</v>
      </c>
    </row>
    <row r="760">
      <c r="A760" s="4" t="inlineStr">
        <is>
          <t>MAT-26-035</t>
        </is>
      </c>
      <c r="B760" s="5" t="inlineStr">
        <is>
          <t>Mueble Arrabida 2 80 x 45 x 81 Carvalho Pefc</t>
        </is>
      </c>
      <c r="C760" s="4" t="inlineStr">
        <is>
          <t>unidad</t>
        </is>
      </c>
      <c r="D760" s="10" t="n">
        <v>23550.43</v>
      </c>
      <c r="E760" s="10" t="n"/>
      <c r="F760" s="10" t="n"/>
      <c r="G760" s="10">
        <f>IF(COUNT(D760:F760)=0,"",MIN(D760:F760))</f>
        <v/>
      </c>
      <c r="H760" s="10">
        <f>IF(COUNT(D760:F760)=0,"",MEDIAN(D760:F760))</f>
        <v/>
      </c>
      <c r="I760" s="10">
        <f>IF(COUNT(D760:F760)=0,"",MAX(D760:F760))</f>
        <v/>
      </c>
      <c r="J760" s="11">
        <f>IF(OR(G760="",G760=0),"",(I760-G760)/G760)</f>
        <v/>
      </c>
      <c r="K760" s="4">
        <f>IF(COUNT(D760:F760)=0,"",INDEX($D$1:$F$1,MATCH(MIN(D760:F760),D760:F760,0)))</f>
        <v/>
      </c>
      <c r="L760" s="10" t="n">
        <v>23550.43</v>
      </c>
      <c r="M760" s="12" t="n">
        <v>1</v>
      </c>
    </row>
    <row r="761">
      <c r="A761" s="4" t="inlineStr">
        <is>
          <t>MAT-26-036</t>
        </is>
      </c>
      <c r="B761" s="5" t="inlineStr">
        <is>
          <t>Mueble Versatil Movel 80 P2G3 Branco</t>
        </is>
      </c>
      <c r="C761" s="4" t="inlineStr">
        <is>
          <t>unidad</t>
        </is>
      </c>
      <c r="D761" s="10" t="n">
        <v>24460.36</v>
      </c>
      <c r="E761" s="10" t="n"/>
      <c r="F761" s="10" t="n"/>
      <c r="G761" s="10">
        <f>IF(COUNT(D761:F761)=0,"",MIN(D761:F761))</f>
        <v/>
      </c>
      <c r="H761" s="10">
        <f>IF(COUNT(D761:F761)=0,"",MEDIAN(D761:F761))</f>
        <v/>
      </c>
      <c r="I761" s="10">
        <f>IF(COUNT(D761:F761)=0,"",MAX(D761:F761))</f>
        <v/>
      </c>
      <c r="J761" s="11">
        <f>IF(OR(G761="",G761=0),"",(I761-G761)/G761)</f>
        <v/>
      </c>
      <c r="K761" s="4">
        <f>IF(COUNT(D761:F761)=0,"",INDEX($D$1:$F$1,MATCH(MIN(D761:F761),D761:F761,0)))</f>
        <v/>
      </c>
      <c r="L761" s="10" t="n">
        <v>24460.36</v>
      </c>
      <c r="M761" s="12" t="n">
        <v>1</v>
      </c>
    </row>
    <row r="762">
      <c r="A762" s="4" t="inlineStr">
        <is>
          <t>MAT-26-037</t>
        </is>
      </c>
      <c r="B762" s="5" t="inlineStr">
        <is>
          <t>Mueble Arrabida 2 60 x 45 x 81 Cinza Mate</t>
        </is>
      </c>
      <c r="C762" s="4" t="inlineStr">
        <is>
          <t>unidad</t>
        </is>
      </c>
      <c r="D762" s="10" t="n">
        <v>24472.13</v>
      </c>
      <c r="E762" s="10" t="n"/>
      <c r="F762" s="10" t="n"/>
      <c r="G762" s="10">
        <f>IF(COUNT(D762:F762)=0,"",MIN(D762:F762))</f>
        <v/>
      </c>
      <c r="H762" s="10">
        <f>IF(COUNT(D762:F762)=0,"",MEDIAN(D762:F762))</f>
        <v/>
      </c>
      <c r="I762" s="10">
        <f>IF(COUNT(D762:F762)=0,"",MAX(D762:F762))</f>
        <v/>
      </c>
      <c r="J762" s="11">
        <f>IF(OR(G762="",G762=0),"",(I762-G762)/G762)</f>
        <v/>
      </c>
      <c r="K762" s="4">
        <f>IF(COUNT(D762:F762)=0,"",INDEX($D$1:$F$1,MATCH(MIN(D762:F762),D762:F762,0)))</f>
        <v/>
      </c>
      <c r="L762" s="10" t="n">
        <v>24472.13</v>
      </c>
      <c r="M762" s="12" t="n">
        <v>1</v>
      </c>
    </row>
    <row r="763">
      <c r="A763" s="4" t="inlineStr">
        <is>
          <t>MAT-26-038</t>
        </is>
      </c>
      <c r="B763" s="5" t="inlineStr">
        <is>
          <t>Mueble Arrabida 2 60 x 45 x 81 Blanco Mate</t>
        </is>
      </c>
      <c r="C763" s="4" t="inlineStr">
        <is>
          <t>unidad</t>
        </is>
      </c>
      <c r="D763" s="10" t="n">
        <v>25043.35</v>
      </c>
      <c r="E763" s="10" t="n"/>
      <c r="F763" s="10" t="n"/>
      <c r="G763" s="10">
        <f>IF(COUNT(D763:F763)=0,"",MIN(D763:F763))</f>
        <v/>
      </c>
      <c r="H763" s="10">
        <f>IF(COUNT(D763:F763)=0,"",MEDIAN(D763:F763))</f>
        <v/>
      </c>
      <c r="I763" s="10">
        <f>IF(COUNT(D763:F763)=0,"",MAX(D763:F763))</f>
        <v/>
      </c>
      <c r="J763" s="11">
        <f>IF(OR(G763="",G763=0),"",(I763-G763)/G763)</f>
        <v/>
      </c>
      <c r="K763" s="4">
        <f>IF(COUNT(D763:F763)=0,"",INDEX($D$1:$F$1,MATCH(MIN(D763:F763),D763:F763,0)))</f>
        <v/>
      </c>
      <c r="L763" s="10" t="n">
        <v>25043.35</v>
      </c>
      <c r="M763" s="12" t="n">
        <v>1</v>
      </c>
    </row>
    <row r="764">
      <c r="A764" s="4" t="inlineStr">
        <is>
          <t>MAT-26-039</t>
        </is>
      </c>
      <c r="B764" s="5" t="inlineStr">
        <is>
          <t>Mueble Jazz 80 Blanco Lino</t>
        </is>
      </c>
      <c r="C764" s="4" t="inlineStr">
        <is>
          <t>unidad</t>
        </is>
      </c>
      <c r="D764" s="10" t="n">
        <v>26981.67</v>
      </c>
      <c r="E764" s="10" t="n"/>
      <c r="F764" s="10" t="n"/>
      <c r="G764" s="10">
        <f>IF(COUNT(D764:F764)=0,"",MIN(D764:F764))</f>
        <v/>
      </c>
      <c r="H764" s="10">
        <f>IF(COUNT(D764:F764)=0,"",MEDIAN(D764:F764))</f>
        <v/>
      </c>
      <c r="I764" s="10">
        <f>IF(COUNT(D764:F764)=0,"",MAX(D764:F764))</f>
        <v/>
      </c>
      <c r="J764" s="11">
        <f>IF(OR(G764="",G764=0),"",(I764-G764)/G764)</f>
        <v/>
      </c>
      <c r="K764" s="4">
        <f>IF(COUNT(D764:F764)=0,"",INDEX($D$1:$F$1,MATCH(MIN(D764:F764),D764:F764,0)))</f>
        <v/>
      </c>
      <c r="L764" s="10" t="n">
        <v>26981.67</v>
      </c>
      <c r="M764" s="12" t="n">
        <v>1</v>
      </c>
    </row>
    <row r="765">
      <c r="A765" s="4" t="inlineStr">
        <is>
          <t>MAT-26-040</t>
        </is>
      </c>
      <c r="B765" s="5" t="inlineStr">
        <is>
          <t>Mueble Mirage 60 Carvallo</t>
        </is>
      </c>
      <c r="C765" s="4" t="inlineStr">
        <is>
          <t>unidad</t>
        </is>
      </c>
      <c r="D765" s="10" t="n">
        <v>27541.57</v>
      </c>
      <c r="E765" s="10" t="n"/>
      <c r="F765" s="10" t="n"/>
      <c r="G765" s="10">
        <f>IF(COUNT(D765:F765)=0,"",MIN(D765:F765))</f>
        <v/>
      </c>
      <c r="H765" s="10">
        <f>IF(COUNT(D765:F765)=0,"",MEDIAN(D765:F765))</f>
        <v/>
      </c>
      <c r="I765" s="10">
        <f>IF(COUNT(D765:F765)=0,"",MAX(D765:F765))</f>
        <v/>
      </c>
      <c r="J765" s="11">
        <f>IF(OR(G765="",G765=0),"",(I765-G765)/G765)</f>
        <v/>
      </c>
      <c r="K765" s="4">
        <f>IF(COUNT(D765:F765)=0,"",INDEX($D$1:$F$1,MATCH(MIN(D765:F765),D765:F765,0)))</f>
        <v/>
      </c>
      <c r="L765" s="10" t="n">
        <v>27541.57</v>
      </c>
      <c r="M765" s="12" t="n">
        <v>1</v>
      </c>
    </row>
    <row r="766">
      <c r="A766" s="4" t="inlineStr">
        <is>
          <t>MAT-26-041</t>
        </is>
      </c>
      <c r="B766" s="5" t="inlineStr">
        <is>
          <t>Mueble Mirage Movel G2 60 Roble</t>
        </is>
      </c>
      <c r="C766" s="4" t="inlineStr">
        <is>
          <t>unidad</t>
        </is>
      </c>
      <c r="D766" s="10" t="n">
        <v>27754.59</v>
      </c>
      <c r="E766" s="10" t="n"/>
      <c r="F766" s="10" t="n"/>
      <c r="G766" s="10">
        <f>IF(COUNT(D766:F766)=0,"",MIN(D766:F766))</f>
        <v/>
      </c>
      <c r="H766" s="10">
        <f>IF(COUNT(D766:F766)=0,"",MEDIAN(D766:F766))</f>
        <v/>
      </c>
      <c r="I766" s="10">
        <f>IF(COUNT(D766:F766)=0,"",MAX(D766:F766))</f>
        <v/>
      </c>
      <c r="J766" s="11">
        <f>IF(OR(G766="",G766=0),"",(I766-G766)/G766)</f>
        <v/>
      </c>
      <c r="K766" s="4">
        <f>IF(COUNT(D766:F766)=0,"",INDEX($D$1:$F$1,MATCH(MIN(D766:F766),D766:F766,0)))</f>
        <v/>
      </c>
      <c r="L766" s="10" t="n">
        <v>27754.59</v>
      </c>
      <c r="M766" s="12" t="n">
        <v>1</v>
      </c>
    </row>
    <row r="767">
      <c r="A767" s="4" t="inlineStr">
        <is>
          <t>MAT-26-042</t>
        </is>
      </c>
      <c r="B767" s="5" t="inlineStr">
        <is>
          <t>Mueble Arrabida 2 80 x 45 x 81 Blanco Mate</t>
        </is>
      </c>
      <c r="C767" s="4" t="inlineStr">
        <is>
          <t>unidad</t>
        </is>
      </c>
      <c r="D767" s="10" t="n">
        <v>28527.23</v>
      </c>
      <c r="E767" s="10" t="n"/>
      <c r="F767" s="10" t="n"/>
      <c r="G767" s="10">
        <f>IF(COUNT(D767:F767)=0,"",MIN(D767:F767))</f>
        <v/>
      </c>
      <c r="H767" s="10">
        <f>IF(COUNT(D767:F767)=0,"",MEDIAN(D767:F767))</f>
        <v/>
      </c>
      <c r="I767" s="10">
        <f>IF(COUNT(D767:F767)=0,"",MAX(D767:F767))</f>
        <v/>
      </c>
      <c r="J767" s="11">
        <f>IF(OR(G767="",G767=0),"",(I767-G767)/G767)</f>
        <v/>
      </c>
      <c r="K767" s="4">
        <f>IF(COUNT(D767:F767)=0,"",INDEX($D$1:$F$1,MATCH(MIN(D767:F767),D767:F767,0)))</f>
        <v/>
      </c>
      <c r="L767" s="10" t="n">
        <v>28527.23</v>
      </c>
      <c r="M767" s="12" t="n">
        <v>1</v>
      </c>
    </row>
    <row r="768">
      <c r="A768" s="4" t="inlineStr">
        <is>
          <t>MAT-26-043</t>
        </is>
      </c>
      <c r="B768" s="5" t="inlineStr">
        <is>
          <t>Mueble One Movel G2 Suspend. 60 Taiga</t>
        </is>
      </c>
      <c r="C768" s="4" t="inlineStr">
        <is>
          <t>unidad</t>
        </is>
      </c>
      <c r="D768" s="10" t="n">
        <v>29740.05</v>
      </c>
      <c r="E768" s="10" t="n"/>
      <c r="F768" s="10" t="n"/>
      <c r="G768" s="10">
        <f>IF(COUNT(D768:F768)=0,"",MIN(D768:F768))</f>
        <v/>
      </c>
      <c r="H768" s="10">
        <f>IF(COUNT(D768:F768)=0,"",MEDIAN(D768:F768))</f>
        <v/>
      </c>
      <c r="I768" s="10">
        <f>IF(COUNT(D768:F768)=0,"",MAX(D768:F768))</f>
        <v/>
      </c>
      <c r="J768" s="11">
        <f>IF(OR(G768="",G768=0),"",(I768-G768)/G768)</f>
        <v/>
      </c>
      <c r="K768" s="4">
        <f>IF(COUNT(D768:F768)=0,"",INDEX($D$1:$F$1,MATCH(MIN(D768:F768),D768:F768,0)))</f>
        <v/>
      </c>
      <c r="L768" s="10" t="n">
        <v>29740.05</v>
      </c>
      <c r="M768" s="12" t="n">
        <v>1</v>
      </c>
    </row>
    <row r="769">
      <c r="A769" s="4" t="inlineStr">
        <is>
          <t>MAT-26-044</t>
        </is>
      </c>
      <c r="B769" s="5" t="inlineStr">
        <is>
          <t>Mueble One Movel G2 Suspend. 60 Hercules</t>
        </is>
      </c>
      <c r="C769" s="4" t="inlineStr">
        <is>
          <t>unidad</t>
        </is>
      </c>
      <c r="D769" s="10" t="n">
        <v>30823.94</v>
      </c>
      <c r="E769" s="10" t="n"/>
      <c r="F769" s="10" t="n"/>
      <c r="G769" s="10">
        <f>IF(COUNT(D769:F769)=0,"",MIN(D769:F769))</f>
        <v/>
      </c>
      <c r="H769" s="10">
        <f>IF(COUNT(D769:F769)=0,"",MEDIAN(D769:F769))</f>
        <v/>
      </c>
      <c r="I769" s="10">
        <f>IF(COUNT(D769:F769)=0,"",MAX(D769:F769))</f>
        <v/>
      </c>
      <c r="J769" s="11">
        <f>IF(OR(G769="",G769=0),"",(I769-G769)/G769)</f>
        <v/>
      </c>
      <c r="K769" s="4">
        <f>IF(COUNT(D769:F769)=0,"",INDEX($D$1:$F$1,MATCH(MIN(D769:F769),D769:F769,0)))</f>
        <v/>
      </c>
      <c r="L769" s="10" t="n">
        <v>30823.94</v>
      </c>
      <c r="M769" s="12" t="n">
        <v>1</v>
      </c>
    </row>
    <row r="770">
      <c r="A770" s="4" t="inlineStr">
        <is>
          <t>MAT-26-045</t>
        </is>
      </c>
      <c r="B770" s="5" t="inlineStr">
        <is>
          <t>Mueble One Movel G2 Suspend. 80 Taiga</t>
        </is>
      </c>
      <c r="C770" s="4" t="inlineStr">
        <is>
          <t>unidad</t>
        </is>
      </c>
      <c r="D770" s="10" t="n">
        <v>32918.33</v>
      </c>
      <c r="E770" s="10" t="n"/>
      <c r="F770" s="10" t="n"/>
      <c r="G770" s="10">
        <f>IF(COUNT(D770:F770)=0,"",MIN(D770:F770))</f>
        <v/>
      </c>
      <c r="H770" s="10">
        <f>IF(COUNT(D770:F770)=0,"",MEDIAN(D770:F770))</f>
        <v/>
      </c>
      <c r="I770" s="10">
        <f>IF(COUNT(D770:F770)=0,"",MAX(D770:F770))</f>
        <v/>
      </c>
      <c r="J770" s="11">
        <f>IF(OR(G770="",G770=0),"",(I770-G770)/G770)</f>
        <v/>
      </c>
      <c r="K770" s="4">
        <f>IF(COUNT(D770:F770)=0,"",INDEX($D$1:$F$1,MATCH(MIN(D770:F770),D770:F770,0)))</f>
        <v/>
      </c>
      <c r="L770" s="10" t="n">
        <v>32918.33</v>
      </c>
      <c r="M770" s="12" t="n">
        <v>1</v>
      </c>
    </row>
    <row r="771">
      <c r="A771" s="4" t="inlineStr">
        <is>
          <t>MAT-26-046</t>
        </is>
      </c>
      <c r="B771" s="5" t="inlineStr">
        <is>
          <t>Mueble Luxor Vegas 60 Estepa Fren Blanco</t>
        </is>
      </c>
      <c r="C771" s="4" t="inlineStr">
        <is>
          <t>unidad</t>
        </is>
      </c>
      <c r="D771" s="10" t="n">
        <v>33698.71</v>
      </c>
      <c r="E771" s="10" t="n"/>
      <c r="F771" s="10" t="n"/>
      <c r="G771" s="10">
        <f>IF(COUNT(D771:F771)=0,"",MIN(D771:F771))</f>
        <v/>
      </c>
      <c r="H771" s="10">
        <f>IF(COUNT(D771:F771)=0,"",MEDIAN(D771:F771))</f>
        <v/>
      </c>
      <c r="I771" s="10">
        <f>IF(COUNT(D771:F771)=0,"",MAX(D771:F771))</f>
        <v/>
      </c>
      <c r="J771" s="11">
        <f>IF(OR(G771="",G771=0),"",(I771-G771)/G771)</f>
        <v/>
      </c>
      <c r="K771" s="4">
        <f>IF(COUNT(D771:F771)=0,"",INDEX($D$1:$F$1,MATCH(MIN(D771:F771),D771:F771,0)))</f>
        <v/>
      </c>
      <c r="L771" s="10" t="n">
        <v>33698.71</v>
      </c>
      <c r="M771" s="12" t="n">
        <v>1</v>
      </c>
    </row>
    <row r="772">
      <c r="A772" s="4" t="inlineStr">
        <is>
          <t>MAT-26-047</t>
        </is>
      </c>
      <c r="B772" s="5" t="inlineStr">
        <is>
          <t>Mueble Jazz 120 Blanco Lino</t>
        </is>
      </c>
      <c r="C772" s="4" t="inlineStr">
        <is>
          <t>unidad</t>
        </is>
      </c>
      <c r="D772" s="10" t="n">
        <v>45479.87</v>
      </c>
      <c r="E772" s="10" t="n"/>
      <c r="F772" s="10" t="n"/>
      <c r="G772" s="10">
        <f>IF(COUNT(D772:F772)=0,"",MIN(D772:F772))</f>
        <v/>
      </c>
      <c r="H772" s="10">
        <f>IF(COUNT(D772:F772)=0,"",MEDIAN(D772:F772))</f>
        <v/>
      </c>
      <c r="I772" s="10">
        <f>IF(COUNT(D772:F772)=0,"",MAX(D772:F772))</f>
        <v/>
      </c>
      <c r="J772" s="11">
        <f>IF(OR(G772="",G772=0),"",(I772-G772)/G772)</f>
        <v/>
      </c>
      <c r="K772" s="4">
        <f>IF(COUNT(D772:F772)=0,"",INDEX($D$1:$F$1,MATCH(MIN(D772:F772),D772:F772,0)))</f>
        <v/>
      </c>
      <c r="L772" s="10" t="n">
        <v>45479.87</v>
      </c>
      <c r="M772" s="12" t="n">
        <v>1</v>
      </c>
    </row>
    <row r="773">
      <c r="A773" s="4" t="inlineStr">
        <is>
          <t>MAT-26-048</t>
        </is>
      </c>
      <c r="B773" s="5" t="inlineStr">
        <is>
          <t>Mueble Jota 80 Susp Blanco</t>
        </is>
      </c>
      <c r="C773" s="4" t="inlineStr">
        <is>
          <t>unidad</t>
        </is>
      </c>
      <c r="D773" s="10" t="n">
        <v>45823.49</v>
      </c>
      <c r="E773" s="10" t="n"/>
      <c r="F773" s="10" t="n"/>
      <c r="G773" s="10">
        <f>IF(COUNT(D773:F773)=0,"",MIN(D773:F773))</f>
        <v/>
      </c>
      <c r="H773" s="10">
        <f>IF(COUNT(D773:F773)=0,"",MEDIAN(D773:F773))</f>
        <v/>
      </c>
      <c r="I773" s="10">
        <f>IF(COUNT(D773:F773)=0,"",MAX(D773:F773))</f>
        <v/>
      </c>
      <c r="J773" s="11">
        <f>IF(OR(G773="",G773=0),"",(I773-G773)/G773)</f>
        <v/>
      </c>
      <c r="K773" s="4">
        <f>IF(COUNT(D773:F773)=0,"",INDEX($D$1:$F$1,MATCH(MIN(D773:F773),D773:F773,0)))</f>
        <v/>
      </c>
      <c r="L773" s="10" t="n">
        <v>45823.49</v>
      </c>
      <c r="M773" s="12" t="n">
        <v>1</v>
      </c>
    </row>
    <row r="774">
      <c r="A774" s="4" t="inlineStr">
        <is>
          <t>MAT-26-049</t>
        </is>
      </c>
      <c r="B774" s="5" t="inlineStr">
        <is>
          <t>Mueble Jota 80 Susp Carvalho</t>
        </is>
      </c>
      <c r="C774" s="4" t="inlineStr">
        <is>
          <t>unidad</t>
        </is>
      </c>
      <c r="D774" s="10" t="n">
        <v>48148.71</v>
      </c>
      <c r="E774" s="10" t="n"/>
      <c r="F774" s="10" t="n"/>
      <c r="G774" s="10">
        <f>IF(COUNT(D774:F774)=0,"",MIN(D774:F774))</f>
        <v/>
      </c>
      <c r="H774" s="10">
        <f>IF(COUNT(D774:F774)=0,"",MEDIAN(D774:F774))</f>
        <v/>
      </c>
      <c r="I774" s="10">
        <f>IF(COUNT(D774:F774)=0,"",MAX(D774:F774))</f>
        <v/>
      </c>
      <c r="J774" s="11">
        <f>IF(OR(G774="",G774=0),"",(I774-G774)/G774)</f>
        <v/>
      </c>
      <c r="K774" s="4">
        <f>IF(COUNT(D774:F774)=0,"",INDEX($D$1:$F$1,MATCH(MIN(D774:F774),D774:F774,0)))</f>
        <v/>
      </c>
      <c r="L774" s="10" t="n">
        <v>48148.71</v>
      </c>
      <c r="M774" s="12" t="n">
        <v>1</v>
      </c>
    </row>
    <row r="775">
      <c r="A775" s="4" t="inlineStr">
        <is>
          <t>MAT-26-050</t>
        </is>
      </c>
      <c r="B775" s="5" t="inlineStr">
        <is>
          <t>Botiquin Redondo Plastico, blanco</t>
        </is>
      </c>
      <c r="C775" s="4" t="inlineStr">
        <is>
          <t>unidad</t>
        </is>
      </c>
      <c r="D775" s="10" t="n">
        <v>725.87</v>
      </c>
      <c r="E775" s="10" t="n"/>
      <c r="F775" s="10" t="n"/>
      <c r="G775" s="10">
        <f>IF(COUNT(D775:F775)=0,"",MIN(D775:F775))</f>
        <v/>
      </c>
      <c r="H775" s="10">
        <f>IF(COUNT(D775:F775)=0,"",MEDIAN(D775:F775))</f>
        <v/>
      </c>
      <c r="I775" s="10">
        <f>IF(COUNT(D775:F775)=0,"",MAX(D775:F775))</f>
        <v/>
      </c>
      <c r="J775" s="11">
        <f>IF(OR(G775="",G775=0),"",(I775-G775)/G775)</f>
        <v/>
      </c>
      <c r="K775" s="4">
        <f>IF(COUNT(D775:F775)=0,"",INDEX($D$1:$F$1,MATCH(MIN(D775:F775),D775:F775,0)))</f>
        <v/>
      </c>
      <c r="L775" s="10" t="n">
        <v>725.87</v>
      </c>
      <c r="M775" s="12" t="n">
        <v>1</v>
      </c>
    </row>
    <row r="776">
      <c r="A776" s="4" t="inlineStr">
        <is>
          <t>MAT-26-051</t>
        </is>
      </c>
      <c r="B776" s="5" t="inlineStr">
        <is>
          <t>Botiquin Redondo Plastico</t>
        </is>
      </c>
      <c r="C776" s="4" t="inlineStr">
        <is>
          <t>unidad</t>
        </is>
      </c>
      <c r="D776" s="10" t="n">
        <v>751.39</v>
      </c>
      <c r="E776" s="10" t="n"/>
      <c r="F776" s="10" t="n"/>
      <c r="G776" s="10">
        <f>IF(COUNT(D776:F776)=0,"",MIN(D776:F776))</f>
        <v/>
      </c>
      <c r="H776" s="10">
        <f>IF(COUNT(D776:F776)=0,"",MEDIAN(D776:F776))</f>
        <v/>
      </c>
      <c r="I776" s="10">
        <f>IF(COUNT(D776:F776)=0,"",MAX(D776:F776))</f>
        <v/>
      </c>
      <c r="J776" s="11">
        <f>IF(OR(G776="",G776=0),"",(I776-G776)/G776)</f>
        <v/>
      </c>
      <c r="K776" s="4">
        <f>IF(COUNT(D776:F776)=0,"",INDEX($D$1:$F$1,MATCH(MIN(D776:F776),D776:F776,0)))</f>
        <v/>
      </c>
      <c r="L776" s="10" t="n">
        <v>751.39</v>
      </c>
      <c r="M776" s="12" t="n">
        <v>1</v>
      </c>
    </row>
    <row r="777">
      <c r="A777" s="4" t="inlineStr">
        <is>
          <t>MAT-26-052</t>
        </is>
      </c>
      <c r="B777" s="5" t="inlineStr">
        <is>
          <t>Botiquin Cuadrado Plastico</t>
        </is>
      </c>
      <c r="C777" s="4" t="inlineStr">
        <is>
          <t>unidad</t>
        </is>
      </c>
      <c r="D777" s="10" t="n">
        <v>831.24</v>
      </c>
      <c r="E777" s="10" t="n"/>
      <c r="F777" s="10" t="n"/>
      <c r="G777" s="10">
        <f>IF(COUNT(D777:F777)=0,"",MIN(D777:F777))</f>
        <v/>
      </c>
      <c r="H777" s="10">
        <f>IF(COUNT(D777:F777)=0,"",MEDIAN(D777:F777))</f>
        <v/>
      </c>
      <c r="I777" s="10">
        <f>IF(COUNT(D777:F777)=0,"",MAX(D777:F777))</f>
        <v/>
      </c>
      <c r="J777" s="11">
        <f>IF(OR(G777="",G777=0),"",(I777-G777)/G777)</f>
        <v/>
      </c>
      <c r="K777" s="4">
        <f>IF(COUNT(D777:F777)=0,"",INDEX($D$1:$F$1,MATCH(MIN(D777:F777),D777:F777,0)))</f>
        <v/>
      </c>
      <c r="L777" s="10" t="n">
        <v>835.97</v>
      </c>
      <c r="M777" s="12" t="n">
        <v>1</v>
      </c>
    </row>
    <row r="778">
      <c r="A778" s="4" t="inlineStr">
        <is>
          <t>MAT-26-053</t>
        </is>
      </c>
      <c r="B778" s="5" t="inlineStr">
        <is>
          <t>Botiquin Cuadrado Plastico, beige</t>
        </is>
      </c>
      <c r="C778" s="4" t="inlineStr">
        <is>
          <t>unidad</t>
        </is>
      </c>
      <c r="D778" s="10" t="n">
        <v>944.26</v>
      </c>
      <c r="E778" s="10" t="n"/>
      <c r="F778" s="10" t="n"/>
      <c r="G778" s="10">
        <f>IF(COUNT(D778:F778)=0,"",MIN(D778:F778))</f>
        <v/>
      </c>
      <c r="H778" s="10">
        <f>IF(COUNT(D778:F778)=0,"",MEDIAN(D778:F778))</f>
        <v/>
      </c>
      <c r="I778" s="10">
        <f>IF(COUNT(D778:F778)=0,"",MAX(D778:F778))</f>
        <v/>
      </c>
      <c r="J778" s="11">
        <f>IF(OR(G778="",G778=0),"",(I778-G778)/G778)</f>
        <v/>
      </c>
      <c r="K778" s="4">
        <f>IF(COUNT(D778:F778)=0,"",INDEX($D$1:$F$1,MATCH(MIN(D778:F778),D778:F778,0)))</f>
        <v/>
      </c>
      <c r="L778" s="10" t="n">
        <v>944.26</v>
      </c>
      <c r="M778" s="12" t="n">
        <v>1</v>
      </c>
    </row>
    <row r="779">
      <c r="A779" s="4" t="inlineStr">
        <is>
          <t>MAT-26-054</t>
        </is>
      </c>
      <c r="B779" s="5" t="inlineStr">
        <is>
          <t>Botiquin City 40 Blanco</t>
        </is>
      </c>
      <c r="C779" s="4" t="inlineStr">
        <is>
          <t>unidad</t>
        </is>
      </c>
      <c r="D779" s="10" t="n">
        <v>6543.83</v>
      </c>
      <c r="E779" s="10" t="n"/>
      <c r="F779" s="10" t="n"/>
      <c r="G779" s="10">
        <f>IF(COUNT(D779:F779)=0,"",MIN(D779:F779))</f>
        <v/>
      </c>
      <c r="H779" s="10">
        <f>IF(COUNT(D779:F779)=0,"",MEDIAN(D779:F779))</f>
        <v/>
      </c>
      <c r="I779" s="10">
        <f>IF(COUNT(D779:F779)=0,"",MAX(D779:F779))</f>
        <v/>
      </c>
      <c r="J779" s="11">
        <f>IF(OR(G779="",G779=0),"",(I779-G779)/G779)</f>
        <v/>
      </c>
      <c r="K779" s="4">
        <f>IF(COUNT(D779:F779)=0,"",INDEX($D$1:$F$1,MATCH(MIN(D779:F779),D779:F779,0)))</f>
        <v/>
      </c>
      <c r="L779" s="10" t="n">
        <v>6543.83</v>
      </c>
      <c r="M779" s="12" t="n">
        <v>1</v>
      </c>
    </row>
    <row r="780">
      <c r="A780" s="4" t="inlineStr">
        <is>
          <t>MAT-26-055</t>
        </is>
      </c>
      <c r="B780" s="5" t="inlineStr">
        <is>
          <t>Botiquin para baño Led Antifog 50 x 70</t>
        </is>
      </c>
      <c r="C780" s="4" t="inlineStr">
        <is>
          <t>unidad</t>
        </is>
      </c>
      <c r="D780" s="10" t="n">
        <v>10320.96</v>
      </c>
      <c r="E780" s="10" t="n"/>
      <c r="F780" s="10" t="n"/>
      <c r="G780" s="10">
        <f>IF(COUNT(D780:F780)=0,"",MIN(D780:F780))</f>
        <v/>
      </c>
      <c r="H780" s="10">
        <f>IF(COUNT(D780:F780)=0,"",MEDIAN(D780:F780))</f>
        <v/>
      </c>
      <c r="I780" s="10">
        <f>IF(COUNT(D780:F780)=0,"",MAX(D780:F780))</f>
        <v/>
      </c>
      <c r="J780" s="11">
        <f>IF(OR(G780="",G780=0),"",(I780-G780)/G780)</f>
        <v/>
      </c>
      <c r="K780" s="4">
        <f>IF(COUNT(D780:F780)=0,"",INDEX($D$1:$F$1,MATCH(MIN(D780:F780),D780:F780,0)))</f>
        <v/>
      </c>
      <c r="L780" s="10" t="n">
        <v>11139.52</v>
      </c>
      <c r="M780" s="12" t="n">
        <v>1</v>
      </c>
    </row>
    <row r="781">
      <c r="A781" s="4" t="inlineStr">
        <is>
          <t>MAT-26-056</t>
        </is>
      </c>
      <c r="B781" s="5" t="inlineStr">
        <is>
          <t>Botiquin para baño Led 50 x 70</t>
        </is>
      </c>
      <c r="C781" s="4" t="inlineStr">
        <is>
          <t>unidad</t>
        </is>
      </c>
      <c r="D781" s="10" t="n">
        <v>10820.41</v>
      </c>
      <c r="E781" s="10" t="n"/>
      <c r="F781" s="10" t="n"/>
      <c r="G781" s="10">
        <f>IF(COUNT(D781:F781)=0,"",MIN(D781:F781))</f>
        <v/>
      </c>
      <c r="H781" s="10">
        <f>IF(COUNT(D781:F781)=0,"",MEDIAN(D781:F781))</f>
        <v/>
      </c>
      <c r="I781" s="10">
        <f>IF(COUNT(D781:F781)=0,"",MAX(D781:F781))</f>
        <v/>
      </c>
      <c r="J781" s="11">
        <f>IF(OR(G781="",G781=0),"",(I781-G781)/G781)</f>
        <v/>
      </c>
      <c r="K781" s="4">
        <f>IF(COUNT(D781:F781)=0,"",INDEX($D$1:$F$1,MATCH(MIN(D781:F781),D781:F781,0)))</f>
        <v/>
      </c>
      <c r="L781" s="10" t="n">
        <v>10820.41</v>
      </c>
      <c r="M781" s="12" t="n">
        <v>1</v>
      </c>
    </row>
    <row r="782">
      <c r="A782" s="4" t="inlineStr">
        <is>
          <t>MAT-26-057</t>
        </is>
      </c>
      <c r="B782" s="5" t="inlineStr">
        <is>
          <t>Botiquin para baño Led 63 x 65</t>
        </is>
      </c>
      <c r="C782" s="4" t="inlineStr">
        <is>
          <t>unidad</t>
        </is>
      </c>
      <c r="D782" s="10" t="n">
        <v>13808.75</v>
      </c>
      <c r="E782" s="10" t="n"/>
      <c r="F782" s="10" t="n"/>
      <c r="G782" s="10">
        <f>IF(COUNT(D782:F782)=0,"",MIN(D782:F782))</f>
        <v/>
      </c>
      <c r="H782" s="10">
        <f>IF(COUNT(D782:F782)=0,"",MEDIAN(D782:F782))</f>
        <v/>
      </c>
      <c r="I782" s="10">
        <f>IF(COUNT(D782:F782)=0,"",MAX(D782:F782))</f>
        <v/>
      </c>
      <c r="J782" s="11">
        <f>IF(OR(G782="",G782=0),"",(I782-G782)/G782)</f>
        <v/>
      </c>
      <c r="K782" s="4">
        <f>IF(COUNT(D782:F782)=0,"",INDEX($D$1:$F$1,MATCH(MIN(D782:F782),D782:F782,0)))</f>
        <v/>
      </c>
      <c r="L782" s="10" t="n">
        <v>13808.75</v>
      </c>
      <c r="M782" s="12" t="n">
        <v>1</v>
      </c>
    </row>
    <row r="783">
      <c r="A783" s="4" t="inlineStr">
        <is>
          <t>MAT-26-058</t>
        </is>
      </c>
      <c r="B783" s="5" t="inlineStr">
        <is>
          <t>Botiquin para baño Led Antifog 80 x 70</t>
        </is>
      </c>
      <c r="C783" s="4" t="inlineStr">
        <is>
          <t>unidad</t>
        </is>
      </c>
      <c r="D783" s="10" t="n">
        <v>15239.9</v>
      </c>
      <c r="E783" s="10" t="n"/>
      <c r="F783" s="10" t="n"/>
      <c r="G783" s="10">
        <f>IF(COUNT(D783:F783)=0,"",MIN(D783:F783))</f>
        <v/>
      </c>
      <c r="H783" s="10">
        <f>IF(COUNT(D783:F783)=0,"",MEDIAN(D783:F783))</f>
        <v/>
      </c>
      <c r="I783" s="10">
        <f>IF(COUNT(D783:F783)=0,"",MAX(D783:F783))</f>
        <v/>
      </c>
      <c r="J783" s="11">
        <f>IF(OR(G783="",G783=0),"",(I783-G783)/G783)</f>
        <v/>
      </c>
      <c r="K783" s="4">
        <f>IF(COUNT(D783:F783)=0,"",INDEX($D$1:$F$1,MATCH(MIN(D783:F783),D783:F783,0)))</f>
        <v/>
      </c>
      <c r="L783" s="10" t="n">
        <v>15911.65</v>
      </c>
      <c r="M783" s="12" t="n">
        <v>1</v>
      </c>
    </row>
    <row r="784">
      <c r="A784" s="4" t="inlineStr">
        <is>
          <t>MAT-26-059</t>
        </is>
      </c>
      <c r="B784" s="5" t="inlineStr">
        <is>
          <t>Botiquin para baño Led Antifog 100 x 90</t>
        </is>
      </c>
      <c r="C784" s="4" t="inlineStr">
        <is>
          <t>unidad</t>
        </is>
      </c>
      <c r="D784" s="10" t="n">
        <v>24256.84</v>
      </c>
      <c r="E784" s="10" t="n"/>
      <c r="F784" s="10" t="n"/>
      <c r="G784" s="10">
        <f>IF(COUNT(D784:F784)=0,"",MIN(D784:F784))</f>
        <v/>
      </c>
      <c r="H784" s="10">
        <f>IF(COUNT(D784:F784)=0,"",MEDIAN(D784:F784))</f>
        <v/>
      </c>
      <c r="I784" s="10">
        <f>IF(COUNT(D784:F784)=0,"",MAX(D784:F784))</f>
        <v/>
      </c>
      <c r="J784" s="11">
        <f>IF(OR(G784="",G784=0),"",(I784-G784)/G784)</f>
        <v/>
      </c>
      <c r="K784" s="4">
        <f>IF(COUNT(D784:F784)=0,"",INDEX($D$1:$F$1,MATCH(MIN(D784:F784),D784:F784,0)))</f>
        <v/>
      </c>
      <c r="L784" s="10" t="n">
        <v>24256.84</v>
      </c>
      <c r="M784" s="12" t="n">
        <v>1</v>
      </c>
    </row>
    <row r="785">
      <c r="A785" s="4" t="inlineStr">
        <is>
          <t>MAT-26-060</t>
        </is>
      </c>
      <c r="B785" s="5" t="inlineStr">
        <is>
          <t>Espejo para baño Rectangular</t>
        </is>
      </c>
      <c r="C785" s="4" t="inlineStr">
        <is>
          <t>unidad</t>
        </is>
      </c>
      <c r="D785" s="10" t="n">
        <v>1210.04</v>
      </c>
      <c r="E785" s="10" t="n"/>
      <c r="F785" s="10" t="n"/>
      <c r="G785" s="10">
        <f>IF(COUNT(D785:F785)=0,"",MIN(D785:F785))</f>
        <v/>
      </c>
      <c r="H785" s="10">
        <f>IF(COUNT(D785:F785)=0,"",MEDIAN(D785:F785))</f>
        <v/>
      </c>
      <c r="I785" s="10">
        <f>IF(COUNT(D785:F785)=0,"",MAX(D785:F785))</f>
        <v/>
      </c>
      <c r="J785" s="11">
        <f>IF(OR(G785="",G785=0),"",(I785-G785)/G785)</f>
        <v/>
      </c>
      <c r="K785" s="4">
        <f>IF(COUNT(D785:F785)=0,"",INDEX($D$1:$F$1,MATCH(MIN(D785:F785),D785:F785,0)))</f>
        <v/>
      </c>
      <c r="L785" s="10" t="n">
        <v>1545.25</v>
      </c>
      <c r="M785" s="12" t="n">
        <v>1</v>
      </c>
    </row>
    <row r="786">
      <c r="A786" s="4" t="inlineStr">
        <is>
          <t>MAT-26-061</t>
        </is>
      </c>
      <c r="B786" s="5" t="inlineStr">
        <is>
          <t>Espejo para baño Redondo</t>
        </is>
      </c>
      <c r="C786" s="4" t="inlineStr">
        <is>
          <t>unidad</t>
        </is>
      </c>
      <c r="D786" s="10" t="n">
        <v>1210.04</v>
      </c>
      <c r="E786" s="10" t="n"/>
      <c r="F786" s="10" t="n"/>
      <c r="G786" s="10">
        <f>IF(COUNT(D786:F786)=0,"",MIN(D786:F786))</f>
        <v/>
      </c>
      <c r="H786" s="10">
        <f>IF(COUNT(D786:F786)=0,"",MEDIAN(D786:F786))</f>
        <v/>
      </c>
      <c r="I786" s="10">
        <f>IF(COUNT(D786:F786)=0,"",MAX(D786:F786))</f>
        <v/>
      </c>
      <c r="J786" s="11">
        <f>IF(OR(G786="",G786=0),"",(I786-G786)/G786)</f>
        <v/>
      </c>
      <c r="K786" s="4">
        <f>IF(COUNT(D786:F786)=0,"",INDEX($D$1:$F$1,MATCH(MIN(D786:F786),D786:F786,0)))</f>
        <v/>
      </c>
      <c r="L786" s="10" t="n">
        <v>1210.04</v>
      </c>
      <c r="M786" s="12" t="n">
        <v>1</v>
      </c>
    </row>
    <row r="787">
      <c r="A787" s="4" t="inlineStr">
        <is>
          <t>MAT-26-062</t>
        </is>
      </c>
      <c r="B787" s="5" t="inlineStr">
        <is>
          <t>Espejo Decorativo 50 x 70</t>
        </is>
      </c>
      <c r="C787" s="4" t="inlineStr">
        <is>
          <t>unidad</t>
        </is>
      </c>
      <c r="D787" s="10" t="n">
        <v>1319.79</v>
      </c>
      <c r="E787" s="10" t="n"/>
      <c r="F787" s="10" t="n"/>
      <c r="G787" s="10">
        <f>IF(COUNT(D787:F787)=0,"",MIN(D787:F787))</f>
        <v/>
      </c>
      <c r="H787" s="10">
        <f>IF(COUNT(D787:F787)=0,"",MEDIAN(D787:F787))</f>
        <v/>
      </c>
      <c r="I787" s="10">
        <f>IF(COUNT(D787:F787)=0,"",MAX(D787:F787))</f>
        <v/>
      </c>
      <c r="J787" s="11">
        <f>IF(OR(G787="",G787=0),"",(I787-G787)/G787)</f>
        <v/>
      </c>
      <c r="K787" s="4">
        <f>IF(COUNT(D787:F787)=0,"",INDEX($D$1:$F$1,MATCH(MIN(D787:F787),D787:F787,0)))</f>
        <v/>
      </c>
      <c r="L787" s="10" t="n">
        <v>1345.54</v>
      </c>
      <c r="M787" s="12" t="n">
        <v>1</v>
      </c>
    </row>
    <row r="788">
      <c r="A788" s="4" t="inlineStr">
        <is>
          <t>MAT-26-063</t>
        </is>
      </c>
      <c r="B788" s="5" t="inlineStr">
        <is>
          <t>Espejo Sidney 42 x 66</t>
        </is>
      </c>
      <c r="C788" s="4" t="inlineStr">
        <is>
          <t>unidad</t>
        </is>
      </c>
      <c r="D788" s="10" t="n">
        <v>2494.39</v>
      </c>
      <c r="E788" s="10" t="n"/>
      <c r="F788" s="10" t="n"/>
      <c r="G788" s="10">
        <f>IF(COUNT(D788:F788)=0,"",MIN(D788:F788))</f>
        <v/>
      </c>
      <c r="H788" s="10">
        <f>IF(COUNT(D788:F788)=0,"",MEDIAN(D788:F788))</f>
        <v/>
      </c>
      <c r="I788" s="10">
        <f>IF(COUNT(D788:F788)=0,"",MAX(D788:F788))</f>
        <v/>
      </c>
      <c r="J788" s="11">
        <f>IF(OR(G788="",G788=0),"",(I788-G788)/G788)</f>
        <v/>
      </c>
      <c r="K788" s="4">
        <f>IF(COUNT(D788:F788)=0,"",INDEX($D$1:$F$1,MATCH(MIN(D788:F788),D788:F788,0)))</f>
        <v/>
      </c>
      <c r="L788" s="10" t="n">
        <v>2494.39</v>
      </c>
      <c r="M788" s="12" t="n">
        <v>1</v>
      </c>
    </row>
    <row r="789">
      <c r="A789" s="4" t="inlineStr">
        <is>
          <t>MAT-26-064</t>
        </is>
      </c>
      <c r="B789" s="5" t="inlineStr">
        <is>
          <t>Espejo Rectangular Sidney</t>
        </is>
      </c>
      <c r="C789" s="4" t="inlineStr">
        <is>
          <t>unidad</t>
        </is>
      </c>
      <c r="D789" s="10" t="n">
        <v>3134.93</v>
      </c>
      <c r="E789" s="10" t="n"/>
      <c r="F789" s="10" t="n"/>
      <c r="G789" s="10">
        <f>IF(COUNT(D789:F789)=0,"",MIN(D789:F789))</f>
        <v/>
      </c>
      <c r="H789" s="10">
        <f>IF(COUNT(D789:F789)=0,"",MEDIAN(D789:F789))</f>
        <v/>
      </c>
      <c r="I789" s="10">
        <f>IF(COUNT(D789:F789)=0,"",MAX(D789:F789))</f>
        <v/>
      </c>
      <c r="J789" s="11">
        <f>IF(OR(G789="",G789=0),"",(I789-G789)/G789)</f>
        <v/>
      </c>
      <c r="K789" s="4">
        <f>IF(COUNT(D789:F789)=0,"",INDEX($D$1:$F$1,MATCH(MIN(D789:F789),D789:F789,0)))</f>
        <v/>
      </c>
      <c r="L789" s="10" t="n">
        <v>4905.63</v>
      </c>
      <c r="M789" s="12" t="n">
        <v>1</v>
      </c>
    </row>
    <row r="790">
      <c r="A790" s="4" t="inlineStr">
        <is>
          <t>MAT-26-065</t>
        </is>
      </c>
      <c r="B790" s="5" t="inlineStr">
        <is>
          <t>Espejo Sidney 50 x 90</t>
        </is>
      </c>
      <c r="C790" s="4" t="inlineStr">
        <is>
          <t>unidad</t>
        </is>
      </c>
      <c r="D790" s="10" t="n">
        <v>3599.64</v>
      </c>
      <c r="E790" s="10" t="n"/>
      <c r="F790" s="10" t="n"/>
      <c r="G790" s="10">
        <f>IF(COUNT(D790:F790)=0,"",MIN(D790:F790))</f>
        <v/>
      </c>
      <c r="H790" s="10">
        <f>IF(COUNT(D790:F790)=0,"",MEDIAN(D790:F790))</f>
        <v/>
      </c>
      <c r="I790" s="10">
        <f>IF(COUNT(D790:F790)=0,"",MAX(D790:F790))</f>
        <v/>
      </c>
      <c r="J790" s="11">
        <f>IF(OR(G790="",G790=0),"",(I790-G790)/G790)</f>
        <v/>
      </c>
      <c r="K790" s="4">
        <f>IF(COUNT(D790:F790)=0,"",INDEX($D$1:$F$1,MATCH(MIN(D790:F790),D790:F790,0)))</f>
        <v/>
      </c>
      <c r="L790" s="10" t="n">
        <v>3599.64</v>
      </c>
      <c r="M790" s="12" t="n">
        <v>1</v>
      </c>
    </row>
    <row r="791">
      <c r="A791" s="4" t="inlineStr">
        <is>
          <t>MAT-26-066</t>
        </is>
      </c>
      <c r="B791" s="5" t="inlineStr">
        <is>
          <t>Espejo para baño Redondo 60 x 60 Led Antifog</t>
        </is>
      </c>
      <c r="C791" s="4" t="inlineStr">
        <is>
          <t>unidad</t>
        </is>
      </c>
      <c r="D791" s="10" t="n">
        <v>4982.55</v>
      </c>
      <c r="E791" s="10" t="n"/>
      <c r="F791" s="10" t="n"/>
      <c r="G791" s="10">
        <f>IF(COUNT(D791:F791)=0,"",MIN(D791:F791))</f>
        <v/>
      </c>
      <c r="H791" s="10">
        <f>IF(COUNT(D791:F791)=0,"",MEDIAN(D791:F791))</f>
        <v/>
      </c>
      <c r="I791" s="10">
        <f>IF(COUNT(D791:F791)=0,"",MAX(D791:F791))</f>
        <v/>
      </c>
      <c r="J791" s="11">
        <f>IF(OR(G791="",G791=0),"",(I791-G791)/G791)</f>
        <v/>
      </c>
      <c r="K791" s="4">
        <f>IF(COUNT(D791:F791)=0,"",INDEX($D$1:$F$1,MATCH(MIN(D791:F791),D791:F791,0)))</f>
        <v/>
      </c>
      <c r="L791" s="10" t="n">
        <v>4982.55</v>
      </c>
      <c r="M791" s="12" t="n">
        <v>1</v>
      </c>
    </row>
    <row r="792">
      <c r="A792" s="4" t="inlineStr">
        <is>
          <t>MAT-26-067</t>
        </is>
      </c>
      <c r="B792" s="5" t="inlineStr">
        <is>
          <t>Espejo Sidney 80 x 90</t>
        </is>
      </c>
      <c r="C792" s="4" t="inlineStr">
        <is>
          <t>unidad</t>
        </is>
      </c>
      <c r="D792" s="10" t="n">
        <v>5083.55</v>
      </c>
      <c r="E792" s="10" t="n"/>
      <c r="F792" s="10" t="n"/>
      <c r="G792" s="10">
        <f>IF(COUNT(D792:F792)=0,"",MIN(D792:F792))</f>
        <v/>
      </c>
      <c r="H792" s="10">
        <f>IF(COUNT(D792:F792)=0,"",MEDIAN(D792:F792))</f>
        <v/>
      </c>
      <c r="I792" s="10">
        <f>IF(COUNT(D792:F792)=0,"",MAX(D792:F792))</f>
        <v/>
      </c>
      <c r="J792" s="11">
        <f>IF(OR(G792="",G792=0),"",(I792-G792)/G792)</f>
        <v/>
      </c>
      <c r="K792" s="4">
        <f>IF(COUNT(D792:F792)=0,"",INDEX($D$1:$F$1,MATCH(MIN(D792:F792),D792:F792,0)))</f>
        <v/>
      </c>
      <c r="L792" s="10" t="n">
        <v>5083.55</v>
      </c>
      <c r="M792" s="12" t="n">
        <v>1</v>
      </c>
    </row>
    <row r="793">
      <c r="A793" s="4" t="inlineStr">
        <is>
          <t>MAT-26-068</t>
        </is>
      </c>
      <c r="B793" s="5" t="inlineStr">
        <is>
          <t>Espejo para baño Redondo Led Antifog</t>
        </is>
      </c>
      <c r="C793" s="4" t="inlineStr">
        <is>
          <t>unidad</t>
        </is>
      </c>
      <c r="D793" s="10" t="n">
        <v>4773.5</v>
      </c>
      <c r="E793" s="10" t="n"/>
      <c r="F793" s="10" t="n"/>
      <c r="G793" s="10">
        <f>IF(COUNT(D793:F793)=0,"",MIN(D793:F793))</f>
        <v/>
      </c>
      <c r="H793" s="10">
        <f>IF(COUNT(D793:F793)=0,"",MEDIAN(D793:F793))</f>
        <v/>
      </c>
      <c r="I793" s="10">
        <f>IF(COUNT(D793:F793)=0,"",MAX(D793:F793))</f>
        <v/>
      </c>
      <c r="J793" s="11">
        <f>IF(OR(G793="",G793=0),"",(I793-G793)/G793)</f>
        <v/>
      </c>
      <c r="K793" s="4">
        <f>IF(COUNT(D793:F793)=0,"",INDEX($D$1:$F$1,MATCH(MIN(D793:F793),D793:F793,0)))</f>
        <v/>
      </c>
      <c r="L793" s="10" t="n">
        <v>4949.82</v>
      </c>
      <c r="M793" s="12" t="n">
        <v>1</v>
      </c>
    </row>
    <row r="794">
      <c r="A794" s="4" t="inlineStr">
        <is>
          <t>MAT-26-069</t>
        </is>
      </c>
      <c r="B794" s="5" t="inlineStr">
        <is>
          <t>Espejo para baño Led Antifog 50 x 70</t>
        </is>
      </c>
      <c r="C794" s="4" t="inlineStr">
        <is>
          <t>unidad</t>
        </is>
      </c>
      <c r="D794" s="10" t="n">
        <v>4270.75</v>
      </c>
      <c r="E794" s="10" t="n"/>
      <c r="F794" s="10" t="n"/>
      <c r="G794" s="10">
        <f>IF(COUNT(D794:F794)=0,"",MIN(D794:F794))</f>
        <v/>
      </c>
      <c r="H794" s="10">
        <f>IF(COUNT(D794:F794)=0,"",MEDIAN(D794:F794))</f>
        <v/>
      </c>
      <c r="I794" s="10">
        <f>IF(COUNT(D794:F794)=0,"",MAX(D794:F794))</f>
        <v/>
      </c>
      <c r="J794" s="11">
        <f>IF(OR(G794="",G794=0),"",(I794-G794)/G794)</f>
        <v/>
      </c>
      <c r="K794" s="4">
        <f>IF(COUNT(D794:F794)=0,"",INDEX($D$1:$F$1,MATCH(MIN(D794:F794),D794:F794,0)))</f>
        <v/>
      </c>
      <c r="L794" s="10" t="n">
        <v>5267.25</v>
      </c>
      <c r="M794" s="12" t="n">
        <v>1</v>
      </c>
    </row>
    <row r="795">
      <c r="A795" s="4" t="inlineStr">
        <is>
          <t>MAT-26-070</t>
        </is>
      </c>
      <c r="B795" s="5" t="inlineStr">
        <is>
          <t>Espejo para baño Ovalado Led Antifog</t>
        </is>
      </c>
      <c r="C795" s="4" t="inlineStr">
        <is>
          <t>unidad</t>
        </is>
      </c>
      <c r="D795" s="10" t="n">
        <v>5267.25</v>
      </c>
      <c r="E795" s="10" t="n"/>
      <c r="F795" s="10" t="n"/>
      <c r="G795" s="10">
        <f>IF(COUNT(D795:F795)=0,"",MIN(D795:F795))</f>
        <v/>
      </c>
      <c r="H795" s="10">
        <f>IF(COUNT(D795:F795)=0,"",MEDIAN(D795:F795))</f>
        <v/>
      </c>
      <c r="I795" s="10">
        <f>IF(COUNT(D795:F795)=0,"",MAX(D795:F795))</f>
        <v/>
      </c>
      <c r="J795" s="11">
        <f>IF(OR(G795="",G795=0),"",(I795-G795)/G795)</f>
        <v/>
      </c>
      <c r="K795" s="4">
        <f>IF(COUNT(D795:F795)=0,"",INDEX($D$1:$F$1,MATCH(MIN(D795:F795),D795:F795,0)))</f>
        <v/>
      </c>
      <c r="L795" s="10" t="n">
        <v>5267.25</v>
      </c>
      <c r="M795" s="12" t="n">
        <v>1</v>
      </c>
    </row>
    <row r="796">
      <c r="A796" s="4" t="inlineStr">
        <is>
          <t>MAT-26-071</t>
        </is>
      </c>
      <c r="B796" s="5" t="inlineStr">
        <is>
          <t>Espejo Led Antifog Chrome</t>
        </is>
      </c>
      <c r="C796" s="4" t="inlineStr">
        <is>
          <t>unidad</t>
        </is>
      </c>
      <c r="D796" s="10" t="n">
        <v>6121.4</v>
      </c>
      <c r="E796" s="10" t="n"/>
      <c r="F796" s="10" t="n"/>
      <c r="G796" s="10">
        <f>IF(COUNT(D796:F796)=0,"",MIN(D796:F796))</f>
        <v/>
      </c>
      <c r="H796" s="10">
        <f>IF(COUNT(D796:F796)=0,"",MEDIAN(D796:F796))</f>
        <v/>
      </c>
      <c r="I796" s="10">
        <f>IF(COUNT(D796:F796)=0,"",MAX(D796:F796))</f>
        <v/>
      </c>
      <c r="J796" s="11">
        <f>IF(OR(G796="",G796=0),"",(I796-G796)/G796)</f>
        <v/>
      </c>
      <c r="K796" s="4">
        <f>IF(COUNT(D796:F796)=0,"",INDEX($D$1:$F$1,MATCH(MIN(D796:F796),D796:F796,0)))</f>
        <v/>
      </c>
      <c r="L796" s="10" t="n">
        <v>6121.4</v>
      </c>
      <c r="M796" s="12" t="n">
        <v>1</v>
      </c>
    </row>
    <row r="797">
      <c r="A797" s="4" t="inlineStr">
        <is>
          <t>MAT-26-072</t>
        </is>
      </c>
      <c r="B797" s="5" t="inlineStr">
        <is>
          <t>Espejo para baño Led Antifog 60 x 100</t>
        </is>
      </c>
      <c r="C797" s="4" t="inlineStr">
        <is>
          <t>unidad</t>
        </is>
      </c>
      <c r="D797" s="10" t="n">
        <v>7403.72</v>
      </c>
      <c r="E797" s="10" t="n"/>
      <c r="F797" s="10" t="n"/>
      <c r="G797" s="10">
        <f>IF(COUNT(D797:F797)=0,"",MIN(D797:F797))</f>
        <v/>
      </c>
      <c r="H797" s="10">
        <f>IF(COUNT(D797:F797)=0,"",MEDIAN(D797:F797))</f>
        <v/>
      </c>
      <c r="I797" s="10">
        <f>IF(COUNT(D797:F797)=0,"",MAX(D797:F797))</f>
        <v/>
      </c>
      <c r="J797" s="11">
        <f>IF(OR(G797="",G797=0),"",(I797-G797)/G797)</f>
        <v/>
      </c>
      <c r="K797" s="4">
        <f>IF(COUNT(D797:F797)=0,"",INDEX($D$1:$F$1,MATCH(MIN(D797:F797),D797:F797,0)))</f>
        <v/>
      </c>
      <c r="L797" s="10" t="n">
        <v>7403.72</v>
      </c>
      <c r="M797" s="12" t="n">
        <v>1</v>
      </c>
    </row>
    <row r="798">
      <c r="A798" s="4" t="inlineStr">
        <is>
          <t>MAT-26-073</t>
        </is>
      </c>
      <c r="B798" s="5" t="inlineStr">
        <is>
          <t>Espejo para baño Led Antifog 120 x 60</t>
        </is>
      </c>
      <c r="C798" s="4" t="inlineStr">
        <is>
          <t>unidad</t>
        </is>
      </c>
      <c r="D798" s="10" t="n">
        <v>7811.18</v>
      </c>
      <c r="E798" s="10" t="n"/>
      <c r="F798" s="10" t="n"/>
      <c r="G798" s="10">
        <f>IF(COUNT(D798:F798)=0,"",MIN(D798:F798))</f>
        <v/>
      </c>
      <c r="H798" s="10">
        <f>IF(COUNT(D798:F798)=0,"",MEDIAN(D798:F798))</f>
        <v/>
      </c>
      <c r="I798" s="10">
        <f>IF(COUNT(D798:F798)=0,"",MAX(D798:F798))</f>
        <v/>
      </c>
      <c r="J798" s="11">
        <f>IF(OR(G798="",G798=0),"",(I798-G798)/G798)</f>
        <v/>
      </c>
      <c r="K798" s="4">
        <f>IF(COUNT(D798:F798)=0,"",INDEX($D$1:$F$1,MATCH(MIN(D798:F798),D798:F798,0)))</f>
        <v/>
      </c>
      <c r="L798" s="10" t="n">
        <v>8043.53</v>
      </c>
      <c r="M798" s="12" t="n">
        <v>1</v>
      </c>
    </row>
    <row r="799">
      <c r="A799" s="4" t="inlineStr">
        <is>
          <t>MAT-26-074</t>
        </is>
      </c>
      <c r="B799" s="5" t="inlineStr">
        <is>
          <t>Espejo Con Aumento A 2 Vistas Cromo</t>
        </is>
      </c>
      <c r="C799" s="4" t="inlineStr">
        <is>
          <t>unidad</t>
        </is>
      </c>
      <c r="D799" s="10" t="n">
        <v>10672.33</v>
      </c>
      <c r="E799" s="10" t="n"/>
      <c r="F799" s="10" t="n"/>
      <c r="G799" s="10">
        <f>IF(COUNT(D799:F799)=0,"",MIN(D799:F799))</f>
        <v/>
      </c>
      <c r="H799" s="10">
        <f>IF(COUNT(D799:F799)=0,"",MEDIAN(D799:F799))</f>
        <v/>
      </c>
      <c r="I799" s="10">
        <f>IF(COUNT(D799:F799)=0,"",MAX(D799:F799))</f>
        <v/>
      </c>
      <c r="J799" s="11">
        <f>IF(OR(G799="",G799=0),"",(I799-G799)/G799)</f>
        <v/>
      </c>
      <c r="K799" s="4">
        <f>IF(COUNT(D799:F799)=0,"",INDEX($D$1:$F$1,MATCH(MIN(D799:F799),D799:F799,0)))</f>
        <v/>
      </c>
      <c r="L799" s="10" t="n">
        <v>10672.33</v>
      </c>
      <c r="M799" s="12" t="n">
        <v>1</v>
      </c>
    </row>
    <row r="800">
      <c r="A800" s="4" t="inlineStr">
        <is>
          <t>MAT-26-075</t>
        </is>
      </c>
      <c r="B800" s="5" t="inlineStr">
        <is>
          <t>Espejo para baño Led Antifog 60 x 140</t>
        </is>
      </c>
      <c r="C800" s="4" t="inlineStr">
        <is>
          <t>unidad</t>
        </is>
      </c>
      <c r="D800" s="10" t="n">
        <v>8291.48</v>
      </c>
      <c r="E800" s="10" t="n"/>
      <c r="F800" s="10" t="n"/>
      <c r="G800" s="10">
        <f>IF(COUNT(D800:F800)=0,"",MIN(D800:F800))</f>
        <v/>
      </c>
      <c r="H800" s="10">
        <f>IF(COUNT(D800:F800)=0,"",MEDIAN(D800:F800))</f>
        <v/>
      </c>
      <c r="I800" s="10">
        <f>IF(COUNT(D800:F800)=0,"",MAX(D800:F800))</f>
        <v/>
      </c>
      <c r="J800" s="11">
        <f>IF(OR(G800="",G800=0),"",(I800-G800)/G800)</f>
        <v/>
      </c>
      <c r="K800" s="4">
        <f>IF(COUNT(D800:F800)=0,"",INDEX($D$1:$F$1,MATCH(MIN(D800:F800),D800:F800,0)))</f>
        <v/>
      </c>
      <c r="L800" s="10" t="n">
        <v>11263.66</v>
      </c>
      <c r="M800" s="12" t="n">
        <v>1</v>
      </c>
    </row>
    <row r="801">
      <c r="A801" s="4" t="inlineStr">
        <is>
          <t>MAT-27-001</t>
        </is>
      </c>
      <c r="B801" s="5" t="inlineStr">
        <is>
          <t>Barra De Seguridad 16"</t>
        </is>
      </c>
      <c r="C801" s="4" t="inlineStr">
        <is>
          <t>unidad</t>
        </is>
      </c>
      <c r="D801" s="10" t="n">
        <v>1176.96</v>
      </c>
      <c r="E801" s="10" t="n"/>
      <c r="F801" s="10" t="n"/>
      <c r="G801" s="10">
        <f>IF(COUNT(D801:F801)=0,"",MIN(D801:F801))</f>
        <v/>
      </c>
      <c r="H801" s="10">
        <f>IF(COUNT(D801:F801)=0,"",MEDIAN(D801:F801))</f>
        <v/>
      </c>
      <c r="I801" s="10">
        <f>IF(COUNT(D801:F801)=0,"",MAX(D801:F801))</f>
        <v/>
      </c>
      <c r="J801" s="11">
        <f>IF(OR(G801="",G801=0),"",(I801-G801)/G801)</f>
        <v/>
      </c>
      <c r="K801" s="4">
        <f>IF(COUNT(D801:F801)=0,"",INDEX($D$1:$F$1,MATCH(MIN(D801:F801),D801:F801,0)))</f>
        <v/>
      </c>
      <c r="L801" s="10" t="n">
        <v>1176.96</v>
      </c>
      <c r="M801" s="12" t="n">
        <v>1</v>
      </c>
    </row>
    <row r="802">
      <c r="A802" s="4" t="inlineStr">
        <is>
          <t>MAT-27-002</t>
        </is>
      </c>
      <c r="B802" s="5" t="inlineStr">
        <is>
          <t>Barra De Seguridad Curva 145</t>
        </is>
      </c>
      <c r="C802" s="4" t="inlineStr">
        <is>
          <t>unidad</t>
        </is>
      </c>
      <c r="D802" s="10" t="n">
        <v>1416.67</v>
      </c>
      <c r="E802" s="10" t="n"/>
      <c r="F802" s="10" t="n"/>
      <c r="G802" s="10">
        <f>IF(COUNT(D802:F802)=0,"",MIN(D802:F802))</f>
        <v/>
      </c>
      <c r="H802" s="10">
        <f>IF(COUNT(D802:F802)=0,"",MEDIAN(D802:F802))</f>
        <v/>
      </c>
      <c r="I802" s="10">
        <f>IF(COUNT(D802:F802)=0,"",MAX(D802:F802))</f>
        <v/>
      </c>
      <c r="J802" s="11">
        <f>IF(OR(G802="",G802=0),"",(I802-G802)/G802)</f>
        <v/>
      </c>
      <c r="K802" s="4">
        <f>IF(COUNT(D802:F802)=0,"",INDEX($D$1:$F$1,MATCH(MIN(D802:F802),D802:F802,0)))</f>
        <v/>
      </c>
      <c r="L802" s="10" t="n">
        <v>1416.67</v>
      </c>
      <c r="M802" s="12" t="n">
        <v>1</v>
      </c>
    </row>
    <row r="803">
      <c r="A803" s="4" t="inlineStr">
        <is>
          <t>MAT-27-003</t>
        </is>
      </c>
      <c r="B803" s="5" t="inlineStr">
        <is>
          <t>Barra De Seguridad 20"</t>
        </is>
      </c>
      <c r="C803" s="4" t="inlineStr">
        <is>
          <t>unidad</t>
        </is>
      </c>
      <c r="D803" s="10" t="n">
        <v>1522.47</v>
      </c>
      <c r="E803" s="10" t="n"/>
      <c r="F803" s="10" t="n"/>
      <c r="G803" s="10">
        <f>IF(COUNT(D803:F803)=0,"",MIN(D803:F803))</f>
        <v/>
      </c>
      <c r="H803" s="10">
        <f>IF(COUNT(D803:F803)=0,"",MEDIAN(D803:F803))</f>
        <v/>
      </c>
      <c r="I803" s="10">
        <f>IF(COUNT(D803:F803)=0,"",MAX(D803:F803))</f>
        <v/>
      </c>
      <c r="J803" s="11">
        <f>IF(OR(G803="",G803=0),"",(I803-G803)/G803)</f>
        <v/>
      </c>
      <c r="K803" s="4">
        <f>IF(COUNT(D803:F803)=0,"",INDEX($D$1:$F$1,MATCH(MIN(D803:F803),D803:F803,0)))</f>
        <v/>
      </c>
      <c r="L803" s="10" t="n">
        <v>1522.47</v>
      </c>
      <c r="M803" s="12" t="n">
        <v>1</v>
      </c>
    </row>
    <row r="804">
      <c r="A804" s="4" t="inlineStr">
        <is>
          <t>MAT-27-004</t>
        </is>
      </c>
      <c r="B804" s="5" t="inlineStr">
        <is>
          <t>Barra Seguridad Recta 305 Mm Satin</t>
        </is>
      </c>
      <c r="C804" s="4" t="inlineStr">
        <is>
          <t>unidad</t>
        </is>
      </c>
      <c r="D804" s="10" t="n">
        <v>3007.09</v>
      </c>
      <c r="E804" s="10" t="n"/>
      <c r="F804" s="10" t="n"/>
      <c r="G804" s="10">
        <f>IF(COUNT(D804:F804)=0,"",MIN(D804:F804))</f>
        <v/>
      </c>
      <c r="H804" s="10">
        <f>IF(COUNT(D804:F804)=0,"",MEDIAN(D804:F804))</f>
        <v/>
      </c>
      <c r="I804" s="10">
        <f>IF(COUNT(D804:F804)=0,"",MAX(D804:F804))</f>
        <v/>
      </c>
      <c r="J804" s="11">
        <f>IF(OR(G804="",G804=0),"",(I804-G804)/G804)</f>
        <v/>
      </c>
      <c r="K804" s="4">
        <f>IF(COUNT(D804:F804)=0,"",INDEX($D$1:$F$1,MATCH(MIN(D804:F804),D804:F804,0)))</f>
        <v/>
      </c>
      <c r="L804" s="10" t="n">
        <v>3007.09</v>
      </c>
      <c r="M804" s="12" t="n">
        <v>1</v>
      </c>
    </row>
    <row r="805">
      <c r="A805" s="4" t="inlineStr">
        <is>
          <t>MAT-27-005</t>
        </is>
      </c>
      <c r="B805" s="5" t="inlineStr">
        <is>
          <t>Barra Seguridad Recta</t>
        </is>
      </c>
      <c r="C805" s="4" t="inlineStr">
        <is>
          <t>unidad</t>
        </is>
      </c>
      <c r="D805" s="10" t="n">
        <v>3022.13</v>
      </c>
      <c r="E805" s="10" t="n"/>
      <c r="F805" s="10" t="n"/>
      <c r="G805" s="10">
        <f>IF(COUNT(D805:F805)=0,"",MIN(D805:F805))</f>
        <v/>
      </c>
      <c r="H805" s="10">
        <f>IF(COUNT(D805:F805)=0,"",MEDIAN(D805:F805))</f>
        <v/>
      </c>
      <c r="I805" s="10">
        <f>IF(COUNT(D805:F805)=0,"",MAX(D805:F805))</f>
        <v/>
      </c>
      <c r="J805" s="11">
        <f>IF(OR(G805="",G805=0),"",(I805-G805)/G805)</f>
        <v/>
      </c>
      <c r="K805" s="4">
        <f>IF(COUNT(D805:F805)=0,"",INDEX($D$1:$F$1,MATCH(MIN(D805:F805),D805:F805,0)))</f>
        <v/>
      </c>
      <c r="L805" s="10" t="n">
        <v>3022.13</v>
      </c>
      <c r="M805" s="12" t="n">
        <v>1</v>
      </c>
    </row>
    <row r="806">
      <c r="A806" s="4" t="inlineStr">
        <is>
          <t>MAT-27-006</t>
        </is>
      </c>
      <c r="B806" s="5" t="inlineStr">
        <is>
          <t>Barra De Seguridad Recta 70 Cm</t>
        </is>
      </c>
      <c r="C806" s="4" t="inlineStr">
        <is>
          <t>unidad</t>
        </is>
      </c>
      <c r="D806" s="10" t="n">
        <v>3271.81</v>
      </c>
      <c r="E806" s="10" t="n"/>
      <c r="F806" s="10" t="n"/>
      <c r="G806" s="10">
        <f>IF(COUNT(D806:F806)=0,"",MIN(D806:F806))</f>
        <v/>
      </c>
      <c r="H806" s="10">
        <f>IF(COUNT(D806:F806)=0,"",MEDIAN(D806:F806))</f>
        <v/>
      </c>
      <c r="I806" s="10">
        <f>IF(COUNT(D806:F806)=0,"",MAX(D806:F806))</f>
        <v/>
      </c>
      <c r="J806" s="11">
        <f>IF(OR(G806="",G806=0),"",(I806-G806)/G806)</f>
        <v/>
      </c>
      <c r="K806" s="4">
        <f>IF(COUNT(D806:F806)=0,"",INDEX($D$1:$F$1,MATCH(MIN(D806:F806),D806:F806,0)))</f>
        <v/>
      </c>
      <c r="L806" s="10" t="n">
        <v>3271.81</v>
      </c>
      <c r="M806" s="12" t="n">
        <v>1</v>
      </c>
    </row>
    <row r="807">
      <c r="A807" s="4" t="inlineStr">
        <is>
          <t>MAT-27-007</t>
        </is>
      </c>
      <c r="B807" s="5" t="inlineStr">
        <is>
          <t>Barra De Seguridad Recta 61 Cm</t>
        </is>
      </c>
      <c r="C807" s="4" t="inlineStr">
        <is>
          <t>unidad</t>
        </is>
      </c>
      <c r="D807" s="10" t="n">
        <v>3297.37</v>
      </c>
      <c r="E807" s="10" t="n"/>
      <c r="F807" s="10" t="n"/>
      <c r="G807" s="10">
        <f>IF(COUNT(D807:F807)=0,"",MIN(D807:F807))</f>
        <v/>
      </c>
      <c r="H807" s="10">
        <f>IF(COUNT(D807:F807)=0,"",MEDIAN(D807:F807))</f>
        <v/>
      </c>
      <c r="I807" s="10">
        <f>IF(COUNT(D807:F807)=0,"",MAX(D807:F807))</f>
        <v/>
      </c>
      <c r="J807" s="11">
        <f>IF(OR(G807="",G807=0),"",(I807-G807)/G807)</f>
        <v/>
      </c>
      <c r="K807" s="4">
        <f>IF(COUNT(D807:F807)=0,"",INDEX($D$1:$F$1,MATCH(MIN(D807:F807),D807:F807,0)))</f>
        <v/>
      </c>
      <c r="L807" s="10" t="n">
        <v>3297.37</v>
      </c>
      <c r="M807" s="12" t="n">
        <v>1</v>
      </c>
    </row>
    <row r="808">
      <c r="A808" s="4" t="inlineStr">
        <is>
          <t>MAT-27-008</t>
        </is>
      </c>
      <c r="B808" s="5" t="inlineStr">
        <is>
          <t>Barra Seguridad Recta 90 Cm</t>
        </is>
      </c>
      <c r="C808" s="4" t="inlineStr">
        <is>
          <t>unidad</t>
        </is>
      </c>
      <c r="D808" s="10" t="n">
        <v>6226.47</v>
      </c>
      <c r="E808" s="10" t="n"/>
      <c r="F808" s="10" t="n"/>
      <c r="G808" s="10">
        <f>IF(COUNT(D808:F808)=0,"",MIN(D808:F808))</f>
        <v/>
      </c>
      <c r="H808" s="10">
        <f>IF(COUNT(D808:F808)=0,"",MEDIAN(D808:F808))</f>
        <v/>
      </c>
      <c r="I808" s="10">
        <f>IF(COUNT(D808:F808)=0,"",MAX(D808:F808))</f>
        <v/>
      </c>
      <c r="J808" s="11">
        <f>IF(OR(G808="",G808=0),"",(I808-G808)/G808)</f>
        <v/>
      </c>
      <c r="K808" s="4">
        <f>IF(COUNT(D808:F808)=0,"",INDEX($D$1:$F$1,MATCH(MIN(D808:F808),D808:F808,0)))</f>
        <v/>
      </c>
      <c r="L808" s="10" t="n">
        <v>6226.47</v>
      </c>
      <c r="M808" s="12" t="n">
        <v>1</v>
      </c>
    </row>
    <row r="809">
      <c r="A809" s="4" t="inlineStr">
        <is>
          <t>MAT-27-009</t>
        </is>
      </c>
      <c r="B809" s="5" t="inlineStr">
        <is>
          <t>Agarradera Con Jabonera Clasica</t>
        </is>
      </c>
      <c r="C809" s="4" t="inlineStr">
        <is>
          <t>unidad</t>
        </is>
      </c>
      <c r="D809" s="10" t="n">
        <v>7495.91</v>
      </c>
      <c r="E809" s="10" t="n"/>
      <c r="F809" s="10" t="n"/>
      <c r="G809" s="10">
        <f>IF(COUNT(D809:F809)=0,"",MIN(D809:F809))</f>
        <v/>
      </c>
      <c r="H809" s="10">
        <f>IF(COUNT(D809:F809)=0,"",MEDIAN(D809:F809))</f>
        <v/>
      </c>
      <c r="I809" s="10">
        <f>IF(COUNT(D809:F809)=0,"",MAX(D809:F809))</f>
        <v/>
      </c>
      <c r="J809" s="11">
        <f>IF(OR(G809="",G809=0),"",(I809-G809)/G809)</f>
        <v/>
      </c>
      <c r="K809" s="4">
        <f>IF(COUNT(D809:F809)=0,"",INDEX($D$1:$F$1,MATCH(MIN(D809:F809),D809:F809,0)))</f>
        <v/>
      </c>
      <c r="L809" s="10" t="n">
        <v>7495.91</v>
      </c>
      <c r="M809" s="12" t="n">
        <v>1</v>
      </c>
    </row>
    <row r="810">
      <c r="A810" s="4" t="inlineStr">
        <is>
          <t>MAT-27-010</t>
        </is>
      </c>
      <c r="B810" s="5" t="inlineStr">
        <is>
          <t>Dispensador De Toalla Papel Gm Ai</t>
        </is>
      </c>
      <c r="C810" s="4" t="inlineStr">
        <is>
          <t>unidad</t>
        </is>
      </c>
      <c r="D810" s="10" t="n">
        <v>4472.06</v>
      </c>
      <c r="E810" s="10" t="n"/>
      <c r="F810" s="10" t="n"/>
      <c r="G810" s="10">
        <f>IF(COUNT(D810:F810)=0,"",MIN(D810:F810))</f>
        <v/>
      </c>
      <c r="H810" s="10">
        <f>IF(COUNT(D810:F810)=0,"",MEDIAN(D810:F810))</f>
        <v/>
      </c>
      <c r="I810" s="10">
        <f>IF(COUNT(D810:F810)=0,"",MAX(D810:F810))</f>
        <v/>
      </c>
      <c r="J810" s="11">
        <f>IF(OR(G810="",G810=0),"",(I810-G810)/G810)</f>
        <v/>
      </c>
      <c r="K810" s="4">
        <f>IF(COUNT(D810:F810)=0,"",INDEX($D$1:$F$1,MATCH(MIN(D810:F810),D810:F810,0)))</f>
        <v/>
      </c>
      <c r="L810" s="10" t="n">
        <v>4472.06</v>
      </c>
      <c r="M810" s="12" t="n">
        <v>1</v>
      </c>
    </row>
    <row r="811">
      <c r="A811" s="4" t="inlineStr">
        <is>
          <t>MAT-27-011</t>
        </is>
      </c>
      <c r="B811" s="5" t="inlineStr">
        <is>
          <t>Dispensador De Jabon Cumberland</t>
        </is>
      </c>
      <c r="C811" s="4" t="inlineStr">
        <is>
          <t>unidad</t>
        </is>
      </c>
      <c r="D811" s="10" t="n">
        <v>14903.09</v>
      </c>
      <c r="E811" s="10" t="n"/>
      <c r="F811" s="10" t="n"/>
      <c r="G811" s="10">
        <f>IF(COUNT(D811:F811)=0,"",MIN(D811:F811))</f>
        <v/>
      </c>
      <c r="H811" s="10">
        <f>IF(COUNT(D811:F811)=0,"",MEDIAN(D811:F811))</f>
        <v/>
      </c>
      <c r="I811" s="10">
        <f>IF(COUNT(D811:F811)=0,"",MAX(D811:F811))</f>
        <v/>
      </c>
      <c r="J811" s="11">
        <f>IF(OR(G811="",G811=0),"",(I811-G811)/G811)</f>
        <v/>
      </c>
      <c r="K811" s="4">
        <f>IF(COUNT(D811:F811)=0,"",INDEX($D$1:$F$1,MATCH(MIN(D811:F811),D811:F811,0)))</f>
        <v/>
      </c>
      <c r="L811" s="10" t="n">
        <v>14903.09</v>
      </c>
      <c r="M811" s="12" t="n">
        <v>1</v>
      </c>
    </row>
    <row r="812">
      <c r="A812" s="4" t="inlineStr">
        <is>
          <t>MAT-27-012</t>
        </is>
      </c>
      <c r="B812" s="5" t="inlineStr">
        <is>
          <t>Dosificador Jabon Espuma Elec Bat</t>
        </is>
      </c>
      <c r="C812" s="4" t="inlineStr">
        <is>
          <t>unidad</t>
        </is>
      </c>
      <c r="D812" s="10" t="n">
        <v>15547.21</v>
      </c>
      <c r="E812" s="10" t="n"/>
      <c r="F812" s="10" t="n"/>
      <c r="G812" s="10">
        <f>IF(COUNT(D812:F812)=0,"",MIN(D812:F812))</f>
        <v/>
      </c>
      <c r="H812" s="10">
        <f>IF(COUNT(D812:F812)=0,"",MEDIAN(D812:F812))</f>
        <v/>
      </c>
      <c r="I812" s="10">
        <f>IF(COUNT(D812:F812)=0,"",MAX(D812:F812))</f>
        <v/>
      </c>
      <c r="J812" s="11">
        <f>IF(OR(G812="",G812=0),"",(I812-G812)/G812)</f>
        <v/>
      </c>
      <c r="K812" s="4">
        <f>IF(COUNT(D812:F812)=0,"",INDEX($D$1:$F$1,MATCH(MIN(D812:F812),D812:F812,0)))</f>
        <v/>
      </c>
      <c r="L812" s="10" t="n">
        <v>15547.21</v>
      </c>
      <c r="M812" s="12" t="n">
        <v>1</v>
      </c>
    </row>
    <row r="813">
      <c r="A813" s="4" t="inlineStr">
        <is>
          <t>MAT-27-013</t>
        </is>
      </c>
      <c r="B813" s="5" t="inlineStr">
        <is>
          <t>Secador de Manos Con Boton Acc</t>
        </is>
      </c>
      <c r="C813" s="4" t="inlineStr">
        <is>
          <t>unidad</t>
        </is>
      </c>
      <c r="D813" s="10" t="n">
        <v>16368.74</v>
      </c>
      <c r="E813" s="10" t="n"/>
      <c r="F813" s="10" t="n"/>
      <c r="G813" s="10">
        <f>IF(COUNT(D813:F813)=0,"",MIN(D813:F813))</f>
        <v/>
      </c>
      <c r="H813" s="10">
        <f>IF(COUNT(D813:F813)=0,"",MEDIAN(D813:F813))</f>
        <v/>
      </c>
      <c r="I813" s="10">
        <f>IF(COUNT(D813:F813)=0,"",MAX(D813:F813))</f>
        <v/>
      </c>
      <c r="J813" s="11">
        <f>IF(OR(G813="",G813=0),"",(I813-G813)/G813)</f>
        <v/>
      </c>
      <c r="K813" s="4">
        <f>IF(COUNT(D813:F813)=0,"",INDEX($D$1:$F$1,MATCH(MIN(D813:F813),D813:F813,0)))</f>
        <v/>
      </c>
      <c r="L813" s="10" t="n">
        <v>16368.74</v>
      </c>
      <c r="M813" s="12" t="n">
        <v>1</v>
      </c>
    </row>
    <row r="814">
      <c r="A814" s="4" t="inlineStr">
        <is>
          <t>MAT-27-014</t>
        </is>
      </c>
      <c r="B814" s="5" t="inlineStr">
        <is>
          <t>Secador De Mano con Sensor Alumin Negro</t>
        </is>
      </c>
      <c r="C814" s="4" t="inlineStr">
        <is>
          <t>unidad</t>
        </is>
      </c>
      <c r="D814" s="10" t="n">
        <v>18390.47</v>
      </c>
      <c r="E814" s="10" t="n"/>
      <c r="F814" s="10" t="n"/>
      <c r="G814" s="10">
        <f>IF(COUNT(D814:F814)=0,"",MIN(D814:F814))</f>
        <v/>
      </c>
      <c r="H814" s="10">
        <f>IF(COUNT(D814:F814)=0,"",MEDIAN(D814:F814))</f>
        <v/>
      </c>
      <c r="I814" s="10">
        <f>IF(COUNT(D814:F814)=0,"",MAX(D814:F814))</f>
        <v/>
      </c>
      <c r="J814" s="11">
        <f>IF(OR(G814="",G814=0),"",(I814-G814)/G814)</f>
        <v/>
      </c>
      <c r="K814" s="4">
        <f>IF(COUNT(D814:F814)=0,"",INDEX($D$1:$F$1,MATCH(MIN(D814:F814),D814:F814,0)))</f>
        <v/>
      </c>
      <c r="L814" s="10" t="n">
        <v>18390.47</v>
      </c>
      <c r="M814" s="12" t="n">
        <v>1</v>
      </c>
    </row>
    <row r="815">
      <c r="A815" s="4" t="inlineStr">
        <is>
          <t>MAT-27-015</t>
        </is>
      </c>
      <c r="B815" s="5" t="inlineStr">
        <is>
          <t>Secador De Manos Turbo</t>
        </is>
      </c>
      <c r="C815" s="4" t="inlineStr">
        <is>
          <t>unidad</t>
        </is>
      </c>
      <c r="D815" s="10" t="n">
        <v>27487.14</v>
      </c>
      <c r="E815" s="10" t="n"/>
      <c r="F815" s="10" t="n"/>
      <c r="G815" s="10">
        <f>IF(COUNT(D815:F815)=0,"",MIN(D815:F815))</f>
        <v/>
      </c>
      <c r="H815" s="10">
        <f>IF(COUNT(D815:F815)=0,"",MEDIAN(D815:F815))</f>
        <v/>
      </c>
      <c r="I815" s="10">
        <f>IF(COUNT(D815:F815)=0,"",MAX(D815:F815))</f>
        <v/>
      </c>
      <c r="J815" s="11">
        <f>IF(OR(G815="",G815=0),"",(I815-G815)/G815)</f>
        <v/>
      </c>
      <c r="K815" s="4">
        <f>IF(COUNT(D815:F815)=0,"",INDEX($D$1:$F$1,MATCH(MIN(D815:F815),D815:F815,0)))</f>
        <v/>
      </c>
      <c r="L815" s="10" t="n">
        <v>27487.14</v>
      </c>
      <c r="M815" s="12" t="n">
        <v>1</v>
      </c>
    </row>
    <row r="816">
      <c r="A816" s="4" t="inlineStr">
        <is>
          <t>MAT-27-016</t>
        </is>
      </c>
      <c r="B816" s="5" t="inlineStr">
        <is>
          <t>Secador Manos con Sensor Turbo eléctrico Ace. I</t>
        </is>
      </c>
      <c r="C816" s="4" t="inlineStr">
        <is>
          <t>unidad</t>
        </is>
      </c>
      <c r="D816" s="10" t="n">
        <v>32765.78</v>
      </c>
      <c r="E816" s="10" t="n"/>
      <c r="F816" s="10" t="n"/>
      <c r="G816" s="10">
        <f>IF(COUNT(D816:F816)=0,"",MIN(D816:F816))</f>
        <v/>
      </c>
      <c r="H816" s="10">
        <f>IF(COUNT(D816:F816)=0,"",MEDIAN(D816:F816))</f>
        <v/>
      </c>
      <c r="I816" s="10">
        <f>IF(COUNT(D816:F816)=0,"",MAX(D816:F816))</f>
        <v/>
      </c>
      <c r="J816" s="11">
        <f>IF(OR(G816="",G816=0),"",(I816-G816)/G816)</f>
        <v/>
      </c>
      <c r="K816" s="4">
        <f>IF(COUNT(D816:F816)=0,"",INDEX($D$1:$F$1,MATCH(MIN(D816:F816),D816:F816,0)))</f>
        <v/>
      </c>
      <c r="L816" s="10" t="n">
        <v>32765.78</v>
      </c>
      <c r="M816" s="12" t="n">
        <v>1</v>
      </c>
    </row>
    <row r="817">
      <c r="A817" s="4" t="inlineStr">
        <is>
          <t>MAT-27-017</t>
        </is>
      </c>
      <c r="B817" s="5" t="inlineStr">
        <is>
          <t>Secador De Mano Automatico Plateado Abs</t>
        </is>
      </c>
      <c r="C817" s="4" t="inlineStr">
        <is>
          <t>unidad</t>
        </is>
      </c>
      <c r="D817" s="10" t="n">
        <v>63455.69</v>
      </c>
      <c r="E817" s="10" t="n"/>
      <c r="F817" s="10" t="n"/>
      <c r="G817" s="10">
        <f>IF(COUNT(D817:F817)=0,"",MIN(D817:F817))</f>
        <v/>
      </c>
      <c r="H817" s="10">
        <f>IF(COUNT(D817:F817)=0,"",MEDIAN(D817:F817))</f>
        <v/>
      </c>
      <c r="I817" s="10">
        <f>IF(COUNT(D817:F817)=0,"",MAX(D817:F817))</f>
        <v/>
      </c>
      <c r="J817" s="11">
        <f>IF(OR(G817="",G817=0),"",(I817-G817)/G817)</f>
        <v/>
      </c>
      <c r="K817" s="4">
        <f>IF(COUNT(D817:F817)=0,"",INDEX($D$1:$F$1,MATCH(MIN(D817:F817),D817:F817,0)))</f>
        <v/>
      </c>
      <c r="L817" s="10" t="n">
        <v>63455.69</v>
      </c>
      <c r="M817" s="12" t="n">
        <v>1</v>
      </c>
    </row>
    <row r="818">
      <c r="A818" s="4" t="inlineStr">
        <is>
          <t>MAT-27-018</t>
        </is>
      </c>
      <c r="B818" s="5" t="inlineStr">
        <is>
          <t>Accesorio para baño juego</t>
        </is>
      </c>
      <c r="C818" s="4" t="inlineStr">
        <is>
          <t>juego</t>
        </is>
      </c>
      <c r="D818" s="10" t="n">
        <v>345.39</v>
      </c>
      <c r="E818" s="10" t="n"/>
      <c r="F818" s="10" t="n"/>
      <c r="G818" s="10">
        <f>IF(COUNT(D818:F818)=0,"",MIN(D818:F818))</f>
        <v/>
      </c>
      <c r="H818" s="10">
        <f>IF(COUNT(D818:F818)=0,"",MEDIAN(D818:F818))</f>
        <v/>
      </c>
      <c r="I818" s="10">
        <f>IF(COUNT(D818:F818)=0,"",MAX(D818:F818))</f>
        <v/>
      </c>
      <c r="J818" s="11">
        <f>IF(OR(G818="",G818=0),"",(I818-G818)/G818)</f>
        <v/>
      </c>
      <c r="K818" s="4">
        <f>IF(COUNT(D818:F818)=0,"",INDEX($D$1:$F$1,MATCH(MIN(D818:F818),D818:F818,0)))</f>
        <v/>
      </c>
      <c r="L818" s="10" t="n">
        <v>345.39</v>
      </c>
      <c r="M818" s="12" t="n">
        <v>1</v>
      </c>
    </row>
    <row r="819">
      <c r="A819" s="4" t="inlineStr">
        <is>
          <t>MAT-27-019</t>
        </is>
      </c>
      <c r="B819" s="5" t="inlineStr">
        <is>
          <t>Accesorio para baño juego (5 Pieza)</t>
        </is>
      </c>
      <c r="C819" s="4" t="inlineStr">
        <is>
          <t>juego</t>
        </is>
      </c>
      <c r="D819" s="10" t="n">
        <v>940.91</v>
      </c>
      <c r="E819" s="10" t="n"/>
      <c r="F819" s="10" t="n"/>
      <c r="G819" s="10">
        <f>IF(COUNT(D819:F819)=0,"",MIN(D819:F819))</f>
        <v/>
      </c>
      <c r="H819" s="10">
        <f>IF(COUNT(D819:F819)=0,"",MEDIAN(D819:F819))</f>
        <v/>
      </c>
      <c r="I819" s="10">
        <f>IF(COUNT(D819:F819)=0,"",MAX(D819:F819))</f>
        <v/>
      </c>
      <c r="J819" s="11">
        <f>IF(OR(G819="",G819=0),"",(I819-G819)/G819)</f>
        <v/>
      </c>
      <c r="K819" s="4">
        <f>IF(COUNT(D819:F819)=0,"",INDEX($D$1:$F$1,MATCH(MIN(D819:F819),D819:F819,0)))</f>
        <v/>
      </c>
      <c r="L819" s="10" t="n">
        <v>940.91</v>
      </c>
      <c r="M819" s="12" t="n">
        <v>1</v>
      </c>
    </row>
    <row r="820">
      <c r="A820" s="4" t="inlineStr">
        <is>
          <t>MAT-27-020</t>
        </is>
      </c>
      <c r="B820" s="5" t="inlineStr">
        <is>
          <t>Kit Acc. baño 3 Pzas. Burdeos, cromo</t>
        </is>
      </c>
      <c r="C820" s="4" t="inlineStr">
        <is>
          <t>juego</t>
        </is>
      </c>
      <c r="D820" s="10" t="n">
        <v>1081.92</v>
      </c>
      <c r="E820" s="10" t="n"/>
      <c r="F820" s="10" t="n"/>
      <c r="G820" s="10">
        <f>IF(COUNT(D820:F820)=0,"",MIN(D820:F820))</f>
        <v/>
      </c>
      <c r="H820" s="10">
        <f>IF(COUNT(D820:F820)=0,"",MEDIAN(D820:F820))</f>
        <v/>
      </c>
      <c r="I820" s="10">
        <f>IF(COUNT(D820:F820)=0,"",MAX(D820:F820))</f>
        <v/>
      </c>
      <c r="J820" s="11">
        <f>IF(OR(G820="",G820=0),"",(I820-G820)/G820)</f>
        <v/>
      </c>
      <c r="K820" s="4">
        <f>IF(COUNT(D820:F820)=0,"",INDEX($D$1:$F$1,MATCH(MIN(D820:F820),D820:F820,0)))</f>
        <v/>
      </c>
      <c r="L820" s="10" t="n">
        <v>1081.92</v>
      </c>
      <c r="M820" s="12" t="n">
        <v>1</v>
      </c>
    </row>
    <row r="821">
      <c r="A821" s="4" t="inlineStr">
        <is>
          <t>MAT-27-021</t>
        </is>
      </c>
      <c r="B821" s="5" t="inlineStr">
        <is>
          <t>Kit Acc. baño 6 Pzas.</t>
        </is>
      </c>
      <c r="C821" s="4" t="inlineStr">
        <is>
          <t>juego</t>
        </is>
      </c>
      <c r="D821" s="10" t="n">
        <v>1342.61</v>
      </c>
      <c r="E821" s="10" t="n"/>
      <c r="F821" s="10" t="n"/>
      <c r="G821" s="10">
        <f>IF(COUNT(D821:F821)=0,"",MIN(D821:F821))</f>
        <v/>
      </c>
      <c r="H821" s="10">
        <f>IF(COUNT(D821:F821)=0,"",MEDIAN(D821:F821))</f>
        <v/>
      </c>
      <c r="I821" s="10">
        <f>IF(COUNT(D821:F821)=0,"",MAX(D821:F821))</f>
        <v/>
      </c>
      <c r="J821" s="11">
        <f>IF(OR(G821="",G821=0),"",(I821-G821)/G821)</f>
        <v/>
      </c>
      <c r="K821" s="4">
        <f>IF(COUNT(D821:F821)=0,"",INDEX($D$1:$F$1,MATCH(MIN(D821:F821),D821:F821,0)))</f>
        <v/>
      </c>
      <c r="L821" s="10" t="n">
        <v>1342.61</v>
      </c>
      <c r="M821" s="12" t="n">
        <v>1</v>
      </c>
    </row>
    <row r="822">
      <c r="A822" s="4" t="inlineStr">
        <is>
          <t>MAT-27-022</t>
        </is>
      </c>
      <c r="B822" s="5" t="inlineStr">
        <is>
          <t>Kit Acc. baño 6 Pzas. Burdeos, cromo</t>
        </is>
      </c>
      <c r="C822" s="4" t="inlineStr">
        <is>
          <t>juego</t>
        </is>
      </c>
      <c r="D822" s="10" t="n">
        <v>1598.64</v>
      </c>
      <c r="E822" s="10" t="n"/>
      <c r="F822" s="10" t="n"/>
      <c r="G822" s="10">
        <f>IF(COUNT(D822:F822)=0,"",MIN(D822:F822))</f>
        <v/>
      </c>
      <c r="H822" s="10">
        <f>IF(COUNT(D822:F822)=0,"",MEDIAN(D822:F822))</f>
        <v/>
      </c>
      <c r="I822" s="10">
        <f>IF(COUNT(D822:F822)=0,"",MAX(D822:F822))</f>
        <v/>
      </c>
      <c r="J822" s="11">
        <f>IF(OR(G822="",G822=0),"",(I822-G822)/G822)</f>
        <v/>
      </c>
      <c r="K822" s="4">
        <f>IF(COUNT(D822:F822)=0,"",INDEX($D$1:$F$1,MATCH(MIN(D822:F822),D822:F822,0)))</f>
        <v/>
      </c>
      <c r="L822" s="10" t="n">
        <v>1598.64</v>
      </c>
      <c r="M822" s="12" t="n">
        <v>1</v>
      </c>
    </row>
    <row r="823">
      <c r="A823" s="4" t="inlineStr">
        <is>
          <t>MAT-27-023</t>
        </is>
      </c>
      <c r="B823" s="5" t="inlineStr">
        <is>
          <t>Kit Accesorios para baño Prem 4 Pzas</t>
        </is>
      </c>
      <c r="C823" s="4" t="inlineStr">
        <is>
          <t>juego</t>
        </is>
      </c>
      <c r="D823" s="10" t="n">
        <v>1605.2</v>
      </c>
      <c r="E823" s="10" t="n"/>
      <c r="F823" s="10" t="n"/>
      <c r="G823" s="10">
        <f>IF(COUNT(D823:F823)=0,"",MIN(D823:F823))</f>
        <v/>
      </c>
      <c r="H823" s="10">
        <f>IF(COUNT(D823:F823)=0,"",MEDIAN(D823:F823))</f>
        <v/>
      </c>
      <c r="I823" s="10">
        <f>IF(COUNT(D823:F823)=0,"",MAX(D823:F823))</f>
        <v/>
      </c>
      <c r="J823" s="11">
        <f>IF(OR(G823="",G823=0),"",(I823-G823)/G823)</f>
        <v/>
      </c>
      <c r="K823" s="4">
        <f>IF(COUNT(D823:F823)=0,"",INDEX($D$1:$F$1,MATCH(MIN(D823:F823),D823:F823,0)))</f>
        <v/>
      </c>
      <c r="L823" s="10" t="n">
        <v>1605.2</v>
      </c>
      <c r="M823" s="12" t="n">
        <v>1</v>
      </c>
    </row>
    <row r="824">
      <c r="A824" s="4" t="inlineStr">
        <is>
          <t>MAT-27-024</t>
        </is>
      </c>
      <c r="B824" s="5" t="inlineStr">
        <is>
          <t>Kit Acc. baño 6 piezas Cuenca</t>
        </is>
      </c>
      <c r="C824" s="4" t="inlineStr">
        <is>
          <t>juego</t>
        </is>
      </c>
      <c r="D824" s="10" t="n">
        <v>1638.74</v>
      </c>
      <c r="E824" s="10" t="n"/>
      <c r="F824" s="10" t="n"/>
      <c r="G824" s="10">
        <f>IF(COUNT(D824:F824)=0,"",MIN(D824:F824))</f>
        <v/>
      </c>
      <c r="H824" s="10">
        <f>IF(COUNT(D824:F824)=0,"",MEDIAN(D824:F824))</f>
        <v/>
      </c>
      <c r="I824" s="10">
        <f>IF(COUNT(D824:F824)=0,"",MAX(D824:F824))</f>
        <v/>
      </c>
      <c r="J824" s="11">
        <f>IF(OR(G824="",G824=0),"",(I824-G824)/G824)</f>
        <v/>
      </c>
      <c r="K824" s="4">
        <f>IF(COUNT(D824:F824)=0,"",INDEX($D$1:$F$1,MATCH(MIN(D824:F824),D824:F824,0)))</f>
        <v/>
      </c>
      <c r="L824" s="10" t="n">
        <v>1638.74</v>
      </c>
      <c r="M824" s="12" t="n">
        <v>1</v>
      </c>
    </row>
    <row r="825">
      <c r="A825" s="4" t="inlineStr">
        <is>
          <t>MAT-27-025</t>
        </is>
      </c>
      <c r="B825" s="5" t="inlineStr">
        <is>
          <t>Kit De Acce para Baño 3 piezas Brushed Nickel</t>
        </is>
      </c>
      <c r="C825" s="4" t="inlineStr">
        <is>
          <t>juego</t>
        </is>
      </c>
      <c r="D825" s="10" t="n">
        <v>1673.59</v>
      </c>
      <c r="E825" s="10" t="n"/>
      <c r="F825" s="10" t="n"/>
      <c r="G825" s="10">
        <f>IF(COUNT(D825:F825)=0,"",MIN(D825:F825))</f>
        <v/>
      </c>
      <c r="H825" s="10">
        <f>IF(COUNT(D825:F825)=0,"",MEDIAN(D825:F825))</f>
        <v/>
      </c>
      <c r="I825" s="10">
        <f>IF(COUNT(D825:F825)=0,"",MAX(D825:F825))</f>
        <v/>
      </c>
      <c r="J825" s="11">
        <f>IF(OR(G825="",G825=0),"",(I825-G825)/G825)</f>
        <v/>
      </c>
      <c r="K825" s="4">
        <f>IF(COUNT(D825:F825)=0,"",INDEX($D$1:$F$1,MATCH(MIN(D825:F825),D825:F825,0)))</f>
        <v/>
      </c>
      <c r="L825" s="10" t="n">
        <v>1673.59</v>
      </c>
      <c r="M825" s="12" t="n">
        <v>1</v>
      </c>
    </row>
    <row r="826">
      <c r="A826" s="4" t="inlineStr">
        <is>
          <t>MAT-27-026</t>
        </is>
      </c>
      <c r="B826" s="5" t="inlineStr">
        <is>
          <t>Kit De Accesorios para Baño 3 Piezas Negro</t>
        </is>
      </c>
      <c r="C826" s="4" t="inlineStr">
        <is>
          <t>juego</t>
        </is>
      </c>
      <c r="D826" s="10" t="n">
        <v>1673.59</v>
      </c>
      <c r="E826" s="10" t="n"/>
      <c r="F826" s="10" t="n"/>
      <c r="G826" s="10">
        <f>IF(COUNT(D826:F826)=0,"",MIN(D826:F826))</f>
        <v/>
      </c>
      <c r="H826" s="10">
        <f>IF(COUNT(D826:F826)=0,"",MEDIAN(D826:F826))</f>
        <v/>
      </c>
      <c r="I826" s="10">
        <f>IF(COUNT(D826:F826)=0,"",MAX(D826:F826))</f>
        <v/>
      </c>
      <c r="J826" s="11">
        <f>IF(OR(G826="",G826=0),"",(I826-G826)/G826)</f>
        <v/>
      </c>
      <c r="K826" s="4">
        <f>IF(COUNT(D826:F826)=0,"",INDEX($D$1:$F$1,MATCH(MIN(D826:F826),D826:F826,0)))</f>
        <v/>
      </c>
      <c r="L826" s="10" t="n">
        <v>1673.59</v>
      </c>
      <c r="M826" s="12" t="n">
        <v>1</v>
      </c>
    </row>
    <row r="827">
      <c r="A827" s="4" t="inlineStr">
        <is>
          <t>MAT-27-027</t>
        </is>
      </c>
      <c r="B827" s="5" t="inlineStr">
        <is>
          <t>Kit para inodoro de Flush</t>
        </is>
      </c>
      <c r="C827" s="4" t="inlineStr">
        <is>
          <t>juego</t>
        </is>
      </c>
      <c r="D827" s="10" t="n">
        <v>1709.67</v>
      </c>
      <c r="E827" s="10" t="n"/>
      <c r="F827" s="10" t="n"/>
      <c r="G827" s="10">
        <f>IF(COUNT(D827:F827)=0,"",MIN(D827:F827))</f>
        <v/>
      </c>
      <c r="H827" s="10">
        <f>IF(COUNT(D827:F827)=0,"",MEDIAN(D827:F827))</f>
        <v/>
      </c>
      <c r="I827" s="10">
        <f>IF(COUNT(D827:F827)=0,"",MAX(D827:F827))</f>
        <v/>
      </c>
      <c r="J827" s="11">
        <f>IF(OR(G827="",G827=0),"",(I827-G827)/G827)</f>
        <v/>
      </c>
      <c r="K827" s="4">
        <f>IF(COUNT(D827:F827)=0,"",INDEX($D$1:$F$1,MATCH(MIN(D827:F827),D827:F827,0)))</f>
        <v/>
      </c>
      <c r="L827" s="10" t="n">
        <v>1709.67</v>
      </c>
      <c r="M827" s="12" t="n">
        <v>1</v>
      </c>
    </row>
    <row r="828">
      <c r="A828" s="4" t="inlineStr">
        <is>
          <t>MAT-27-028</t>
        </is>
      </c>
      <c r="B828" s="5" t="inlineStr">
        <is>
          <t>Kit de Instalacion para Inodoro</t>
        </is>
      </c>
      <c r="C828" s="4" t="inlineStr">
        <is>
          <t>juego</t>
        </is>
      </c>
      <c r="D828" s="10" t="n">
        <v>1773</v>
      </c>
      <c r="E828" s="10" t="n"/>
      <c r="F828" s="10" t="n"/>
      <c r="G828" s="10">
        <f>IF(COUNT(D828:F828)=0,"",MIN(D828:F828))</f>
        <v/>
      </c>
      <c r="H828" s="10">
        <f>IF(COUNT(D828:F828)=0,"",MEDIAN(D828:F828))</f>
        <v/>
      </c>
      <c r="I828" s="10">
        <f>IF(COUNT(D828:F828)=0,"",MAX(D828:F828))</f>
        <v/>
      </c>
      <c r="J828" s="11">
        <f>IF(OR(G828="",G828=0),"",(I828-G828)/G828)</f>
        <v/>
      </c>
      <c r="K828" s="4">
        <f>IF(COUNT(D828:F828)=0,"",INDEX($D$1:$F$1,MATCH(MIN(D828:F828),D828:F828,0)))</f>
        <v/>
      </c>
      <c r="L828" s="10" t="n">
        <v>1773</v>
      </c>
      <c r="M828" s="12" t="n">
        <v>1</v>
      </c>
    </row>
    <row r="829">
      <c r="A829" s="4" t="inlineStr">
        <is>
          <t>MAT-27-029</t>
        </is>
      </c>
      <c r="B829" s="5" t="inlineStr">
        <is>
          <t>Accesorios Para Baño Huelva, cromo</t>
        </is>
      </c>
      <c r="C829" s="4" t="inlineStr">
        <is>
          <t>juego</t>
        </is>
      </c>
      <c r="D829" s="10" t="n">
        <v>1798.73</v>
      </c>
      <c r="E829" s="10" t="n"/>
      <c r="F829" s="10" t="n"/>
      <c r="G829" s="10">
        <f>IF(COUNT(D829:F829)=0,"",MIN(D829:F829))</f>
        <v/>
      </c>
      <c r="H829" s="10">
        <f>IF(COUNT(D829:F829)=0,"",MEDIAN(D829:F829))</f>
        <v/>
      </c>
      <c r="I829" s="10">
        <f>IF(COUNT(D829:F829)=0,"",MAX(D829:F829))</f>
        <v/>
      </c>
      <c r="J829" s="11">
        <f>IF(OR(G829="",G829=0),"",(I829-G829)/G829)</f>
        <v/>
      </c>
      <c r="K829" s="4">
        <f>IF(COUNT(D829:F829)=0,"",INDEX($D$1:$F$1,MATCH(MIN(D829:F829),D829:F829,0)))</f>
        <v/>
      </c>
      <c r="L829" s="10" t="n">
        <v>1798.73</v>
      </c>
      <c r="M829" s="12" t="n">
        <v>1</v>
      </c>
    </row>
    <row r="830">
      <c r="A830" s="4" t="inlineStr">
        <is>
          <t>MAT-27-030</t>
        </is>
      </c>
      <c r="B830" s="5" t="inlineStr">
        <is>
          <t>Kit De Acceso para Baño 4 piezas Brush Nickel</t>
        </is>
      </c>
      <c r="C830" s="4" t="inlineStr">
        <is>
          <t>juego</t>
        </is>
      </c>
      <c r="D830" s="10" t="n">
        <v>1813.97</v>
      </c>
      <c r="E830" s="10" t="n"/>
      <c r="F830" s="10" t="n"/>
      <c r="G830" s="10">
        <f>IF(COUNT(D830:F830)=0,"",MIN(D830:F830))</f>
        <v/>
      </c>
      <c r="H830" s="10">
        <f>IF(COUNT(D830:F830)=0,"",MEDIAN(D830:F830))</f>
        <v/>
      </c>
      <c r="I830" s="10">
        <f>IF(COUNT(D830:F830)=0,"",MAX(D830:F830))</f>
        <v/>
      </c>
      <c r="J830" s="11">
        <f>IF(OR(G830="",G830=0),"",(I830-G830)/G830)</f>
        <v/>
      </c>
      <c r="K830" s="4">
        <f>IF(COUNT(D830:F830)=0,"",INDEX($D$1:$F$1,MATCH(MIN(D830:F830),D830:F830,0)))</f>
        <v/>
      </c>
      <c r="L830" s="10" t="n">
        <v>1813.97</v>
      </c>
      <c r="M830" s="12" t="n">
        <v>1</v>
      </c>
    </row>
    <row r="831">
      <c r="A831" s="4" t="inlineStr">
        <is>
          <t>MAT-27-031</t>
        </is>
      </c>
      <c r="B831" s="5" t="inlineStr">
        <is>
          <t>Kit Accesorio 6 piezas Vigo</t>
        </is>
      </c>
      <c r="C831" s="4" t="inlineStr">
        <is>
          <t>juego</t>
        </is>
      </c>
      <c r="D831" s="10" t="n">
        <v>1839.57</v>
      </c>
      <c r="E831" s="10" t="n"/>
      <c r="F831" s="10" t="n"/>
      <c r="G831" s="10">
        <f>IF(COUNT(D831:F831)=0,"",MIN(D831:F831))</f>
        <v/>
      </c>
      <c r="H831" s="10">
        <f>IF(COUNT(D831:F831)=0,"",MEDIAN(D831:F831))</f>
        <v/>
      </c>
      <c r="I831" s="10">
        <f>IF(COUNT(D831:F831)=0,"",MAX(D831:F831))</f>
        <v/>
      </c>
      <c r="J831" s="11">
        <f>IF(OR(G831="",G831=0),"",(I831-G831)/G831)</f>
        <v/>
      </c>
      <c r="K831" s="4">
        <f>IF(COUNT(D831:F831)=0,"",INDEX($D$1:$F$1,MATCH(MIN(D831:F831),D831:F831,0)))</f>
        <v/>
      </c>
      <c r="L831" s="10" t="n">
        <v>1839.57</v>
      </c>
      <c r="M831" s="12" t="n">
        <v>1</v>
      </c>
    </row>
    <row r="832">
      <c r="A832" s="4" t="inlineStr">
        <is>
          <t>MAT-27-032</t>
        </is>
      </c>
      <c r="B832" s="5" t="inlineStr">
        <is>
          <t>Kit Acc. baño 6 piezas Granada</t>
        </is>
      </c>
      <c r="C832" s="4" t="inlineStr">
        <is>
          <t>juego</t>
        </is>
      </c>
      <c r="D832" s="10" t="n">
        <v>1876.22</v>
      </c>
      <c r="E832" s="10" t="n"/>
      <c r="F832" s="10" t="n"/>
      <c r="G832" s="10">
        <f>IF(COUNT(D832:F832)=0,"",MIN(D832:F832))</f>
        <v/>
      </c>
      <c r="H832" s="10">
        <f>IF(COUNT(D832:F832)=0,"",MEDIAN(D832:F832))</f>
        <v/>
      </c>
      <c r="I832" s="10">
        <f>IF(COUNT(D832:F832)=0,"",MAX(D832:F832))</f>
        <v/>
      </c>
      <c r="J832" s="11">
        <f>IF(OR(G832="",G832=0),"",(I832-G832)/G832)</f>
        <v/>
      </c>
      <c r="K832" s="4">
        <f>IF(COUNT(D832:F832)=0,"",INDEX($D$1:$F$1,MATCH(MIN(D832:F832),D832:F832,0)))</f>
        <v/>
      </c>
      <c r="L832" s="10" t="n">
        <v>1876.22</v>
      </c>
      <c r="M832" s="12" t="n">
        <v>1</v>
      </c>
    </row>
    <row r="833">
      <c r="A833" s="4" t="inlineStr">
        <is>
          <t>MAT-27-033</t>
        </is>
      </c>
      <c r="B833" s="5" t="inlineStr">
        <is>
          <t>Kit De Accesorios Para Baños</t>
        </is>
      </c>
      <c r="C833" s="4" t="inlineStr">
        <is>
          <t>juego</t>
        </is>
      </c>
      <c r="D833" s="10" t="n">
        <v>349.33</v>
      </c>
      <c r="E833" s="10" t="n"/>
      <c r="F833" s="10" t="n"/>
      <c r="G833" s="10">
        <f>IF(COUNT(D833:F833)=0,"",MIN(D833:F833))</f>
        <v/>
      </c>
      <c r="H833" s="10">
        <f>IF(COUNT(D833:F833)=0,"",MEDIAN(D833:F833))</f>
        <v/>
      </c>
      <c r="I833" s="10">
        <f>IF(COUNT(D833:F833)=0,"",MAX(D833:F833))</f>
        <v/>
      </c>
      <c r="J833" s="11">
        <f>IF(OR(G833="",G833=0),"",(I833-G833)/G833)</f>
        <v/>
      </c>
      <c r="K833" s="4">
        <f>IF(COUNT(D833:F833)=0,"",INDEX($D$1:$F$1,MATCH(MIN(D833:F833),D833:F833,0)))</f>
        <v/>
      </c>
      <c r="L833" s="10" t="n">
        <v>1259.2</v>
      </c>
      <c r="M833" s="12" t="n">
        <v>1</v>
      </c>
    </row>
    <row r="834">
      <c r="A834" s="4" t="inlineStr">
        <is>
          <t>MAT-27-034</t>
        </is>
      </c>
      <c r="B834" s="5" t="inlineStr">
        <is>
          <t>Accesorios Para Baño Burdeos, dorado</t>
        </is>
      </c>
      <c r="C834" s="4" t="inlineStr">
        <is>
          <t>juego</t>
        </is>
      </c>
      <c r="D834" s="10" t="n">
        <v>1984.74</v>
      </c>
      <c r="E834" s="10" t="n"/>
      <c r="F834" s="10" t="n"/>
      <c r="G834" s="10">
        <f>IF(COUNT(D834:F834)=0,"",MIN(D834:F834))</f>
        <v/>
      </c>
      <c r="H834" s="10">
        <f>IF(COUNT(D834:F834)=0,"",MEDIAN(D834:F834))</f>
        <v/>
      </c>
      <c r="I834" s="10">
        <f>IF(COUNT(D834:F834)=0,"",MAX(D834:F834))</f>
        <v/>
      </c>
      <c r="J834" s="11">
        <f>IF(OR(G834="",G834=0),"",(I834-G834)/G834)</f>
        <v/>
      </c>
      <c r="K834" s="4">
        <f>IF(COUNT(D834:F834)=0,"",INDEX($D$1:$F$1,MATCH(MIN(D834:F834),D834:F834,0)))</f>
        <v/>
      </c>
      <c r="L834" s="10" t="n">
        <v>1984.74</v>
      </c>
      <c r="M834" s="12" t="n">
        <v>1</v>
      </c>
    </row>
    <row r="835">
      <c r="A835" s="4" t="inlineStr">
        <is>
          <t>MAT-27-035</t>
        </is>
      </c>
      <c r="B835" s="5" t="inlineStr">
        <is>
          <t>Kit Accesorios De Baño Cali 6 Piezas Cro</t>
        </is>
      </c>
      <c r="C835" s="4" t="inlineStr">
        <is>
          <t>juego</t>
        </is>
      </c>
      <c r="D835" s="10" t="n">
        <v>2072.07</v>
      </c>
      <c r="E835" s="10" t="n"/>
      <c r="F835" s="10" t="n"/>
      <c r="G835" s="10">
        <f>IF(COUNT(D835:F835)=0,"",MIN(D835:F835))</f>
        <v/>
      </c>
      <c r="H835" s="10">
        <f>IF(COUNT(D835:F835)=0,"",MEDIAN(D835:F835))</f>
        <v/>
      </c>
      <c r="I835" s="10">
        <f>IF(COUNT(D835:F835)=0,"",MAX(D835:F835))</f>
        <v/>
      </c>
      <c r="J835" s="11">
        <f>IF(OR(G835="",G835=0),"",(I835-G835)/G835)</f>
        <v/>
      </c>
      <c r="K835" s="4">
        <f>IF(COUNT(D835:F835)=0,"",INDEX($D$1:$F$1,MATCH(MIN(D835:F835),D835:F835,0)))</f>
        <v/>
      </c>
      <c r="L835" s="10" t="n">
        <v>2072.07</v>
      </c>
      <c r="M835" s="12" t="n">
        <v>1</v>
      </c>
    </row>
    <row r="836">
      <c r="A836" s="4" t="inlineStr">
        <is>
          <t>MAT-27-036</t>
        </is>
      </c>
      <c r="B836" s="5" t="inlineStr">
        <is>
          <t>Kit Accesorios para baño Quito Cr</t>
        </is>
      </c>
      <c r="C836" s="4" t="inlineStr">
        <is>
          <t>juego</t>
        </is>
      </c>
      <c r="D836" s="10" t="n">
        <v>2083.04</v>
      </c>
      <c r="E836" s="10" t="n"/>
      <c r="F836" s="10" t="n"/>
      <c r="G836" s="10">
        <f>IF(COUNT(D836:F836)=0,"",MIN(D836:F836))</f>
        <v/>
      </c>
      <c r="H836" s="10">
        <f>IF(COUNT(D836:F836)=0,"",MEDIAN(D836:F836))</f>
        <v/>
      </c>
      <c r="I836" s="10">
        <f>IF(COUNT(D836:F836)=0,"",MAX(D836:F836))</f>
        <v/>
      </c>
      <c r="J836" s="11">
        <f>IF(OR(G836="",G836=0),"",(I836-G836)/G836)</f>
        <v/>
      </c>
      <c r="K836" s="4">
        <f>IF(COUNT(D836:F836)=0,"",INDEX($D$1:$F$1,MATCH(MIN(D836:F836),D836:F836,0)))</f>
        <v/>
      </c>
      <c r="L836" s="10" t="n">
        <v>2083.04</v>
      </c>
      <c r="M836" s="12" t="n">
        <v>1</v>
      </c>
    </row>
    <row r="837">
      <c r="A837" s="4" t="inlineStr">
        <is>
          <t>MAT-27-037</t>
        </is>
      </c>
      <c r="B837" s="5" t="inlineStr">
        <is>
          <t>Kit De Accesorios Para Baños, cromo</t>
        </is>
      </c>
      <c r="C837" s="4" t="inlineStr">
        <is>
          <t>juego</t>
        </is>
      </c>
      <c r="D837" s="10" t="n">
        <v>2297.93</v>
      </c>
      <c r="E837" s="10" t="n"/>
      <c r="F837" s="10" t="n"/>
      <c r="G837" s="10">
        <f>IF(COUNT(D837:F837)=0,"",MIN(D837:F837))</f>
        <v/>
      </c>
      <c r="H837" s="10">
        <f>IF(COUNT(D837:F837)=0,"",MEDIAN(D837:F837))</f>
        <v/>
      </c>
      <c r="I837" s="10">
        <f>IF(COUNT(D837:F837)=0,"",MAX(D837:F837))</f>
        <v/>
      </c>
      <c r="J837" s="11">
        <f>IF(OR(G837="",G837=0),"",(I837-G837)/G837)</f>
        <v/>
      </c>
      <c r="K837" s="4">
        <f>IF(COUNT(D837:F837)=0,"",INDEX($D$1:$F$1,MATCH(MIN(D837:F837),D837:F837,0)))</f>
        <v/>
      </c>
      <c r="L837" s="10" t="n">
        <v>2297.93</v>
      </c>
      <c r="M837" s="12" t="n">
        <v>1</v>
      </c>
    </row>
    <row r="838">
      <c r="A838" s="4" t="inlineStr">
        <is>
          <t>MAT-27-038</t>
        </is>
      </c>
      <c r="B838" s="5" t="inlineStr">
        <is>
          <t>Kit Acc. Baño 6 Pz Cromo</t>
        </is>
      </c>
      <c r="C838" s="4" t="inlineStr">
        <is>
          <t>juego</t>
        </is>
      </c>
      <c r="D838" s="10" t="n">
        <v>2327.23</v>
      </c>
      <c r="E838" s="10" t="n"/>
      <c r="F838" s="10" t="n"/>
      <c r="G838" s="10">
        <f>IF(COUNT(D838:F838)=0,"",MIN(D838:F838))</f>
        <v/>
      </c>
      <c r="H838" s="10">
        <f>IF(COUNT(D838:F838)=0,"",MEDIAN(D838:F838))</f>
        <v/>
      </c>
      <c r="I838" s="10">
        <f>IF(COUNT(D838:F838)=0,"",MAX(D838:F838))</f>
        <v/>
      </c>
      <c r="J838" s="11">
        <f>IF(OR(G838="",G838=0),"",(I838-G838)/G838)</f>
        <v/>
      </c>
      <c r="K838" s="4">
        <f>IF(COUNT(D838:F838)=0,"",INDEX($D$1:$F$1,MATCH(MIN(D838:F838),D838:F838,0)))</f>
        <v/>
      </c>
      <c r="L838" s="10" t="n">
        <v>2327.23</v>
      </c>
      <c r="M838" s="12" t="n">
        <v>1</v>
      </c>
    </row>
    <row r="839">
      <c r="A839" s="4" t="inlineStr">
        <is>
          <t>MAT-27-039</t>
        </is>
      </c>
      <c r="B839" s="5" t="inlineStr">
        <is>
          <t>Kit Acc. Baño 6 Pz Matte Black</t>
        </is>
      </c>
      <c r="C839" s="4" t="inlineStr">
        <is>
          <t>juego</t>
        </is>
      </c>
      <c r="D839" s="10" t="n">
        <v>2407.5</v>
      </c>
      <c r="E839" s="10" t="n"/>
      <c r="F839" s="10" t="n"/>
      <c r="G839" s="10">
        <f>IF(COUNT(D839:F839)=0,"",MIN(D839:F839))</f>
        <v/>
      </c>
      <c r="H839" s="10">
        <f>IF(COUNT(D839:F839)=0,"",MEDIAN(D839:F839))</f>
        <v/>
      </c>
      <c r="I839" s="10">
        <f>IF(COUNT(D839:F839)=0,"",MAX(D839:F839))</f>
        <v/>
      </c>
      <c r="J839" s="11">
        <f>IF(OR(G839="",G839=0),"",(I839-G839)/G839)</f>
        <v/>
      </c>
      <c r="K839" s="4">
        <f>IF(COUNT(D839:F839)=0,"",INDEX($D$1:$F$1,MATCH(MIN(D839:F839),D839:F839,0)))</f>
        <v/>
      </c>
      <c r="L839" s="10" t="n">
        <v>2407.5</v>
      </c>
      <c r="M839" s="12" t="n">
        <v>1</v>
      </c>
    </row>
    <row r="840">
      <c r="A840" s="4" t="inlineStr">
        <is>
          <t>MAT-27-040</t>
        </is>
      </c>
      <c r="B840" s="5" t="inlineStr">
        <is>
          <t>Kit Accesorios para baño Livorno Cr</t>
        </is>
      </c>
      <c r="C840" s="4" t="inlineStr">
        <is>
          <t>juego</t>
        </is>
      </c>
      <c r="D840" s="10" t="n">
        <v>2638.09</v>
      </c>
      <c r="E840" s="10" t="n"/>
      <c r="F840" s="10" t="n"/>
      <c r="G840" s="10">
        <f>IF(COUNT(D840:F840)=0,"",MIN(D840:F840))</f>
        <v/>
      </c>
      <c r="H840" s="10">
        <f>IF(COUNT(D840:F840)=0,"",MEDIAN(D840:F840))</f>
        <v/>
      </c>
      <c r="I840" s="10">
        <f>IF(COUNT(D840:F840)=0,"",MAX(D840:F840))</f>
        <v/>
      </c>
      <c r="J840" s="11">
        <f>IF(OR(G840="",G840=0),"",(I840-G840)/G840)</f>
        <v/>
      </c>
      <c r="K840" s="4">
        <f>IF(COUNT(D840:F840)=0,"",INDEX($D$1:$F$1,MATCH(MIN(D840:F840),D840:F840,0)))</f>
        <v/>
      </c>
      <c r="L840" s="10" t="n">
        <v>2638.09</v>
      </c>
      <c r="M840" s="12" t="n">
        <v>1</v>
      </c>
    </row>
    <row r="841">
      <c r="A841" s="4" t="inlineStr">
        <is>
          <t>MAT-27-041</t>
        </is>
      </c>
      <c r="B841" s="5" t="inlineStr">
        <is>
          <t>Kit Accesorios para baño Milano Cr</t>
        </is>
      </c>
      <c r="C841" s="4" t="inlineStr">
        <is>
          <t>juego</t>
        </is>
      </c>
      <c r="D841" s="10" t="n">
        <v>2920.29</v>
      </c>
      <c r="E841" s="10" t="n"/>
      <c r="F841" s="10" t="n"/>
      <c r="G841" s="10">
        <f>IF(COUNT(D841:F841)=0,"",MIN(D841:F841))</f>
        <v/>
      </c>
      <c r="H841" s="10">
        <f>IF(COUNT(D841:F841)=0,"",MEDIAN(D841:F841))</f>
        <v/>
      </c>
      <c r="I841" s="10">
        <f>IF(COUNT(D841:F841)=0,"",MAX(D841:F841))</f>
        <v/>
      </c>
      <c r="J841" s="11">
        <f>IF(OR(G841="",G841=0),"",(I841-G841)/G841)</f>
        <v/>
      </c>
      <c r="K841" s="4">
        <f>IF(COUNT(D841:F841)=0,"",INDEX($D$1:$F$1,MATCH(MIN(D841:F841),D841:F841,0)))</f>
        <v/>
      </c>
      <c r="L841" s="10" t="n">
        <v>2920.29</v>
      </c>
      <c r="M841" s="12" t="n">
        <v>1</v>
      </c>
    </row>
    <row r="842">
      <c r="A842" s="4" t="inlineStr">
        <is>
          <t>MAT-27-042</t>
        </is>
      </c>
      <c r="B842" s="5" t="inlineStr">
        <is>
          <t>Kit Acc. baño 6 Pzas. Amalfi Cromo</t>
        </is>
      </c>
      <c r="C842" s="4" t="inlineStr">
        <is>
          <t>juego</t>
        </is>
      </c>
      <c r="D842" s="10" t="n">
        <v>2922.03</v>
      </c>
      <c r="E842" s="10" t="n"/>
      <c r="F842" s="10" t="n"/>
      <c r="G842" s="10">
        <f>IF(COUNT(D842:F842)=0,"",MIN(D842:F842))</f>
        <v/>
      </c>
      <c r="H842" s="10">
        <f>IF(COUNT(D842:F842)=0,"",MEDIAN(D842:F842))</f>
        <v/>
      </c>
      <c r="I842" s="10">
        <f>IF(COUNT(D842:F842)=0,"",MAX(D842:F842))</f>
        <v/>
      </c>
      <c r="J842" s="11">
        <f>IF(OR(G842="",G842=0),"",(I842-G842)/G842)</f>
        <v/>
      </c>
      <c r="K842" s="4">
        <f>IF(COUNT(D842:F842)=0,"",INDEX($D$1:$F$1,MATCH(MIN(D842:F842),D842:F842,0)))</f>
        <v/>
      </c>
      <c r="L842" s="10" t="n">
        <v>2922.03</v>
      </c>
      <c r="M842" s="12" t="n">
        <v>1</v>
      </c>
    </row>
    <row r="843">
      <c r="A843" s="4" t="inlineStr">
        <is>
          <t>MAT-27-043</t>
        </is>
      </c>
      <c r="B843" s="5" t="inlineStr">
        <is>
          <t>Kit Accesorios para baño Dublin Cr</t>
        </is>
      </c>
      <c r="C843" s="4" t="inlineStr">
        <is>
          <t>juego</t>
        </is>
      </c>
      <c r="D843" s="10" t="n">
        <v>2939.75</v>
      </c>
      <c r="E843" s="10" t="n"/>
      <c r="F843" s="10" t="n"/>
      <c r="G843" s="10">
        <f>IF(COUNT(D843:F843)=0,"",MIN(D843:F843))</f>
        <v/>
      </c>
      <c r="H843" s="10">
        <f>IF(COUNT(D843:F843)=0,"",MEDIAN(D843:F843))</f>
        <v/>
      </c>
      <c r="I843" s="10">
        <f>IF(COUNT(D843:F843)=0,"",MAX(D843:F843))</f>
        <v/>
      </c>
      <c r="J843" s="11">
        <f>IF(OR(G843="",G843=0),"",(I843-G843)/G843)</f>
        <v/>
      </c>
      <c r="K843" s="4">
        <f>IF(COUNT(D843:F843)=0,"",INDEX($D$1:$F$1,MATCH(MIN(D843:F843),D843:F843,0)))</f>
        <v/>
      </c>
      <c r="L843" s="10" t="n">
        <v>2939.75</v>
      </c>
      <c r="M843" s="12" t="n">
        <v>1</v>
      </c>
    </row>
    <row r="844">
      <c r="A844" s="4" t="inlineStr">
        <is>
          <t>MAT-27-044</t>
        </is>
      </c>
      <c r="B844" s="5" t="inlineStr">
        <is>
          <t>Kit De Accesorios para Baño 4 piezas Negro</t>
        </is>
      </c>
      <c r="C844" s="4" t="inlineStr">
        <is>
          <t>juego</t>
        </is>
      </c>
      <c r="D844" s="10" t="n">
        <v>3064.77</v>
      </c>
      <c r="E844" s="10" t="n"/>
      <c r="F844" s="10" t="n"/>
      <c r="G844" s="10">
        <f>IF(COUNT(D844:F844)=0,"",MIN(D844:F844))</f>
        <v/>
      </c>
      <c r="H844" s="10">
        <f>IF(COUNT(D844:F844)=0,"",MEDIAN(D844:F844))</f>
        <v/>
      </c>
      <c r="I844" s="10">
        <f>IF(COUNT(D844:F844)=0,"",MAX(D844:F844))</f>
        <v/>
      </c>
      <c r="J844" s="11">
        <f>IF(OR(G844="",G844=0),"",(I844-G844)/G844)</f>
        <v/>
      </c>
      <c r="K844" s="4">
        <f>IF(COUNT(D844:F844)=0,"",INDEX($D$1:$F$1,MATCH(MIN(D844:F844),D844:F844,0)))</f>
        <v/>
      </c>
      <c r="L844" s="10" t="n">
        <v>3064.77</v>
      </c>
      <c r="M844" s="12" t="n">
        <v>1</v>
      </c>
    </row>
    <row r="845">
      <c r="A845" s="4" t="inlineStr">
        <is>
          <t>MAT-27-045</t>
        </is>
      </c>
      <c r="B845" s="5" t="inlineStr">
        <is>
          <t>Kit Acc. baño 6 Pzas. Valencia</t>
        </is>
      </c>
      <c r="C845" s="4" t="inlineStr">
        <is>
          <t>juego</t>
        </is>
      </c>
      <c r="D845" s="10" t="n">
        <v>3070.44</v>
      </c>
      <c r="E845" s="10" t="n"/>
      <c r="F845" s="10" t="n"/>
      <c r="G845" s="10">
        <f>IF(COUNT(D845:F845)=0,"",MIN(D845:F845))</f>
        <v/>
      </c>
      <c r="H845" s="10">
        <f>IF(COUNT(D845:F845)=0,"",MEDIAN(D845:F845))</f>
        <v/>
      </c>
      <c r="I845" s="10">
        <f>IF(COUNT(D845:F845)=0,"",MAX(D845:F845))</f>
        <v/>
      </c>
      <c r="J845" s="11">
        <f>IF(OR(G845="",G845=0),"",(I845-G845)/G845)</f>
        <v/>
      </c>
      <c r="K845" s="4">
        <f>IF(COUNT(D845:F845)=0,"",INDEX($D$1:$F$1,MATCH(MIN(D845:F845),D845:F845,0)))</f>
        <v/>
      </c>
      <c r="L845" s="10" t="n">
        <v>3070.44</v>
      </c>
      <c r="M845" s="12" t="n">
        <v>1</v>
      </c>
    </row>
    <row r="846">
      <c r="A846" s="4" t="inlineStr">
        <is>
          <t>MAT-27-046</t>
        </is>
      </c>
      <c r="B846" s="5" t="inlineStr">
        <is>
          <t>Kit 6 piezas Accesorio baño Luxury Sat</t>
        </is>
      </c>
      <c r="C846" s="4" t="inlineStr">
        <is>
          <t>juego</t>
        </is>
      </c>
      <c r="D846" s="10" t="n">
        <v>3143.39</v>
      </c>
      <c r="E846" s="10" t="n"/>
      <c r="F846" s="10" t="n"/>
      <c r="G846" s="10">
        <f>IF(COUNT(D846:F846)=0,"",MIN(D846:F846))</f>
        <v/>
      </c>
      <c r="H846" s="10">
        <f>IF(COUNT(D846:F846)=0,"",MEDIAN(D846:F846))</f>
        <v/>
      </c>
      <c r="I846" s="10">
        <f>IF(COUNT(D846:F846)=0,"",MAX(D846:F846))</f>
        <v/>
      </c>
      <c r="J846" s="11">
        <f>IF(OR(G846="",G846=0),"",(I846-G846)/G846)</f>
        <v/>
      </c>
      <c r="K846" s="4">
        <f>IF(COUNT(D846:F846)=0,"",INDEX($D$1:$F$1,MATCH(MIN(D846:F846),D846:F846,0)))</f>
        <v/>
      </c>
      <c r="L846" s="10" t="n">
        <v>3143.39</v>
      </c>
      <c r="M846" s="12" t="n">
        <v>1</v>
      </c>
    </row>
    <row r="847">
      <c r="A847" s="4" t="inlineStr">
        <is>
          <t>MAT-27-047</t>
        </is>
      </c>
      <c r="B847" s="5" t="inlineStr">
        <is>
          <t>Kit Acc. baño 6 Pzas. Lazio Cromo</t>
        </is>
      </c>
      <c r="C847" s="4" t="inlineStr">
        <is>
          <t>juego</t>
        </is>
      </c>
      <c r="D847" s="10" t="n">
        <v>3187.68</v>
      </c>
      <c r="E847" s="10" t="n"/>
      <c r="F847" s="10" t="n"/>
      <c r="G847" s="10">
        <f>IF(COUNT(D847:F847)=0,"",MIN(D847:F847))</f>
        <v/>
      </c>
      <c r="H847" s="10">
        <f>IF(COUNT(D847:F847)=0,"",MEDIAN(D847:F847))</f>
        <v/>
      </c>
      <c r="I847" s="10">
        <f>IF(COUNT(D847:F847)=0,"",MAX(D847:F847))</f>
        <v/>
      </c>
      <c r="J847" s="11">
        <f>IF(OR(G847="",G847=0),"",(I847-G847)/G847)</f>
        <v/>
      </c>
      <c r="K847" s="4">
        <f>IF(COUNT(D847:F847)=0,"",INDEX($D$1:$F$1,MATCH(MIN(D847:F847),D847:F847,0)))</f>
        <v/>
      </c>
      <c r="L847" s="10" t="n">
        <v>3187.68</v>
      </c>
      <c r="M847" s="12" t="n">
        <v>1</v>
      </c>
    </row>
    <row r="848">
      <c r="A848" s="4" t="inlineStr">
        <is>
          <t>MAT-27-048</t>
        </is>
      </c>
      <c r="B848" s="5" t="inlineStr">
        <is>
          <t>Kit Acc. Baño 6 Pz Brush Golden</t>
        </is>
      </c>
      <c r="C848" s="4" t="inlineStr">
        <is>
          <t>juego</t>
        </is>
      </c>
      <c r="D848" s="10" t="n">
        <v>3266.26</v>
      </c>
      <c r="E848" s="10" t="n"/>
      <c r="F848" s="10" t="n"/>
      <c r="G848" s="10">
        <f>IF(COUNT(D848:F848)=0,"",MIN(D848:F848))</f>
        <v/>
      </c>
      <c r="H848" s="10">
        <f>IF(COUNT(D848:F848)=0,"",MEDIAN(D848:F848))</f>
        <v/>
      </c>
      <c r="I848" s="10">
        <f>IF(COUNT(D848:F848)=0,"",MAX(D848:F848))</f>
        <v/>
      </c>
      <c r="J848" s="11">
        <f>IF(OR(G848="",G848=0),"",(I848-G848)/G848)</f>
        <v/>
      </c>
      <c r="K848" s="4">
        <f>IF(COUNT(D848:F848)=0,"",INDEX($D$1:$F$1,MATCH(MIN(D848:F848),D848:F848,0)))</f>
        <v/>
      </c>
      <c r="L848" s="10" t="n">
        <v>3266.26</v>
      </c>
      <c r="M848" s="12" t="n">
        <v>1</v>
      </c>
    </row>
    <row r="849">
      <c r="A849" s="4" t="inlineStr">
        <is>
          <t>MAT-27-049</t>
        </is>
      </c>
      <c r="B849" s="5" t="inlineStr">
        <is>
          <t>Kit Acc. baño 6 Pzas. Dubai Gold Matt</t>
        </is>
      </c>
      <c r="C849" s="4" t="inlineStr">
        <is>
          <t>juego</t>
        </is>
      </c>
      <c r="D849" s="10" t="n">
        <v>3318.89</v>
      </c>
      <c r="E849" s="10" t="n"/>
      <c r="F849" s="10" t="n"/>
      <c r="G849" s="10">
        <f>IF(COUNT(D849:F849)=0,"",MIN(D849:F849))</f>
        <v/>
      </c>
      <c r="H849" s="10">
        <f>IF(COUNT(D849:F849)=0,"",MEDIAN(D849:F849))</f>
        <v/>
      </c>
      <c r="I849" s="10">
        <f>IF(COUNT(D849:F849)=0,"",MAX(D849:F849))</f>
        <v/>
      </c>
      <c r="J849" s="11">
        <f>IF(OR(G849="",G849=0),"",(I849-G849)/G849)</f>
        <v/>
      </c>
      <c r="K849" s="4">
        <f>IF(COUNT(D849:F849)=0,"",INDEX($D$1:$F$1,MATCH(MIN(D849:F849),D849:F849,0)))</f>
        <v/>
      </c>
      <c r="L849" s="10" t="n">
        <v>3318.89</v>
      </c>
      <c r="M849" s="12" t="n">
        <v>1</v>
      </c>
    </row>
    <row r="850">
      <c r="A850" s="4" t="inlineStr">
        <is>
          <t>MAT-27-050</t>
        </is>
      </c>
      <c r="B850" s="5" t="inlineStr">
        <is>
          <t>Kit 6 piezas Accesorio baño Luxury Cromo</t>
        </is>
      </c>
      <c r="C850" s="4" t="inlineStr">
        <is>
          <t>juego</t>
        </is>
      </c>
      <c r="D850" s="10" t="n">
        <v>3360.24</v>
      </c>
      <c r="E850" s="10" t="n"/>
      <c r="F850" s="10" t="n"/>
      <c r="G850" s="10">
        <f>IF(COUNT(D850:F850)=0,"",MIN(D850:F850))</f>
        <v/>
      </c>
      <c r="H850" s="10">
        <f>IF(COUNT(D850:F850)=0,"",MEDIAN(D850:F850))</f>
        <v/>
      </c>
      <c r="I850" s="10">
        <f>IF(COUNT(D850:F850)=0,"",MAX(D850:F850))</f>
        <v/>
      </c>
      <c r="J850" s="11">
        <f>IF(OR(G850="",G850=0),"",(I850-G850)/G850)</f>
        <v/>
      </c>
      <c r="K850" s="4">
        <f>IF(COUNT(D850:F850)=0,"",INDEX($D$1:$F$1,MATCH(MIN(D850:F850),D850:F850,0)))</f>
        <v/>
      </c>
      <c r="L850" s="10" t="n">
        <v>3360.24</v>
      </c>
      <c r="M850" s="12" t="n">
        <v>1</v>
      </c>
    </row>
    <row r="851">
      <c r="A851" s="4" t="inlineStr">
        <is>
          <t>MAT-27-051</t>
        </is>
      </c>
      <c r="B851" s="5" t="inlineStr">
        <is>
          <t>Kit Acc. baño 6 Pzas. Bergamo</t>
        </is>
      </c>
      <c r="C851" s="4" t="inlineStr">
        <is>
          <t>juego</t>
        </is>
      </c>
      <c r="D851" s="10" t="n">
        <v>3453.33</v>
      </c>
      <c r="E851" s="10" t="n"/>
      <c r="F851" s="10" t="n"/>
      <c r="G851" s="10">
        <f>IF(COUNT(D851:F851)=0,"",MIN(D851:F851))</f>
        <v/>
      </c>
      <c r="H851" s="10">
        <f>IF(COUNT(D851:F851)=0,"",MEDIAN(D851:F851))</f>
        <v/>
      </c>
      <c r="I851" s="10">
        <f>IF(COUNT(D851:F851)=0,"",MAX(D851:F851))</f>
        <v/>
      </c>
      <c r="J851" s="11">
        <f>IF(OR(G851="",G851=0),"",(I851-G851)/G851)</f>
        <v/>
      </c>
      <c r="K851" s="4">
        <f>IF(COUNT(D851:F851)=0,"",INDEX($D$1:$F$1,MATCH(MIN(D851:F851),D851:F851,0)))</f>
        <v/>
      </c>
      <c r="L851" s="10" t="n">
        <v>3453.33</v>
      </c>
      <c r="M851" s="12" t="n">
        <v>1</v>
      </c>
    </row>
    <row r="852">
      <c r="A852" s="4" t="inlineStr">
        <is>
          <t>MAT-27-052</t>
        </is>
      </c>
      <c r="B852" s="5" t="inlineStr">
        <is>
          <t>Kit Accesorios para baño Bergamo Ss-Bn</t>
        </is>
      </c>
      <c r="C852" s="4" t="inlineStr">
        <is>
          <t>juego</t>
        </is>
      </c>
      <c r="D852" s="10" t="n">
        <v>3470.14</v>
      </c>
      <c r="E852" s="10" t="n"/>
      <c r="F852" s="10" t="n"/>
      <c r="G852" s="10">
        <f>IF(COUNT(D852:F852)=0,"",MIN(D852:F852))</f>
        <v/>
      </c>
      <c r="H852" s="10">
        <f>IF(COUNT(D852:F852)=0,"",MEDIAN(D852:F852))</f>
        <v/>
      </c>
      <c r="I852" s="10">
        <f>IF(COUNT(D852:F852)=0,"",MAX(D852:F852))</f>
        <v/>
      </c>
      <c r="J852" s="11">
        <f>IF(OR(G852="",G852=0),"",(I852-G852)/G852)</f>
        <v/>
      </c>
      <c r="K852" s="4">
        <f>IF(COUNT(D852:F852)=0,"",INDEX($D$1:$F$1,MATCH(MIN(D852:F852),D852:F852,0)))</f>
        <v/>
      </c>
      <c r="L852" s="10" t="n">
        <v>3470.14</v>
      </c>
      <c r="M852" s="12" t="n">
        <v>1</v>
      </c>
    </row>
    <row r="853">
      <c r="A853" s="4" t="inlineStr">
        <is>
          <t>MAT-27-053</t>
        </is>
      </c>
      <c r="B853" s="5" t="inlineStr">
        <is>
          <t>Kit Acc. baño 6 Pzas. Verona</t>
        </is>
      </c>
      <c r="C853" s="4" t="inlineStr">
        <is>
          <t>juego</t>
        </is>
      </c>
      <c r="D853" s="10" t="n">
        <v>3610.88</v>
      </c>
      <c r="E853" s="10" t="n"/>
      <c r="F853" s="10" t="n"/>
      <c r="G853" s="10">
        <f>IF(COUNT(D853:F853)=0,"",MIN(D853:F853))</f>
        <v/>
      </c>
      <c r="H853" s="10">
        <f>IF(COUNT(D853:F853)=0,"",MEDIAN(D853:F853))</f>
        <v/>
      </c>
      <c r="I853" s="10">
        <f>IF(COUNT(D853:F853)=0,"",MAX(D853:F853))</f>
        <v/>
      </c>
      <c r="J853" s="11">
        <f>IF(OR(G853="",G853=0),"",(I853-G853)/G853)</f>
        <v/>
      </c>
      <c r="K853" s="4">
        <f>IF(COUNT(D853:F853)=0,"",INDEX($D$1:$F$1,MATCH(MIN(D853:F853),D853:F853,0)))</f>
        <v/>
      </c>
      <c r="L853" s="10" t="n">
        <v>3610.88</v>
      </c>
      <c r="M853" s="12" t="n">
        <v>1</v>
      </c>
    </row>
    <row r="854">
      <c r="A854" s="4" t="inlineStr">
        <is>
          <t>MAT-27-054</t>
        </is>
      </c>
      <c r="B854" s="5" t="inlineStr">
        <is>
          <t>Kit Acc. baño 6 Pzas. Dubai Brush Nickel</t>
        </is>
      </c>
      <c r="C854" s="4" t="inlineStr">
        <is>
          <t>juego</t>
        </is>
      </c>
      <c r="D854" s="10" t="n">
        <v>3628.64</v>
      </c>
      <c r="E854" s="10" t="n"/>
      <c r="F854" s="10" t="n"/>
      <c r="G854" s="10">
        <f>IF(COUNT(D854:F854)=0,"",MIN(D854:F854))</f>
        <v/>
      </c>
      <c r="H854" s="10">
        <f>IF(COUNT(D854:F854)=0,"",MEDIAN(D854:F854))</f>
        <v/>
      </c>
      <c r="I854" s="10">
        <f>IF(COUNT(D854:F854)=0,"",MAX(D854:F854))</f>
        <v/>
      </c>
      <c r="J854" s="11">
        <f>IF(OR(G854="",G854=0),"",(I854-G854)/G854)</f>
        <v/>
      </c>
      <c r="K854" s="4">
        <f>IF(COUNT(D854:F854)=0,"",INDEX($D$1:$F$1,MATCH(MIN(D854:F854),D854:F854,0)))</f>
        <v/>
      </c>
      <c r="L854" s="10" t="n">
        <v>3628.64</v>
      </c>
      <c r="M854" s="12" t="n">
        <v>1</v>
      </c>
    </row>
    <row r="855">
      <c r="A855" s="4" t="inlineStr">
        <is>
          <t>MAT-27-055</t>
        </is>
      </c>
      <c r="B855" s="5" t="inlineStr">
        <is>
          <t>Kit Acc. baños 6 piezas Devon</t>
        </is>
      </c>
      <c r="C855" s="4" t="inlineStr">
        <is>
          <t>juego</t>
        </is>
      </c>
      <c r="D855" s="10" t="n">
        <v>3629.2</v>
      </c>
      <c r="E855" s="10" t="n"/>
      <c r="F855" s="10" t="n"/>
      <c r="G855" s="10">
        <f>IF(COUNT(D855:F855)=0,"",MIN(D855:F855))</f>
        <v/>
      </c>
      <c r="H855" s="10">
        <f>IF(COUNT(D855:F855)=0,"",MEDIAN(D855:F855))</f>
        <v/>
      </c>
      <c r="I855" s="10">
        <f>IF(COUNT(D855:F855)=0,"",MAX(D855:F855))</f>
        <v/>
      </c>
      <c r="J855" s="11">
        <f>IF(OR(G855="",G855=0),"",(I855-G855)/G855)</f>
        <v/>
      </c>
      <c r="K855" s="4">
        <f>IF(COUNT(D855:F855)=0,"",INDEX($D$1:$F$1,MATCH(MIN(D855:F855),D855:F855,0)))</f>
        <v/>
      </c>
      <c r="L855" s="10" t="n">
        <v>3629.2</v>
      </c>
      <c r="M855" s="12" t="n">
        <v>1</v>
      </c>
    </row>
    <row r="856">
      <c r="A856" s="4" t="inlineStr">
        <is>
          <t>MAT-27-056</t>
        </is>
      </c>
      <c r="B856" s="5" t="inlineStr">
        <is>
          <t>Kit Accesorios para baño Livorno Brush Nick</t>
        </is>
      </c>
      <c r="C856" s="4" t="inlineStr">
        <is>
          <t>juego</t>
        </is>
      </c>
      <c r="D856" s="10" t="n">
        <v>3966.56</v>
      </c>
      <c r="E856" s="10" t="n"/>
      <c r="F856" s="10" t="n"/>
      <c r="G856" s="10">
        <f>IF(COUNT(D856:F856)=0,"",MIN(D856:F856))</f>
        <v/>
      </c>
      <c r="H856" s="10">
        <f>IF(COUNT(D856:F856)=0,"",MEDIAN(D856:F856))</f>
        <v/>
      </c>
      <c r="I856" s="10">
        <f>IF(COUNT(D856:F856)=0,"",MAX(D856:F856))</f>
        <v/>
      </c>
      <c r="J856" s="11">
        <f>IF(OR(G856="",G856=0),"",(I856-G856)/G856)</f>
        <v/>
      </c>
      <c r="K856" s="4">
        <f>IF(COUNT(D856:F856)=0,"",INDEX($D$1:$F$1,MATCH(MIN(D856:F856),D856:F856,0)))</f>
        <v/>
      </c>
      <c r="L856" s="10" t="n">
        <v>3966.56</v>
      </c>
      <c r="M856" s="12" t="n">
        <v>1</v>
      </c>
    </row>
    <row r="857">
      <c r="A857" s="4" t="inlineStr">
        <is>
          <t>MAT-27-057</t>
        </is>
      </c>
      <c r="B857" s="5" t="inlineStr">
        <is>
          <t>Kit Acc. baño 6 Pzas. Lugano</t>
        </is>
      </c>
      <c r="C857" s="4" t="inlineStr">
        <is>
          <t>juego</t>
        </is>
      </c>
      <c r="D857" s="10" t="n">
        <v>3967.7</v>
      </c>
      <c r="E857" s="10" t="n"/>
      <c r="F857" s="10" t="n"/>
      <c r="G857" s="10">
        <f>IF(COUNT(D857:F857)=0,"",MIN(D857:F857))</f>
        <v/>
      </c>
      <c r="H857" s="10">
        <f>IF(COUNT(D857:F857)=0,"",MEDIAN(D857:F857))</f>
        <v/>
      </c>
      <c r="I857" s="10">
        <f>IF(COUNT(D857:F857)=0,"",MAX(D857:F857))</f>
        <v/>
      </c>
      <c r="J857" s="11">
        <f>IF(OR(G857="",G857=0),"",(I857-G857)/G857)</f>
        <v/>
      </c>
      <c r="K857" s="4">
        <f>IF(COUNT(D857:F857)=0,"",INDEX($D$1:$F$1,MATCH(MIN(D857:F857),D857:F857,0)))</f>
        <v/>
      </c>
      <c r="L857" s="10" t="n">
        <v>3967.7</v>
      </c>
      <c r="M857" s="12" t="n">
        <v>1</v>
      </c>
    </row>
    <row r="858">
      <c r="A858" s="4" t="inlineStr">
        <is>
          <t>MAT-27-058</t>
        </is>
      </c>
      <c r="B858" s="5" t="inlineStr">
        <is>
          <t>Kit Acc. baños 6 piezas Malaga</t>
        </is>
      </c>
      <c r="C858" s="4" t="inlineStr">
        <is>
          <t>juego</t>
        </is>
      </c>
      <c r="D858" s="10" t="n">
        <v>4100.31</v>
      </c>
      <c r="E858" s="10" t="n"/>
      <c r="F858" s="10" t="n"/>
      <c r="G858" s="10">
        <f>IF(COUNT(D858:F858)=0,"",MIN(D858:F858))</f>
        <v/>
      </c>
      <c r="H858" s="10">
        <f>IF(COUNT(D858:F858)=0,"",MEDIAN(D858:F858))</f>
        <v/>
      </c>
      <c r="I858" s="10">
        <f>IF(COUNT(D858:F858)=0,"",MAX(D858:F858))</f>
        <v/>
      </c>
      <c r="J858" s="11">
        <f>IF(OR(G858="",G858=0),"",(I858-G858)/G858)</f>
        <v/>
      </c>
      <c r="K858" s="4">
        <f>IF(COUNT(D858:F858)=0,"",INDEX($D$1:$F$1,MATCH(MIN(D858:F858),D858:F858,0)))</f>
        <v/>
      </c>
      <c r="L858" s="10" t="n">
        <v>4100.31</v>
      </c>
      <c r="M858" s="12" t="n">
        <v>1</v>
      </c>
    </row>
    <row r="859">
      <c r="A859" s="4" t="inlineStr">
        <is>
          <t>MAT-27-059</t>
        </is>
      </c>
      <c r="B859" s="5" t="inlineStr">
        <is>
          <t>Kit Acc baño 6 Pz Gold</t>
        </is>
      </c>
      <c r="C859" s="4" t="inlineStr">
        <is>
          <t>juego</t>
        </is>
      </c>
      <c r="D859" s="10" t="n">
        <v>4178.42</v>
      </c>
      <c r="E859" s="10" t="n"/>
      <c r="F859" s="10" t="n"/>
      <c r="G859" s="10">
        <f>IF(COUNT(D859:F859)=0,"",MIN(D859:F859))</f>
        <v/>
      </c>
      <c r="H859" s="10">
        <f>IF(COUNT(D859:F859)=0,"",MEDIAN(D859:F859))</f>
        <v/>
      </c>
      <c r="I859" s="10">
        <f>IF(COUNT(D859:F859)=0,"",MAX(D859:F859))</f>
        <v/>
      </c>
      <c r="J859" s="11">
        <f>IF(OR(G859="",G859=0),"",(I859-G859)/G859)</f>
        <v/>
      </c>
      <c r="K859" s="4">
        <f>IF(COUNT(D859:F859)=0,"",INDEX($D$1:$F$1,MATCH(MIN(D859:F859),D859:F859,0)))</f>
        <v/>
      </c>
      <c r="L859" s="10" t="n">
        <v>4178.42</v>
      </c>
      <c r="M859" s="12" t="n">
        <v>1</v>
      </c>
    </row>
    <row r="860">
      <c r="A860" s="4" t="inlineStr">
        <is>
          <t>MAT-27-060</t>
        </is>
      </c>
      <c r="B860" s="5" t="inlineStr">
        <is>
          <t>Kit Accesorios para baño Prem 6 Pzas</t>
        </is>
      </c>
      <c r="C860" s="4" t="inlineStr">
        <is>
          <t>juego</t>
        </is>
      </c>
      <c r="D860" s="10" t="n">
        <v>4228.62</v>
      </c>
      <c r="E860" s="10" t="n"/>
      <c r="F860" s="10" t="n"/>
      <c r="G860" s="10">
        <f>IF(COUNT(D860:F860)=0,"",MIN(D860:F860))</f>
        <v/>
      </c>
      <c r="H860" s="10">
        <f>IF(COUNT(D860:F860)=0,"",MEDIAN(D860:F860))</f>
        <v/>
      </c>
      <c r="I860" s="10">
        <f>IF(COUNT(D860:F860)=0,"",MAX(D860:F860))</f>
        <v/>
      </c>
      <c r="J860" s="11">
        <f>IF(OR(G860="",G860=0),"",(I860-G860)/G860)</f>
        <v/>
      </c>
      <c r="K860" s="4">
        <f>IF(COUNT(D860:F860)=0,"",INDEX($D$1:$F$1,MATCH(MIN(D860:F860),D860:F860,0)))</f>
        <v/>
      </c>
      <c r="L860" s="10" t="n">
        <v>4228.62</v>
      </c>
      <c r="M860" s="12" t="n">
        <v>1</v>
      </c>
    </row>
    <row r="861">
      <c r="A861" s="4" t="inlineStr">
        <is>
          <t>MAT-27-061</t>
        </is>
      </c>
      <c r="B861" s="5" t="inlineStr">
        <is>
          <t>Kit Acces. baño Livorno 6 Pzas Oil Brush</t>
        </is>
      </c>
      <c r="C861" s="4" t="inlineStr">
        <is>
          <t>juego</t>
        </is>
      </c>
      <c r="D861" s="10" t="n">
        <v>4323.48</v>
      </c>
      <c r="E861" s="10" t="n"/>
      <c r="F861" s="10" t="n"/>
      <c r="G861" s="10">
        <f>IF(COUNT(D861:F861)=0,"",MIN(D861:F861))</f>
        <v/>
      </c>
      <c r="H861" s="10">
        <f>IF(COUNT(D861:F861)=0,"",MEDIAN(D861:F861))</f>
        <v/>
      </c>
      <c r="I861" s="10">
        <f>IF(COUNT(D861:F861)=0,"",MAX(D861:F861))</f>
        <v/>
      </c>
      <c r="J861" s="11">
        <f>IF(OR(G861="",G861=0),"",(I861-G861)/G861)</f>
        <v/>
      </c>
      <c r="K861" s="4">
        <f>IF(COUNT(D861:F861)=0,"",INDEX($D$1:$F$1,MATCH(MIN(D861:F861),D861:F861,0)))</f>
        <v/>
      </c>
      <c r="L861" s="10" t="n">
        <v>4323.48</v>
      </c>
      <c r="M861" s="12" t="n">
        <v>1</v>
      </c>
    </row>
    <row r="862">
      <c r="A862" s="4" t="inlineStr">
        <is>
          <t>MAT-27-062</t>
        </is>
      </c>
      <c r="B862" s="5" t="inlineStr">
        <is>
          <t>Kit Acc. baño 6 Pzas. Ajaccio</t>
        </is>
      </c>
      <c r="C862" s="4" t="inlineStr">
        <is>
          <t>juego</t>
        </is>
      </c>
      <c r="D862" s="10" t="n">
        <v>4372.84</v>
      </c>
      <c r="E862" s="10" t="n"/>
      <c r="F862" s="10" t="n"/>
      <c r="G862" s="10">
        <f>IF(COUNT(D862:F862)=0,"",MIN(D862:F862))</f>
        <v/>
      </c>
      <c r="H862" s="10">
        <f>IF(COUNT(D862:F862)=0,"",MEDIAN(D862:F862))</f>
        <v/>
      </c>
      <c r="I862" s="10">
        <f>IF(COUNT(D862:F862)=0,"",MAX(D862:F862))</f>
        <v/>
      </c>
      <c r="J862" s="11">
        <f>IF(OR(G862="",G862=0),"",(I862-G862)/G862)</f>
        <v/>
      </c>
      <c r="K862" s="4">
        <f>IF(COUNT(D862:F862)=0,"",INDEX($D$1:$F$1,MATCH(MIN(D862:F862),D862:F862,0)))</f>
        <v/>
      </c>
      <c r="L862" s="10" t="n">
        <v>4372.84</v>
      </c>
      <c r="M862" s="12" t="n">
        <v>1</v>
      </c>
    </row>
    <row r="863">
      <c r="A863" s="4" t="inlineStr">
        <is>
          <t>MAT-27-063</t>
        </is>
      </c>
      <c r="B863" s="5" t="inlineStr">
        <is>
          <t>Accesorios Para Baño Linz</t>
        </is>
      </c>
      <c r="C863" s="4" t="inlineStr">
        <is>
          <t>juego</t>
        </is>
      </c>
      <c r="D863" s="10" t="n">
        <v>4513.31</v>
      </c>
      <c r="E863" s="10" t="n"/>
      <c r="F863" s="10" t="n"/>
      <c r="G863" s="10">
        <f>IF(COUNT(D863:F863)=0,"",MIN(D863:F863))</f>
        <v/>
      </c>
      <c r="H863" s="10">
        <f>IF(COUNT(D863:F863)=0,"",MEDIAN(D863:F863))</f>
        <v/>
      </c>
      <c r="I863" s="10">
        <f>IF(COUNT(D863:F863)=0,"",MAX(D863:F863))</f>
        <v/>
      </c>
      <c r="J863" s="11">
        <f>IF(OR(G863="",G863=0),"",(I863-G863)/G863)</f>
        <v/>
      </c>
      <c r="K863" s="4">
        <f>IF(COUNT(D863:F863)=0,"",INDEX($D$1:$F$1,MATCH(MIN(D863:F863),D863:F863,0)))</f>
        <v/>
      </c>
      <c r="L863" s="10" t="n">
        <v>4513.31</v>
      </c>
      <c r="M863" s="12" t="n">
        <v>1</v>
      </c>
    </row>
    <row r="864">
      <c r="A864" s="4" t="inlineStr">
        <is>
          <t>MAT-27-064</t>
        </is>
      </c>
      <c r="B864" s="5" t="inlineStr">
        <is>
          <t>Accesorios Para Baño Venecia</t>
        </is>
      </c>
      <c r="C864" s="4" t="inlineStr">
        <is>
          <t>juego</t>
        </is>
      </c>
      <c r="D864" s="10" t="n">
        <v>5068.78</v>
      </c>
      <c r="E864" s="10" t="n"/>
      <c r="F864" s="10" t="n"/>
      <c r="G864" s="10">
        <f>IF(COUNT(D864:F864)=0,"",MIN(D864:F864))</f>
        <v/>
      </c>
      <c r="H864" s="10">
        <f>IF(COUNT(D864:F864)=0,"",MEDIAN(D864:F864))</f>
        <v/>
      </c>
      <c r="I864" s="10">
        <f>IF(COUNT(D864:F864)=0,"",MAX(D864:F864))</f>
        <v/>
      </c>
      <c r="J864" s="11">
        <f>IF(OR(G864="",G864=0),"",(I864-G864)/G864)</f>
        <v/>
      </c>
      <c r="K864" s="4">
        <f>IF(COUNT(D864:F864)=0,"",INDEX($D$1:$F$1,MATCH(MIN(D864:F864),D864:F864,0)))</f>
        <v/>
      </c>
      <c r="L864" s="10" t="n">
        <v>5068.78</v>
      </c>
      <c r="M864" s="12" t="n">
        <v>1</v>
      </c>
    </row>
    <row r="865">
      <c r="A865" s="4" t="inlineStr">
        <is>
          <t>MAT-27-065</t>
        </is>
      </c>
      <c r="B865" s="5" t="inlineStr">
        <is>
          <t>Accesorios Para Baño Lazio</t>
        </is>
      </c>
      <c r="C865" s="4" t="inlineStr">
        <is>
          <t>juego</t>
        </is>
      </c>
      <c r="D865" s="10" t="n">
        <v>6703.24</v>
      </c>
      <c r="E865" s="10" t="n"/>
      <c r="F865" s="10" t="n"/>
      <c r="G865" s="10">
        <f>IF(COUNT(D865:F865)=0,"",MIN(D865:F865))</f>
        <v/>
      </c>
      <c r="H865" s="10">
        <f>IF(COUNT(D865:F865)=0,"",MEDIAN(D865:F865))</f>
        <v/>
      </c>
      <c r="I865" s="10">
        <f>IF(COUNT(D865:F865)=0,"",MAX(D865:F865))</f>
        <v/>
      </c>
      <c r="J865" s="11">
        <f>IF(OR(G865="",G865=0),"",(I865-G865)/G865)</f>
        <v/>
      </c>
      <c r="K865" s="4">
        <f>IF(COUNT(D865:F865)=0,"",INDEX($D$1:$F$1,MATCH(MIN(D865:F865),D865:F865,0)))</f>
        <v/>
      </c>
      <c r="L865" s="10" t="n">
        <v>6703.24</v>
      </c>
      <c r="M865" s="12" t="n">
        <v>1</v>
      </c>
    </row>
    <row r="866">
      <c r="A866" s="4" t="inlineStr">
        <is>
          <t>MAT-28-001</t>
        </is>
      </c>
      <c r="B866" s="5" t="inlineStr">
        <is>
          <t>Panel para Control LCD</t>
        </is>
      </c>
      <c r="C866" s="4" t="inlineStr">
        <is>
          <t>unidad</t>
        </is>
      </c>
      <c r="D866" s="10" t="n">
        <v>4948.38</v>
      </c>
      <c r="E866" s="10" t="n"/>
      <c r="F866" s="10" t="n"/>
      <c r="G866" s="10">
        <f>IF(COUNT(D866:F866)=0,"",MIN(D866:F866))</f>
        <v/>
      </c>
      <c r="H866" s="10">
        <f>IF(COUNT(D866:F866)=0,"",MEDIAN(D866:F866))</f>
        <v/>
      </c>
      <c r="I866" s="10">
        <f>IF(COUNT(D866:F866)=0,"",MAX(D866:F866))</f>
        <v/>
      </c>
      <c r="J866" s="11">
        <f>IF(OR(G866="",G866=0),"",(I866-G866)/G866)</f>
        <v/>
      </c>
      <c r="K866" s="4">
        <f>IF(COUNT(D866:F866)=0,"",INDEX($D$1:$F$1,MATCH(MIN(D866:F866),D866:F866,0)))</f>
        <v/>
      </c>
      <c r="L866" s="10" t="n">
        <v>4948.38</v>
      </c>
      <c r="M866" s="12" t="n">
        <v>1</v>
      </c>
    </row>
    <row r="867">
      <c r="A867" s="4" t="inlineStr">
        <is>
          <t>MAT-28-002</t>
        </is>
      </c>
      <c r="B867" s="5" t="inlineStr">
        <is>
          <t>Panel De Control IP 28 Zonas</t>
        </is>
      </c>
      <c r="C867" s="4" t="inlineStr">
        <is>
          <t>unidad</t>
        </is>
      </c>
      <c r="D867" s="10" t="n">
        <v>7194.58</v>
      </c>
      <c r="E867" s="10" t="n"/>
      <c r="F867" s="10" t="n"/>
      <c r="G867" s="10">
        <f>IF(COUNT(D867:F867)=0,"",MIN(D867:F867))</f>
        <v/>
      </c>
      <c r="H867" s="10">
        <f>IF(COUNT(D867:F867)=0,"",MEDIAN(D867:F867))</f>
        <v/>
      </c>
      <c r="I867" s="10">
        <f>IF(COUNT(D867:F867)=0,"",MAX(D867:F867))</f>
        <v/>
      </c>
      <c r="J867" s="11">
        <f>IF(OR(G867="",G867=0),"",(I867-G867)/G867)</f>
        <v/>
      </c>
      <c r="K867" s="4">
        <f>IF(COUNT(D867:F867)=0,"",INDEX($D$1:$F$1,MATCH(MIN(D867:F867),D867:F867,0)))</f>
        <v/>
      </c>
      <c r="L867" s="10" t="n">
        <v>7194.58</v>
      </c>
      <c r="M867" s="12" t="n">
        <v>1</v>
      </c>
    </row>
    <row r="868">
      <c r="A868" s="4" t="inlineStr">
        <is>
          <t>MAT-28-003</t>
        </is>
      </c>
      <c r="B868" s="5" t="inlineStr">
        <is>
          <t>Panel De Control IP 48 Zonas</t>
        </is>
      </c>
      <c r="C868" s="4" t="inlineStr">
        <is>
          <t>unidad</t>
        </is>
      </c>
      <c r="D868" s="10" t="n">
        <v>8277.66</v>
      </c>
      <c r="E868" s="10" t="n"/>
      <c r="F868" s="10" t="n"/>
      <c r="G868" s="10">
        <f>IF(COUNT(D868:F868)=0,"",MIN(D868:F868))</f>
        <v/>
      </c>
      <c r="H868" s="10">
        <f>IF(COUNT(D868:F868)=0,"",MEDIAN(D868:F868))</f>
        <v/>
      </c>
      <c r="I868" s="10">
        <f>IF(COUNT(D868:F868)=0,"",MAX(D868:F868))</f>
        <v/>
      </c>
      <c r="J868" s="11">
        <f>IF(OR(G868="",G868=0),"",(I868-G868)/G868)</f>
        <v/>
      </c>
      <c r="K868" s="4">
        <f>IF(COUNT(D868:F868)=0,"",INDEX($D$1:$F$1,MATCH(MIN(D868:F868),D868:F868,0)))</f>
        <v/>
      </c>
      <c r="L868" s="10" t="n">
        <v>8277.66</v>
      </c>
      <c r="M868" s="12" t="n">
        <v>1</v>
      </c>
    </row>
    <row r="869">
      <c r="A869" s="4" t="inlineStr">
        <is>
          <t>MAT-28-004</t>
        </is>
      </c>
      <c r="B869" s="5" t="inlineStr">
        <is>
          <t>Panel Control De Pared Plena</t>
        </is>
      </c>
      <c r="C869" s="4" t="inlineStr">
        <is>
          <t>unidad</t>
        </is>
      </c>
      <c r="D869" s="10" t="n">
        <v>10609.4</v>
      </c>
      <c r="E869" s="10" t="n"/>
      <c r="F869" s="10" t="n"/>
      <c r="G869" s="10">
        <f>IF(COUNT(D869:F869)=0,"",MIN(D869:F869))</f>
        <v/>
      </c>
      <c r="H869" s="10">
        <f>IF(COUNT(D869:F869)=0,"",MEDIAN(D869:F869))</f>
        <v/>
      </c>
      <c r="I869" s="10">
        <f>IF(COUNT(D869:F869)=0,"",MAX(D869:F869))</f>
        <v/>
      </c>
      <c r="J869" s="11">
        <f>IF(OR(G869="",G869=0),"",(I869-G869)/G869)</f>
        <v/>
      </c>
      <c r="K869" s="4">
        <f>IF(COUNT(D869:F869)=0,"",INDEX($D$1:$F$1,MATCH(MIN(D869:F869),D869:F869,0)))</f>
        <v/>
      </c>
      <c r="L869" s="10" t="n">
        <v>10609.4</v>
      </c>
      <c r="M869" s="12" t="n">
        <v>1</v>
      </c>
    </row>
    <row r="870">
      <c r="A870" s="4" t="inlineStr">
        <is>
          <t>MAT-28-005</t>
        </is>
      </c>
      <c r="B870" s="5" t="inlineStr">
        <is>
          <t>Central de Seguridad Con Vesta-243</t>
        </is>
      </c>
      <c r="C870" s="4" t="inlineStr">
        <is>
          <t>unidad</t>
        </is>
      </c>
      <c r="D870" s="10" t="n">
        <v>11910.4</v>
      </c>
      <c r="E870" s="10" t="n"/>
      <c r="F870" s="10" t="n"/>
      <c r="G870" s="10">
        <f>IF(COUNT(D870:F870)=0,"",MIN(D870:F870))</f>
        <v/>
      </c>
      <c r="H870" s="10">
        <f>IF(COUNT(D870:F870)=0,"",MEDIAN(D870:F870))</f>
        <v/>
      </c>
      <c r="I870" s="10">
        <f>IF(COUNT(D870:F870)=0,"",MAX(D870:F870))</f>
        <v/>
      </c>
      <c r="J870" s="11">
        <f>IF(OR(G870="",G870=0),"",(I870-G870)/G870)</f>
        <v/>
      </c>
      <c r="K870" s="4">
        <f>IF(COUNT(D870:F870)=0,"",INDEX($D$1:$F$1,MATCH(MIN(D870:F870),D870:F870,0)))</f>
        <v/>
      </c>
      <c r="L870" s="10" t="n">
        <v>11910.4</v>
      </c>
      <c r="M870" s="12" t="n">
        <v>1</v>
      </c>
    </row>
    <row r="871">
      <c r="A871" s="4" t="inlineStr">
        <is>
          <t>MAT-28-006</t>
        </is>
      </c>
      <c r="B871" s="5" t="inlineStr">
        <is>
          <t>Central Vesta de Seguridad IP+4G 320 Zonas</t>
        </is>
      </c>
      <c r="C871" s="4" t="inlineStr">
        <is>
          <t>unidad</t>
        </is>
      </c>
      <c r="D871" s="10" t="n">
        <v>13889.31</v>
      </c>
      <c r="E871" s="10" t="n"/>
      <c r="F871" s="10" t="n"/>
      <c r="G871" s="10">
        <f>IF(COUNT(D871:F871)=0,"",MIN(D871:F871))</f>
        <v/>
      </c>
      <c r="H871" s="10">
        <f>IF(COUNT(D871:F871)=0,"",MEDIAN(D871:F871))</f>
        <v/>
      </c>
      <c r="I871" s="10">
        <f>IF(COUNT(D871:F871)=0,"",MAX(D871:F871))</f>
        <v/>
      </c>
      <c r="J871" s="11">
        <f>IF(OR(G871="",G871=0),"",(I871-G871)/G871)</f>
        <v/>
      </c>
      <c r="K871" s="4">
        <f>IF(COUNT(D871:F871)=0,"",INDEX($D$1:$F$1,MATCH(MIN(D871:F871),D871:F871,0)))</f>
        <v/>
      </c>
      <c r="L871" s="10" t="n">
        <v>13889.31</v>
      </c>
      <c r="M871" s="12" t="n">
        <v>1</v>
      </c>
    </row>
    <row r="872">
      <c r="A872" s="4" t="inlineStr">
        <is>
          <t>MAT-28-007</t>
        </is>
      </c>
      <c r="B872" s="5" t="inlineStr">
        <is>
          <t>Central Híbrida Vestade Hasta 320 Zonas</t>
        </is>
      </c>
      <c r="C872" s="4" t="inlineStr">
        <is>
          <t>unidad</t>
        </is>
      </c>
      <c r="D872" s="10" t="n">
        <v>19216.09</v>
      </c>
      <c r="E872" s="10" t="n"/>
      <c r="F872" s="10" t="n"/>
      <c r="G872" s="10">
        <f>IF(COUNT(D872:F872)=0,"",MIN(D872:F872))</f>
        <v/>
      </c>
      <c r="H872" s="10">
        <f>IF(COUNT(D872:F872)=0,"",MEDIAN(D872:F872))</f>
        <v/>
      </c>
      <c r="I872" s="10">
        <f>IF(COUNT(D872:F872)=0,"",MAX(D872:F872))</f>
        <v/>
      </c>
      <c r="J872" s="11">
        <f>IF(OR(G872="",G872=0),"",(I872-G872)/G872)</f>
        <v/>
      </c>
      <c r="K872" s="4">
        <f>IF(COUNT(D872:F872)=0,"",INDEX($D$1:$F$1,MATCH(MIN(D872:F872),D872:F872,0)))</f>
        <v/>
      </c>
      <c r="L872" s="10" t="n">
        <v>19216.09</v>
      </c>
      <c r="M872" s="12" t="n">
        <v>1</v>
      </c>
    </row>
    <row r="873">
      <c r="A873" s="4" t="inlineStr">
        <is>
          <t>MAT-28-008</t>
        </is>
      </c>
      <c r="B873" s="5" t="inlineStr">
        <is>
          <t>Central de Seguridad IP con Vesta-047N</t>
        </is>
      </c>
      <c r="C873" s="4" t="inlineStr">
        <is>
          <t>unidad</t>
        </is>
      </c>
      <c r="D873" s="10" t="n">
        <v>19632.39</v>
      </c>
      <c r="E873" s="10" t="n"/>
      <c r="F873" s="10" t="n"/>
      <c r="G873" s="10">
        <f>IF(COUNT(D873:F873)=0,"",MIN(D873:F873))</f>
        <v/>
      </c>
      <c r="H873" s="10">
        <f>IF(COUNT(D873:F873)=0,"",MEDIAN(D873:F873))</f>
        <v/>
      </c>
      <c r="I873" s="10">
        <f>IF(COUNT(D873:F873)=0,"",MAX(D873:F873))</f>
        <v/>
      </c>
      <c r="J873" s="11">
        <f>IF(OR(G873="",G873=0),"",(I873-G873)/G873)</f>
        <v/>
      </c>
      <c r="K873" s="4">
        <f>IF(COUNT(D873:F873)=0,"",INDEX($D$1:$F$1,MATCH(MIN(D873:F873),D873:F873,0)))</f>
        <v/>
      </c>
      <c r="L873" s="10" t="n">
        <v>19632.39</v>
      </c>
      <c r="M873" s="12" t="n">
        <v>1</v>
      </c>
    </row>
    <row r="874">
      <c r="A874" s="4" t="inlineStr">
        <is>
          <t>MAT-28-009</t>
        </is>
      </c>
      <c r="B874" s="5" t="inlineStr">
        <is>
          <t>Panel De Control 32-Areas</t>
        </is>
      </c>
      <c r="C874" s="4" t="inlineStr">
        <is>
          <t>unidad</t>
        </is>
      </c>
      <c r="D874" s="10" t="n">
        <v>23000.86</v>
      </c>
      <c r="E874" s="10" t="n"/>
      <c r="F874" s="10" t="n"/>
      <c r="G874" s="10">
        <f>IF(COUNT(D874:F874)=0,"",MIN(D874:F874))</f>
        <v/>
      </c>
      <c r="H874" s="10">
        <f>IF(COUNT(D874:F874)=0,"",MEDIAN(D874:F874))</f>
        <v/>
      </c>
      <c r="I874" s="10">
        <f>IF(COUNT(D874:F874)=0,"",MAX(D874:F874))</f>
        <v/>
      </c>
      <c r="J874" s="11">
        <f>IF(OR(G874="",G874=0),"",(I874-G874)/G874)</f>
        <v/>
      </c>
      <c r="K874" s="4">
        <f>IF(COUNT(D874:F874)=0,"",INDEX($D$1:$F$1,MATCH(MIN(D874:F874),D874:F874,0)))</f>
        <v/>
      </c>
      <c r="L874" s="10" t="n">
        <v>23000.86</v>
      </c>
      <c r="M874" s="12" t="n">
        <v>1</v>
      </c>
    </row>
    <row r="875">
      <c r="A875" s="4" t="inlineStr">
        <is>
          <t>MAT-28-010</t>
        </is>
      </c>
      <c r="B875" s="5" t="inlineStr">
        <is>
          <t>Teclado Basico 2 Lineas</t>
        </is>
      </c>
      <c r="C875" s="4" t="inlineStr">
        <is>
          <t>unidad</t>
        </is>
      </c>
      <c r="D875" s="10" t="n">
        <v>3449.44</v>
      </c>
      <c r="E875" s="10" t="n"/>
      <c r="F875" s="10" t="n"/>
      <c r="G875" s="10">
        <f>IF(COUNT(D875:F875)=0,"",MIN(D875:F875))</f>
        <v/>
      </c>
      <c r="H875" s="10">
        <f>IF(COUNT(D875:F875)=0,"",MEDIAN(D875:F875))</f>
        <v/>
      </c>
      <c r="I875" s="10">
        <f>IF(COUNT(D875:F875)=0,"",MAX(D875:F875))</f>
        <v/>
      </c>
      <c r="J875" s="11">
        <f>IF(OR(G875="",G875=0),"",(I875-G875)/G875)</f>
        <v/>
      </c>
      <c r="K875" s="4">
        <f>IF(COUNT(D875:F875)=0,"",INDEX($D$1:$F$1,MATCH(MIN(D875:F875),D875:F875,0)))</f>
        <v/>
      </c>
      <c r="L875" s="10" t="n">
        <v>3449.44</v>
      </c>
      <c r="M875" s="12" t="n">
        <v>1</v>
      </c>
    </row>
    <row r="876">
      <c r="A876" s="4" t="inlineStr">
        <is>
          <t>MAT-28-011</t>
        </is>
      </c>
      <c r="B876" s="5" t="inlineStr">
        <is>
          <t>Teclado inalámbrico con Lector De Proximi</t>
        </is>
      </c>
      <c r="C876" s="4" t="inlineStr">
        <is>
          <t>unidad</t>
        </is>
      </c>
      <c r="D876" s="10" t="n">
        <v>3869.01</v>
      </c>
      <c r="E876" s="10" t="n"/>
      <c r="F876" s="10" t="n"/>
      <c r="G876" s="10">
        <f>IF(COUNT(D876:F876)=0,"",MIN(D876:F876))</f>
        <v/>
      </c>
      <c r="H876" s="10">
        <f>IF(COUNT(D876:F876)=0,"",MEDIAN(D876:F876))</f>
        <v/>
      </c>
      <c r="I876" s="10">
        <f>IF(COUNT(D876:F876)=0,"",MAX(D876:F876))</f>
        <v/>
      </c>
      <c r="J876" s="11">
        <f>IF(OR(G876="",G876=0),"",(I876-G876)/G876)</f>
        <v/>
      </c>
      <c r="K876" s="4">
        <f>IF(COUNT(D876:F876)=0,"",INDEX($D$1:$F$1,MATCH(MIN(D876:F876),D876:F876,0)))</f>
        <v/>
      </c>
      <c r="L876" s="10" t="n">
        <v>3869.01</v>
      </c>
      <c r="M876" s="12" t="n">
        <v>1</v>
      </c>
    </row>
    <row r="877">
      <c r="A877" s="4" t="inlineStr">
        <is>
          <t>MAT-28-012</t>
        </is>
      </c>
      <c r="B877" s="5" t="inlineStr">
        <is>
          <t>Teclado Con Funciones B920</t>
        </is>
      </c>
      <c r="C877" s="4" t="inlineStr">
        <is>
          <t>unidad</t>
        </is>
      </c>
      <c r="D877" s="10" t="n">
        <v>5376.57</v>
      </c>
      <c r="E877" s="10" t="n"/>
      <c r="F877" s="10" t="n"/>
      <c r="G877" s="10">
        <f>IF(COUNT(D877:F877)=0,"",MIN(D877:F877))</f>
        <v/>
      </c>
      <c r="H877" s="10">
        <f>IF(COUNT(D877:F877)=0,"",MEDIAN(D877:F877))</f>
        <v/>
      </c>
      <c r="I877" s="10">
        <f>IF(COUNT(D877:F877)=0,"",MAX(D877:F877))</f>
        <v/>
      </c>
      <c r="J877" s="11">
        <f>IF(OR(G877="",G877=0),"",(I877-G877)/G877)</f>
        <v/>
      </c>
      <c r="K877" s="4">
        <f>IF(COUNT(D877:F877)=0,"",INDEX($D$1:$F$1,MATCH(MIN(D877:F877),D877:F877,0)))</f>
        <v/>
      </c>
      <c r="L877" s="10" t="n">
        <v>5376.57</v>
      </c>
      <c r="M877" s="12" t="n">
        <v>1</v>
      </c>
    </row>
    <row r="878">
      <c r="A878" s="4" t="inlineStr">
        <is>
          <t>MAT-28-013</t>
        </is>
      </c>
      <c r="B878" s="5" t="inlineStr">
        <is>
          <t>Teclado De Control Y Anunciador LCD</t>
        </is>
      </c>
      <c r="C878" s="4" t="inlineStr">
        <is>
          <t>unidad</t>
        </is>
      </c>
      <c r="D878" s="10" t="n">
        <v>5376.57</v>
      </c>
      <c r="E878" s="10" t="n"/>
      <c r="F878" s="10" t="n"/>
      <c r="G878" s="10">
        <f>IF(COUNT(D878:F878)=0,"",MIN(D878:F878))</f>
        <v/>
      </c>
      <c r="H878" s="10">
        <f>IF(COUNT(D878:F878)=0,"",MEDIAN(D878:F878))</f>
        <v/>
      </c>
      <c r="I878" s="10">
        <f>IF(COUNT(D878:F878)=0,"",MAX(D878:F878))</f>
        <v/>
      </c>
      <c r="J878" s="11">
        <f>IF(OR(G878="",G878=0),"",(I878-G878)/G878)</f>
        <v/>
      </c>
      <c r="K878" s="4">
        <f>IF(COUNT(D878:F878)=0,"",INDEX($D$1:$F$1,MATCH(MIN(D878:F878),D878:F878,0)))</f>
        <v/>
      </c>
      <c r="L878" s="10" t="n">
        <v>5376.57</v>
      </c>
      <c r="M878" s="12" t="n">
        <v>1</v>
      </c>
    </row>
    <row r="879">
      <c r="A879" s="4" t="inlineStr">
        <is>
          <t>MAT-28-014</t>
        </is>
      </c>
      <c r="B879" s="5" t="inlineStr">
        <is>
          <t>Teclado Capacitvo 2 Lineas</t>
        </is>
      </c>
      <c r="C879" s="4" t="inlineStr">
        <is>
          <t>unidad</t>
        </is>
      </c>
      <c r="D879" s="10" t="n">
        <v>6547.98</v>
      </c>
      <c r="E879" s="10" t="n"/>
      <c r="F879" s="10" t="n"/>
      <c r="G879" s="10">
        <f>IF(COUNT(D879:F879)=0,"",MIN(D879:F879))</f>
        <v/>
      </c>
      <c r="H879" s="10">
        <f>IF(COUNT(D879:F879)=0,"",MEDIAN(D879:F879))</f>
        <v/>
      </c>
      <c r="I879" s="10">
        <f>IF(COUNT(D879:F879)=0,"",MAX(D879:F879))</f>
        <v/>
      </c>
      <c r="J879" s="11">
        <f>IF(OR(G879="",G879=0),"",(I879-G879)/G879)</f>
        <v/>
      </c>
      <c r="K879" s="4">
        <f>IF(COUNT(D879:F879)=0,"",INDEX($D$1:$F$1,MATCH(MIN(D879:F879),D879:F879,0)))</f>
        <v/>
      </c>
      <c r="L879" s="10" t="n">
        <v>6547.98</v>
      </c>
      <c r="M879" s="12" t="n">
        <v>1</v>
      </c>
    </row>
    <row r="880">
      <c r="A880" s="4" t="inlineStr">
        <is>
          <t>MAT-28-015</t>
        </is>
      </c>
      <c r="B880" s="5" t="inlineStr">
        <is>
          <t>Teclado Para Fuego E Intrusión</t>
        </is>
      </c>
      <c r="C880" s="4" t="inlineStr">
        <is>
          <t>unidad</t>
        </is>
      </c>
      <c r="D880" s="10" t="n">
        <v>7211.08</v>
      </c>
      <c r="E880" s="10" t="n"/>
      <c r="F880" s="10" t="n"/>
      <c r="G880" s="10">
        <f>IF(COUNT(D880:F880)=0,"",MIN(D880:F880))</f>
        <v/>
      </c>
      <c r="H880" s="10">
        <f>IF(COUNT(D880:F880)=0,"",MEDIAN(D880:F880))</f>
        <v/>
      </c>
      <c r="I880" s="10">
        <f>IF(COUNT(D880:F880)=0,"",MAX(D880:F880))</f>
        <v/>
      </c>
      <c r="J880" s="11">
        <f>IF(OR(G880="",G880=0),"",(I880-G880)/G880)</f>
        <v/>
      </c>
      <c r="K880" s="4">
        <f>IF(COUNT(D880:F880)=0,"",INDEX($D$1:$F$1,MATCH(MIN(D880:F880),D880:F880,0)))</f>
        <v/>
      </c>
      <c r="L880" s="10" t="n">
        <v>7211.08</v>
      </c>
      <c r="M880" s="12" t="n">
        <v>1</v>
      </c>
    </row>
    <row r="881">
      <c r="A881" s="4" t="inlineStr">
        <is>
          <t>MAT-28-016</t>
        </is>
      </c>
      <c r="B881" s="5" t="inlineStr">
        <is>
          <t>Teclado inalámbrico con Lector de proximidad+Sirena</t>
        </is>
      </c>
      <c r="C881" s="4" t="inlineStr">
        <is>
          <t>unidad</t>
        </is>
      </c>
      <c r="D881" s="10" t="n">
        <v>7359.61</v>
      </c>
      <c r="E881" s="10" t="n"/>
      <c r="F881" s="10" t="n"/>
      <c r="G881" s="10">
        <f>IF(COUNT(D881:F881)=0,"",MIN(D881:F881))</f>
        <v/>
      </c>
      <c r="H881" s="10">
        <f>IF(COUNT(D881:F881)=0,"",MEDIAN(D881:F881))</f>
        <v/>
      </c>
      <c r="I881" s="10">
        <f>IF(COUNT(D881:F881)=0,"",MAX(D881:F881))</f>
        <v/>
      </c>
      <c r="J881" s="11">
        <f>IF(OR(G881="",G881=0),"",(I881-G881)/G881)</f>
        <v/>
      </c>
      <c r="K881" s="4">
        <f>IF(COUNT(D881:F881)=0,"",INDEX($D$1:$F$1,MATCH(MIN(D881:F881),D881:F881,0)))</f>
        <v/>
      </c>
      <c r="L881" s="10" t="n">
        <v>7359.61</v>
      </c>
      <c r="M881" s="12" t="n">
        <v>1</v>
      </c>
    </row>
    <row r="882">
      <c r="A882" s="4" t="inlineStr">
        <is>
          <t>MAT-28-017</t>
        </is>
      </c>
      <c r="B882" s="5" t="inlineStr">
        <is>
          <t>Teclado Rf(F1)+Cableado con Lector Mifare</t>
        </is>
      </c>
      <c r="C882" s="4" t="inlineStr">
        <is>
          <t>unidad</t>
        </is>
      </c>
      <c r="D882" s="10" t="n">
        <v>7523.11</v>
      </c>
      <c r="E882" s="10" t="n"/>
      <c r="F882" s="10" t="n"/>
      <c r="G882" s="10">
        <f>IF(COUNT(D882:F882)=0,"",MIN(D882:F882))</f>
        <v/>
      </c>
      <c r="H882" s="10">
        <f>IF(COUNT(D882:F882)=0,"",MEDIAN(D882:F882))</f>
        <v/>
      </c>
      <c r="I882" s="10">
        <f>IF(COUNT(D882:F882)=0,"",MAX(D882:F882))</f>
        <v/>
      </c>
      <c r="J882" s="11">
        <f>IF(OR(G882="",G882=0),"",(I882-G882)/G882)</f>
        <v/>
      </c>
      <c r="K882" s="4">
        <f>IF(COUNT(D882:F882)=0,"",INDEX($D$1:$F$1,MATCH(MIN(D882:F882),D882:F882,0)))</f>
        <v/>
      </c>
      <c r="L882" s="10" t="n">
        <v>7523.11</v>
      </c>
      <c r="M882" s="12" t="n">
        <v>1</v>
      </c>
    </row>
    <row r="883">
      <c r="A883" s="4" t="inlineStr">
        <is>
          <t>MAT-28-018</t>
        </is>
      </c>
      <c r="B883" s="5" t="inlineStr">
        <is>
          <t>Teclado Tactil</t>
        </is>
      </c>
      <c r="C883" s="4" t="inlineStr">
        <is>
          <t>unidad</t>
        </is>
      </c>
      <c r="D883" s="10" t="n">
        <v>13205.36</v>
      </c>
      <c r="E883" s="10" t="n"/>
      <c r="F883" s="10" t="n"/>
      <c r="G883" s="10">
        <f>IF(COUNT(D883:F883)=0,"",MIN(D883:F883))</f>
        <v/>
      </c>
      <c r="H883" s="10">
        <f>IF(COUNT(D883:F883)=0,"",MEDIAN(D883:F883))</f>
        <v/>
      </c>
      <c r="I883" s="10">
        <f>IF(COUNT(D883:F883)=0,"",MAX(D883:F883))</f>
        <v/>
      </c>
      <c r="J883" s="11">
        <f>IF(OR(G883="",G883=0),"",(I883-G883)/G883)</f>
        <v/>
      </c>
      <c r="K883" s="4">
        <f>IF(COUNT(D883:F883)=0,"",INDEX($D$1:$F$1,MATCH(MIN(D883:F883),D883:F883,0)))</f>
        <v/>
      </c>
      <c r="L883" s="10" t="n">
        <v>13205.36</v>
      </c>
      <c r="M883" s="12" t="n">
        <v>1</v>
      </c>
    </row>
    <row r="884">
      <c r="A884" s="4" t="inlineStr">
        <is>
          <t>MAT-28-019</t>
        </is>
      </c>
      <c r="B884" s="5" t="inlineStr">
        <is>
          <t>Contactos De Puerta</t>
        </is>
      </c>
      <c r="C884" s="4" t="inlineStr">
        <is>
          <t>unidad</t>
        </is>
      </c>
      <c r="D884" s="10" t="n">
        <v>696.26</v>
      </c>
      <c r="E884" s="10" t="n"/>
      <c r="F884" s="10" t="n"/>
      <c r="G884" s="10">
        <f>IF(COUNT(D884:F884)=0,"",MIN(D884:F884))</f>
        <v/>
      </c>
      <c r="H884" s="10">
        <f>IF(COUNT(D884:F884)=0,"",MEDIAN(D884:F884))</f>
        <v/>
      </c>
      <c r="I884" s="10">
        <f>IF(COUNT(D884:F884)=0,"",MAX(D884:F884))</f>
        <v/>
      </c>
      <c r="J884" s="11">
        <f>IF(OR(G884="",G884=0),"",(I884-G884)/G884)</f>
        <v/>
      </c>
      <c r="K884" s="4">
        <f>IF(COUNT(D884:F884)=0,"",INDEX($D$1:$F$1,MATCH(MIN(D884:F884),D884:F884,0)))</f>
        <v/>
      </c>
      <c r="L884" s="10" t="n">
        <v>696.26</v>
      </c>
      <c r="M884" s="12" t="n">
        <v>1</v>
      </c>
    </row>
    <row r="885">
      <c r="A885" s="4" t="inlineStr">
        <is>
          <t>MAT-28-020</t>
        </is>
      </c>
      <c r="B885" s="5" t="inlineStr">
        <is>
          <t>Sensor De Flexion inalámbrico</t>
        </is>
      </c>
      <c r="C885" s="4" t="inlineStr">
        <is>
          <t>unidad</t>
        </is>
      </c>
      <c r="D885" s="10" t="n">
        <v>754.84</v>
      </c>
      <c r="E885" s="10" t="n"/>
      <c r="F885" s="10" t="n"/>
      <c r="G885" s="10">
        <f>IF(COUNT(D885:F885)=0,"",MIN(D885:F885))</f>
        <v/>
      </c>
      <c r="H885" s="10">
        <f>IF(COUNT(D885:F885)=0,"",MEDIAN(D885:F885))</f>
        <v/>
      </c>
      <c r="I885" s="10">
        <f>IF(COUNT(D885:F885)=0,"",MAX(D885:F885))</f>
        <v/>
      </c>
      <c r="J885" s="11">
        <f>IF(OR(G885="",G885=0),"",(I885-G885)/G885)</f>
        <v/>
      </c>
      <c r="K885" s="4">
        <f>IF(COUNT(D885:F885)=0,"",INDEX($D$1:$F$1,MATCH(MIN(D885:F885),D885:F885,0)))</f>
        <v/>
      </c>
      <c r="L885" s="10" t="n">
        <v>754.84</v>
      </c>
      <c r="M885" s="12" t="n">
        <v>1</v>
      </c>
    </row>
    <row r="886">
      <c r="A886" s="4" t="inlineStr">
        <is>
          <t>MAT-28-021</t>
        </is>
      </c>
      <c r="B886" s="5" t="inlineStr">
        <is>
          <t>Sensor magnético para Puertas Y Ventanas</t>
        </is>
      </c>
      <c r="C886" s="4" t="inlineStr">
        <is>
          <t>unidad</t>
        </is>
      </c>
      <c r="D886" s="10" t="n">
        <v>784.09</v>
      </c>
      <c r="E886" s="10" t="n"/>
      <c r="F886" s="10" t="n"/>
      <c r="G886" s="10">
        <f>IF(COUNT(D886:F886)=0,"",MIN(D886:F886))</f>
        <v/>
      </c>
      <c r="H886" s="10">
        <f>IF(COUNT(D886:F886)=0,"",MEDIAN(D886:F886))</f>
        <v/>
      </c>
      <c r="I886" s="10">
        <f>IF(COUNT(D886:F886)=0,"",MAX(D886:F886))</f>
        <v/>
      </c>
      <c r="J886" s="11">
        <f>IF(OR(G886="",G886=0),"",(I886-G886)/G886)</f>
        <v/>
      </c>
      <c r="K886" s="4">
        <f>IF(COUNT(D886:F886)=0,"",INDEX($D$1:$F$1,MATCH(MIN(D886:F886),D886:F886,0)))</f>
        <v/>
      </c>
      <c r="L886" s="10" t="n">
        <v>784.09</v>
      </c>
      <c r="M886" s="12" t="n">
        <v>1</v>
      </c>
    </row>
    <row r="887">
      <c r="A887" s="4" t="inlineStr">
        <is>
          <t>MAT-28-022</t>
        </is>
      </c>
      <c r="B887" s="5" t="inlineStr">
        <is>
          <t>Detector Movimiento infrarrojo 12 Mt</t>
        </is>
      </c>
      <c r="C887" s="4" t="inlineStr">
        <is>
          <t>unidad</t>
        </is>
      </c>
      <c r="D887" s="10" t="n">
        <v>820.3</v>
      </c>
      <c r="E887" s="10" t="n"/>
      <c r="F887" s="10" t="n"/>
      <c r="G887" s="10">
        <f>IF(COUNT(D887:F887)=0,"",MIN(D887:F887))</f>
        <v/>
      </c>
      <c r="H887" s="10">
        <f>IF(COUNT(D887:F887)=0,"",MEDIAN(D887:F887))</f>
        <v/>
      </c>
      <c r="I887" s="10">
        <f>IF(COUNT(D887:F887)=0,"",MAX(D887:F887))</f>
        <v/>
      </c>
      <c r="J887" s="11">
        <f>IF(OR(G887="",G887=0),"",(I887-G887)/G887)</f>
        <v/>
      </c>
      <c r="K887" s="4">
        <f>IF(COUNT(D887:F887)=0,"",INDEX($D$1:$F$1,MATCH(MIN(D887:F887),D887:F887,0)))</f>
        <v/>
      </c>
      <c r="L887" s="10" t="n">
        <v>820.3</v>
      </c>
      <c r="M887" s="12" t="n">
        <v>1</v>
      </c>
    </row>
    <row r="888">
      <c r="A888" s="4" t="inlineStr">
        <is>
          <t>MAT-28-023</t>
        </is>
      </c>
      <c r="B888" s="5" t="inlineStr">
        <is>
          <t>Sensor De Presencia</t>
        </is>
      </c>
      <c r="C888" s="4" t="inlineStr">
        <is>
          <t>unidad</t>
        </is>
      </c>
      <c r="D888" s="10" t="n">
        <v>914.76</v>
      </c>
      <c r="E888" s="10" t="n"/>
      <c r="F888" s="10" t="n"/>
      <c r="G888" s="10">
        <f>IF(COUNT(D888:F888)=0,"",MIN(D888:F888))</f>
        <v/>
      </c>
      <c r="H888" s="10">
        <f>IF(COUNT(D888:F888)=0,"",MEDIAN(D888:F888))</f>
        <v/>
      </c>
      <c r="I888" s="10">
        <f>IF(COUNT(D888:F888)=0,"",MAX(D888:F888))</f>
        <v/>
      </c>
      <c r="J888" s="11">
        <f>IF(OR(G888="",G888=0),"",(I888-G888)/G888)</f>
        <v/>
      </c>
      <c r="K888" s="4">
        <f>IF(COUNT(D888:F888)=0,"",INDEX($D$1:$F$1,MATCH(MIN(D888:F888),D888:F888,0)))</f>
        <v/>
      </c>
      <c r="L888" s="10" t="n">
        <v>914.76</v>
      </c>
      <c r="M888" s="12" t="n">
        <v>1</v>
      </c>
    </row>
    <row r="889">
      <c r="A889" s="4" t="inlineStr">
        <is>
          <t>MAT-28-024</t>
        </is>
      </c>
      <c r="B889" s="5" t="inlineStr">
        <is>
          <t>Sensor De Ocupación Cx-100</t>
        </is>
      </c>
      <c r="C889" s="4" t="inlineStr">
        <is>
          <t>unidad</t>
        </is>
      </c>
      <c r="D889" s="10" t="n">
        <v>1402.47</v>
      </c>
      <c r="E889" s="10" t="n"/>
      <c r="F889" s="10" t="n"/>
      <c r="G889" s="10">
        <f>IF(COUNT(D889:F889)=0,"",MIN(D889:F889))</f>
        <v/>
      </c>
      <c r="H889" s="10">
        <f>IF(COUNT(D889:F889)=0,"",MEDIAN(D889:F889))</f>
        <v/>
      </c>
      <c r="I889" s="10">
        <f>IF(COUNT(D889:F889)=0,"",MAX(D889:F889))</f>
        <v/>
      </c>
      <c r="J889" s="11">
        <f>IF(OR(G889="",G889=0),"",(I889-G889)/G889)</f>
        <v/>
      </c>
      <c r="K889" s="4">
        <f>IF(COUNT(D889:F889)=0,"",INDEX($D$1:$F$1,MATCH(MIN(D889:F889),D889:F889,0)))</f>
        <v/>
      </c>
      <c r="L889" s="10" t="n">
        <v>1402.47</v>
      </c>
      <c r="M889" s="12" t="n">
        <v>1</v>
      </c>
    </row>
    <row r="890">
      <c r="A890" s="4" t="inlineStr">
        <is>
          <t>MAT-28-025</t>
        </is>
      </c>
      <c r="B890" s="5" t="inlineStr">
        <is>
          <t>Sensor Us 500 Pies 24V</t>
        </is>
      </c>
      <c r="C890" s="4" t="inlineStr">
        <is>
          <t>unidad</t>
        </is>
      </c>
      <c r="D890" s="10" t="n">
        <v>1499.01</v>
      </c>
      <c r="E890" s="10" t="n"/>
      <c r="F890" s="10" t="n"/>
      <c r="G890" s="10">
        <f>IF(COUNT(D890:F890)=0,"",MIN(D890:F890))</f>
        <v/>
      </c>
      <c r="H890" s="10">
        <f>IF(COUNT(D890:F890)=0,"",MEDIAN(D890:F890))</f>
        <v/>
      </c>
      <c r="I890" s="10">
        <f>IF(COUNT(D890:F890)=0,"",MAX(D890:F890))</f>
        <v/>
      </c>
      <c r="J890" s="11">
        <f>IF(OR(G890="",G890=0),"",(I890-G890)/G890)</f>
        <v/>
      </c>
      <c r="K890" s="4">
        <f>IF(COUNT(D890:F890)=0,"",INDEX($D$1:$F$1,MATCH(MIN(D890:F890),D890:F890,0)))</f>
        <v/>
      </c>
      <c r="L890" s="10" t="n">
        <v>1499.01</v>
      </c>
      <c r="M890" s="12" t="n">
        <v>1</v>
      </c>
    </row>
    <row r="891">
      <c r="A891" s="4" t="inlineStr">
        <is>
          <t>MAT-28-026</t>
        </is>
      </c>
      <c r="B891" s="5" t="inlineStr">
        <is>
          <t>Contacto Magnético inalámbrico Vesta</t>
        </is>
      </c>
      <c r="C891" s="4" t="inlineStr">
        <is>
          <t>unidad</t>
        </is>
      </c>
      <c r="D891" s="10" t="n">
        <v>1559.9</v>
      </c>
      <c r="E891" s="10" t="n"/>
      <c r="F891" s="10" t="n"/>
      <c r="G891" s="10">
        <f>IF(COUNT(D891:F891)=0,"",MIN(D891:F891))</f>
        <v/>
      </c>
      <c r="H891" s="10">
        <f>IF(COUNT(D891:F891)=0,"",MEDIAN(D891:F891))</f>
        <v/>
      </c>
      <c r="I891" s="10">
        <f>IF(COUNT(D891:F891)=0,"",MAX(D891:F891))</f>
        <v/>
      </c>
      <c r="J891" s="11">
        <f>IF(OR(G891="",G891=0),"",(I891-G891)/G891)</f>
        <v/>
      </c>
      <c r="K891" s="4">
        <f>IF(COUNT(D891:F891)=0,"",INDEX($D$1:$F$1,MATCH(MIN(D891:F891),D891:F891,0)))</f>
        <v/>
      </c>
      <c r="L891" s="10" t="n">
        <v>1559.9</v>
      </c>
      <c r="M891" s="12" t="n">
        <v>1</v>
      </c>
    </row>
    <row r="892">
      <c r="A892" s="4" t="inlineStr">
        <is>
          <t>MAT-28-027</t>
        </is>
      </c>
      <c r="B892" s="5" t="inlineStr">
        <is>
          <t>Detector Movimiento Blueline 12 Mt</t>
        </is>
      </c>
      <c r="C892" s="4" t="inlineStr">
        <is>
          <t>unidad</t>
        </is>
      </c>
      <c r="D892" s="10" t="n">
        <v>1601.53</v>
      </c>
      <c r="E892" s="10" t="n"/>
      <c r="F892" s="10" t="n"/>
      <c r="G892" s="10">
        <f>IF(COUNT(D892:F892)=0,"",MIN(D892:F892))</f>
        <v/>
      </c>
      <c r="H892" s="10">
        <f>IF(COUNT(D892:F892)=0,"",MEDIAN(D892:F892))</f>
        <v/>
      </c>
      <c r="I892" s="10">
        <f>IF(COUNT(D892:F892)=0,"",MAX(D892:F892))</f>
        <v/>
      </c>
      <c r="J892" s="11">
        <f>IF(OR(G892="",G892=0),"",(I892-G892)/G892)</f>
        <v/>
      </c>
      <c r="K892" s="4">
        <f>IF(COUNT(D892:F892)=0,"",INDEX($D$1:$F$1,MATCH(MIN(D892:F892),D892:F892,0)))</f>
        <v/>
      </c>
      <c r="L892" s="10" t="n">
        <v>1601.53</v>
      </c>
      <c r="M892" s="12" t="n">
        <v>1</v>
      </c>
    </row>
    <row r="893">
      <c r="A893" s="4" t="inlineStr">
        <is>
          <t>MAT-28-028</t>
        </is>
      </c>
      <c r="B893" s="5" t="inlineStr">
        <is>
          <t>Detector De Salida Sns</t>
        </is>
      </c>
      <c r="C893" s="4" t="inlineStr">
        <is>
          <t>unidad</t>
        </is>
      </c>
      <c r="D893" s="10" t="n">
        <v>1624.59</v>
      </c>
      <c r="E893" s="10" t="n"/>
      <c r="F893" s="10" t="n"/>
      <c r="G893" s="10">
        <f>IF(COUNT(D893:F893)=0,"",MIN(D893:F893))</f>
        <v/>
      </c>
      <c r="H893" s="10">
        <f>IF(COUNT(D893:F893)=0,"",MEDIAN(D893:F893))</f>
        <v/>
      </c>
      <c r="I893" s="10">
        <f>IF(COUNT(D893:F893)=0,"",MAX(D893:F893))</f>
        <v/>
      </c>
      <c r="J893" s="11">
        <f>IF(OR(G893="",G893=0),"",(I893-G893)/G893)</f>
        <v/>
      </c>
      <c r="K893" s="4">
        <f>IF(COUNT(D893:F893)=0,"",INDEX($D$1:$F$1,MATCH(MIN(D893:F893),D893:F893,0)))</f>
        <v/>
      </c>
      <c r="L893" s="10" t="n">
        <v>1624.59</v>
      </c>
      <c r="M893" s="12" t="n">
        <v>1</v>
      </c>
    </row>
    <row r="894">
      <c r="A894" s="4" t="inlineStr">
        <is>
          <t>MAT-28-029</t>
        </is>
      </c>
      <c r="B894" s="5" t="inlineStr">
        <is>
          <t>Contacto Magnético inalámbrico</t>
        </is>
      </c>
      <c r="C894" s="4" t="inlineStr">
        <is>
          <t>unidad</t>
        </is>
      </c>
      <c r="D894" s="10" t="n">
        <v>1786.61</v>
      </c>
      <c r="E894" s="10" t="n"/>
      <c r="F894" s="10" t="n"/>
      <c r="G894" s="10">
        <f>IF(COUNT(D894:F894)=0,"",MIN(D894:F894))</f>
        <v/>
      </c>
      <c r="H894" s="10">
        <f>IF(COUNT(D894:F894)=0,"",MEDIAN(D894:F894))</f>
        <v/>
      </c>
      <c r="I894" s="10">
        <f>IF(COUNT(D894:F894)=0,"",MAX(D894:F894))</f>
        <v/>
      </c>
      <c r="J894" s="11">
        <f>IF(OR(G894="",G894=0),"",(I894-G894)/G894)</f>
        <v/>
      </c>
      <c r="K894" s="4">
        <f>IF(COUNT(D894:F894)=0,"",INDEX($D$1:$F$1,MATCH(MIN(D894:F894),D894:F894,0)))</f>
        <v/>
      </c>
      <c r="L894" s="10" t="n">
        <v>1786.61</v>
      </c>
      <c r="M894" s="12" t="n">
        <v>1</v>
      </c>
    </row>
    <row r="895">
      <c r="A895" s="4" t="inlineStr">
        <is>
          <t>MAT-28-030</t>
        </is>
      </c>
      <c r="B895" s="5" t="inlineStr">
        <is>
          <t>Contacto Montaje Superficie Inalámbrico</t>
        </is>
      </c>
      <c r="C895" s="4" t="inlineStr">
        <is>
          <t>unidad</t>
        </is>
      </c>
      <c r="D895" s="10" t="n">
        <v>1989.25</v>
      </c>
      <c r="E895" s="10" t="n"/>
      <c r="F895" s="10" t="n"/>
      <c r="G895" s="10">
        <f>IF(COUNT(D895:F895)=0,"",MIN(D895:F895))</f>
        <v/>
      </c>
      <c r="H895" s="10">
        <f>IF(COUNT(D895:F895)=0,"",MEDIAN(D895:F895))</f>
        <v/>
      </c>
      <c r="I895" s="10">
        <f>IF(COUNT(D895:F895)=0,"",MAX(D895:F895))</f>
        <v/>
      </c>
      <c r="J895" s="11">
        <f>IF(OR(G895="",G895=0),"",(I895-G895)/G895)</f>
        <v/>
      </c>
      <c r="K895" s="4">
        <f>IF(COUNT(D895:F895)=0,"",INDEX($D$1:$F$1,MATCH(MIN(D895:F895),D895:F895,0)))</f>
        <v/>
      </c>
      <c r="L895" s="10" t="n">
        <v>1989.25</v>
      </c>
      <c r="M895" s="12" t="n">
        <v>1</v>
      </c>
    </row>
    <row r="896">
      <c r="A896" s="4" t="inlineStr">
        <is>
          <t>MAT-28-031</t>
        </is>
      </c>
      <c r="B896" s="5" t="inlineStr">
        <is>
          <t>Detectores De Salida Sns</t>
        </is>
      </c>
      <c r="C896" s="4" t="inlineStr">
        <is>
          <t>unidad</t>
        </is>
      </c>
      <c r="D896" s="10" t="n">
        <v>2155.03</v>
      </c>
      <c r="E896" s="10" t="n"/>
      <c r="F896" s="10" t="n"/>
      <c r="G896" s="10">
        <f>IF(COUNT(D896:F896)=0,"",MIN(D896:F896))</f>
        <v/>
      </c>
      <c r="H896" s="10">
        <f>IF(COUNT(D896:F896)=0,"",MEDIAN(D896:F896))</f>
        <v/>
      </c>
      <c r="I896" s="10">
        <f>IF(COUNT(D896:F896)=0,"",MAX(D896:F896))</f>
        <v/>
      </c>
      <c r="J896" s="11">
        <f>IF(OR(G896="",G896=0),"",(I896-G896)/G896)</f>
        <v/>
      </c>
      <c r="K896" s="4">
        <f>IF(COUNT(D896:F896)=0,"",INDEX($D$1:$F$1,MATCH(MIN(D896:F896),D896:F896,0)))</f>
        <v/>
      </c>
      <c r="L896" s="10" t="n">
        <v>2155.03</v>
      </c>
      <c r="M896" s="12" t="n">
        <v>1</v>
      </c>
    </row>
    <row r="897">
      <c r="A897" s="4" t="inlineStr">
        <is>
          <t>MAT-28-032</t>
        </is>
      </c>
      <c r="B897" s="5" t="inlineStr">
        <is>
          <t>Sensor PIR 120V</t>
        </is>
      </c>
      <c r="C897" s="4" t="inlineStr">
        <is>
          <t>unidad</t>
        </is>
      </c>
      <c r="D897" s="10" t="n">
        <v>2242.16</v>
      </c>
      <c r="E897" s="10" t="n"/>
      <c r="F897" s="10" t="n"/>
      <c r="G897" s="10">
        <f>IF(COUNT(D897:F897)=0,"",MIN(D897:F897))</f>
        <v/>
      </c>
      <c r="H897" s="10">
        <f>IF(COUNT(D897:F897)=0,"",MEDIAN(D897:F897))</f>
        <v/>
      </c>
      <c r="I897" s="10">
        <f>IF(COUNT(D897:F897)=0,"",MAX(D897:F897))</f>
        <v/>
      </c>
      <c r="J897" s="11">
        <f>IF(OR(G897="",G897=0),"",(I897-G897)/G897)</f>
        <v/>
      </c>
      <c r="K897" s="4">
        <f>IF(COUNT(D897:F897)=0,"",INDEX($D$1:$F$1,MATCH(MIN(D897:F897),D897:F897,0)))</f>
        <v/>
      </c>
      <c r="L897" s="10" t="n">
        <v>2242.16</v>
      </c>
      <c r="M897" s="12" t="n">
        <v>1</v>
      </c>
    </row>
    <row r="898">
      <c r="A898" s="4" t="inlineStr">
        <is>
          <t>MAT-28-033</t>
        </is>
      </c>
      <c r="B898" s="5" t="inlineStr">
        <is>
          <t>Detector movimiento Tritech</t>
        </is>
      </c>
      <c r="C898" s="4" t="inlineStr">
        <is>
          <t>unidad</t>
        </is>
      </c>
      <c r="D898" s="10" t="n">
        <v>2323.92</v>
      </c>
      <c r="E898" s="10" t="n"/>
      <c r="F898" s="10" t="n"/>
      <c r="G898" s="10">
        <f>IF(COUNT(D898:F898)=0,"",MIN(D898:F898))</f>
        <v/>
      </c>
      <c r="H898" s="10">
        <f>IF(COUNT(D898:F898)=0,"",MEDIAN(D898:F898))</f>
        <v/>
      </c>
      <c r="I898" s="10">
        <f>IF(COUNT(D898:F898)=0,"",MAX(D898:F898))</f>
        <v/>
      </c>
      <c r="J898" s="11">
        <f>IF(OR(G898="",G898=0),"",(I898-G898)/G898)</f>
        <v/>
      </c>
      <c r="K898" s="4">
        <f>IF(COUNT(D898:F898)=0,"",INDEX($D$1:$F$1,MATCH(MIN(D898:F898),D898:F898,0)))</f>
        <v/>
      </c>
      <c r="L898" s="10" t="n">
        <v>2323.92</v>
      </c>
      <c r="M898" s="12" t="n">
        <v>1</v>
      </c>
    </row>
    <row r="899">
      <c r="A899" s="4" t="inlineStr">
        <is>
          <t>MAT-28-034</t>
        </is>
      </c>
      <c r="B899" s="5" t="inlineStr">
        <is>
          <t>Detector De Vibración Y Rotura De Crista</t>
        </is>
      </c>
      <c r="C899" s="4" t="inlineStr">
        <is>
          <t>unidad</t>
        </is>
      </c>
      <c r="D899" s="10" t="n">
        <v>2409.38</v>
      </c>
      <c r="E899" s="10" t="n"/>
      <c r="F899" s="10" t="n"/>
      <c r="G899" s="10">
        <f>IF(COUNT(D899:F899)=0,"",MIN(D899:F899))</f>
        <v/>
      </c>
      <c r="H899" s="10">
        <f>IF(COUNT(D899:F899)=0,"",MEDIAN(D899:F899))</f>
        <v/>
      </c>
      <c r="I899" s="10">
        <f>IF(COUNT(D899:F899)=0,"",MAX(D899:F899))</f>
        <v/>
      </c>
      <c r="J899" s="11">
        <f>IF(OR(G899="",G899=0),"",(I899-G899)/G899)</f>
        <v/>
      </c>
      <c r="K899" s="4">
        <f>IF(COUNT(D899:F899)=0,"",INDEX($D$1:$F$1,MATCH(MIN(D899:F899),D899:F899,0)))</f>
        <v/>
      </c>
      <c r="L899" s="10" t="n">
        <v>2409.38</v>
      </c>
      <c r="M899" s="12" t="n">
        <v>1</v>
      </c>
    </row>
    <row r="900">
      <c r="A900" s="4" t="inlineStr">
        <is>
          <t>MAT-28-035</t>
        </is>
      </c>
      <c r="B900" s="5" t="inlineStr">
        <is>
          <t>Detector PIR inalámbrico 15M 130 Grad.</t>
        </is>
      </c>
      <c r="C900" s="4" t="inlineStr">
        <is>
          <t>unidad</t>
        </is>
      </c>
      <c r="D900" s="10" t="n">
        <v>2675.69</v>
      </c>
      <c r="E900" s="10" t="n"/>
      <c r="F900" s="10" t="n"/>
      <c r="G900" s="10">
        <f>IF(COUNT(D900:F900)=0,"",MIN(D900:F900))</f>
        <v/>
      </c>
      <c r="H900" s="10">
        <f>IF(COUNT(D900:F900)=0,"",MEDIAN(D900:F900))</f>
        <v/>
      </c>
      <c r="I900" s="10">
        <f>IF(COUNT(D900:F900)=0,"",MAX(D900:F900))</f>
        <v/>
      </c>
      <c r="J900" s="11">
        <f>IF(OR(G900="",G900=0),"",(I900-G900)/G900)</f>
        <v/>
      </c>
      <c r="K900" s="4">
        <f>IF(COUNT(D900:F900)=0,"",INDEX($D$1:$F$1,MATCH(MIN(D900:F900),D900:F900,0)))</f>
        <v/>
      </c>
      <c r="L900" s="10" t="n">
        <v>2675.69</v>
      </c>
      <c r="M900" s="12" t="n">
        <v>1</v>
      </c>
    </row>
    <row r="901">
      <c r="A901" s="4" t="inlineStr">
        <is>
          <t>MAT-28-036</t>
        </is>
      </c>
      <c r="B901" s="5" t="inlineStr">
        <is>
          <t>Detector Movimiento 16M</t>
        </is>
      </c>
      <c r="C901" s="4" t="inlineStr">
        <is>
          <t>unidad</t>
        </is>
      </c>
      <c r="D901" s="10" t="n">
        <v>2944.96</v>
      </c>
      <c r="E901" s="10" t="n"/>
      <c r="F901" s="10" t="n"/>
      <c r="G901" s="10">
        <f>IF(COUNT(D901:F901)=0,"",MIN(D901:F901))</f>
        <v/>
      </c>
      <c r="H901" s="10">
        <f>IF(COUNT(D901:F901)=0,"",MEDIAN(D901:F901))</f>
        <v/>
      </c>
      <c r="I901" s="10">
        <f>IF(COUNT(D901:F901)=0,"",MAX(D901:F901))</f>
        <v/>
      </c>
      <c r="J901" s="11">
        <f>IF(OR(G901="",G901=0),"",(I901-G901)/G901)</f>
        <v/>
      </c>
      <c r="K901" s="4">
        <f>IF(COUNT(D901:F901)=0,"",INDEX($D$1:$F$1,MATCH(MIN(D901:F901),D901:F901,0)))</f>
        <v/>
      </c>
      <c r="L901" s="10" t="n">
        <v>2944.96</v>
      </c>
      <c r="M901" s="12" t="n">
        <v>1</v>
      </c>
    </row>
    <row r="902">
      <c r="A902" s="4" t="inlineStr">
        <is>
          <t>MAT-28-037</t>
        </is>
      </c>
      <c r="B902" s="5" t="inlineStr">
        <is>
          <t>Detector Movimiento Inalámbrico, 12M</t>
        </is>
      </c>
      <c r="C902" s="4" t="inlineStr">
        <is>
          <t>unidad</t>
        </is>
      </c>
      <c r="D902" s="10" t="n">
        <v>4061.41</v>
      </c>
      <c r="E902" s="10" t="n"/>
      <c r="F902" s="10" t="n"/>
      <c r="G902" s="10">
        <f>IF(COUNT(D902:F902)=0,"",MIN(D902:F902))</f>
        <v/>
      </c>
      <c r="H902" s="10">
        <f>IF(COUNT(D902:F902)=0,"",MEDIAN(D902:F902))</f>
        <v/>
      </c>
      <c r="I902" s="10">
        <f>IF(COUNT(D902:F902)=0,"",MAX(D902:F902))</f>
        <v/>
      </c>
      <c r="J902" s="11">
        <f>IF(OR(G902="",G902=0),"",(I902-G902)/G902)</f>
        <v/>
      </c>
      <c r="K902" s="4">
        <f>IF(COUNT(D902:F902)=0,"",INDEX($D$1:$F$1,MATCH(MIN(D902:F902),D902:F902,0)))</f>
        <v/>
      </c>
      <c r="L902" s="10" t="n">
        <v>4061.41</v>
      </c>
      <c r="M902" s="12" t="n">
        <v>1</v>
      </c>
    </row>
    <row r="903">
      <c r="A903" s="4" t="inlineStr">
        <is>
          <t>MAT-28-038</t>
        </is>
      </c>
      <c r="B903" s="5" t="inlineStr">
        <is>
          <t>Sensor PIR 120V 1200 Pies</t>
        </is>
      </c>
      <c r="C903" s="4" t="inlineStr">
        <is>
          <t>unidad</t>
        </is>
      </c>
      <c r="D903" s="10" t="n">
        <v>4246.61</v>
      </c>
      <c r="E903" s="10" t="n"/>
      <c r="F903" s="10" t="n"/>
      <c r="G903" s="10">
        <f>IF(COUNT(D903:F903)=0,"",MIN(D903:F903))</f>
        <v/>
      </c>
      <c r="H903" s="10">
        <f>IF(COUNT(D903:F903)=0,"",MEDIAN(D903:F903))</f>
        <v/>
      </c>
      <c r="I903" s="10">
        <f>IF(COUNT(D903:F903)=0,"",MAX(D903:F903))</f>
        <v/>
      </c>
      <c r="J903" s="11">
        <f>IF(OR(G903="",G903=0),"",(I903-G903)/G903)</f>
        <v/>
      </c>
      <c r="K903" s="4">
        <f>IF(COUNT(D903:F903)=0,"",INDEX($D$1:$F$1,MATCH(MIN(D903:F903),D903:F903,0)))</f>
        <v/>
      </c>
      <c r="L903" s="10" t="n">
        <v>4246.61</v>
      </c>
      <c r="M903" s="12" t="n">
        <v>1</v>
      </c>
    </row>
    <row r="904">
      <c r="A904" s="4" t="inlineStr">
        <is>
          <t>MAT-28-039</t>
        </is>
      </c>
      <c r="B904" s="5" t="inlineStr">
        <is>
          <t>Detector Movimiento Exterior Tritech</t>
        </is>
      </c>
      <c r="C904" s="4" t="inlineStr">
        <is>
          <t>unidad</t>
        </is>
      </c>
      <c r="D904" s="10" t="n">
        <v>4381.61</v>
      </c>
      <c r="E904" s="10" t="n"/>
      <c r="F904" s="10" t="n"/>
      <c r="G904" s="10">
        <f>IF(COUNT(D904:F904)=0,"",MIN(D904:F904))</f>
        <v/>
      </c>
      <c r="H904" s="10">
        <f>IF(COUNT(D904:F904)=0,"",MEDIAN(D904:F904))</f>
        <v/>
      </c>
      <c r="I904" s="10">
        <f>IF(COUNT(D904:F904)=0,"",MAX(D904:F904))</f>
        <v/>
      </c>
      <c r="J904" s="11">
        <f>IF(OR(G904="",G904=0),"",(I904-G904)/G904)</f>
        <v/>
      </c>
      <c r="K904" s="4">
        <f>IF(COUNT(D904:F904)=0,"",INDEX($D$1:$F$1,MATCH(MIN(D904:F904),D904:F904,0)))</f>
        <v/>
      </c>
      <c r="L904" s="10" t="n">
        <v>4381.61</v>
      </c>
      <c r="M904" s="12" t="n">
        <v>1</v>
      </c>
    </row>
    <row r="905">
      <c r="A905" s="4" t="inlineStr">
        <is>
          <t>MAT-28-040</t>
        </is>
      </c>
      <c r="B905" s="5" t="inlineStr">
        <is>
          <t>Detector inalámbrico de Doble tecnología 12M</t>
        </is>
      </c>
      <c r="C905" s="4" t="inlineStr">
        <is>
          <t>unidad</t>
        </is>
      </c>
      <c r="D905" s="10" t="n">
        <v>5338.48</v>
      </c>
      <c r="E905" s="10" t="n"/>
      <c r="F905" s="10" t="n"/>
      <c r="G905" s="10">
        <f>IF(COUNT(D905:F905)=0,"",MIN(D905:F905))</f>
        <v/>
      </c>
      <c r="H905" s="10">
        <f>IF(COUNT(D905:F905)=0,"",MEDIAN(D905:F905))</f>
        <v/>
      </c>
      <c r="I905" s="10">
        <f>IF(COUNT(D905:F905)=0,"",MAX(D905:F905))</f>
        <v/>
      </c>
      <c r="J905" s="11">
        <f>IF(OR(G905="",G905=0),"",(I905-G905)/G905)</f>
        <v/>
      </c>
      <c r="K905" s="4">
        <f>IF(COUNT(D905:F905)=0,"",INDEX($D$1:$F$1,MATCH(MIN(D905:F905),D905:F905,0)))</f>
        <v/>
      </c>
      <c r="L905" s="10" t="n">
        <v>5338.48</v>
      </c>
      <c r="M905" s="12" t="n">
        <v>1</v>
      </c>
    </row>
    <row r="906">
      <c r="A906" s="4" t="inlineStr">
        <is>
          <t>MAT-28-041</t>
        </is>
      </c>
      <c r="B906" s="5" t="inlineStr">
        <is>
          <t>Detector Movimiento Inalámbrico, 11M</t>
        </is>
      </c>
      <c r="C906" s="4" t="inlineStr">
        <is>
          <t>unidad</t>
        </is>
      </c>
      <c r="D906" s="10" t="n">
        <v>5567.22</v>
      </c>
      <c r="E906" s="10" t="n"/>
      <c r="F906" s="10" t="n"/>
      <c r="G906" s="10">
        <f>IF(COUNT(D906:F906)=0,"",MIN(D906:F906))</f>
        <v/>
      </c>
      <c r="H906" s="10">
        <f>IF(COUNT(D906:F906)=0,"",MEDIAN(D906:F906))</f>
        <v/>
      </c>
      <c r="I906" s="10">
        <f>IF(COUNT(D906:F906)=0,"",MAX(D906:F906))</f>
        <v/>
      </c>
      <c r="J906" s="11">
        <f>IF(OR(G906="",G906=0),"",(I906-G906)/G906)</f>
        <v/>
      </c>
      <c r="K906" s="4">
        <f>IF(COUNT(D906:F906)=0,"",INDEX($D$1:$F$1,MATCH(MIN(D906:F906),D906:F906,0)))</f>
        <v/>
      </c>
      <c r="L906" s="10" t="n">
        <v>5567.22</v>
      </c>
      <c r="M906" s="12" t="n">
        <v>1</v>
      </c>
    </row>
    <row r="907">
      <c r="A907" s="4" t="inlineStr">
        <is>
          <t>MAT-28-042</t>
        </is>
      </c>
      <c r="B907" s="5" t="inlineStr">
        <is>
          <t>Detector De Humo Multifucional PIR 6M</t>
        </is>
      </c>
      <c r="C907" s="4" t="inlineStr">
        <is>
          <t>unidad</t>
        </is>
      </c>
      <c r="D907" s="10" t="n">
        <v>5604.86</v>
      </c>
      <c r="E907" s="10" t="n"/>
      <c r="F907" s="10" t="n"/>
      <c r="G907" s="10">
        <f>IF(COUNT(D907:F907)=0,"",MIN(D907:F907))</f>
        <v/>
      </c>
      <c r="H907" s="10">
        <f>IF(COUNT(D907:F907)=0,"",MEDIAN(D907:F907))</f>
        <v/>
      </c>
      <c r="I907" s="10">
        <f>IF(COUNT(D907:F907)=0,"",MAX(D907:F907))</f>
        <v/>
      </c>
      <c r="J907" s="11">
        <f>IF(OR(G907="",G907=0),"",(I907-G907)/G907)</f>
        <v/>
      </c>
      <c r="K907" s="4">
        <f>IF(COUNT(D907:F907)=0,"",INDEX($D$1:$F$1,MATCH(MIN(D907:F907),D907:F907,0)))</f>
        <v/>
      </c>
      <c r="L907" s="10" t="n">
        <v>5604.86</v>
      </c>
      <c r="M907" s="12" t="n">
        <v>1</v>
      </c>
    </row>
    <row r="908">
      <c r="A908" s="4" t="inlineStr">
        <is>
          <t>MAT-28-043</t>
        </is>
      </c>
      <c r="B908" s="5" t="inlineStr">
        <is>
          <t>Sensor Dual 120V 360 Gr</t>
        </is>
      </c>
      <c r="C908" s="4" t="inlineStr">
        <is>
          <t>unidad</t>
        </is>
      </c>
      <c r="D908" s="10" t="n">
        <v>6462.31</v>
      </c>
      <c r="E908" s="10" t="n"/>
      <c r="F908" s="10" t="n"/>
      <c r="G908" s="10">
        <f>IF(COUNT(D908:F908)=0,"",MIN(D908:F908))</f>
        <v/>
      </c>
      <c r="H908" s="10">
        <f>IF(COUNT(D908:F908)=0,"",MEDIAN(D908:F908))</f>
        <v/>
      </c>
      <c r="I908" s="10">
        <f>IF(COUNT(D908:F908)=0,"",MAX(D908:F908))</f>
        <v/>
      </c>
      <c r="J908" s="11">
        <f>IF(OR(G908="",G908=0),"",(I908-G908)/G908)</f>
        <v/>
      </c>
      <c r="K908" s="4">
        <f>IF(COUNT(D908:F908)=0,"",INDEX($D$1:$F$1,MATCH(MIN(D908:F908),D908:F908,0)))</f>
        <v/>
      </c>
      <c r="L908" s="10" t="n">
        <v>6462.31</v>
      </c>
      <c r="M908" s="12" t="n">
        <v>1</v>
      </c>
    </row>
    <row r="909">
      <c r="A909" s="4" t="inlineStr">
        <is>
          <t>MAT-28-044</t>
        </is>
      </c>
      <c r="B909" s="5" t="inlineStr">
        <is>
          <t>Detector PIR inalámbrico De Exterior 10M</t>
        </is>
      </c>
      <c r="C909" s="4" t="inlineStr">
        <is>
          <t>unidad</t>
        </is>
      </c>
      <c r="D909" s="10" t="n">
        <v>7135.36</v>
      </c>
      <c r="E909" s="10" t="n"/>
      <c r="F909" s="10" t="n"/>
      <c r="G909" s="10">
        <f>IF(COUNT(D909:F909)=0,"",MIN(D909:F909))</f>
        <v/>
      </c>
      <c r="H909" s="10">
        <f>IF(COUNT(D909:F909)=0,"",MEDIAN(D909:F909))</f>
        <v/>
      </c>
      <c r="I909" s="10">
        <f>IF(COUNT(D909:F909)=0,"",MAX(D909:F909))</f>
        <v/>
      </c>
      <c r="J909" s="11">
        <f>IF(OR(G909="",G909=0),"",(I909-G909)/G909)</f>
        <v/>
      </c>
      <c r="K909" s="4">
        <f>IF(COUNT(D909:F909)=0,"",INDEX($D$1:$F$1,MATCH(MIN(D909:F909),D909:F909,0)))</f>
        <v/>
      </c>
      <c r="L909" s="10" t="n">
        <v>7135.36</v>
      </c>
      <c r="M909" s="12" t="n">
        <v>1</v>
      </c>
    </row>
    <row r="910">
      <c r="A910" s="4" t="inlineStr">
        <is>
          <t>MAT-28-045</t>
        </is>
      </c>
      <c r="B910" s="5" t="inlineStr">
        <is>
          <t>Detector Pircam Para Interior</t>
        </is>
      </c>
      <c r="C910" s="4" t="inlineStr">
        <is>
          <t>unidad</t>
        </is>
      </c>
      <c r="D910" s="10" t="n">
        <v>7155.67</v>
      </c>
      <c r="E910" s="10" t="n"/>
      <c r="F910" s="10" t="n"/>
      <c r="G910" s="10">
        <f>IF(COUNT(D910:F910)=0,"",MIN(D910:F910))</f>
        <v/>
      </c>
      <c r="H910" s="10">
        <f>IF(COUNT(D910:F910)=0,"",MEDIAN(D910:F910))</f>
        <v/>
      </c>
      <c r="I910" s="10">
        <f>IF(COUNT(D910:F910)=0,"",MAX(D910:F910))</f>
        <v/>
      </c>
      <c r="J910" s="11">
        <f>IF(OR(G910="",G910=0),"",(I910-G910)/G910)</f>
        <v/>
      </c>
      <c r="K910" s="4">
        <f>IF(COUNT(D910:F910)=0,"",INDEX($D$1:$F$1,MATCH(MIN(D910:F910),D910:F910,0)))</f>
        <v/>
      </c>
      <c r="L910" s="10" t="n">
        <v>7155.67</v>
      </c>
      <c r="M910" s="12" t="n">
        <v>1</v>
      </c>
    </row>
    <row r="911">
      <c r="A911" s="4" t="inlineStr">
        <is>
          <t>MAT-28-046</t>
        </is>
      </c>
      <c r="B911" s="5" t="inlineStr">
        <is>
          <t>Detector Pircam inalámbrico para Exterior</t>
        </is>
      </c>
      <c r="C911" s="4" t="inlineStr">
        <is>
          <t>unidad</t>
        </is>
      </c>
      <c r="D911" s="10" t="n">
        <v>11447.71</v>
      </c>
      <c r="E911" s="10" t="n"/>
      <c r="F911" s="10" t="n"/>
      <c r="G911" s="10">
        <f>IF(COUNT(D911:F911)=0,"",MIN(D911:F911))</f>
        <v/>
      </c>
      <c r="H911" s="10">
        <f>IF(COUNT(D911:F911)=0,"",MEDIAN(D911:F911))</f>
        <v/>
      </c>
      <c r="I911" s="10">
        <f>IF(COUNT(D911:F911)=0,"",MAX(D911:F911))</f>
        <v/>
      </c>
      <c r="J911" s="11">
        <f>IF(OR(G911="",G911=0),"",(I911-G911)/G911)</f>
        <v/>
      </c>
      <c r="K911" s="4">
        <f>IF(COUNT(D911:F911)=0,"",INDEX($D$1:$F$1,MATCH(MIN(D911:F911),D911:F911,0)))</f>
        <v/>
      </c>
      <c r="L911" s="10" t="n">
        <v>11447.71</v>
      </c>
      <c r="M911" s="12" t="n">
        <v>1</v>
      </c>
    </row>
    <row r="912">
      <c r="A912" s="4" t="inlineStr">
        <is>
          <t>MAT-28-047</t>
        </is>
      </c>
      <c r="B912" s="5" t="inlineStr">
        <is>
          <t>Sirena De 12V 30W Blanca</t>
        </is>
      </c>
      <c r="C912" s="4" t="inlineStr">
        <is>
          <t>unidad</t>
        </is>
      </c>
      <c r="D912" s="10" t="n">
        <v>713.99</v>
      </c>
      <c r="E912" s="10" t="n"/>
      <c r="F912" s="10" t="n"/>
      <c r="G912" s="10">
        <f>IF(COUNT(D912:F912)=0,"",MIN(D912:F912))</f>
        <v/>
      </c>
      <c r="H912" s="10">
        <f>IF(COUNT(D912:F912)=0,"",MEDIAN(D912:F912))</f>
        <v/>
      </c>
      <c r="I912" s="10">
        <f>IF(COUNT(D912:F912)=0,"",MAX(D912:F912))</f>
        <v/>
      </c>
      <c r="J912" s="11">
        <f>IF(OR(G912="",G912=0),"",(I912-G912)/G912)</f>
        <v/>
      </c>
      <c r="K912" s="4">
        <f>IF(COUNT(D912:F912)=0,"",INDEX($D$1:$F$1,MATCH(MIN(D912:F912),D912:F912,0)))</f>
        <v/>
      </c>
      <c r="L912" s="10" t="n">
        <v>713.99</v>
      </c>
      <c r="M912" s="12" t="n">
        <v>1</v>
      </c>
    </row>
    <row r="913">
      <c r="A913" s="4" t="inlineStr">
        <is>
          <t>MAT-28-048</t>
        </is>
      </c>
      <c r="B913" s="5" t="inlineStr">
        <is>
          <t>Sirena inalámbrica Interior 95 Db A 10M</t>
        </is>
      </c>
      <c r="C913" s="4" t="inlineStr">
        <is>
          <t>unidad</t>
        </is>
      </c>
      <c r="D913" s="10" t="n">
        <v>3381.4</v>
      </c>
      <c r="E913" s="10" t="n"/>
      <c r="F913" s="10" t="n"/>
      <c r="G913" s="10">
        <f>IF(COUNT(D913:F913)=0,"",MIN(D913:F913))</f>
        <v/>
      </c>
      <c r="H913" s="10">
        <f>IF(COUNT(D913:F913)=0,"",MEDIAN(D913:F913))</f>
        <v/>
      </c>
      <c r="I913" s="10">
        <f>IF(COUNT(D913:F913)=0,"",MAX(D913:F913))</f>
        <v/>
      </c>
      <c r="J913" s="11">
        <f>IF(OR(G913="",G913=0),"",(I913-G913)/G913)</f>
        <v/>
      </c>
      <c r="K913" s="4">
        <f>IF(COUNT(D913:F913)=0,"",INDEX($D$1:$F$1,MATCH(MIN(D913:F913),D913:F913,0)))</f>
        <v/>
      </c>
      <c r="L913" s="10" t="n">
        <v>3381.4</v>
      </c>
      <c r="M913" s="12" t="n">
        <v>1</v>
      </c>
    </row>
    <row r="914">
      <c r="A914" s="4" t="inlineStr">
        <is>
          <t>MAT-28-049</t>
        </is>
      </c>
      <c r="B914" s="5" t="inlineStr">
        <is>
          <t>Sirena Exterior 104 Db A 1 Metro</t>
        </is>
      </c>
      <c r="C914" s="4" t="inlineStr">
        <is>
          <t>unidad</t>
        </is>
      </c>
      <c r="D914" s="10" t="n">
        <v>5053.69</v>
      </c>
      <c r="E914" s="10" t="n"/>
      <c r="F914" s="10" t="n"/>
      <c r="G914" s="10">
        <f>IF(COUNT(D914:F914)=0,"",MIN(D914:F914))</f>
        <v/>
      </c>
      <c r="H914" s="10">
        <f>IF(COUNT(D914:F914)=0,"",MEDIAN(D914:F914))</f>
        <v/>
      </c>
      <c r="I914" s="10">
        <f>IF(COUNT(D914:F914)=0,"",MAX(D914:F914))</f>
        <v/>
      </c>
      <c r="J914" s="11">
        <f>IF(OR(G914="",G914=0),"",(I914-G914)/G914)</f>
        <v/>
      </c>
      <c r="K914" s="4">
        <f>IF(COUNT(D914:F914)=0,"",INDEX($D$1:$F$1,MATCH(MIN(D914:F914),D914:F914,0)))</f>
        <v/>
      </c>
      <c r="L914" s="10" t="n">
        <v>5053.69</v>
      </c>
      <c r="M914" s="12" t="n">
        <v>1</v>
      </c>
    </row>
    <row r="915">
      <c r="A915" s="4" t="inlineStr">
        <is>
          <t>MAT-28-050</t>
        </is>
      </c>
      <c r="B915" s="5" t="inlineStr">
        <is>
          <t>Bocina Mini 24 Vdc 102 Db</t>
        </is>
      </c>
      <c r="C915" s="4" t="inlineStr">
        <is>
          <t>unidad</t>
        </is>
      </c>
      <c r="D915" s="10" t="n">
        <v>8877.5</v>
      </c>
      <c r="E915" s="10" t="n"/>
      <c r="F915" s="10" t="n"/>
      <c r="G915" s="10">
        <f>IF(COUNT(D915:F915)=0,"",MIN(D915:F915))</f>
        <v/>
      </c>
      <c r="H915" s="10">
        <f>IF(COUNT(D915:F915)=0,"",MEDIAN(D915:F915))</f>
        <v/>
      </c>
      <c r="I915" s="10">
        <f>IF(COUNT(D915:F915)=0,"",MAX(D915:F915))</f>
        <v/>
      </c>
      <c r="J915" s="11">
        <f>IF(OR(G915="",G915=0),"",(I915-G915)/G915)</f>
        <v/>
      </c>
      <c r="K915" s="4">
        <f>IF(COUNT(D915:F915)=0,"",INDEX($D$1:$F$1,MATCH(MIN(D915:F915),D915:F915,0)))</f>
        <v/>
      </c>
      <c r="L915" s="10" t="n">
        <v>8877.5</v>
      </c>
      <c r="M915" s="12" t="n">
        <v>1</v>
      </c>
    </row>
    <row r="916">
      <c r="A916" s="4" t="inlineStr">
        <is>
          <t>MAT-28-051</t>
        </is>
      </c>
      <c r="B916" s="5" t="inlineStr">
        <is>
          <t>Bocina Oli 24V 30W Negra</t>
        </is>
      </c>
      <c r="C916" s="4" t="inlineStr">
        <is>
          <t>unidad</t>
        </is>
      </c>
      <c r="D916" s="10" t="n">
        <v>15935.49</v>
      </c>
      <c r="E916" s="10" t="n"/>
      <c r="F916" s="10" t="n"/>
      <c r="G916" s="10">
        <f>IF(COUNT(D916:F916)=0,"",MIN(D916:F916))</f>
        <v/>
      </c>
      <c r="H916" s="10">
        <f>IF(COUNT(D916:F916)=0,"",MEDIAN(D916:F916))</f>
        <v/>
      </c>
      <c r="I916" s="10">
        <f>IF(COUNT(D916:F916)=0,"",MAX(D916:F916))</f>
        <v/>
      </c>
      <c r="J916" s="11">
        <f>IF(OR(G916="",G916=0),"",(I916-G916)/G916)</f>
        <v/>
      </c>
      <c r="K916" s="4">
        <f>IF(COUNT(D916:F916)=0,"",INDEX($D$1:$F$1,MATCH(MIN(D916:F916),D916:F916,0)))</f>
        <v/>
      </c>
      <c r="L916" s="10" t="n">
        <v>15935.49</v>
      </c>
      <c r="M916" s="12" t="n">
        <v>1</v>
      </c>
    </row>
    <row r="917">
      <c r="A917" s="4" t="inlineStr">
        <is>
          <t>MAT-28-052</t>
        </is>
      </c>
      <c r="B917" s="5" t="inlineStr">
        <is>
          <t>Bocina Esferica Multiposicion 2 Vias 120W</t>
        </is>
      </c>
      <c r="C917" s="4" t="inlineStr">
        <is>
          <t>unidad</t>
        </is>
      </c>
      <c r="D917" s="10" t="n">
        <v>39917.14</v>
      </c>
      <c r="E917" s="10" t="n"/>
      <c r="F917" s="10" t="n"/>
      <c r="G917" s="10">
        <f>IF(COUNT(D917:F917)=0,"",MIN(D917:F917))</f>
        <v/>
      </c>
      <c r="H917" s="10">
        <f>IF(COUNT(D917:F917)=0,"",MEDIAN(D917:F917))</f>
        <v/>
      </c>
      <c r="I917" s="10">
        <f>IF(COUNT(D917:F917)=0,"",MAX(D917:F917))</f>
        <v/>
      </c>
      <c r="J917" s="11">
        <f>IF(OR(G917="",G917=0),"",(I917-G917)/G917)</f>
        <v/>
      </c>
      <c r="K917" s="4">
        <f>IF(COUNT(D917:F917)=0,"",INDEX($D$1:$F$1,MATCH(MIN(D917:F917),D917:F917,0)))</f>
        <v/>
      </c>
      <c r="L917" s="10" t="n">
        <v>39917.14</v>
      </c>
      <c r="M917" s="12" t="n">
        <v>1</v>
      </c>
    </row>
    <row r="918">
      <c r="A918" s="4" t="inlineStr">
        <is>
          <t>MAT-28-053</t>
        </is>
      </c>
      <c r="B918" s="5" t="inlineStr">
        <is>
          <t>Bocina Esferica para Piso 2 Vias 120W</t>
        </is>
      </c>
      <c r="C918" s="4" t="inlineStr">
        <is>
          <t>unidad</t>
        </is>
      </c>
      <c r="D918" s="10" t="n">
        <v>49478.37</v>
      </c>
      <c r="E918" s="10" t="n"/>
      <c r="F918" s="10" t="n"/>
      <c r="G918" s="10">
        <f>IF(COUNT(D918:F918)=0,"",MIN(D918:F918))</f>
        <v/>
      </c>
      <c r="H918" s="10">
        <f>IF(COUNT(D918:F918)=0,"",MEDIAN(D918:F918))</f>
        <v/>
      </c>
      <c r="I918" s="10">
        <f>IF(COUNT(D918:F918)=0,"",MAX(D918:F918))</f>
        <v/>
      </c>
      <c r="J918" s="11">
        <f>IF(OR(G918="",G918=0),"",(I918-G918)/G918)</f>
        <v/>
      </c>
      <c r="K918" s="4">
        <f>IF(COUNT(D918:F918)=0,"",INDEX($D$1:$F$1,MATCH(MIN(D918:F918),D918:F918,0)))</f>
        <v/>
      </c>
      <c r="L918" s="10" t="n">
        <v>49478.37</v>
      </c>
      <c r="M918" s="12" t="n">
        <v>1</v>
      </c>
    </row>
    <row r="919">
      <c r="A919" s="4" t="inlineStr">
        <is>
          <t>MAT-28-054</t>
        </is>
      </c>
      <c r="B919" s="5" t="inlineStr">
        <is>
          <t>Pulsador De Pánico, 1 Botón</t>
        </is>
      </c>
      <c r="C919" s="4" t="inlineStr">
        <is>
          <t>unidad</t>
        </is>
      </c>
      <c r="D919" s="10" t="n">
        <v>2022.91</v>
      </c>
      <c r="E919" s="10" t="n"/>
      <c r="F919" s="10" t="n"/>
      <c r="G919" s="10">
        <f>IF(COUNT(D919:F919)=0,"",MIN(D919:F919))</f>
        <v/>
      </c>
      <c r="H919" s="10">
        <f>IF(COUNT(D919:F919)=0,"",MEDIAN(D919:F919))</f>
        <v/>
      </c>
      <c r="I919" s="10">
        <f>IF(COUNT(D919:F919)=0,"",MAX(D919:F919))</f>
        <v/>
      </c>
      <c r="J919" s="11">
        <f>IF(OR(G919="",G919=0),"",(I919-G919)/G919)</f>
        <v/>
      </c>
      <c r="K919" s="4">
        <f>IF(COUNT(D919:F919)=0,"",INDEX($D$1:$F$1,MATCH(MIN(D919:F919),D919:F919,0)))</f>
        <v/>
      </c>
      <c r="L919" s="10" t="n">
        <v>2022.91</v>
      </c>
      <c r="M919" s="12" t="n">
        <v>1</v>
      </c>
    </row>
    <row r="920">
      <c r="A920" s="4" t="inlineStr">
        <is>
          <t>MAT-28-055</t>
        </is>
      </c>
      <c r="B920" s="5" t="inlineStr">
        <is>
          <t>Lector Tarjeta Iclass Wiegand 7.6 Cm</t>
        </is>
      </c>
      <c r="C920" s="4" t="inlineStr">
        <is>
          <t>unidad</t>
        </is>
      </c>
      <c r="D920" s="10" t="n">
        <v>5449.72</v>
      </c>
      <c r="E920" s="10" t="n"/>
      <c r="F920" s="10" t="n"/>
      <c r="G920" s="10">
        <f>IF(COUNT(D920:F920)=0,"",MIN(D920:F920))</f>
        <v/>
      </c>
      <c r="H920" s="10">
        <f>IF(COUNT(D920:F920)=0,"",MEDIAN(D920:F920))</f>
        <v/>
      </c>
      <c r="I920" s="10">
        <f>IF(COUNT(D920:F920)=0,"",MAX(D920:F920))</f>
        <v/>
      </c>
      <c r="J920" s="11">
        <f>IF(OR(G920="",G920=0),"",(I920-G920)/G920)</f>
        <v/>
      </c>
      <c r="K920" s="4">
        <f>IF(COUNT(D920:F920)=0,"",INDEX($D$1:$F$1,MATCH(MIN(D920:F920),D920:F920,0)))</f>
        <v/>
      </c>
      <c r="L920" s="10" t="n">
        <v>5449.72</v>
      </c>
      <c r="M920" s="12" t="n">
        <v>1</v>
      </c>
    </row>
    <row r="921">
      <c r="A921" s="4" t="inlineStr">
        <is>
          <t>MAT-28-056</t>
        </is>
      </c>
      <c r="B921" s="5" t="inlineStr">
        <is>
          <t>Control acceso Para Puerta</t>
        </is>
      </c>
      <c r="C921" s="4" t="inlineStr">
        <is>
          <t>unidad</t>
        </is>
      </c>
      <c r="D921" s="10" t="n">
        <v>8723.620000000001</v>
      </c>
      <c r="E921" s="10" t="n"/>
      <c r="F921" s="10" t="n"/>
      <c r="G921" s="10">
        <f>IF(COUNT(D921:F921)=0,"",MIN(D921:F921))</f>
        <v/>
      </c>
      <c r="H921" s="10">
        <f>IF(COUNT(D921:F921)=0,"",MEDIAN(D921:F921))</f>
        <v/>
      </c>
      <c r="I921" s="10">
        <f>IF(COUNT(D921:F921)=0,"",MAX(D921:F921))</f>
        <v/>
      </c>
      <c r="J921" s="11">
        <f>IF(OR(G921="",G921=0),"",(I921-G921)/G921)</f>
        <v/>
      </c>
      <c r="K921" s="4">
        <f>IF(COUNT(D921:F921)=0,"",INDEX($D$1:$F$1,MATCH(MIN(D921:F921),D921:F921,0)))</f>
        <v/>
      </c>
      <c r="L921" s="10" t="n">
        <v>8723.620000000001</v>
      </c>
      <c r="M921" s="12" t="n">
        <v>1</v>
      </c>
    </row>
    <row r="922">
      <c r="A922" s="4" t="inlineStr">
        <is>
          <t>MAT-28-057</t>
        </is>
      </c>
      <c r="B922" s="5" t="inlineStr">
        <is>
          <t>Control acceso Prox. Ext. con Teclado</t>
        </is>
      </c>
      <c r="C922" s="4" t="inlineStr">
        <is>
          <t>unidad</t>
        </is>
      </c>
      <c r="D922" s="10" t="n">
        <v>8365.110000000001</v>
      </c>
      <c r="E922" s="10" t="n"/>
      <c r="F922" s="10" t="n"/>
      <c r="G922" s="10">
        <f>IF(COUNT(D922:F922)=0,"",MIN(D922:F922))</f>
        <v/>
      </c>
      <c r="H922" s="10">
        <f>IF(COUNT(D922:F922)=0,"",MEDIAN(D922:F922))</f>
        <v/>
      </c>
      <c r="I922" s="10">
        <f>IF(COUNT(D922:F922)=0,"",MAX(D922:F922))</f>
        <v/>
      </c>
      <c r="J922" s="11">
        <f>IF(OR(G922="",G922=0),"",(I922-G922)/G922)</f>
        <v/>
      </c>
      <c r="K922" s="4">
        <f>IF(COUNT(D922:F922)=0,"",INDEX($D$1:$F$1,MATCH(MIN(D922:F922),D922:F922,0)))</f>
        <v/>
      </c>
      <c r="L922" s="10" t="n">
        <v>9465.780000000001</v>
      </c>
      <c r="M922" s="12" t="n">
        <v>1</v>
      </c>
    </row>
    <row r="923">
      <c r="A923" s="4" t="inlineStr">
        <is>
          <t>MAT-28-058</t>
        </is>
      </c>
      <c r="B923" s="5" t="inlineStr">
        <is>
          <t>Lector Tarjeta Iclass Wiegand 11.4 Cm</t>
        </is>
      </c>
      <c r="C923" s="4" t="inlineStr">
        <is>
          <t>unidad</t>
        </is>
      </c>
      <c r="D923" s="10" t="n">
        <v>11217.38</v>
      </c>
      <c r="E923" s="10" t="n"/>
      <c r="F923" s="10" t="n"/>
      <c r="G923" s="10">
        <f>IF(COUNT(D923:F923)=0,"",MIN(D923:F923))</f>
        <v/>
      </c>
      <c r="H923" s="10">
        <f>IF(COUNT(D923:F923)=0,"",MEDIAN(D923:F923))</f>
        <v/>
      </c>
      <c r="I923" s="10">
        <f>IF(COUNT(D923:F923)=0,"",MAX(D923:F923))</f>
        <v/>
      </c>
      <c r="J923" s="11">
        <f>IF(OR(G923="",G923=0),"",(I923-G923)/G923)</f>
        <v/>
      </c>
      <c r="K923" s="4">
        <f>IF(COUNT(D923:F923)=0,"",INDEX($D$1:$F$1,MATCH(MIN(D923:F923),D923:F923,0)))</f>
        <v/>
      </c>
      <c r="L923" s="10" t="n">
        <v>11217.38</v>
      </c>
      <c r="M923" s="12" t="n">
        <v>1</v>
      </c>
    </row>
    <row r="924">
      <c r="A924" s="4" t="inlineStr">
        <is>
          <t>MAT-28-059</t>
        </is>
      </c>
      <c r="B924" s="5" t="inlineStr">
        <is>
          <t>Control acceso IP Ext. con Teclado</t>
        </is>
      </c>
      <c r="C924" s="4" t="inlineStr">
        <is>
          <t>unidad</t>
        </is>
      </c>
      <c r="D924" s="10" t="n">
        <v>12767.79</v>
      </c>
      <c r="E924" s="10" t="n"/>
      <c r="F924" s="10" t="n"/>
      <c r="G924" s="10">
        <f>IF(COUNT(D924:F924)=0,"",MIN(D924:F924))</f>
        <v/>
      </c>
      <c r="H924" s="10">
        <f>IF(COUNT(D924:F924)=0,"",MEDIAN(D924:F924))</f>
        <v/>
      </c>
      <c r="I924" s="10">
        <f>IF(COUNT(D924:F924)=0,"",MAX(D924:F924))</f>
        <v/>
      </c>
      <c r="J924" s="11">
        <f>IF(OR(G924="",G924=0),"",(I924-G924)/G924)</f>
        <v/>
      </c>
      <c r="K924" s="4">
        <f>IF(COUNT(D924:F924)=0,"",INDEX($D$1:$F$1,MATCH(MIN(D924:F924),D924:F924,0)))</f>
        <v/>
      </c>
      <c r="L924" s="10" t="n">
        <v>12767.79</v>
      </c>
      <c r="M924" s="12" t="n">
        <v>1</v>
      </c>
    </row>
    <row r="925">
      <c r="A925" s="4" t="inlineStr">
        <is>
          <t>MAT-28-060</t>
        </is>
      </c>
      <c r="B925" s="5" t="inlineStr">
        <is>
          <t>Lector Tarjeta Iclass 37 Bit</t>
        </is>
      </c>
      <c r="C925" s="4" t="inlineStr">
        <is>
          <t>unidad</t>
        </is>
      </c>
      <c r="D925" s="10" t="n">
        <v>13952.71</v>
      </c>
      <c r="E925" s="10" t="n"/>
      <c r="F925" s="10" t="n"/>
      <c r="G925" s="10">
        <f>IF(COUNT(D925:F925)=0,"",MIN(D925:F925))</f>
        <v/>
      </c>
      <c r="H925" s="10">
        <f>IF(COUNT(D925:F925)=0,"",MEDIAN(D925:F925))</f>
        <v/>
      </c>
      <c r="I925" s="10">
        <f>IF(COUNT(D925:F925)=0,"",MAX(D925:F925))</f>
        <v/>
      </c>
      <c r="J925" s="11">
        <f>IF(OR(G925="",G925=0),"",(I925-G925)/G925)</f>
        <v/>
      </c>
      <c r="K925" s="4">
        <f>IF(COUNT(D925:F925)=0,"",INDEX($D$1:$F$1,MATCH(MIN(D925:F925),D925:F925,0)))</f>
        <v/>
      </c>
      <c r="L925" s="10" t="n">
        <v>13952.71</v>
      </c>
      <c r="M925" s="12" t="n">
        <v>1</v>
      </c>
    </row>
    <row r="926">
      <c r="A926" s="4" t="inlineStr">
        <is>
          <t>MAT-28-061</t>
        </is>
      </c>
      <c r="B926" s="5" t="inlineStr">
        <is>
          <t>Control acceso biométrico / Huella Net</t>
        </is>
      </c>
      <c r="C926" s="4" t="inlineStr">
        <is>
          <t>unidad</t>
        </is>
      </c>
      <c r="D926" s="10" t="n">
        <v>16289.94</v>
      </c>
      <c r="E926" s="10" t="n"/>
      <c r="F926" s="10" t="n"/>
      <c r="G926" s="10">
        <f>IF(COUNT(D926:F926)=0,"",MIN(D926:F926))</f>
        <v/>
      </c>
      <c r="H926" s="10">
        <f>IF(COUNT(D926:F926)=0,"",MEDIAN(D926:F926))</f>
        <v/>
      </c>
      <c r="I926" s="10">
        <f>IF(COUNT(D926:F926)=0,"",MAX(D926:F926))</f>
        <v/>
      </c>
      <c r="J926" s="11">
        <f>IF(OR(G926="",G926=0),"",(I926-G926)/G926)</f>
        <v/>
      </c>
      <c r="K926" s="4">
        <f>IF(COUNT(D926:F926)=0,"",INDEX($D$1:$F$1,MATCH(MIN(D926:F926),D926:F926,0)))</f>
        <v/>
      </c>
      <c r="L926" s="10" t="n">
        <v>16289.94</v>
      </c>
      <c r="M926" s="12" t="n">
        <v>1</v>
      </c>
    </row>
    <row r="927">
      <c r="A927" s="4" t="inlineStr">
        <is>
          <t>MAT-28-062</t>
        </is>
      </c>
      <c r="B927" s="5" t="inlineStr">
        <is>
          <t>Lector Tarjeta Iclass Wiegand 33.6 Cm</t>
        </is>
      </c>
      <c r="C927" s="4" t="inlineStr">
        <is>
          <t>unidad</t>
        </is>
      </c>
      <c r="D927" s="10" t="n">
        <v>31872.76</v>
      </c>
      <c r="E927" s="10" t="n"/>
      <c r="F927" s="10" t="n"/>
      <c r="G927" s="10">
        <f>IF(COUNT(D927:F927)=0,"",MIN(D927:F927))</f>
        <v/>
      </c>
      <c r="H927" s="10">
        <f>IF(COUNT(D927:F927)=0,"",MEDIAN(D927:F927))</f>
        <v/>
      </c>
      <c r="I927" s="10">
        <f>IF(COUNT(D927:F927)=0,"",MAX(D927:F927))</f>
        <v/>
      </c>
      <c r="J927" s="11">
        <f>IF(OR(G927="",G927=0),"",(I927-G927)/G927)</f>
        <v/>
      </c>
      <c r="K927" s="4">
        <f>IF(COUNT(D927:F927)=0,"",INDEX($D$1:$F$1,MATCH(MIN(D927:F927),D927:F927,0)))</f>
        <v/>
      </c>
      <c r="L927" s="10" t="n">
        <v>31872.76</v>
      </c>
      <c r="M927" s="12" t="n">
        <v>1</v>
      </c>
    </row>
    <row r="928">
      <c r="A928" s="4" t="inlineStr">
        <is>
          <t>MAT-28-063</t>
        </is>
      </c>
      <c r="B928" s="5" t="inlineStr">
        <is>
          <t>Control acceso para 12 Salidas Network</t>
        </is>
      </c>
      <c r="C928" s="4" t="inlineStr">
        <is>
          <t>unidad</t>
        </is>
      </c>
      <c r="D928" s="10" t="n">
        <v>34781.26</v>
      </c>
      <c r="E928" s="10" t="n"/>
      <c r="F928" s="10" t="n"/>
      <c r="G928" s="10">
        <f>IF(COUNT(D928:F928)=0,"",MIN(D928:F928))</f>
        <v/>
      </c>
      <c r="H928" s="10">
        <f>IF(COUNT(D928:F928)=0,"",MEDIAN(D928:F928))</f>
        <v/>
      </c>
      <c r="I928" s="10">
        <f>IF(COUNT(D928:F928)=0,"",MAX(D928:F928))</f>
        <v/>
      </c>
      <c r="J928" s="11">
        <f>IF(OR(G928="",G928=0),"",(I928-G928)/G928)</f>
        <v/>
      </c>
      <c r="K928" s="4">
        <f>IF(COUNT(D928:F928)=0,"",INDEX($D$1:$F$1,MATCH(MIN(D928:F928),D928:F928,0)))</f>
        <v/>
      </c>
      <c r="L928" s="10" t="n">
        <v>34781.26</v>
      </c>
      <c r="M928" s="12" t="n">
        <v>1</v>
      </c>
    </row>
    <row r="929">
      <c r="A929" s="4" t="inlineStr">
        <is>
          <t>MAT-28-064</t>
        </is>
      </c>
      <c r="B929" s="5" t="inlineStr">
        <is>
          <t>Control De acceso Con Huella</t>
        </is>
      </c>
      <c r="C929" s="4" t="inlineStr">
        <is>
          <t>unidad</t>
        </is>
      </c>
      <c r="D929" s="10" t="n">
        <v>48902.72</v>
      </c>
      <c r="E929" s="10" t="n"/>
      <c r="F929" s="10" t="n"/>
      <c r="G929" s="10">
        <f>IF(COUNT(D929:F929)=0,"",MIN(D929:F929))</f>
        <v/>
      </c>
      <c r="H929" s="10">
        <f>IF(COUNT(D929:F929)=0,"",MEDIAN(D929:F929))</f>
        <v/>
      </c>
      <c r="I929" s="10">
        <f>IF(COUNT(D929:F929)=0,"",MAX(D929:F929))</f>
        <v/>
      </c>
      <c r="J929" s="11">
        <f>IF(OR(G929="",G929=0),"",(I929-G929)/G929)</f>
        <v/>
      </c>
      <c r="K929" s="4">
        <f>IF(COUNT(D929:F929)=0,"",INDEX($D$1:$F$1,MATCH(MIN(D929:F929),D929:F929,0)))</f>
        <v/>
      </c>
      <c r="L929" s="10" t="n">
        <v>48902.72</v>
      </c>
      <c r="M929" s="12" t="n">
        <v>1</v>
      </c>
    </row>
    <row r="930">
      <c r="A930" s="4" t="inlineStr">
        <is>
          <t>MAT-28-065</t>
        </is>
      </c>
      <c r="B930" s="5" t="inlineStr">
        <is>
          <t>Kit Alarma inalámbrica</t>
        </is>
      </c>
      <c r="C930" s="4" t="inlineStr">
        <is>
          <t>unidad</t>
        </is>
      </c>
      <c r="D930" s="10" t="n">
        <v>7107.67</v>
      </c>
      <c r="E930" s="10" t="n"/>
      <c r="F930" s="10" t="n"/>
      <c r="G930" s="10">
        <f>IF(COUNT(D930:F930)=0,"",MIN(D930:F930))</f>
        <v/>
      </c>
      <c r="H930" s="10">
        <f>IF(COUNT(D930:F930)=0,"",MEDIAN(D930:F930))</f>
        <v/>
      </c>
      <c r="I930" s="10">
        <f>IF(COUNT(D930:F930)=0,"",MAX(D930:F930))</f>
        <v/>
      </c>
      <c r="J930" s="11">
        <f>IF(OR(G930="",G930=0),"",(I930-G930)/G930)</f>
        <v/>
      </c>
      <c r="K930" s="4">
        <f>IF(COUNT(D930:F930)=0,"",INDEX($D$1:$F$1,MATCH(MIN(D930:F930),D930:F930,0)))</f>
        <v/>
      </c>
      <c r="L930" s="10" t="n">
        <v>7107.67</v>
      </c>
      <c r="M930" s="12" t="n">
        <v>1</v>
      </c>
    </row>
    <row r="931">
      <c r="A931" s="4" t="inlineStr">
        <is>
          <t>MAT-28-066</t>
        </is>
      </c>
      <c r="B931" s="5" t="inlineStr">
        <is>
          <t>Cable Audio AWG 16 / 4 Blanco / Gris</t>
        </is>
      </c>
      <c r="C931" s="4" t="inlineStr">
        <is>
          <t>unidad</t>
        </is>
      </c>
      <c r="D931" s="10" t="n">
        <v>10439.3</v>
      </c>
      <c r="E931" s="10" t="n"/>
      <c r="F931" s="10" t="n"/>
      <c r="G931" s="10">
        <f>IF(COUNT(D931:F931)=0,"",MIN(D931:F931))</f>
        <v/>
      </c>
      <c r="H931" s="10">
        <f>IF(COUNT(D931:F931)=0,"",MEDIAN(D931:F931))</f>
        <v/>
      </c>
      <c r="I931" s="10">
        <f>IF(COUNT(D931:F931)=0,"",MAX(D931:F931))</f>
        <v/>
      </c>
      <c r="J931" s="11">
        <f>IF(OR(G931="",G931=0),"",(I931-G931)/G931)</f>
        <v/>
      </c>
      <c r="K931" s="4">
        <f>IF(COUNT(D931:F931)=0,"",INDEX($D$1:$F$1,MATCH(MIN(D931:F931),D931:F931,0)))</f>
        <v/>
      </c>
      <c r="L931" s="10" t="n">
        <v>10439.3</v>
      </c>
      <c r="M931" s="12" t="n">
        <v>1</v>
      </c>
    </row>
    <row r="932">
      <c r="A932" s="4" t="inlineStr">
        <is>
          <t>MAT-28-067</t>
        </is>
      </c>
      <c r="B932" s="5" t="inlineStr">
        <is>
          <t>Modulo Telefono Plug-In</t>
        </is>
      </c>
      <c r="C932" s="4" t="inlineStr">
        <is>
          <t>unidad</t>
        </is>
      </c>
      <c r="D932" s="10" t="n">
        <v>2299.62</v>
      </c>
      <c r="E932" s="10" t="n"/>
      <c r="F932" s="10" t="n"/>
      <c r="G932" s="10">
        <f>IF(COUNT(D932:F932)=0,"",MIN(D932:F932))</f>
        <v/>
      </c>
      <c r="H932" s="10">
        <f>IF(COUNT(D932:F932)=0,"",MEDIAN(D932:F932))</f>
        <v/>
      </c>
      <c r="I932" s="10">
        <f>IF(COUNT(D932:F932)=0,"",MAX(D932:F932))</f>
        <v/>
      </c>
      <c r="J932" s="11">
        <f>IF(OR(G932="",G932=0),"",(I932-G932)/G932)</f>
        <v/>
      </c>
      <c r="K932" s="4">
        <f>IF(COUNT(D932:F932)=0,"",INDEX($D$1:$F$1,MATCH(MIN(D932:F932),D932:F932,0)))</f>
        <v/>
      </c>
      <c r="L932" s="10" t="n">
        <v>2299.62</v>
      </c>
      <c r="M932" s="12" t="n">
        <v>1</v>
      </c>
    </row>
    <row r="933">
      <c r="A933" s="4" t="inlineStr">
        <is>
          <t>MAT-28-068</t>
        </is>
      </c>
      <c r="B933" s="5" t="inlineStr">
        <is>
          <t>Parlante 6.5" Cielo, Par, S2 Incei</t>
        </is>
      </c>
      <c r="C933" s="4" t="inlineStr">
        <is>
          <t>unidad</t>
        </is>
      </c>
      <c r="D933" s="10" t="n">
        <v>7860.67</v>
      </c>
      <c r="E933" s="10" t="n"/>
      <c r="F933" s="10" t="n"/>
      <c r="G933" s="10">
        <f>IF(COUNT(D933:F933)=0,"",MIN(D933:F933))</f>
        <v/>
      </c>
      <c r="H933" s="10">
        <f>IF(COUNT(D933:F933)=0,"",MEDIAN(D933:F933))</f>
        <v/>
      </c>
      <c r="I933" s="10">
        <f>IF(COUNT(D933:F933)=0,"",MAX(D933:F933))</f>
        <v/>
      </c>
      <c r="J933" s="11">
        <f>IF(OR(G933="",G933=0),"",(I933-G933)/G933)</f>
        <v/>
      </c>
      <c r="K933" s="4">
        <f>IF(COUNT(D933:F933)=0,"",INDEX($D$1:$F$1,MATCH(MIN(D933:F933),D933:F933,0)))</f>
        <v/>
      </c>
      <c r="L933" s="10" t="n">
        <v>7860.67</v>
      </c>
      <c r="M933" s="12" t="n">
        <v>1</v>
      </c>
    </row>
    <row r="934">
      <c r="A934" s="4" t="inlineStr">
        <is>
          <t>MAT-28-069</t>
        </is>
      </c>
      <c r="B934" s="5" t="inlineStr">
        <is>
          <t>Carril Din</t>
        </is>
      </c>
      <c r="C934" s="4" t="inlineStr">
        <is>
          <t>unidad</t>
        </is>
      </c>
      <c r="D934" s="10" t="n">
        <v>481.6</v>
      </c>
      <c r="E934" s="10" t="n"/>
      <c r="F934" s="10" t="n"/>
      <c r="G934" s="10">
        <f>IF(COUNT(D934:F934)=0,"",MIN(D934:F934))</f>
        <v/>
      </c>
      <c r="H934" s="10">
        <f>IF(COUNT(D934:F934)=0,"",MEDIAN(D934:F934))</f>
        <v/>
      </c>
      <c r="I934" s="10">
        <f>IF(COUNT(D934:F934)=0,"",MAX(D934:F934))</f>
        <v/>
      </c>
      <c r="J934" s="11">
        <f>IF(OR(G934="",G934=0),"",(I934-G934)/G934)</f>
        <v/>
      </c>
      <c r="K934" s="4">
        <f>IF(COUNT(D934:F934)=0,"",INDEX($D$1:$F$1,MATCH(MIN(D934:F934),D934:F934,0)))</f>
        <v/>
      </c>
      <c r="L934" s="10" t="n">
        <v>481.6</v>
      </c>
      <c r="M934" s="12" t="n">
        <v>1</v>
      </c>
    </row>
    <row r="935">
      <c r="A935" s="4" t="inlineStr">
        <is>
          <t>MAT-28-070</t>
        </is>
      </c>
      <c r="B935" s="5" t="inlineStr">
        <is>
          <t>Gabinete para Modulo Pqn</t>
        </is>
      </c>
      <c r="C935" s="4" t="inlineStr">
        <is>
          <t>unidad</t>
        </is>
      </c>
      <c r="D935" s="10" t="n">
        <v>1083.05</v>
      </c>
      <c r="E935" s="10" t="n"/>
      <c r="F935" s="10" t="n"/>
      <c r="G935" s="10">
        <f>IF(COUNT(D935:F935)=0,"",MIN(D935:F935))</f>
        <v/>
      </c>
      <c r="H935" s="10">
        <f>IF(COUNT(D935:F935)=0,"",MEDIAN(D935:F935))</f>
        <v/>
      </c>
      <c r="I935" s="10">
        <f>IF(COUNT(D935:F935)=0,"",MAX(D935:F935))</f>
        <v/>
      </c>
      <c r="J935" s="11">
        <f>IF(OR(G935="",G935=0),"",(I935-G935)/G935)</f>
        <v/>
      </c>
      <c r="K935" s="4">
        <f>IF(COUNT(D935:F935)=0,"",INDEX($D$1:$F$1,MATCH(MIN(D935:F935),D935:F935,0)))</f>
        <v/>
      </c>
      <c r="L935" s="10" t="n">
        <v>1083.05</v>
      </c>
      <c r="M935" s="12" t="n">
        <v>1</v>
      </c>
    </row>
    <row r="936">
      <c r="A936" s="4" t="inlineStr">
        <is>
          <t>MAT-28-071</t>
        </is>
      </c>
      <c r="B936" s="5" t="inlineStr">
        <is>
          <t>Gabinete para Modulo Mdn</t>
        </is>
      </c>
      <c r="C936" s="4" t="inlineStr">
        <is>
          <t>unidad</t>
        </is>
      </c>
      <c r="D936" s="10" t="n">
        <v>1199.1</v>
      </c>
      <c r="E936" s="10" t="n"/>
      <c r="F936" s="10" t="n"/>
      <c r="G936" s="10">
        <f>IF(COUNT(D936:F936)=0,"",MIN(D936:F936))</f>
        <v/>
      </c>
      <c r="H936" s="10">
        <f>IF(COUNT(D936:F936)=0,"",MEDIAN(D936:F936))</f>
        <v/>
      </c>
      <c r="I936" s="10">
        <f>IF(COUNT(D936:F936)=0,"",MAX(D936:F936))</f>
        <v/>
      </c>
      <c r="J936" s="11">
        <f>IF(OR(G936="",G936=0),"",(I936-G936)/G936)</f>
        <v/>
      </c>
      <c r="K936" s="4">
        <f>IF(COUNT(D936:F936)=0,"",INDEX($D$1:$F$1,MATCH(MIN(D936:F936),D936:F936,0)))</f>
        <v/>
      </c>
      <c r="L936" s="10" t="n">
        <v>1199.1</v>
      </c>
      <c r="M936" s="12" t="n">
        <v>1</v>
      </c>
    </row>
    <row r="937">
      <c r="A937" s="4" t="inlineStr">
        <is>
          <t>MAT-28-072</t>
        </is>
      </c>
      <c r="B937" s="5" t="inlineStr">
        <is>
          <t>Comunicador Gsm</t>
        </is>
      </c>
      <c r="C937" s="4" t="inlineStr">
        <is>
          <t>unidad</t>
        </is>
      </c>
      <c r="D937" s="10" t="n">
        <v>4924.63</v>
      </c>
      <c r="E937" s="10" t="n"/>
      <c r="F937" s="10" t="n"/>
      <c r="G937" s="10">
        <f>IF(COUNT(D937:F937)=0,"",MIN(D937:F937))</f>
        <v/>
      </c>
      <c r="H937" s="10">
        <f>IF(COUNT(D937:F937)=0,"",MEDIAN(D937:F937))</f>
        <v/>
      </c>
      <c r="I937" s="10">
        <f>IF(COUNT(D937:F937)=0,"",MAX(D937:F937))</f>
        <v/>
      </c>
      <c r="J937" s="11">
        <f>IF(OR(G937="",G937=0),"",(I937-G937)/G937)</f>
        <v/>
      </c>
      <c r="K937" s="4">
        <f>IF(COUNT(D937:F937)=0,"",INDEX($D$1:$F$1,MATCH(MIN(D937:F937),D937:F937,0)))</f>
        <v/>
      </c>
      <c r="L937" s="10" t="n">
        <v>4924.63</v>
      </c>
      <c r="M937" s="12" t="n">
        <v>1</v>
      </c>
    </row>
    <row r="938">
      <c r="A938" s="4" t="inlineStr">
        <is>
          <t>MAT-28-073</t>
        </is>
      </c>
      <c r="B938" s="5" t="inlineStr">
        <is>
          <t>Controlador De Puerta Wi 2 Lect.</t>
        </is>
      </c>
      <c r="C938" s="4" t="inlineStr">
        <is>
          <t>unidad</t>
        </is>
      </c>
      <c r="D938" s="10" t="n">
        <v>30875.02</v>
      </c>
      <c r="E938" s="10" t="n"/>
      <c r="F938" s="10" t="n"/>
      <c r="G938" s="10">
        <f>IF(COUNT(D938:F938)=0,"",MIN(D938:F938))</f>
        <v/>
      </c>
      <c r="H938" s="10">
        <f>IF(COUNT(D938:F938)=0,"",MEDIAN(D938:F938))</f>
        <v/>
      </c>
      <c r="I938" s="10">
        <f>IF(COUNT(D938:F938)=0,"",MAX(D938:F938))</f>
        <v/>
      </c>
      <c r="J938" s="11">
        <f>IF(OR(G938="",G938=0),"",(I938-G938)/G938)</f>
        <v/>
      </c>
      <c r="K938" s="4">
        <f>IF(COUNT(D938:F938)=0,"",INDEX($D$1:$F$1,MATCH(MIN(D938:F938),D938:F938,0)))</f>
        <v/>
      </c>
      <c r="L938" s="10" t="n">
        <v>30875.02</v>
      </c>
      <c r="M938" s="12" t="n">
        <v>1</v>
      </c>
    </row>
    <row r="939">
      <c r="A939" s="4" t="inlineStr">
        <is>
          <t>MAT-28-074</t>
        </is>
      </c>
      <c r="B939" s="5" t="inlineStr">
        <is>
          <t>Controlador Puerta Extension Wiegand</t>
        </is>
      </c>
      <c r="C939" s="4" t="inlineStr">
        <is>
          <t>unidad</t>
        </is>
      </c>
      <c r="D939" s="10" t="n">
        <v>40571.93</v>
      </c>
      <c r="E939" s="10" t="n"/>
      <c r="F939" s="10" t="n"/>
      <c r="G939" s="10">
        <f>IF(COUNT(D939:F939)=0,"",MIN(D939:F939))</f>
        <v/>
      </c>
      <c r="H939" s="10">
        <f>IF(COUNT(D939:F939)=0,"",MEDIAN(D939:F939))</f>
        <v/>
      </c>
      <c r="I939" s="10">
        <f>IF(COUNT(D939:F939)=0,"",MAX(D939:F939))</f>
        <v/>
      </c>
      <c r="J939" s="11">
        <f>IF(OR(G939="",G939=0),"",(I939-G939)/G939)</f>
        <v/>
      </c>
      <c r="K939" s="4">
        <f>IF(COUNT(D939:F939)=0,"",INDEX($D$1:$F$1,MATCH(MIN(D939:F939),D939:F939,0)))</f>
        <v/>
      </c>
      <c r="L939" s="10" t="n">
        <v>40571.93</v>
      </c>
      <c r="M939" s="12" t="n">
        <v>1</v>
      </c>
    </row>
    <row r="940">
      <c r="A940" s="4" t="inlineStr">
        <is>
          <t>MAT-28-075</t>
        </is>
      </c>
      <c r="B940" s="5" t="inlineStr">
        <is>
          <t>Controlador acceso Modular</t>
        </is>
      </c>
      <c r="C940" s="4" t="inlineStr">
        <is>
          <t>unidad</t>
        </is>
      </c>
      <c r="D940" s="10" t="n">
        <v>51002.38</v>
      </c>
      <c r="E940" s="10" t="n"/>
      <c r="F940" s="10" t="n"/>
      <c r="G940" s="10">
        <f>IF(COUNT(D940:F940)=0,"",MIN(D940:F940))</f>
        <v/>
      </c>
      <c r="H940" s="10">
        <f>IF(COUNT(D940:F940)=0,"",MEDIAN(D940:F940))</f>
        <v/>
      </c>
      <c r="I940" s="10">
        <f>IF(COUNT(D940:F940)=0,"",MAX(D940:F940))</f>
        <v/>
      </c>
      <c r="J940" s="11">
        <f>IF(OR(G940="",G940=0),"",(I940-G940)/G940)</f>
        <v/>
      </c>
      <c r="K940" s="4">
        <f>IF(COUNT(D940:F940)=0,"",INDEX($D$1:$F$1,MATCH(MIN(D940:F940),D940:F940,0)))</f>
        <v/>
      </c>
      <c r="L940" s="10" t="n">
        <v>51002.38</v>
      </c>
      <c r="M940" s="12" t="n">
        <v>1</v>
      </c>
    </row>
    <row r="941">
      <c r="A941" s="4" t="inlineStr">
        <is>
          <t>MAT-28-076</t>
        </is>
      </c>
      <c r="B941" s="5" t="inlineStr">
        <is>
          <t>Fuente Ethernet PoE 15.4W 1 Puerto</t>
        </is>
      </c>
      <c r="C941" s="4" t="inlineStr">
        <is>
          <t>unidad</t>
        </is>
      </c>
      <c r="D941" s="10" t="n">
        <v>1857.35</v>
      </c>
      <c r="E941" s="10" t="n"/>
      <c r="F941" s="10" t="n"/>
      <c r="G941" s="10">
        <f>IF(COUNT(D941:F941)=0,"",MIN(D941:F941))</f>
        <v/>
      </c>
      <c r="H941" s="10">
        <f>IF(COUNT(D941:F941)=0,"",MEDIAN(D941:F941))</f>
        <v/>
      </c>
      <c r="I941" s="10">
        <f>IF(COUNT(D941:F941)=0,"",MAX(D941:F941))</f>
        <v/>
      </c>
      <c r="J941" s="11">
        <f>IF(OR(G941="",G941=0),"",(I941-G941)/G941)</f>
        <v/>
      </c>
      <c r="K941" s="4">
        <f>IF(COUNT(D941:F941)=0,"",INDEX($D$1:$F$1,MATCH(MIN(D941:F941),D941:F941,0)))</f>
        <v/>
      </c>
      <c r="L941" s="10" t="n">
        <v>1857.35</v>
      </c>
      <c r="M941" s="12" t="n">
        <v>1</v>
      </c>
    </row>
    <row r="942">
      <c r="A942" s="4" t="inlineStr">
        <is>
          <t>MAT-28-077</t>
        </is>
      </c>
      <c r="B942" s="5" t="inlineStr">
        <is>
          <t>Power Pack 120 / 277V</t>
        </is>
      </c>
      <c r="C942" s="4" t="inlineStr">
        <is>
          <t>unidad</t>
        </is>
      </c>
      <c r="D942" s="10" t="n">
        <v>2150.5</v>
      </c>
      <c r="E942" s="10" t="n"/>
      <c r="F942" s="10" t="n"/>
      <c r="G942" s="10">
        <f>IF(COUNT(D942:F942)=0,"",MIN(D942:F942))</f>
        <v/>
      </c>
      <c r="H942" s="10">
        <f>IF(COUNT(D942:F942)=0,"",MEDIAN(D942:F942))</f>
        <v/>
      </c>
      <c r="I942" s="10">
        <f>IF(COUNT(D942:F942)=0,"",MAX(D942:F942))</f>
        <v/>
      </c>
      <c r="J942" s="11">
        <f>IF(OR(G942="",G942=0),"",(I942-G942)/G942)</f>
        <v/>
      </c>
      <c r="K942" s="4">
        <f>IF(COUNT(D942:F942)=0,"",INDEX($D$1:$F$1,MATCH(MIN(D942:F942),D942:F942,0)))</f>
        <v/>
      </c>
      <c r="L942" s="10" t="n">
        <v>2150.5</v>
      </c>
      <c r="M942" s="12" t="n">
        <v>1</v>
      </c>
    </row>
    <row r="943">
      <c r="A943" s="4" t="inlineStr">
        <is>
          <t>MAT-28-078</t>
        </is>
      </c>
      <c r="B943" s="5" t="inlineStr">
        <is>
          <t>Aislador Intermedio Plano Iw-15</t>
        </is>
      </c>
      <c r="C943" s="4" t="inlineStr">
        <is>
          <t>unidad</t>
        </is>
      </c>
      <c r="D943" s="10" t="n">
        <v>10.19</v>
      </c>
      <c r="E943" s="10" t="n"/>
      <c r="F943" s="10" t="n"/>
      <c r="G943" s="10">
        <f>IF(COUNT(D943:F943)=0,"",MIN(D943:F943))</f>
        <v/>
      </c>
      <c r="H943" s="10">
        <f>IF(COUNT(D943:F943)=0,"",MEDIAN(D943:F943))</f>
        <v/>
      </c>
      <c r="I943" s="10">
        <f>IF(COUNT(D943:F943)=0,"",MAX(D943:F943))</f>
        <v/>
      </c>
      <c r="J943" s="11">
        <f>IF(OR(G943="",G943=0),"",(I943-G943)/G943)</f>
        <v/>
      </c>
      <c r="K943" s="4">
        <f>IF(COUNT(D943:F943)=0,"",INDEX($D$1:$F$1,MATCH(MIN(D943:F943),D943:F943,0)))</f>
        <v/>
      </c>
      <c r="L943" s="10" t="n">
        <v>10.19</v>
      </c>
      <c r="M943" s="12" t="n">
        <v>1</v>
      </c>
    </row>
    <row r="944">
      <c r="A944" s="4" t="inlineStr">
        <is>
          <t>MAT-28-079</t>
        </is>
      </c>
      <c r="B944" s="5" t="inlineStr">
        <is>
          <t>Aislador Templador Cuadrado con Perno</t>
        </is>
      </c>
      <c r="C944" s="4" t="inlineStr">
        <is>
          <t>unidad</t>
        </is>
      </c>
      <c r="D944" s="10" t="n">
        <v>24.13</v>
      </c>
      <c r="E944" s="10" t="n"/>
      <c r="F944" s="10" t="n"/>
      <c r="G944" s="10">
        <f>IF(COUNT(D944:F944)=0,"",MIN(D944:F944))</f>
        <v/>
      </c>
      <c r="H944" s="10">
        <f>IF(COUNT(D944:F944)=0,"",MEDIAN(D944:F944))</f>
        <v/>
      </c>
      <c r="I944" s="10">
        <f>IF(COUNT(D944:F944)=0,"",MAX(D944:F944))</f>
        <v/>
      </c>
      <c r="J944" s="11">
        <f>IF(OR(G944="",G944=0),"",(I944-G944)/G944)</f>
        <v/>
      </c>
      <c r="K944" s="4">
        <f>IF(COUNT(D944:F944)=0,"",INDEX($D$1:$F$1,MATCH(MIN(D944:F944),D944:F944,0)))</f>
        <v/>
      </c>
      <c r="L944" s="10" t="n">
        <v>24.13</v>
      </c>
      <c r="M944" s="12" t="n">
        <v>1</v>
      </c>
    </row>
    <row r="945">
      <c r="A945" s="4" t="inlineStr">
        <is>
          <t>MAT-28-080</t>
        </is>
      </c>
      <c r="B945" s="5" t="inlineStr">
        <is>
          <t>Aislador Intermedio con Perno</t>
        </is>
      </c>
      <c r="C945" s="4" t="inlineStr">
        <is>
          <t>unidad</t>
        </is>
      </c>
      <c r="D945" s="10" t="n">
        <v>32.37</v>
      </c>
      <c r="E945" s="10" t="n"/>
      <c r="F945" s="10" t="n"/>
      <c r="G945" s="10">
        <f>IF(COUNT(D945:F945)=0,"",MIN(D945:F945))</f>
        <v/>
      </c>
      <c r="H945" s="10">
        <f>IF(COUNT(D945:F945)=0,"",MEDIAN(D945:F945))</f>
        <v/>
      </c>
      <c r="I945" s="10">
        <f>IF(COUNT(D945:F945)=0,"",MAX(D945:F945))</f>
        <v/>
      </c>
      <c r="J945" s="11">
        <f>IF(OR(G945="",G945=0),"",(I945-G945)/G945)</f>
        <v/>
      </c>
      <c r="K945" s="4">
        <f>IF(COUNT(D945:F945)=0,"",INDEX($D$1:$F$1,MATCH(MIN(D945:F945),D945:F945,0)))</f>
        <v/>
      </c>
      <c r="L945" s="10" t="n">
        <v>32.37</v>
      </c>
      <c r="M945" s="12" t="n">
        <v>1</v>
      </c>
    </row>
    <row r="946">
      <c r="A946" s="4" t="inlineStr">
        <is>
          <t>MAT-28-081</t>
        </is>
      </c>
      <c r="B946" s="5" t="inlineStr">
        <is>
          <t>Anillo Negro</t>
        </is>
      </c>
      <c r="C946" s="4" t="inlineStr">
        <is>
          <t>unidad</t>
        </is>
      </c>
      <c r="D946" s="10" t="n">
        <v>104.5</v>
      </c>
      <c r="E946" s="10" t="n"/>
      <c r="F946" s="10" t="n"/>
      <c r="G946" s="10">
        <f>IF(COUNT(D946:F946)=0,"",MIN(D946:F946))</f>
        <v/>
      </c>
      <c r="H946" s="10">
        <f>IF(COUNT(D946:F946)=0,"",MEDIAN(D946:F946))</f>
        <v/>
      </c>
      <c r="I946" s="10">
        <f>IF(COUNT(D946:F946)=0,"",MAX(D946:F946))</f>
        <v/>
      </c>
      <c r="J946" s="11">
        <f>IF(OR(G946="",G946=0),"",(I946-G946)/G946)</f>
        <v/>
      </c>
      <c r="K946" s="4">
        <f>IF(COUNT(D946:F946)=0,"",INDEX($D$1:$F$1,MATCH(MIN(D946:F946),D946:F946,0)))</f>
        <v/>
      </c>
      <c r="L946" s="10" t="n">
        <v>104.5</v>
      </c>
      <c r="M946" s="12" t="n">
        <v>1</v>
      </c>
    </row>
    <row r="947">
      <c r="A947" s="4" t="inlineStr">
        <is>
          <t>MAT-28-082</t>
        </is>
      </c>
      <c r="B947" s="5" t="inlineStr">
        <is>
          <t>Anillo Blanco</t>
        </is>
      </c>
      <c r="C947" s="4" t="inlineStr">
        <is>
          <t>unidad</t>
        </is>
      </c>
      <c r="D947" s="10" t="n">
        <v>287.39</v>
      </c>
      <c r="E947" s="10" t="n"/>
      <c r="F947" s="10" t="n"/>
      <c r="G947" s="10">
        <f>IF(COUNT(D947:F947)=0,"",MIN(D947:F947))</f>
        <v/>
      </c>
      <c r="H947" s="10">
        <f>IF(COUNT(D947:F947)=0,"",MEDIAN(D947:F947))</f>
        <v/>
      </c>
      <c r="I947" s="10">
        <f>IF(COUNT(D947:F947)=0,"",MAX(D947:F947))</f>
        <v/>
      </c>
      <c r="J947" s="11">
        <f>IF(OR(G947="",G947=0),"",(I947-G947)/G947)</f>
        <v/>
      </c>
      <c r="K947" s="4">
        <f>IF(COUNT(D947:F947)=0,"",INDEX($D$1:$F$1,MATCH(MIN(D947:F947),D947:F947,0)))</f>
        <v/>
      </c>
      <c r="L947" s="10" t="n">
        <v>287.39</v>
      </c>
      <c r="M947" s="12" t="n">
        <v>1</v>
      </c>
    </row>
    <row r="948">
      <c r="A948" s="4" t="inlineStr">
        <is>
          <t>MAT-28-083</t>
        </is>
      </c>
      <c r="B948" s="5" t="inlineStr">
        <is>
          <t>Anillo Gris</t>
        </is>
      </c>
      <c r="C948" s="4" t="inlineStr">
        <is>
          <t>unidad</t>
        </is>
      </c>
      <c r="D948" s="10" t="n">
        <v>287.39</v>
      </c>
      <c r="E948" s="10" t="n"/>
      <c r="F948" s="10" t="n"/>
      <c r="G948" s="10">
        <f>IF(COUNT(D948:F948)=0,"",MIN(D948:F948))</f>
        <v/>
      </c>
      <c r="H948" s="10">
        <f>IF(COUNT(D948:F948)=0,"",MEDIAN(D948:F948))</f>
        <v/>
      </c>
      <c r="I948" s="10">
        <f>IF(COUNT(D948:F948)=0,"",MAX(D948:F948))</f>
        <v/>
      </c>
      <c r="J948" s="11">
        <f>IF(OR(G948="",G948=0),"",(I948-G948)/G948)</f>
        <v/>
      </c>
      <c r="K948" s="4">
        <f>IF(COUNT(D948:F948)=0,"",INDEX($D$1:$F$1,MATCH(MIN(D948:F948),D948:F948,0)))</f>
        <v/>
      </c>
      <c r="L948" s="10" t="n">
        <v>287.39</v>
      </c>
      <c r="M948" s="12" t="n">
        <v>1</v>
      </c>
    </row>
    <row r="949">
      <c r="A949" s="4" t="inlineStr">
        <is>
          <t>MAT-28-084</t>
        </is>
      </c>
      <c r="B949" s="5" t="inlineStr">
        <is>
          <t>Carcasa Con 1 Rail Din</t>
        </is>
      </c>
      <c r="C949" s="4" t="inlineStr">
        <is>
          <t>unidad</t>
        </is>
      </c>
      <c r="D949" s="10" t="n">
        <v>6614.35</v>
      </c>
      <c r="E949" s="10" t="n"/>
      <c r="F949" s="10" t="n"/>
      <c r="G949" s="10">
        <f>IF(COUNT(D949:F949)=0,"",MIN(D949:F949))</f>
        <v/>
      </c>
      <c r="H949" s="10">
        <f>IF(COUNT(D949:F949)=0,"",MEDIAN(D949:F949))</f>
        <v/>
      </c>
      <c r="I949" s="10">
        <f>IF(COUNT(D949:F949)=0,"",MAX(D949:F949))</f>
        <v/>
      </c>
      <c r="J949" s="11">
        <f>IF(OR(G949="",G949=0),"",(I949-G949)/G949)</f>
        <v/>
      </c>
      <c r="K949" s="4">
        <f>IF(COUNT(D949:F949)=0,"",INDEX($D$1:$F$1,MATCH(MIN(D949:F949),D949:F949,0)))</f>
        <v/>
      </c>
      <c r="L949" s="10" t="n">
        <v>6614.35</v>
      </c>
      <c r="M949" s="12" t="n">
        <v>1</v>
      </c>
    </row>
    <row r="950">
      <c r="A950" s="4" t="inlineStr">
        <is>
          <t>MAT-28-085</t>
        </is>
      </c>
      <c r="B950" s="5" t="inlineStr">
        <is>
          <t>Letrero De Advertencia Electricidad</t>
        </is>
      </c>
      <c r="C950" s="4" t="inlineStr">
        <is>
          <t>unidad</t>
        </is>
      </c>
      <c r="D950" s="10" t="n">
        <v>73.69</v>
      </c>
      <c r="E950" s="10" t="n"/>
      <c r="F950" s="10" t="n"/>
      <c r="G950" s="10">
        <f>IF(COUNT(D950:F950)=0,"",MIN(D950:F950))</f>
        <v/>
      </c>
      <c r="H950" s="10">
        <f>IF(COUNT(D950:F950)=0,"",MEDIAN(D950:F950))</f>
        <v/>
      </c>
      <c r="I950" s="10">
        <f>IF(COUNT(D950:F950)=0,"",MAX(D950:F950))</f>
        <v/>
      </c>
      <c r="J950" s="11">
        <f>IF(OR(G950="",G950=0),"",(I950-G950)/G950)</f>
        <v/>
      </c>
      <c r="K950" s="4">
        <f>IF(COUNT(D950:F950)=0,"",INDEX($D$1:$F$1,MATCH(MIN(D950:F950),D950:F950,0)))</f>
        <v/>
      </c>
      <c r="L950" s="10" t="n">
        <v>73.69</v>
      </c>
      <c r="M950" s="12" t="n">
        <v>1</v>
      </c>
    </row>
    <row r="951">
      <c r="A951" s="4" t="inlineStr">
        <is>
          <t>MAT-28-086</t>
        </is>
      </c>
      <c r="B951" s="5" t="inlineStr">
        <is>
          <t>Electrificador para Cerco Electrico 1600M</t>
        </is>
      </c>
      <c r="C951" s="4" t="inlineStr">
        <is>
          <t>unidad</t>
        </is>
      </c>
      <c r="D951" s="10" t="n">
        <v>5176.15</v>
      </c>
      <c r="E951" s="10" t="n"/>
      <c r="F951" s="10" t="n"/>
      <c r="G951" s="10">
        <f>IF(COUNT(D951:F951)=0,"",MIN(D951:F951))</f>
        <v/>
      </c>
      <c r="H951" s="10">
        <f>IF(COUNT(D951:F951)=0,"",MEDIAN(D951:F951))</f>
        <v/>
      </c>
      <c r="I951" s="10">
        <f>IF(COUNT(D951:F951)=0,"",MAX(D951:F951))</f>
        <v/>
      </c>
      <c r="J951" s="11">
        <f>IF(OR(G951="",G951=0),"",(I951-G951)/G951)</f>
        <v/>
      </c>
      <c r="K951" s="4">
        <f>IF(COUNT(D951:F951)=0,"",INDEX($D$1:$F$1,MATCH(MIN(D951:F951),D951:F951,0)))</f>
        <v/>
      </c>
      <c r="L951" s="10" t="n">
        <v>5176.15</v>
      </c>
      <c r="M951" s="12" t="n">
        <v>1</v>
      </c>
    </row>
    <row r="952">
      <c r="A952" s="4" t="inlineStr">
        <is>
          <t>MAT-28-087</t>
        </is>
      </c>
      <c r="B952" s="5" t="inlineStr">
        <is>
          <t>Electrificador para Cerco Electrico 3600M</t>
        </is>
      </c>
      <c r="C952" s="4" t="inlineStr">
        <is>
          <t>unidad</t>
        </is>
      </c>
      <c r="D952" s="10" t="n">
        <v>6906.13</v>
      </c>
      <c r="E952" s="10" t="n"/>
      <c r="F952" s="10" t="n"/>
      <c r="G952" s="10">
        <f>IF(COUNT(D952:F952)=0,"",MIN(D952:F952))</f>
        <v/>
      </c>
      <c r="H952" s="10">
        <f>IF(COUNT(D952:F952)=0,"",MEDIAN(D952:F952))</f>
        <v/>
      </c>
      <c r="I952" s="10">
        <f>IF(COUNT(D952:F952)=0,"",MAX(D952:F952))</f>
        <v/>
      </c>
      <c r="J952" s="11">
        <f>IF(OR(G952="",G952=0),"",(I952-G952)/G952)</f>
        <v/>
      </c>
      <c r="K952" s="4">
        <f>IF(COUNT(D952:F952)=0,"",INDEX($D$1:$F$1,MATCH(MIN(D952:F952),D952:F952,0)))</f>
        <v/>
      </c>
      <c r="L952" s="10" t="n">
        <v>6906.13</v>
      </c>
      <c r="M952" s="12" t="n">
        <v>1</v>
      </c>
    </row>
    <row r="953">
      <c r="A953" s="4" t="inlineStr">
        <is>
          <t>MAT-28-088</t>
        </is>
      </c>
      <c r="B953" s="5" t="inlineStr">
        <is>
          <t>Electrificador para Cerco Electrico 8000M</t>
        </is>
      </c>
      <c r="C953" s="4" t="inlineStr">
        <is>
          <t>unidad</t>
        </is>
      </c>
      <c r="D953" s="10" t="n">
        <v>11952.92</v>
      </c>
      <c r="E953" s="10" t="n"/>
      <c r="F953" s="10" t="n"/>
      <c r="G953" s="10">
        <f>IF(COUNT(D953:F953)=0,"",MIN(D953:F953))</f>
        <v/>
      </c>
      <c r="H953" s="10">
        <f>IF(COUNT(D953:F953)=0,"",MEDIAN(D953:F953))</f>
        <v/>
      </c>
      <c r="I953" s="10">
        <f>IF(COUNT(D953:F953)=0,"",MAX(D953:F953))</f>
        <v/>
      </c>
      <c r="J953" s="11">
        <f>IF(OR(G953="",G953=0),"",(I953-G953)/G953)</f>
        <v/>
      </c>
      <c r="K953" s="4">
        <f>IF(COUNT(D953:F953)=0,"",INDEX($D$1:$F$1,MATCH(MIN(D953:F953),D953:F953,0)))</f>
        <v/>
      </c>
      <c r="L953" s="10" t="n">
        <v>11952.92</v>
      </c>
      <c r="M953" s="12" t="n">
        <v>1</v>
      </c>
    </row>
    <row r="954">
      <c r="A954" s="4" t="inlineStr">
        <is>
          <t>MAT-28-089</t>
        </is>
      </c>
      <c r="B954" s="5" t="inlineStr">
        <is>
          <t>Control Remoto para Alarma</t>
        </is>
      </c>
      <c r="C954" s="4" t="inlineStr">
        <is>
          <t>unidad</t>
        </is>
      </c>
      <c r="D954" s="10" t="n">
        <v>676.5599999999999</v>
      </c>
      <c r="E954" s="10" t="n"/>
      <c r="F954" s="10" t="n"/>
      <c r="G954" s="10">
        <f>IF(COUNT(D954:F954)=0,"",MIN(D954:F954))</f>
        <v/>
      </c>
      <c r="H954" s="10">
        <f>IF(COUNT(D954:F954)=0,"",MEDIAN(D954:F954))</f>
        <v/>
      </c>
      <c r="I954" s="10">
        <f>IF(COUNT(D954:F954)=0,"",MAX(D954:F954))</f>
        <v/>
      </c>
      <c r="J954" s="11">
        <f>IF(OR(G954="",G954=0),"",(I954-G954)/G954)</f>
        <v/>
      </c>
      <c r="K954" s="4">
        <f>IF(COUNT(D954:F954)=0,"",INDEX($D$1:$F$1,MATCH(MIN(D954:F954),D954:F954,0)))</f>
        <v/>
      </c>
      <c r="L954" s="10" t="n">
        <v>676.5599999999999</v>
      </c>
      <c r="M954" s="12" t="n">
        <v>1</v>
      </c>
    </row>
    <row r="955">
      <c r="A955" s="4" t="inlineStr">
        <is>
          <t>MAT-28-090</t>
        </is>
      </c>
      <c r="B955" s="5" t="inlineStr">
        <is>
          <t>Conversor de Zonas Cableadas inalámbrico</t>
        </is>
      </c>
      <c r="C955" s="4" t="inlineStr">
        <is>
          <t>unidad</t>
        </is>
      </c>
      <c r="D955" s="10" t="n">
        <v>4838.56</v>
      </c>
      <c r="E955" s="10" t="n"/>
      <c r="F955" s="10" t="n"/>
      <c r="G955" s="10">
        <f>IF(COUNT(D955:F955)=0,"",MIN(D955:F955))</f>
        <v/>
      </c>
      <c r="H955" s="10">
        <f>IF(COUNT(D955:F955)=0,"",MEDIAN(D955:F955))</f>
        <v/>
      </c>
      <c r="I955" s="10">
        <f>IF(COUNT(D955:F955)=0,"",MAX(D955:F955))</f>
        <v/>
      </c>
      <c r="J955" s="11">
        <f>IF(OR(G955="",G955=0),"",(I955-G955)/G955)</f>
        <v/>
      </c>
      <c r="K955" s="4">
        <f>IF(COUNT(D955:F955)=0,"",INDEX($D$1:$F$1,MATCH(MIN(D955:F955),D955:F955,0)))</f>
        <v/>
      </c>
      <c r="L955" s="10" t="n">
        <v>4902.12</v>
      </c>
      <c r="M955" s="12" t="n">
        <v>1</v>
      </c>
    </row>
    <row r="956">
      <c r="A956" s="4" t="inlineStr">
        <is>
          <t>MAT-28-091</t>
        </is>
      </c>
      <c r="B956" s="5" t="inlineStr">
        <is>
          <t>Sensor Hd25 Ref 65943 (1000024601)</t>
        </is>
      </c>
      <c r="C956" s="4" t="inlineStr">
        <is>
          <t>unidad</t>
        </is>
      </c>
      <c r="D956" s="10" t="n">
        <v>321.39</v>
      </c>
      <c r="E956" s="10" t="n"/>
      <c r="F956" s="10" t="n"/>
      <c r="G956" s="10">
        <f>IF(COUNT(D956:F956)=0,"",MIN(D956:F956))</f>
        <v/>
      </c>
      <c r="H956" s="10">
        <f>IF(COUNT(D956:F956)=0,"",MEDIAN(D956:F956))</f>
        <v/>
      </c>
      <c r="I956" s="10">
        <f>IF(COUNT(D956:F956)=0,"",MAX(D956:F956))</f>
        <v/>
      </c>
      <c r="J956" s="11">
        <f>IF(OR(G956="",G956=0),"",(I956-G956)/G956)</f>
        <v/>
      </c>
      <c r="K956" s="4">
        <f>IF(COUNT(D956:F956)=0,"",INDEX($D$1:$F$1,MATCH(MIN(D956:F956),D956:F956,0)))</f>
        <v/>
      </c>
      <c r="L956" s="10" t="n">
        <v>321.39</v>
      </c>
      <c r="M956" s="12" t="n">
        <v>1</v>
      </c>
    </row>
    <row r="957">
      <c r="A957" s="4" t="inlineStr">
        <is>
          <t>MAT-28-092</t>
        </is>
      </c>
      <c r="B957" s="5" t="inlineStr">
        <is>
          <t>Sensor Hd35 Ref 65944 (1000024673)</t>
        </is>
      </c>
      <c r="C957" s="4" t="inlineStr">
        <is>
          <t>unidad</t>
        </is>
      </c>
      <c r="D957" s="10" t="n">
        <v>487.69</v>
      </c>
      <c r="E957" s="10" t="n"/>
      <c r="F957" s="10" t="n"/>
      <c r="G957" s="10">
        <f>IF(COUNT(D957:F957)=0,"",MIN(D957:F957))</f>
        <v/>
      </c>
      <c r="H957" s="10">
        <f>IF(COUNT(D957:F957)=0,"",MEDIAN(D957:F957))</f>
        <v/>
      </c>
      <c r="I957" s="10">
        <f>IF(COUNT(D957:F957)=0,"",MAX(D957:F957))</f>
        <v/>
      </c>
      <c r="J957" s="11">
        <f>IF(OR(G957="",G957=0),"",(I957-G957)/G957)</f>
        <v/>
      </c>
      <c r="K957" s="4">
        <f>IF(COUNT(D957:F957)=0,"",INDEX($D$1:$F$1,MATCH(MIN(D957:F957),D957:F957,0)))</f>
        <v/>
      </c>
      <c r="L957" s="10" t="n">
        <v>487.69</v>
      </c>
      <c r="M957" s="12" t="n">
        <v>1</v>
      </c>
    </row>
    <row r="958">
      <c r="A958" s="4" t="inlineStr">
        <is>
          <t>MAT-28-093</t>
        </is>
      </c>
      <c r="B958" s="5" t="inlineStr">
        <is>
          <t>Sensor Hd55 Ref. 66089 (1000055372)</t>
        </is>
      </c>
      <c r="C958" s="4" t="inlineStr">
        <is>
          <t>unidad</t>
        </is>
      </c>
      <c r="D958" s="10" t="n">
        <v>959.39</v>
      </c>
      <c r="E958" s="10" t="n"/>
      <c r="F958" s="10" t="n"/>
      <c r="G958" s="10">
        <f>IF(COUNT(D958:F958)=0,"",MIN(D958:F958))</f>
        <v/>
      </c>
      <c r="H958" s="10">
        <f>IF(COUNT(D958:F958)=0,"",MEDIAN(D958:F958))</f>
        <v/>
      </c>
      <c r="I958" s="10">
        <f>IF(COUNT(D958:F958)=0,"",MAX(D958:F958))</f>
        <v/>
      </c>
      <c r="J958" s="11">
        <f>IF(OR(G958="",G958=0),"",(I958-G958)/G958)</f>
        <v/>
      </c>
      <c r="K958" s="4">
        <f>IF(COUNT(D958:F958)=0,"",INDEX($D$1:$F$1,MATCH(MIN(D958:F958),D958:F958,0)))</f>
        <v/>
      </c>
      <c r="L958" s="10" t="n">
        <v>959.39</v>
      </c>
      <c r="M958" s="12" t="n">
        <v>1</v>
      </c>
    </row>
    <row r="959">
      <c r="A959" s="4" t="inlineStr">
        <is>
          <t>MAT-28-094</t>
        </is>
      </c>
      <c r="B959" s="5" t="inlineStr">
        <is>
          <t>Sello</t>
        </is>
      </c>
      <c r="C959" s="4" t="inlineStr">
        <is>
          <t>unidad</t>
        </is>
      </c>
      <c r="D959" s="10" t="n">
        <v>1910.93</v>
      </c>
      <c r="E959" s="10" t="n"/>
      <c r="F959" s="10" t="n"/>
      <c r="G959" s="10">
        <f>IF(COUNT(D959:F959)=0,"",MIN(D959:F959))</f>
        <v/>
      </c>
      <c r="H959" s="10">
        <f>IF(COUNT(D959:F959)=0,"",MEDIAN(D959:F959))</f>
        <v/>
      </c>
      <c r="I959" s="10">
        <f>IF(COUNT(D959:F959)=0,"",MAX(D959:F959))</f>
        <v/>
      </c>
      <c r="J959" s="11">
        <f>IF(OR(G959="",G959=0),"",(I959-G959)/G959)</f>
        <v/>
      </c>
      <c r="K959" s="4">
        <f>IF(COUNT(D959:F959)=0,"",INDEX($D$1:$F$1,MATCH(MIN(D959:F959),D959:F959,0)))</f>
        <v/>
      </c>
      <c r="L959" s="10" t="n">
        <v>1910.93</v>
      </c>
      <c r="M959" s="12" t="n">
        <v>1</v>
      </c>
    </row>
    <row r="960">
      <c r="A960" s="4" t="inlineStr">
        <is>
          <t>MAT-28-095</t>
        </is>
      </c>
      <c r="B960" s="5" t="inlineStr">
        <is>
          <t>Extensor / Repetidor inalámbrico</t>
        </is>
      </c>
      <c r="C960" s="4" t="inlineStr">
        <is>
          <t>unidad</t>
        </is>
      </c>
      <c r="D960" s="10" t="n">
        <v>5208.08</v>
      </c>
      <c r="E960" s="10" t="n"/>
      <c r="F960" s="10" t="n"/>
      <c r="G960" s="10">
        <f>IF(COUNT(D960:F960)=0,"",MIN(D960:F960))</f>
        <v/>
      </c>
      <c r="H960" s="10">
        <f>IF(COUNT(D960:F960)=0,"",MEDIAN(D960:F960))</f>
        <v/>
      </c>
      <c r="I960" s="10">
        <f>IF(COUNT(D960:F960)=0,"",MAX(D960:F960))</f>
        <v/>
      </c>
      <c r="J960" s="11">
        <f>IF(OR(G960="",G960=0),"",(I960-G960)/G960)</f>
        <v/>
      </c>
      <c r="K960" s="4">
        <f>IF(COUNT(D960:F960)=0,"",INDEX($D$1:$F$1,MATCH(MIN(D960:F960),D960:F960,0)))</f>
        <v/>
      </c>
      <c r="L960" s="10" t="n">
        <v>5208.08</v>
      </c>
      <c r="M960" s="12" t="n">
        <v>1</v>
      </c>
    </row>
    <row r="961">
      <c r="A961" s="4" t="inlineStr">
        <is>
          <t>MAT-28-096</t>
        </is>
      </c>
      <c r="B961" s="5" t="inlineStr">
        <is>
          <t>G Series Panel De Control IP 8 Areas</t>
        </is>
      </c>
      <c r="C961" s="4" t="inlineStr">
        <is>
          <t>unidad</t>
        </is>
      </c>
      <c r="D961" s="10" t="n">
        <v>11668.57</v>
      </c>
      <c r="E961" s="10" t="n"/>
      <c r="F961" s="10" t="n"/>
      <c r="G961" s="10">
        <f>IF(COUNT(D961:F961)=0,"",MIN(D961:F961))</f>
        <v/>
      </c>
      <c r="H961" s="10">
        <f>IF(COUNT(D961:F961)=0,"",MEDIAN(D961:F961))</f>
        <v/>
      </c>
      <c r="I961" s="10">
        <f>IF(COUNT(D961:F961)=0,"",MAX(D961:F961))</f>
        <v/>
      </c>
      <c r="J961" s="11">
        <f>IF(OR(G961="",G961=0),"",(I961-G961)/G961)</f>
        <v/>
      </c>
      <c r="K961" s="4">
        <f>IF(COUNT(D961:F961)=0,"",INDEX($D$1:$F$1,MATCH(MIN(D961:F961),D961:F961,0)))</f>
        <v/>
      </c>
      <c r="L961" s="10" t="n">
        <v>11668.57</v>
      </c>
      <c r="M961" s="12" t="n">
        <v>1</v>
      </c>
    </row>
    <row r="962">
      <c r="A962" s="4" t="inlineStr">
        <is>
          <t>MAT-29-003</t>
        </is>
      </c>
      <c r="B962" s="5" t="inlineStr">
        <is>
          <t>Central Control Incendio 4 Zonas 24V</t>
        </is>
      </c>
      <c r="C962" s="4" t="inlineStr">
        <is>
          <t>unidad</t>
        </is>
      </c>
      <c r="D962" s="10" t="n">
        <v>18682.71</v>
      </c>
      <c r="E962" s="10" t="n"/>
      <c r="F962" s="10" t="n"/>
      <c r="G962" s="10">
        <f>IF(COUNT(D962:F962)=0,"",MIN(D962:F962))</f>
        <v/>
      </c>
      <c r="H962" s="10">
        <f>IF(COUNT(D962:F962)=0,"",MEDIAN(D962:F962))</f>
        <v/>
      </c>
      <c r="I962" s="10">
        <f>IF(COUNT(D962:F962)=0,"",MAX(D962:F962))</f>
        <v/>
      </c>
      <c r="J962" s="11">
        <f>IF(OR(G962="",G962=0),"",(I962-G962)/G962)</f>
        <v/>
      </c>
      <c r="K962" s="4">
        <f>IF(COUNT(D962:F962)=0,"",INDEX($D$1:$F$1,MATCH(MIN(D962:F962),D962:F962,0)))</f>
        <v/>
      </c>
      <c r="L962" s="10" t="n">
        <v>18682.71</v>
      </c>
      <c r="M962" s="12" t="n">
        <v>1</v>
      </c>
    </row>
    <row r="963">
      <c r="A963" s="4" t="inlineStr">
        <is>
          <t>MAT-29-004</t>
        </is>
      </c>
      <c r="B963" s="5" t="inlineStr">
        <is>
          <t>Detector De Rotura De Cristal Cruadrado</t>
        </is>
      </c>
      <c r="C963" s="4" t="inlineStr">
        <is>
          <t>unidad</t>
        </is>
      </c>
      <c r="D963" s="10" t="n">
        <v>1369.45</v>
      </c>
      <c r="E963" s="10" t="n"/>
      <c r="F963" s="10" t="n"/>
      <c r="G963" s="10">
        <f>IF(COUNT(D963:F963)=0,"",MIN(D963:F963))</f>
        <v/>
      </c>
      <c r="H963" s="10">
        <f>IF(COUNT(D963:F963)=0,"",MEDIAN(D963:F963))</f>
        <v/>
      </c>
      <c r="I963" s="10">
        <f>IF(COUNT(D963:F963)=0,"",MAX(D963:F963))</f>
        <v/>
      </c>
      <c r="J963" s="11">
        <f>IF(OR(G963="",G963=0),"",(I963-G963)/G963)</f>
        <v/>
      </c>
      <c r="K963" s="4">
        <f>IF(COUNT(D963:F963)=0,"",INDEX($D$1:$F$1,MATCH(MIN(D963:F963),D963:F963,0)))</f>
        <v/>
      </c>
      <c r="L963" s="10" t="n">
        <v>1369.45</v>
      </c>
      <c r="M963" s="12" t="n">
        <v>1</v>
      </c>
    </row>
    <row r="964">
      <c r="A964" s="4" t="inlineStr">
        <is>
          <t>MAT-29-005</t>
        </is>
      </c>
      <c r="B964" s="5" t="inlineStr">
        <is>
          <t>Detector Termico</t>
        </is>
      </c>
      <c r="C964" s="4" t="inlineStr">
        <is>
          <t>unidad</t>
        </is>
      </c>
      <c r="D964" s="10" t="n">
        <v>1508.54</v>
      </c>
      <c r="E964" s="10" t="n"/>
      <c r="F964" s="10" t="n"/>
      <c r="G964" s="10">
        <f>IF(COUNT(D964:F964)=0,"",MIN(D964:F964))</f>
        <v/>
      </c>
      <c r="H964" s="10">
        <f>IF(COUNT(D964:F964)=0,"",MEDIAN(D964:F964))</f>
        <v/>
      </c>
      <c r="I964" s="10">
        <f>IF(COUNT(D964:F964)=0,"",MAX(D964:F964))</f>
        <v/>
      </c>
      <c r="J964" s="11">
        <f>IF(OR(G964="",G964=0),"",(I964-G964)/G964)</f>
        <v/>
      </c>
      <c r="K964" s="4">
        <f>IF(COUNT(D964:F964)=0,"",INDEX($D$1:$F$1,MATCH(MIN(D964:F964),D964:F964,0)))</f>
        <v/>
      </c>
      <c r="L964" s="10" t="n">
        <v>1508.54</v>
      </c>
      <c r="M964" s="12" t="n">
        <v>1</v>
      </c>
    </row>
    <row r="965">
      <c r="A965" s="4" t="inlineStr">
        <is>
          <t>MAT-29-006</t>
        </is>
      </c>
      <c r="B965" s="5" t="inlineStr">
        <is>
          <t>Detector Humo, Calor Fijo</t>
        </is>
      </c>
      <c r="C965" s="4" t="inlineStr">
        <is>
          <t>unidad</t>
        </is>
      </c>
      <c r="D965" s="10" t="n">
        <v>1657.72</v>
      </c>
      <c r="E965" s="10" t="n"/>
      <c r="F965" s="10" t="n"/>
      <c r="G965" s="10">
        <f>IF(COUNT(D965:F965)=0,"",MIN(D965:F965))</f>
        <v/>
      </c>
      <c r="H965" s="10">
        <f>IF(COUNT(D965:F965)=0,"",MEDIAN(D965:F965))</f>
        <v/>
      </c>
      <c r="I965" s="10">
        <f>IF(COUNT(D965:F965)=0,"",MAX(D965:F965))</f>
        <v/>
      </c>
      <c r="J965" s="11">
        <f>IF(OR(G965="",G965=0),"",(I965-G965)/G965)</f>
        <v/>
      </c>
      <c r="K965" s="4">
        <f>IF(COUNT(D965:F965)=0,"",INDEX($D$1:$F$1,MATCH(MIN(D965:F965),D965:F965,0)))</f>
        <v/>
      </c>
      <c r="L965" s="10" t="n">
        <v>1657.72</v>
      </c>
      <c r="M965" s="12" t="n">
        <v>1</v>
      </c>
    </row>
    <row r="966">
      <c r="A966" s="4" t="inlineStr">
        <is>
          <t>MAT-29-007</t>
        </is>
      </c>
      <c r="B966" s="5" t="inlineStr">
        <is>
          <t>Detector De Calor Analogico</t>
        </is>
      </c>
      <c r="C966" s="4" t="inlineStr">
        <is>
          <t>unidad</t>
        </is>
      </c>
      <c r="D966" s="10" t="n">
        <v>2053.24</v>
      </c>
      <c r="E966" s="10" t="n"/>
      <c r="F966" s="10" t="n"/>
      <c r="G966" s="10">
        <f>IF(COUNT(D966:F966)=0,"",MIN(D966:F966))</f>
        <v/>
      </c>
      <c r="H966" s="10">
        <f>IF(COUNT(D966:F966)=0,"",MEDIAN(D966:F966))</f>
        <v/>
      </c>
      <c r="I966" s="10">
        <f>IF(COUNT(D966:F966)=0,"",MAX(D966:F966))</f>
        <v/>
      </c>
      <c r="J966" s="11">
        <f>IF(OR(G966="",G966=0),"",(I966-G966)/G966)</f>
        <v/>
      </c>
      <c r="K966" s="4">
        <f>IF(COUNT(D966:F966)=0,"",INDEX($D$1:$F$1,MATCH(MIN(D966:F966),D966:F966,0)))</f>
        <v/>
      </c>
      <c r="L966" s="10" t="n">
        <v>2053.24</v>
      </c>
      <c r="M966" s="12" t="n">
        <v>1</v>
      </c>
    </row>
    <row r="967">
      <c r="A967" s="4" t="inlineStr">
        <is>
          <t>MAT-29-008</t>
        </is>
      </c>
      <c r="B967" s="5" t="inlineStr">
        <is>
          <t>Detector De Humo con Alarma Multiplex</t>
        </is>
      </c>
      <c r="C967" s="4" t="inlineStr">
        <is>
          <t>unidad</t>
        </is>
      </c>
      <c r="D967" s="10" t="n">
        <v>1934.03</v>
      </c>
      <c r="E967" s="10" t="n"/>
      <c r="F967" s="10" t="n"/>
      <c r="G967" s="10">
        <f>IF(COUNT(D967:F967)=0,"",MIN(D967:F967))</f>
        <v/>
      </c>
      <c r="H967" s="10">
        <f>IF(COUNT(D967:F967)=0,"",MEDIAN(D967:F967))</f>
        <v/>
      </c>
      <c r="I967" s="10">
        <f>IF(COUNT(D967:F967)=0,"",MAX(D967:F967))</f>
        <v/>
      </c>
      <c r="J967" s="11">
        <f>IF(OR(G967="",G967=0),"",(I967-G967)/G967)</f>
        <v/>
      </c>
      <c r="K967" s="4">
        <f>IF(COUNT(D967:F967)=0,"",INDEX($D$1:$F$1,MATCH(MIN(D967:F967),D967:F967,0)))</f>
        <v/>
      </c>
      <c r="L967" s="10" t="n">
        <v>2030.74</v>
      </c>
      <c r="M967" s="12" t="n">
        <v>1</v>
      </c>
    </row>
    <row r="968">
      <c r="A968" s="4" t="inlineStr">
        <is>
          <t>MAT-29-009</t>
        </is>
      </c>
      <c r="B968" s="5" t="inlineStr">
        <is>
          <t>Detector De Humo Analogico</t>
        </is>
      </c>
      <c r="C968" s="4" t="inlineStr">
        <is>
          <t>unidad</t>
        </is>
      </c>
      <c r="D968" s="10" t="n">
        <v>2135.37</v>
      </c>
      <c r="E968" s="10" t="n"/>
      <c r="F968" s="10" t="n"/>
      <c r="G968" s="10">
        <f>IF(COUNT(D968:F968)=0,"",MIN(D968:F968))</f>
        <v/>
      </c>
      <c r="H968" s="10">
        <f>IF(COUNT(D968:F968)=0,"",MEDIAN(D968:F968))</f>
        <v/>
      </c>
      <c r="I968" s="10">
        <f>IF(COUNT(D968:F968)=0,"",MAX(D968:F968))</f>
        <v/>
      </c>
      <c r="J968" s="11">
        <f>IF(OR(G968="",G968=0),"",(I968-G968)/G968)</f>
        <v/>
      </c>
      <c r="K968" s="4">
        <f>IF(COUNT(D968:F968)=0,"",INDEX($D$1:$F$1,MATCH(MIN(D968:F968),D968:F968,0)))</f>
        <v/>
      </c>
      <c r="L968" s="10" t="n">
        <v>2135.37</v>
      </c>
      <c r="M968" s="12" t="n">
        <v>1</v>
      </c>
    </row>
    <row r="969">
      <c r="A969" s="4" t="inlineStr">
        <is>
          <t>MAT-29-010</t>
        </is>
      </c>
      <c r="B969" s="5" t="inlineStr">
        <is>
          <t>Detector De Impacto</t>
        </is>
      </c>
      <c r="C969" s="4" t="inlineStr">
        <is>
          <t>unidad</t>
        </is>
      </c>
      <c r="D969" s="10" t="n">
        <v>3315.44</v>
      </c>
      <c r="E969" s="10" t="n"/>
      <c r="F969" s="10" t="n"/>
      <c r="G969" s="10">
        <f>IF(COUNT(D969:F969)=0,"",MIN(D969:F969))</f>
        <v/>
      </c>
      <c r="H969" s="10">
        <f>IF(COUNT(D969:F969)=0,"",MEDIAN(D969:F969))</f>
        <v/>
      </c>
      <c r="I969" s="10">
        <f>IF(COUNT(D969:F969)=0,"",MAX(D969:F969))</f>
        <v/>
      </c>
      <c r="J969" s="11">
        <f>IF(OR(G969="",G969=0),"",(I969-G969)/G969)</f>
        <v/>
      </c>
      <c r="K969" s="4">
        <f>IF(COUNT(D969:F969)=0,"",INDEX($D$1:$F$1,MATCH(MIN(D969:F969),D969:F969,0)))</f>
        <v/>
      </c>
      <c r="L969" s="10" t="n">
        <v>3315.44</v>
      </c>
      <c r="M969" s="12" t="n">
        <v>1</v>
      </c>
    </row>
    <row r="970">
      <c r="A970" s="4" t="inlineStr">
        <is>
          <t>MAT-29-011</t>
        </is>
      </c>
      <c r="B970" s="5" t="inlineStr">
        <is>
          <t>Detector Gas De Combustion 12 / 24V</t>
        </is>
      </c>
      <c r="C970" s="4" t="inlineStr">
        <is>
          <t>unidad</t>
        </is>
      </c>
      <c r="D970" s="10" t="n">
        <v>5647.37</v>
      </c>
      <c r="E970" s="10" t="n"/>
      <c r="F970" s="10" t="n"/>
      <c r="G970" s="10">
        <f>IF(COUNT(D970:F970)=0,"",MIN(D970:F970))</f>
        <v/>
      </c>
      <c r="H970" s="10">
        <f>IF(COUNT(D970:F970)=0,"",MEDIAN(D970:F970))</f>
        <v/>
      </c>
      <c r="I970" s="10">
        <f>IF(COUNT(D970:F970)=0,"",MAX(D970:F970))</f>
        <v/>
      </c>
      <c r="J970" s="11">
        <f>IF(OR(G970="",G970=0),"",(I970-G970)/G970)</f>
        <v/>
      </c>
      <c r="K970" s="4">
        <f>IF(COUNT(D970:F970)=0,"",INDEX($D$1:$F$1,MATCH(MIN(D970:F970),D970:F970,0)))</f>
        <v/>
      </c>
      <c r="L970" s="10" t="n">
        <v>5647.37</v>
      </c>
      <c r="M970" s="12" t="n">
        <v>1</v>
      </c>
    </row>
    <row r="971">
      <c r="A971" s="4" t="inlineStr">
        <is>
          <t>MAT-29-012</t>
        </is>
      </c>
      <c r="B971" s="5" t="inlineStr">
        <is>
          <t>Detector Humo Largo Alcance 24V</t>
        </is>
      </c>
      <c r="C971" s="4" t="inlineStr">
        <is>
          <t>unidad</t>
        </is>
      </c>
      <c r="D971" s="10" t="n">
        <v>23981.94</v>
      </c>
      <c r="E971" s="10" t="n"/>
      <c r="F971" s="10" t="n"/>
      <c r="G971" s="10">
        <f>IF(COUNT(D971:F971)=0,"",MIN(D971:F971))</f>
        <v/>
      </c>
      <c r="H971" s="10">
        <f>IF(COUNT(D971:F971)=0,"",MEDIAN(D971:F971))</f>
        <v/>
      </c>
      <c r="I971" s="10">
        <f>IF(COUNT(D971:F971)=0,"",MAX(D971:F971))</f>
        <v/>
      </c>
      <c r="J971" s="11">
        <f>IF(OR(G971="",G971=0),"",(I971-G971)/G971)</f>
        <v/>
      </c>
      <c r="K971" s="4">
        <f>IF(COUNT(D971:F971)=0,"",INDEX($D$1:$F$1,MATCH(MIN(D971:F971),D971:F971,0)))</f>
        <v/>
      </c>
      <c r="L971" s="10" t="n">
        <v>23981.94</v>
      </c>
      <c r="M971" s="12" t="n">
        <v>1</v>
      </c>
    </row>
    <row r="972">
      <c r="A972" s="4" t="inlineStr">
        <is>
          <t>MAT-29-013</t>
        </is>
      </c>
      <c r="B972" s="5" t="inlineStr">
        <is>
          <t>Sirena Con Luz Estrobo 24V</t>
        </is>
      </c>
      <c r="C972" s="4" t="inlineStr">
        <is>
          <t>unidad</t>
        </is>
      </c>
      <c r="D972" s="10" t="n">
        <v>2764.66</v>
      </c>
      <c r="E972" s="10" t="n"/>
      <c r="F972" s="10" t="n"/>
      <c r="G972" s="10">
        <f>IF(COUNT(D972:F972)=0,"",MIN(D972:F972))</f>
        <v/>
      </c>
      <c r="H972" s="10">
        <f>IF(COUNT(D972:F972)=0,"",MEDIAN(D972:F972))</f>
        <v/>
      </c>
      <c r="I972" s="10">
        <f>IF(COUNT(D972:F972)=0,"",MAX(D972:F972))</f>
        <v/>
      </c>
      <c r="J972" s="11">
        <f>IF(OR(G972="",G972=0),"",(I972-G972)/G972)</f>
        <v/>
      </c>
      <c r="K972" s="4">
        <f>IF(COUNT(D972:F972)=0,"",INDEX($D$1:$F$1,MATCH(MIN(D972:F972),D972:F972,0)))</f>
        <v/>
      </c>
      <c r="L972" s="10" t="n">
        <v>2764.66</v>
      </c>
      <c r="M972" s="12" t="n">
        <v>1</v>
      </c>
    </row>
    <row r="973">
      <c r="A973" s="4" t="inlineStr">
        <is>
          <t>MAT-29-014</t>
        </is>
      </c>
      <c r="B973" s="5" t="inlineStr">
        <is>
          <t>Pulsador De Panico</t>
        </is>
      </c>
      <c r="C973" s="4" t="inlineStr">
        <is>
          <t>unidad</t>
        </is>
      </c>
      <c r="D973" s="10" t="n">
        <v>870.3</v>
      </c>
      <c r="E973" s="10" t="n"/>
      <c r="F973" s="10" t="n"/>
      <c r="G973" s="10">
        <f>IF(COUNT(D973:F973)=0,"",MIN(D973:F973))</f>
        <v/>
      </c>
      <c r="H973" s="10">
        <f>IF(COUNT(D973:F973)=0,"",MEDIAN(D973:F973))</f>
        <v/>
      </c>
      <c r="I973" s="10">
        <f>IF(COUNT(D973:F973)=0,"",MAX(D973:F973))</f>
        <v/>
      </c>
      <c r="J973" s="11">
        <f>IF(OR(G973="",G973=0),"",(I973-G973)/G973)</f>
        <v/>
      </c>
      <c r="K973" s="4">
        <f>IF(COUNT(D973:F973)=0,"",INDEX($D$1:$F$1,MATCH(MIN(D973:F973),D973:F973,0)))</f>
        <v/>
      </c>
      <c r="L973" s="10" t="n">
        <v>870.3</v>
      </c>
      <c r="M973" s="12" t="n">
        <v>1</v>
      </c>
    </row>
    <row r="974">
      <c r="A974" s="4" t="inlineStr">
        <is>
          <t>MAT-29-015</t>
        </is>
      </c>
      <c r="B974" s="5" t="inlineStr">
        <is>
          <t>Estacion Manual Doble Accion Roja</t>
        </is>
      </c>
      <c r="C974" s="4" t="inlineStr">
        <is>
          <t>unidad</t>
        </is>
      </c>
      <c r="D974" s="10" t="n">
        <v>2693.8</v>
      </c>
      <c r="E974" s="10" t="n"/>
      <c r="F974" s="10" t="n"/>
      <c r="G974" s="10">
        <f>IF(COUNT(D974:F974)=0,"",MIN(D974:F974))</f>
        <v/>
      </c>
      <c r="H974" s="10">
        <f>IF(COUNT(D974:F974)=0,"",MEDIAN(D974:F974))</f>
        <v/>
      </c>
      <c r="I974" s="10">
        <f>IF(COUNT(D974:F974)=0,"",MAX(D974:F974))</f>
        <v/>
      </c>
      <c r="J974" s="11">
        <f>IF(OR(G974="",G974=0),"",(I974-G974)/G974)</f>
        <v/>
      </c>
      <c r="K974" s="4">
        <f>IF(COUNT(D974:F974)=0,"",INDEX($D$1:$F$1,MATCH(MIN(D974:F974),D974:F974,0)))</f>
        <v/>
      </c>
      <c r="L974" s="10" t="n">
        <v>2693.8</v>
      </c>
      <c r="M974" s="12" t="n">
        <v>1</v>
      </c>
    </row>
    <row r="975">
      <c r="A975" s="4" t="inlineStr">
        <is>
          <t>MAT-29-016</t>
        </is>
      </c>
      <c r="B975" s="5" t="inlineStr">
        <is>
          <t>Estacion Analogica Manual Roja</t>
        </is>
      </c>
      <c r="C975" s="4" t="inlineStr">
        <is>
          <t>unidad</t>
        </is>
      </c>
      <c r="D975" s="10" t="n">
        <v>3695.82</v>
      </c>
      <c r="E975" s="10" t="n"/>
      <c r="F975" s="10" t="n"/>
      <c r="G975" s="10">
        <f>IF(COUNT(D975:F975)=0,"",MIN(D975:F975))</f>
        <v/>
      </c>
      <c r="H975" s="10">
        <f>IF(COUNT(D975:F975)=0,"",MEDIAN(D975:F975))</f>
        <v/>
      </c>
      <c r="I975" s="10">
        <f>IF(COUNT(D975:F975)=0,"",MAX(D975:F975))</f>
        <v/>
      </c>
      <c r="J975" s="11">
        <f>IF(OR(G975="",G975=0),"",(I975-G975)/G975)</f>
        <v/>
      </c>
      <c r="K975" s="4">
        <f>IF(COUNT(D975:F975)=0,"",INDEX($D$1:$F$1,MATCH(MIN(D975:F975),D975:F975,0)))</f>
        <v/>
      </c>
      <c r="L975" s="10" t="n">
        <v>3695.82</v>
      </c>
      <c r="M975" s="12" t="n">
        <v>1</v>
      </c>
    </row>
    <row r="976">
      <c r="A976" s="4" t="inlineStr">
        <is>
          <t>MAT-29-017</t>
        </is>
      </c>
      <c r="B976" s="5" t="inlineStr">
        <is>
          <t>Estacion Analogica Manual Doble</t>
        </is>
      </c>
      <c r="C976" s="4" t="inlineStr">
        <is>
          <t>unidad</t>
        </is>
      </c>
      <c r="D976" s="10" t="n">
        <v>4065.41</v>
      </c>
      <c r="E976" s="10" t="n"/>
      <c r="F976" s="10" t="n"/>
      <c r="G976" s="10">
        <f>IF(COUNT(D976:F976)=0,"",MIN(D976:F976))</f>
        <v/>
      </c>
      <c r="H976" s="10">
        <f>IF(COUNT(D976:F976)=0,"",MEDIAN(D976:F976))</f>
        <v/>
      </c>
      <c r="I976" s="10">
        <f>IF(COUNT(D976:F976)=0,"",MAX(D976:F976))</f>
        <v/>
      </c>
      <c r="J976" s="11">
        <f>IF(OR(G976="",G976=0),"",(I976-G976)/G976)</f>
        <v/>
      </c>
      <c r="K976" s="4">
        <f>IF(COUNT(D976:F976)=0,"",INDEX($D$1:$F$1,MATCH(MIN(D976:F976),D976:F976,0)))</f>
        <v/>
      </c>
      <c r="L976" s="10" t="n">
        <v>4065.41</v>
      </c>
      <c r="M976" s="12" t="n">
        <v>1</v>
      </c>
    </row>
    <row r="977">
      <c r="A977" s="4" t="inlineStr">
        <is>
          <t>MAT-29-018</t>
        </is>
      </c>
      <c r="B977" s="5" t="inlineStr">
        <is>
          <t>Modulo Expansivo Popit</t>
        </is>
      </c>
      <c r="C977" s="4" t="inlineStr">
        <is>
          <t>unidad</t>
        </is>
      </c>
      <c r="D977" s="10" t="n">
        <v>574.9</v>
      </c>
      <c r="E977" s="10" t="n"/>
      <c r="F977" s="10" t="n"/>
      <c r="G977" s="10">
        <f>IF(COUNT(D977:F977)=0,"",MIN(D977:F977))</f>
        <v/>
      </c>
      <c r="H977" s="10">
        <f>IF(COUNT(D977:F977)=0,"",MEDIAN(D977:F977))</f>
        <v/>
      </c>
      <c r="I977" s="10">
        <f>IF(COUNT(D977:F977)=0,"",MAX(D977:F977))</f>
        <v/>
      </c>
      <c r="J977" s="11">
        <f>IF(OR(G977="",G977=0),"",(I977-G977)/G977)</f>
        <v/>
      </c>
      <c r="K977" s="4">
        <f>IF(COUNT(D977:F977)=0,"",INDEX($D$1:$F$1,MATCH(MIN(D977:F977),D977:F977,0)))</f>
        <v/>
      </c>
      <c r="L977" s="10" t="n">
        <v>574.9</v>
      </c>
      <c r="M977" s="12" t="n">
        <v>1</v>
      </c>
    </row>
    <row r="978">
      <c r="A978" s="4" t="inlineStr">
        <is>
          <t>MAT-29-019</t>
        </is>
      </c>
      <c r="B978" s="5" t="inlineStr">
        <is>
          <t>Modulo Multiplex Mini 1 Entrada 12V</t>
        </is>
      </c>
      <c r="C978" s="4" t="inlineStr">
        <is>
          <t>unidad</t>
        </is>
      </c>
      <c r="D978" s="10" t="n">
        <v>1199.1</v>
      </c>
      <c r="E978" s="10" t="n"/>
      <c r="F978" s="10" t="n"/>
      <c r="G978" s="10">
        <f>IF(COUNT(D978:F978)=0,"",MIN(D978:F978))</f>
        <v/>
      </c>
      <c r="H978" s="10">
        <f>IF(COUNT(D978:F978)=0,"",MEDIAN(D978:F978))</f>
        <v/>
      </c>
      <c r="I978" s="10">
        <f>IF(COUNT(D978:F978)=0,"",MAX(D978:F978))</f>
        <v/>
      </c>
      <c r="J978" s="11">
        <f>IF(OR(G978="",G978=0),"",(I978-G978)/G978)</f>
        <v/>
      </c>
      <c r="K978" s="4">
        <f>IF(COUNT(D978:F978)=0,"",INDEX($D$1:$F$1,MATCH(MIN(D978:F978),D978:F978,0)))</f>
        <v/>
      </c>
      <c r="L978" s="10" t="n">
        <v>1199.1</v>
      </c>
      <c r="M978" s="12" t="n">
        <v>1</v>
      </c>
    </row>
    <row r="979">
      <c r="A979" s="4" t="inlineStr">
        <is>
          <t>MAT-29-020</t>
        </is>
      </c>
      <c r="B979" s="5" t="inlineStr">
        <is>
          <t>Modulo Multiplex 1 Entrada 12V</t>
        </is>
      </c>
      <c r="C979" s="4" t="inlineStr">
        <is>
          <t>unidad</t>
        </is>
      </c>
      <c r="D979" s="10" t="n">
        <v>1276.45</v>
      </c>
      <c r="E979" s="10" t="n"/>
      <c r="F979" s="10" t="n"/>
      <c r="G979" s="10">
        <f>IF(COUNT(D979:F979)=0,"",MIN(D979:F979))</f>
        <v/>
      </c>
      <c r="H979" s="10">
        <f>IF(COUNT(D979:F979)=0,"",MEDIAN(D979:F979))</f>
        <v/>
      </c>
      <c r="I979" s="10">
        <f>IF(COUNT(D979:F979)=0,"",MAX(D979:F979))</f>
        <v/>
      </c>
      <c r="J979" s="11">
        <f>IF(OR(G979="",G979=0),"",(I979-G979)/G979)</f>
        <v/>
      </c>
      <c r="K979" s="4">
        <f>IF(COUNT(D979:F979)=0,"",INDEX($D$1:$F$1,MATCH(MIN(D979:F979),D979:F979,0)))</f>
        <v/>
      </c>
      <c r="L979" s="10" t="n">
        <v>1276.45</v>
      </c>
      <c r="M979" s="12" t="n">
        <v>1</v>
      </c>
    </row>
    <row r="980">
      <c r="A980" s="4" t="inlineStr">
        <is>
          <t>MAT-29-021</t>
        </is>
      </c>
      <c r="B980" s="5" t="inlineStr">
        <is>
          <t>Modulo De Expasion 8 Entradas</t>
        </is>
      </c>
      <c r="C980" s="4" t="inlineStr">
        <is>
          <t>unidad</t>
        </is>
      </c>
      <c r="D980" s="10" t="n">
        <v>1683.66</v>
      </c>
      <c r="E980" s="10" t="n"/>
      <c r="F980" s="10" t="n"/>
      <c r="G980" s="10">
        <f>IF(COUNT(D980:F980)=0,"",MIN(D980:F980))</f>
        <v/>
      </c>
      <c r="H980" s="10">
        <f>IF(COUNT(D980:F980)=0,"",MEDIAN(D980:F980))</f>
        <v/>
      </c>
      <c r="I980" s="10">
        <f>IF(COUNT(D980:F980)=0,"",MAX(D980:F980))</f>
        <v/>
      </c>
      <c r="J980" s="11">
        <f>IF(OR(G980="",G980=0),"",(I980-G980)/G980)</f>
        <v/>
      </c>
      <c r="K980" s="4">
        <f>IF(COUNT(D980:F980)=0,"",INDEX($D$1:$F$1,MATCH(MIN(D980:F980),D980:F980,0)))</f>
        <v/>
      </c>
      <c r="L980" s="10" t="n">
        <v>1683.66</v>
      </c>
      <c r="M980" s="12" t="n">
        <v>1</v>
      </c>
    </row>
    <row r="981">
      <c r="A981" s="4" t="inlineStr">
        <is>
          <t>MAT-29-022</t>
        </is>
      </c>
      <c r="B981" s="5" t="inlineStr">
        <is>
          <t>Modulo Multiplex Entrada / Salida 12V</t>
        </is>
      </c>
      <c r="C981" s="4" t="inlineStr">
        <is>
          <t>unidad</t>
        </is>
      </c>
      <c r="D981" s="10" t="n">
        <v>2217.5</v>
      </c>
      <c r="E981" s="10" t="n"/>
      <c r="F981" s="10" t="n"/>
      <c r="G981" s="10">
        <f>IF(COUNT(D981:F981)=0,"",MIN(D981:F981))</f>
        <v/>
      </c>
      <c r="H981" s="10">
        <f>IF(COUNT(D981:F981)=0,"",MEDIAN(D981:F981))</f>
        <v/>
      </c>
      <c r="I981" s="10">
        <f>IF(COUNT(D981:F981)=0,"",MAX(D981:F981))</f>
        <v/>
      </c>
      <c r="J981" s="11">
        <f>IF(OR(G981="",G981=0),"",(I981-G981)/G981)</f>
        <v/>
      </c>
      <c r="K981" s="4">
        <f>IF(COUNT(D981:F981)=0,"",INDEX($D$1:$F$1,MATCH(MIN(D981:F981),D981:F981,0)))</f>
        <v/>
      </c>
      <c r="L981" s="10" t="n">
        <v>2217.5</v>
      </c>
      <c r="M981" s="12" t="n">
        <v>1</v>
      </c>
    </row>
    <row r="982">
      <c r="A982" s="4" t="inlineStr">
        <is>
          <t>MAT-29-023</t>
        </is>
      </c>
      <c r="B982" s="5" t="inlineStr">
        <is>
          <t>Modulo Dispositivos De Notificacion</t>
        </is>
      </c>
      <c r="C982" s="4" t="inlineStr">
        <is>
          <t>unidad</t>
        </is>
      </c>
      <c r="D982" s="10" t="n">
        <v>3149.67</v>
      </c>
      <c r="E982" s="10" t="n"/>
      <c r="F982" s="10" t="n"/>
      <c r="G982" s="10">
        <f>IF(COUNT(D982:F982)=0,"",MIN(D982:F982))</f>
        <v/>
      </c>
      <c r="H982" s="10">
        <f>IF(COUNT(D982:F982)=0,"",MEDIAN(D982:F982))</f>
        <v/>
      </c>
      <c r="I982" s="10">
        <f>IF(COUNT(D982:F982)=0,"",MAX(D982:F982))</f>
        <v/>
      </c>
      <c r="J982" s="11">
        <f>IF(OR(G982="",G982=0),"",(I982-G982)/G982)</f>
        <v/>
      </c>
      <c r="K982" s="4">
        <f>IF(COUNT(D982:F982)=0,"",INDEX($D$1:$F$1,MATCH(MIN(D982:F982),D982:F982,0)))</f>
        <v/>
      </c>
      <c r="L982" s="10" t="n">
        <v>3149.67</v>
      </c>
      <c r="M982" s="12" t="n">
        <v>1</v>
      </c>
    </row>
    <row r="983">
      <c r="A983" s="4" t="inlineStr">
        <is>
          <t>MAT-29-024</t>
        </is>
      </c>
      <c r="B983" s="5" t="inlineStr">
        <is>
          <t>Modulo De Entrada Dual para Fpa-1000</t>
        </is>
      </c>
      <c r="C983" s="4" t="inlineStr">
        <is>
          <t>unidad</t>
        </is>
      </c>
      <c r="D983" s="10" t="n">
        <v>3442.57</v>
      </c>
      <c r="E983" s="10" t="n"/>
      <c r="F983" s="10" t="n"/>
      <c r="G983" s="10">
        <f>IF(COUNT(D983:F983)=0,"",MIN(D983:F983))</f>
        <v/>
      </c>
      <c r="H983" s="10">
        <f>IF(COUNT(D983:F983)=0,"",MEDIAN(D983:F983))</f>
        <v/>
      </c>
      <c r="I983" s="10">
        <f>IF(COUNT(D983:F983)=0,"",MAX(D983:F983))</f>
        <v/>
      </c>
      <c r="J983" s="11">
        <f>IF(OR(G983="",G983=0),"",(I983-G983)/G983)</f>
        <v/>
      </c>
      <c r="K983" s="4">
        <f>IF(COUNT(D983:F983)=0,"",INDEX($D$1:$F$1,MATCH(MIN(D983:F983),D983:F983,0)))</f>
        <v/>
      </c>
      <c r="L983" s="10" t="n">
        <v>3442.57</v>
      </c>
      <c r="M983" s="12" t="n">
        <v>1</v>
      </c>
    </row>
    <row r="984">
      <c r="A984" s="4" t="inlineStr">
        <is>
          <t>MAT-29-025</t>
        </is>
      </c>
      <c r="B984" s="5" t="inlineStr">
        <is>
          <t>Módulo De Relé Doble 2A</t>
        </is>
      </c>
      <c r="C984" s="4" t="inlineStr">
        <is>
          <t>unidad</t>
        </is>
      </c>
      <c r="D984" s="10" t="n">
        <v>3449.44</v>
      </c>
      <c r="E984" s="10" t="n"/>
      <c r="F984" s="10" t="n"/>
      <c r="G984" s="10">
        <f>IF(COUNT(D984:F984)=0,"",MIN(D984:F984))</f>
        <v/>
      </c>
      <c r="H984" s="10">
        <f>IF(COUNT(D984:F984)=0,"",MEDIAN(D984:F984))</f>
        <v/>
      </c>
      <c r="I984" s="10">
        <f>IF(COUNT(D984:F984)=0,"",MAX(D984:F984))</f>
        <v/>
      </c>
      <c r="J984" s="11">
        <f>IF(OR(G984="",G984=0),"",(I984-G984)/G984)</f>
        <v/>
      </c>
      <c r="K984" s="4">
        <f>IF(COUNT(D984:F984)=0,"",INDEX($D$1:$F$1,MATCH(MIN(D984:F984),D984:F984,0)))</f>
        <v/>
      </c>
      <c r="L984" s="10" t="n">
        <v>3449.44</v>
      </c>
      <c r="M984" s="12" t="n">
        <v>1</v>
      </c>
    </row>
    <row r="985">
      <c r="A985" s="4" t="inlineStr">
        <is>
          <t>MAT-29-026</t>
        </is>
      </c>
      <c r="B985" s="5" t="inlineStr">
        <is>
          <t>Módulo De Zona Convencional</t>
        </is>
      </c>
      <c r="C985" s="4" t="inlineStr">
        <is>
          <t>unidad</t>
        </is>
      </c>
      <c r="D985" s="10" t="n">
        <v>3564.1</v>
      </c>
      <c r="E985" s="10" t="n"/>
      <c r="F985" s="10" t="n"/>
      <c r="G985" s="10">
        <f>IF(COUNT(D985:F985)=0,"",MIN(D985:F985))</f>
        <v/>
      </c>
      <c r="H985" s="10">
        <f>IF(COUNT(D985:F985)=0,"",MEDIAN(D985:F985))</f>
        <v/>
      </c>
      <c r="I985" s="10">
        <f>IF(COUNT(D985:F985)=0,"",MAX(D985:F985))</f>
        <v/>
      </c>
      <c r="J985" s="11">
        <f>IF(OR(G985="",G985=0),"",(I985-G985)/G985)</f>
        <v/>
      </c>
      <c r="K985" s="4">
        <f>IF(COUNT(D985:F985)=0,"",INDEX($D$1:$F$1,MATCH(MIN(D985:F985),D985:F985,0)))</f>
        <v/>
      </c>
      <c r="L985" s="10" t="n">
        <v>3564.1</v>
      </c>
      <c r="M985" s="12" t="n">
        <v>1</v>
      </c>
    </row>
    <row r="986">
      <c r="A986" s="4" t="inlineStr">
        <is>
          <t>MAT-29-027</t>
        </is>
      </c>
      <c r="B986" s="5" t="inlineStr">
        <is>
          <t>Modulo Salida Supervisado Clase A / B</t>
        </is>
      </c>
      <c r="C986" s="4" t="inlineStr">
        <is>
          <t>unidad</t>
        </is>
      </c>
      <c r="D986" s="10" t="n">
        <v>3868.04</v>
      </c>
      <c r="E986" s="10" t="n"/>
      <c r="F986" s="10" t="n"/>
      <c r="G986" s="10">
        <f>IF(COUNT(D986:F986)=0,"",MIN(D986:F986))</f>
        <v/>
      </c>
      <c r="H986" s="10">
        <f>IF(COUNT(D986:F986)=0,"",MEDIAN(D986:F986))</f>
        <v/>
      </c>
      <c r="I986" s="10">
        <f>IF(COUNT(D986:F986)=0,"",MAX(D986:F986))</f>
        <v/>
      </c>
      <c r="J986" s="11">
        <f>IF(OR(G986="",G986=0),"",(I986-G986)/G986)</f>
        <v/>
      </c>
      <c r="K986" s="4">
        <f>IF(COUNT(D986:F986)=0,"",INDEX($D$1:$F$1,MATCH(MIN(D986:F986),D986:F986,0)))</f>
        <v/>
      </c>
      <c r="L986" s="10" t="n">
        <v>3868.04</v>
      </c>
      <c r="M986" s="12" t="n">
        <v>1</v>
      </c>
    </row>
    <row r="987">
      <c r="A987" s="4" t="inlineStr">
        <is>
          <t>MAT-29-028</t>
        </is>
      </c>
      <c r="B987" s="5" t="inlineStr">
        <is>
          <t>Modulo De Extension Multiplex para 7024</t>
        </is>
      </c>
      <c r="C987" s="4" t="inlineStr">
        <is>
          <t>unidad</t>
        </is>
      </c>
      <c r="D987" s="10" t="n">
        <v>6150.21</v>
      </c>
      <c r="E987" s="10" t="n"/>
      <c r="F987" s="10" t="n"/>
      <c r="G987" s="10">
        <f>IF(COUNT(D987:F987)=0,"",MIN(D987:F987))</f>
        <v/>
      </c>
      <c r="H987" s="10">
        <f>IF(COUNT(D987:F987)=0,"",MEDIAN(D987:F987))</f>
        <v/>
      </c>
      <c r="I987" s="10">
        <f>IF(COUNT(D987:F987)=0,"",MAX(D987:F987))</f>
        <v/>
      </c>
      <c r="J987" s="11">
        <f>IF(OR(G987="",G987=0),"",(I987-G987)/G987)</f>
        <v/>
      </c>
      <c r="K987" s="4">
        <f>IF(COUNT(D987:F987)=0,"",INDEX($D$1:$F$1,MATCH(MIN(D987:F987),D987:F987,0)))</f>
        <v/>
      </c>
      <c r="L987" s="10" t="n">
        <v>6150.21</v>
      </c>
      <c r="M987" s="12" t="n">
        <v>1</v>
      </c>
    </row>
    <row r="988">
      <c r="A988" s="4" t="inlineStr">
        <is>
          <t>MAT-29-029</t>
        </is>
      </c>
      <c r="B988" s="5" t="inlineStr">
        <is>
          <t>Módulo Slc Conectable Para Fpa-1000</t>
        </is>
      </c>
      <c r="C988" s="4" t="inlineStr">
        <is>
          <t>unidad</t>
        </is>
      </c>
      <c r="D988" s="10" t="n">
        <v>11977.01</v>
      </c>
      <c r="E988" s="10" t="n"/>
      <c r="F988" s="10" t="n"/>
      <c r="G988" s="10">
        <f>IF(COUNT(D988:F988)=0,"",MIN(D988:F988))</f>
        <v/>
      </c>
      <c r="H988" s="10">
        <f>IF(COUNT(D988:F988)=0,"",MEDIAN(D988:F988))</f>
        <v/>
      </c>
      <c r="I988" s="10">
        <f>IF(COUNT(D988:F988)=0,"",MAX(D988:F988))</f>
        <v/>
      </c>
      <c r="J988" s="11">
        <f>IF(OR(G988="",G988=0),"",(I988-G988)/G988)</f>
        <v/>
      </c>
      <c r="K988" s="4">
        <f>IF(COUNT(D988:F988)=0,"",INDEX($D$1:$F$1,MATCH(MIN(D988:F988),D988:F988,0)))</f>
        <v/>
      </c>
      <c r="L988" s="10" t="n">
        <v>11977.01</v>
      </c>
      <c r="M988" s="12" t="n">
        <v>1</v>
      </c>
    </row>
    <row r="989">
      <c r="A989" s="4" t="inlineStr">
        <is>
          <t>MAT-29-030</t>
        </is>
      </c>
      <c r="B989" s="5" t="inlineStr">
        <is>
          <t>Bisel para Pulsador De Alarma Mcp Rw, Rojo</t>
        </is>
      </c>
      <c r="C989" s="4" t="inlineStr">
        <is>
          <t>unidad</t>
        </is>
      </c>
      <c r="D989" s="10" t="n">
        <v>781.46</v>
      </c>
      <c r="E989" s="10" t="n"/>
      <c r="F989" s="10" t="n"/>
      <c r="G989" s="10">
        <f>IF(COUNT(D989:F989)=0,"",MIN(D989:F989))</f>
        <v/>
      </c>
      <c r="H989" s="10">
        <f>IF(COUNT(D989:F989)=0,"",MEDIAN(D989:F989))</f>
        <v/>
      </c>
      <c r="I989" s="10">
        <f>IF(COUNT(D989:F989)=0,"",MAX(D989:F989))</f>
        <v/>
      </c>
      <c r="J989" s="11">
        <f>IF(OR(G989="",G989=0),"",(I989-G989)/G989)</f>
        <v/>
      </c>
      <c r="K989" s="4">
        <f>IF(COUNT(D989:F989)=0,"",INDEX($D$1:$F$1,MATCH(MIN(D989:F989),D989:F989,0)))</f>
        <v/>
      </c>
      <c r="L989" s="10" t="n">
        <v>781.46</v>
      </c>
      <c r="M989" s="12" t="n">
        <v>1</v>
      </c>
    </row>
    <row r="990">
      <c r="A990" s="4" t="inlineStr">
        <is>
          <t>MAT-29-031</t>
        </is>
      </c>
      <c r="B990" s="5" t="inlineStr">
        <is>
          <t>Programador Punto Analogico De Mano</t>
        </is>
      </c>
      <c r="C990" s="4" t="inlineStr">
        <is>
          <t>unidad</t>
        </is>
      </c>
      <c r="D990" s="10" t="n">
        <v>11751.42</v>
      </c>
      <c r="E990" s="10" t="n"/>
      <c r="F990" s="10" t="n"/>
      <c r="G990" s="10">
        <f>IF(COUNT(D990:F990)=0,"",MIN(D990:F990))</f>
        <v/>
      </c>
      <c r="H990" s="10">
        <f>IF(COUNT(D990:F990)=0,"",MEDIAN(D990:F990))</f>
        <v/>
      </c>
      <c r="I990" s="10">
        <f>IF(COUNT(D990:F990)=0,"",MAX(D990:F990))</f>
        <v/>
      </c>
      <c r="J990" s="11">
        <f>IF(OR(G990="",G990=0),"",(I990-G990)/G990)</f>
        <v/>
      </c>
      <c r="K990" s="4">
        <f>IF(COUNT(D990:F990)=0,"",INDEX($D$1:$F$1,MATCH(MIN(D990:F990),D990:F990,0)))</f>
        <v/>
      </c>
      <c r="L990" s="10" t="n">
        <v>11751.42</v>
      </c>
      <c r="M990" s="12" t="n">
        <v>1</v>
      </c>
    </row>
    <row r="991">
      <c r="A991" s="4" t="inlineStr">
        <is>
          <t>MAT-29-032</t>
        </is>
      </c>
      <c r="B991" s="5" t="inlineStr">
        <is>
          <t>Display LCD Fpa-1000</t>
        </is>
      </c>
      <c r="C991" s="4" t="inlineStr">
        <is>
          <t>unidad</t>
        </is>
      </c>
      <c r="D991" s="10" t="n">
        <v>22010.69</v>
      </c>
      <c r="E991" s="10" t="n"/>
      <c r="F991" s="10" t="n"/>
      <c r="G991" s="10">
        <f>IF(COUNT(D991:F991)=0,"",MIN(D991:F991))</f>
        <v/>
      </c>
      <c r="H991" s="10">
        <f>IF(COUNT(D991:F991)=0,"",MEDIAN(D991:F991))</f>
        <v/>
      </c>
      <c r="I991" s="10">
        <f>IF(COUNT(D991:F991)=0,"",MAX(D991:F991))</f>
        <v/>
      </c>
      <c r="J991" s="11">
        <f>IF(OR(G991="",G991=0),"",(I991-G991)/G991)</f>
        <v/>
      </c>
      <c r="K991" s="4">
        <f>IF(COUNT(D991:F991)=0,"",INDEX($D$1:$F$1,MATCH(MIN(D991:F991),D991:F991,0)))</f>
        <v/>
      </c>
      <c r="L991" s="10" t="n">
        <v>22010.69</v>
      </c>
      <c r="M991" s="12" t="n">
        <v>1</v>
      </c>
    </row>
    <row r="992">
      <c r="A992" s="4" t="inlineStr">
        <is>
          <t>MAT-29-033</t>
        </is>
      </c>
      <c r="B992" s="5" t="inlineStr">
        <is>
          <t>Fuente De Alimentacion 120V 60 Hz</t>
        </is>
      </c>
      <c r="C992" s="4" t="inlineStr">
        <is>
          <t>unidad</t>
        </is>
      </c>
      <c r="D992" s="10" t="n">
        <v>906.34</v>
      </c>
      <c r="E992" s="10" t="n"/>
      <c r="F992" s="10" t="n"/>
      <c r="G992" s="10">
        <f>IF(COUNT(D992:F992)=0,"",MIN(D992:F992))</f>
        <v/>
      </c>
      <c r="H992" s="10">
        <f>IF(COUNT(D992:F992)=0,"",MEDIAN(D992:F992))</f>
        <v/>
      </c>
      <c r="I992" s="10">
        <f>IF(COUNT(D992:F992)=0,"",MAX(D992:F992))</f>
        <v/>
      </c>
      <c r="J992" s="11">
        <f>IF(OR(G992="",G992=0),"",(I992-G992)/G992)</f>
        <v/>
      </c>
      <c r="K992" s="4">
        <f>IF(COUNT(D992:F992)=0,"",INDEX($D$1:$F$1,MATCH(MIN(D992:F992),D992:F992,0)))</f>
        <v/>
      </c>
      <c r="L992" s="10" t="n">
        <v>906.34</v>
      </c>
      <c r="M992" s="12" t="n">
        <v>1</v>
      </c>
    </row>
    <row r="993">
      <c r="A993" s="4" t="inlineStr">
        <is>
          <t>MAT-29-034</t>
        </is>
      </c>
      <c r="B993" s="5" t="inlineStr">
        <is>
          <t>Fuente De Alimentacion 120 Vac 60 Hz</t>
        </is>
      </c>
      <c r="C993" s="4" t="inlineStr">
        <is>
          <t>unidad</t>
        </is>
      </c>
      <c r="D993" s="10" t="n">
        <v>1157.38</v>
      </c>
      <c r="E993" s="10" t="n"/>
      <c r="F993" s="10" t="n"/>
      <c r="G993" s="10">
        <f>IF(COUNT(D993:F993)=0,"",MIN(D993:F993))</f>
        <v/>
      </c>
      <c r="H993" s="10">
        <f>IF(COUNT(D993:F993)=0,"",MEDIAN(D993:F993))</f>
        <v/>
      </c>
      <c r="I993" s="10">
        <f>IF(COUNT(D993:F993)=0,"",MAX(D993:F993))</f>
        <v/>
      </c>
      <c r="J993" s="11">
        <f>IF(OR(G993="",G993=0),"",(I993-G993)/G993)</f>
        <v/>
      </c>
      <c r="K993" s="4">
        <f>IF(COUNT(D993:F993)=0,"",INDEX($D$1:$F$1,MATCH(MIN(D993:F993),D993:F993,0)))</f>
        <v/>
      </c>
      <c r="L993" s="10" t="n">
        <v>1157.38</v>
      </c>
      <c r="M993" s="12" t="n">
        <v>1</v>
      </c>
    </row>
    <row r="994">
      <c r="A994" s="4" t="inlineStr">
        <is>
          <t>MAT-29-035</t>
        </is>
      </c>
      <c r="B994" s="5" t="inlineStr">
        <is>
          <t>Fuente De Alimentación 12 / 24 Vdc</t>
        </is>
      </c>
      <c r="C994" s="4" t="inlineStr">
        <is>
          <t>unidad</t>
        </is>
      </c>
      <c r="D994" s="10" t="n">
        <v>11089.49</v>
      </c>
      <c r="E994" s="10" t="n"/>
      <c r="F994" s="10" t="n"/>
      <c r="G994" s="10">
        <f>IF(COUNT(D994:F994)=0,"",MIN(D994:F994))</f>
        <v/>
      </c>
      <c r="H994" s="10">
        <f>IF(COUNT(D994:F994)=0,"",MEDIAN(D994:F994))</f>
        <v/>
      </c>
      <c r="I994" s="10">
        <f>IF(COUNT(D994:F994)=0,"",MAX(D994:F994))</f>
        <v/>
      </c>
      <c r="J994" s="11">
        <f>IF(OR(G994="",G994=0),"",(I994-G994)/G994)</f>
        <v/>
      </c>
      <c r="K994" s="4">
        <f>IF(COUNT(D994:F994)=0,"",INDEX($D$1:$F$1,MATCH(MIN(D994:F994),D994:F994,0)))</f>
        <v/>
      </c>
      <c r="L994" s="10" t="n">
        <v>11089.49</v>
      </c>
      <c r="M994" s="12" t="n">
        <v>1</v>
      </c>
    </row>
    <row r="995">
      <c r="A995" s="4" t="inlineStr">
        <is>
          <t>MAT-29-036</t>
        </is>
      </c>
      <c r="B995" s="5" t="inlineStr">
        <is>
          <t>Fuente De Alimentacion Rnac 8A 24V</t>
        </is>
      </c>
      <c r="C995" s="4" t="inlineStr">
        <is>
          <t>unidad</t>
        </is>
      </c>
      <c r="D995" s="10" t="n">
        <v>16632.64</v>
      </c>
      <c r="E995" s="10" t="n"/>
      <c r="F995" s="10" t="n"/>
      <c r="G995" s="10">
        <f>IF(COUNT(D995:F995)=0,"",MIN(D995:F995))</f>
        <v/>
      </c>
      <c r="H995" s="10">
        <f>IF(COUNT(D995:F995)=0,"",MEDIAN(D995:F995))</f>
        <v/>
      </c>
      <c r="I995" s="10">
        <f>IF(COUNT(D995:F995)=0,"",MAX(D995:F995))</f>
        <v/>
      </c>
      <c r="J995" s="11">
        <f>IF(OR(G995="",G995=0),"",(I995-G995)/G995)</f>
        <v/>
      </c>
      <c r="K995" s="4">
        <f>IF(COUNT(D995:F995)=0,"",INDEX($D$1:$F$1,MATCH(MIN(D995:F995),D995:F995,0)))</f>
        <v/>
      </c>
      <c r="L995" s="10" t="n">
        <v>16632.64</v>
      </c>
      <c r="M995" s="12" t="n">
        <v>1</v>
      </c>
    </row>
    <row r="996">
      <c r="A996" s="4" t="inlineStr">
        <is>
          <t>MAT-29-037</t>
        </is>
      </c>
      <c r="B996" s="5" t="inlineStr">
        <is>
          <t>Soporte De Montaje Lc1-Mmsb</t>
        </is>
      </c>
      <c r="C996" s="4" t="inlineStr">
        <is>
          <t>unidad</t>
        </is>
      </c>
      <c r="D996" s="10" t="n">
        <v>165.78</v>
      </c>
      <c r="E996" s="10" t="n"/>
      <c r="F996" s="10" t="n"/>
      <c r="G996" s="10">
        <f>IF(COUNT(D996:F996)=0,"",MIN(D996:F996))</f>
        <v/>
      </c>
      <c r="H996" s="10">
        <f>IF(COUNT(D996:F996)=0,"",MEDIAN(D996:F996))</f>
        <v/>
      </c>
      <c r="I996" s="10">
        <f>IF(COUNT(D996:F996)=0,"",MAX(D996:F996))</f>
        <v/>
      </c>
      <c r="J996" s="11">
        <f>IF(OR(G996="",G996=0),"",(I996-G996)/G996)</f>
        <v/>
      </c>
      <c r="K996" s="4">
        <f>IF(COUNT(D996:F996)=0,"",INDEX($D$1:$F$1,MATCH(MIN(D996:F996),D996:F996,0)))</f>
        <v/>
      </c>
      <c r="L996" s="10" t="n">
        <v>165.78</v>
      </c>
      <c r="M996" s="12" t="n">
        <v>1</v>
      </c>
    </row>
    <row r="997">
      <c r="A997" s="4" t="inlineStr">
        <is>
          <t>MAT-29-038</t>
        </is>
      </c>
      <c r="B997" s="5" t="inlineStr">
        <is>
          <t>Base Detector De Humo Multiplex</t>
        </is>
      </c>
      <c r="C997" s="4" t="inlineStr">
        <is>
          <t>unidad</t>
        </is>
      </c>
      <c r="D997" s="10" t="n">
        <v>232.07</v>
      </c>
      <c r="E997" s="10" t="n"/>
      <c r="F997" s="10" t="n"/>
      <c r="G997" s="10">
        <f>IF(COUNT(D997:F997)=0,"",MIN(D997:F997))</f>
        <v/>
      </c>
      <c r="H997" s="10">
        <f>IF(COUNT(D997:F997)=0,"",MEDIAN(D997:F997))</f>
        <v/>
      </c>
      <c r="I997" s="10">
        <f>IF(COUNT(D997:F997)=0,"",MAX(D997:F997))</f>
        <v/>
      </c>
      <c r="J997" s="11">
        <f>IF(OR(G997="",G997=0),"",(I997-G997)/G997)</f>
        <v/>
      </c>
      <c r="K997" s="4">
        <f>IF(COUNT(D997:F997)=0,"",INDEX($D$1:$F$1,MATCH(MIN(D997:F997),D997:F997,0)))</f>
        <v/>
      </c>
      <c r="L997" s="10" t="n">
        <v>232.07</v>
      </c>
      <c r="M997" s="12" t="n">
        <v>1</v>
      </c>
    </row>
    <row r="998">
      <c r="A998" s="4" t="inlineStr">
        <is>
          <t>MAT-29-039</t>
        </is>
      </c>
      <c r="B998" s="5" t="inlineStr">
        <is>
          <t>Base Detector De Calor</t>
        </is>
      </c>
      <c r="C998" s="4" t="inlineStr">
        <is>
          <t>unidad</t>
        </is>
      </c>
      <c r="D998" s="10" t="n">
        <v>270.76</v>
      </c>
      <c r="E998" s="10" t="n"/>
      <c r="F998" s="10" t="n"/>
      <c r="G998" s="10">
        <f>IF(COUNT(D998:F998)=0,"",MIN(D998:F998))</f>
        <v/>
      </c>
      <c r="H998" s="10">
        <f>IF(COUNT(D998:F998)=0,"",MEDIAN(D998:F998))</f>
        <v/>
      </c>
      <c r="I998" s="10">
        <f>IF(COUNT(D998:F998)=0,"",MAX(D998:F998))</f>
        <v/>
      </c>
      <c r="J998" s="11">
        <f>IF(OR(G998="",G998=0),"",(I998-G998)/G998)</f>
        <v/>
      </c>
      <c r="K998" s="4">
        <f>IF(COUNT(D998:F998)=0,"",INDEX($D$1:$F$1,MATCH(MIN(D998:F998),D998:F998,0)))</f>
        <v/>
      </c>
      <c r="L998" s="10" t="n">
        <v>270.76</v>
      </c>
      <c r="M998" s="12" t="n">
        <v>1</v>
      </c>
    </row>
    <row r="999">
      <c r="A999" s="4" t="inlineStr">
        <is>
          <t>MAT-29-040</t>
        </is>
      </c>
      <c r="B999" s="5" t="inlineStr">
        <is>
          <t>Base Estándar Analógica 4 Pulg</t>
        </is>
      </c>
      <c r="C999" s="4" t="inlineStr">
        <is>
          <t>unidad</t>
        </is>
      </c>
      <c r="D999" s="10" t="n">
        <v>309.44</v>
      </c>
      <c r="E999" s="10" t="n"/>
      <c r="F999" s="10" t="n"/>
      <c r="G999" s="10">
        <f>IF(COUNT(D999:F999)=0,"",MIN(D999:F999))</f>
        <v/>
      </c>
      <c r="H999" s="10">
        <f>IF(COUNT(D999:F999)=0,"",MEDIAN(D999:F999))</f>
        <v/>
      </c>
      <c r="I999" s="10">
        <f>IF(COUNT(D999:F999)=0,"",MAX(D999:F999))</f>
        <v/>
      </c>
      <c r="J999" s="11">
        <f>IF(OR(G999="",G999=0),"",(I999-G999)/G999)</f>
        <v/>
      </c>
      <c r="K999" s="4">
        <f>IF(COUNT(D999:F999)=0,"",INDEX($D$1:$F$1,MATCH(MIN(D999:F999),D999:F999,0)))</f>
        <v/>
      </c>
      <c r="L999" s="10" t="n">
        <v>309.44</v>
      </c>
      <c r="M999" s="12" t="n">
        <v>1</v>
      </c>
    </row>
    <row r="1000">
      <c r="A1000" s="4" t="inlineStr">
        <is>
          <t>MAT-29-041</t>
        </is>
      </c>
      <c r="B1000" s="5" t="inlineStr">
        <is>
          <t>Cubierta, Transparente.</t>
        </is>
      </c>
      <c r="C1000" s="4" t="inlineStr">
        <is>
          <t>unidad</t>
        </is>
      </c>
      <c r="D1000" s="10" t="n">
        <v>452.89</v>
      </c>
      <c r="E1000" s="10" t="n"/>
      <c r="F1000" s="10" t="n"/>
      <c r="G1000" s="10">
        <f>IF(COUNT(D1000:F1000)=0,"",MIN(D1000:F1000))</f>
        <v/>
      </c>
      <c r="H1000" s="10">
        <f>IF(COUNT(D1000:F1000)=0,"",MEDIAN(D1000:F1000))</f>
        <v/>
      </c>
      <c r="I1000" s="10">
        <f>IF(COUNT(D1000:F1000)=0,"",MAX(D1000:F1000))</f>
        <v/>
      </c>
      <c r="J1000" s="11">
        <f>IF(OR(G1000="",G1000=0),"",(I1000-G1000)/G1000)</f>
        <v/>
      </c>
      <c r="K1000" s="4">
        <f>IF(COUNT(D1000:F1000)=0,"",INDEX($D$1:$F$1,MATCH(MIN(D1000:F1000),D1000:F1000,0)))</f>
        <v/>
      </c>
      <c r="L1000" s="10" t="n">
        <v>452.89</v>
      </c>
      <c r="M1000" s="12" t="n">
        <v>1</v>
      </c>
    </row>
    <row r="1001">
      <c r="A1001" s="4" t="inlineStr">
        <is>
          <t>MAT-29-042</t>
        </is>
      </c>
      <c r="B1001" s="5" t="inlineStr">
        <is>
          <t>Base Detector Calor con Rele 12 / 24V</t>
        </is>
      </c>
      <c r="C1001" s="4" t="inlineStr">
        <is>
          <t>unidad</t>
        </is>
      </c>
      <c r="D1001" s="10" t="n">
        <v>615.97</v>
      </c>
      <c r="E1001" s="10" t="n"/>
      <c r="F1001" s="10" t="n"/>
      <c r="G1001" s="10">
        <f>IF(COUNT(D1001:F1001)=0,"",MIN(D1001:F1001))</f>
        <v/>
      </c>
      <c r="H1001" s="10">
        <f>IF(COUNT(D1001:F1001)=0,"",MEDIAN(D1001:F1001))</f>
        <v/>
      </c>
      <c r="I1001" s="10">
        <f>IF(COUNT(D1001:F1001)=0,"",MAX(D1001:F1001))</f>
        <v/>
      </c>
      <c r="J1001" s="11">
        <f>IF(OR(G1001="",G1001=0),"",(I1001-G1001)/G1001)</f>
        <v/>
      </c>
      <c r="K1001" s="4">
        <f>IF(COUNT(D1001:F1001)=0,"",INDEX($D$1:$F$1,MATCH(MIN(D1001:F1001),D1001:F1001,0)))</f>
        <v/>
      </c>
      <c r="L1001" s="10" t="n">
        <v>615.97</v>
      </c>
      <c r="M1001" s="12" t="n">
        <v>1</v>
      </c>
    </row>
    <row r="1002">
      <c r="A1002" s="4" t="inlineStr">
        <is>
          <t>MAT-29-043</t>
        </is>
      </c>
      <c r="B1002" s="5" t="inlineStr">
        <is>
          <t>Caja Post. superficie, 4,75 x 3,25 x 2,25", Roja</t>
        </is>
      </c>
      <c r="C1002" s="4" t="inlineStr">
        <is>
          <t>unidad</t>
        </is>
      </c>
      <c r="D1002" s="10" t="n">
        <v>1091.73</v>
      </c>
      <c r="E1002" s="10" t="n"/>
      <c r="F1002" s="10" t="n"/>
      <c r="G1002" s="10">
        <f>IF(COUNT(D1002:F1002)=0,"",MIN(D1002:F1002))</f>
        <v/>
      </c>
      <c r="H1002" s="10">
        <f>IF(COUNT(D1002:F1002)=0,"",MEDIAN(D1002:F1002))</f>
        <v/>
      </c>
      <c r="I1002" s="10">
        <f>IF(COUNT(D1002:F1002)=0,"",MAX(D1002:F1002))</f>
        <v/>
      </c>
      <c r="J1002" s="11">
        <f>IF(OR(G1002="",G1002=0),"",(I1002-G1002)/G1002)</f>
        <v/>
      </c>
      <c r="K1002" s="4">
        <f>IF(COUNT(D1002:F1002)=0,"",INDEX($D$1:$F$1,MATCH(MIN(D1002:F1002),D1002:F1002,0)))</f>
        <v/>
      </c>
      <c r="L1002" s="10" t="n">
        <v>1091.73</v>
      </c>
      <c r="M1002" s="12" t="n">
        <v>1</v>
      </c>
    </row>
    <row r="1003">
      <c r="A1003" s="4" t="inlineStr">
        <is>
          <t>MAT-29-044</t>
        </is>
      </c>
      <c r="B1003" s="5" t="inlineStr">
        <is>
          <t>Aislador De Cortocirc. para Fpa-1000</t>
        </is>
      </c>
      <c r="C1003" s="4" t="inlineStr">
        <is>
          <t>unidad</t>
        </is>
      </c>
      <c r="D1003" s="10" t="n">
        <v>2340.69</v>
      </c>
      <c r="E1003" s="10" t="n"/>
      <c r="F1003" s="10" t="n"/>
      <c r="G1003" s="10">
        <f>IF(COUNT(D1003:F1003)=0,"",MIN(D1003:F1003))</f>
        <v/>
      </c>
      <c r="H1003" s="10">
        <f>IF(COUNT(D1003:F1003)=0,"",MEDIAN(D1003:F1003))</f>
        <v/>
      </c>
      <c r="I1003" s="10">
        <f>IF(COUNT(D1003:F1003)=0,"",MAX(D1003:F1003))</f>
        <v/>
      </c>
      <c r="J1003" s="11">
        <f>IF(OR(G1003="",G1003=0),"",(I1003-G1003)/G1003)</f>
        <v/>
      </c>
      <c r="K1003" s="4">
        <f>IF(COUNT(D1003:F1003)=0,"",INDEX($D$1:$F$1,MATCH(MIN(D1003:F1003),D1003:F1003,0)))</f>
        <v/>
      </c>
      <c r="L1003" s="10" t="n">
        <v>2340.69</v>
      </c>
      <c r="M1003" s="12" t="n">
        <v>1</v>
      </c>
    </row>
    <row r="1004">
      <c r="A1004" s="4" t="inlineStr">
        <is>
          <t>MAT-29-045</t>
        </is>
      </c>
      <c r="B1004" s="5" t="inlineStr">
        <is>
          <t>Carcasa Para Detector De Humo</t>
        </is>
      </c>
      <c r="C1004" s="4" t="inlineStr">
        <is>
          <t>unidad</t>
        </is>
      </c>
      <c r="D1004" s="10" t="n">
        <v>3906.74</v>
      </c>
      <c r="E1004" s="10" t="n"/>
      <c r="F1004" s="10" t="n"/>
      <c r="G1004" s="10">
        <f>IF(COUNT(D1004:F1004)=0,"",MIN(D1004:F1004))</f>
        <v/>
      </c>
      <c r="H1004" s="10">
        <f>IF(COUNT(D1004:F1004)=0,"",MEDIAN(D1004:F1004))</f>
        <v/>
      </c>
      <c r="I1004" s="10">
        <f>IF(COUNT(D1004:F1004)=0,"",MAX(D1004:F1004))</f>
        <v/>
      </c>
      <c r="J1004" s="11">
        <f>IF(OR(G1004="",G1004=0),"",(I1004-G1004)/G1004)</f>
        <v/>
      </c>
      <c r="K1004" s="4">
        <f>IF(COUNT(D1004:F1004)=0,"",INDEX($D$1:$F$1,MATCH(MIN(D1004:F1004),D1004:F1004,0)))</f>
        <v/>
      </c>
      <c r="L1004" s="10" t="n">
        <v>3906.74</v>
      </c>
      <c r="M1004" s="12" t="n">
        <v>1</v>
      </c>
    </row>
    <row r="1005">
      <c r="A1005" s="4" t="inlineStr">
        <is>
          <t>MAT-29-046</t>
        </is>
      </c>
      <c r="B1005" s="5" t="inlineStr">
        <is>
          <t>Luz Estroboscópica Roja para Base De Sirena</t>
        </is>
      </c>
      <c r="C1005" s="4" t="inlineStr">
        <is>
          <t>unidad</t>
        </is>
      </c>
      <c r="D1005" s="10" t="n">
        <v>3502.55</v>
      </c>
      <c r="E1005" s="10" t="n"/>
      <c r="F1005" s="10" t="n"/>
      <c r="G1005" s="10">
        <f>IF(COUNT(D1005:F1005)=0,"",MIN(D1005:F1005))</f>
        <v/>
      </c>
      <c r="H1005" s="10">
        <f>IF(COUNT(D1005:F1005)=0,"",MEDIAN(D1005:F1005))</f>
        <v/>
      </c>
      <c r="I1005" s="10">
        <f>IF(COUNT(D1005:F1005)=0,"",MAX(D1005:F1005))</f>
        <v/>
      </c>
      <c r="J1005" s="11">
        <f>IF(OR(G1005="",G1005=0),"",(I1005-G1005)/G1005)</f>
        <v/>
      </c>
      <c r="K1005" s="4">
        <f>IF(COUNT(D1005:F1005)=0,"",INDEX($D$1:$F$1,MATCH(MIN(D1005:F1005),D1005:F1005,0)))</f>
        <v/>
      </c>
      <c r="L1005" s="10" t="n">
        <v>3502.55</v>
      </c>
      <c r="M1005" s="12" t="n">
        <v>1</v>
      </c>
    </row>
    <row r="1006">
      <c r="A1006" s="4" t="inlineStr">
        <is>
          <t>MAT-30-002</t>
        </is>
      </c>
      <c r="B1006" s="5" t="inlineStr">
        <is>
          <t>Panel De Conexión Fija</t>
        </is>
      </c>
      <c r="C1006" s="4" t="inlineStr">
        <is>
          <t>unidad</t>
        </is>
      </c>
      <c r="D1006" s="10" t="n">
        <v>3536.16</v>
      </c>
      <c r="E1006" s="10" t="n"/>
      <c r="F1006" s="10" t="n"/>
      <c r="G1006" s="10">
        <f>IF(COUNT(D1006:F1006)=0,"",MIN(D1006:F1006))</f>
        <v/>
      </c>
      <c r="H1006" s="10">
        <f>IF(COUNT(D1006:F1006)=0,"",MEDIAN(D1006:F1006))</f>
        <v/>
      </c>
      <c r="I1006" s="10">
        <f>IF(COUNT(D1006:F1006)=0,"",MAX(D1006:F1006))</f>
        <v/>
      </c>
      <c r="J1006" s="11">
        <f>IF(OR(G1006="",G1006=0),"",(I1006-G1006)/G1006)</f>
        <v/>
      </c>
      <c r="K1006" s="4">
        <f>IF(COUNT(D1006:F1006)=0,"",INDEX($D$1:$F$1,MATCH(MIN(D1006:F1006),D1006:F1006,0)))</f>
        <v/>
      </c>
      <c r="L1006" s="10" t="n">
        <v>3536.16</v>
      </c>
      <c r="M1006" s="12" t="n">
        <v>1</v>
      </c>
    </row>
    <row r="1007">
      <c r="A1007" s="4" t="inlineStr">
        <is>
          <t>MAT-30-003</t>
        </is>
      </c>
      <c r="B1007" s="5" t="inlineStr">
        <is>
          <t>Panel De Conexión Mapit G2</t>
        </is>
      </c>
      <c r="C1007" s="4" t="inlineStr">
        <is>
          <t>unidad</t>
        </is>
      </c>
      <c r="D1007" s="10" t="n">
        <v>27633.55</v>
      </c>
      <c r="E1007" s="10" t="n"/>
      <c r="F1007" s="10" t="n"/>
      <c r="G1007" s="10">
        <f>IF(COUNT(D1007:F1007)=0,"",MIN(D1007:F1007))</f>
        <v/>
      </c>
      <c r="H1007" s="10">
        <f>IF(COUNT(D1007:F1007)=0,"",MEDIAN(D1007:F1007))</f>
        <v/>
      </c>
      <c r="I1007" s="10">
        <f>IF(COUNT(D1007:F1007)=0,"",MAX(D1007:F1007))</f>
        <v/>
      </c>
      <c r="J1007" s="11">
        <f>IF(OR(G1007="",G1007=0),"",(I1007-G1007)/G1007)</f>
        <v/>
      </c>
      <c r="K1007" s="4">
        <f>IF(COUNT(D1007:F1007)=0,"",INDEX($D$1:$F$1,MATCH(MIN(D1007:F1007),D1007:F1007,0)))</f>
        <v/>
      </c>
      <c r="L1007" s="10" t="n">
        <v>27633.55</v>
      </c>
      <c r="M1007" s="12" t="n">
        <v>1</v>
      </c>
    </row>
    <row r="1008">
      <c r="A1008" s="4" t="inlineStr">
        <is>
          <t>MAT-30-004</t>
        </is>
      </c>
      <c r="B1008" s="5" t="inlineStr">
        <is>
          <t>Monitor Cristal A Color Libre Manos</t>
        </is>
      </c>
      <c r="C1008" s="4" t="inlineStr">
        <is>
          <t>unidad</t>
        </is>
      </c>
      <c r="D1008" s="10" t="n">
        <v>5019.51</v>
      </c>
      <c r="E1008" s="10" t="n"/>
      <c r="F1008" s="10" t="n"/>
      <c r="G1008" s="10">
        <f>IF(COUNT(D1008:F1008)=0,"",MIN(D1008:F1008))</f>
        <v/>
      </c>
      <c r="H1008" s="10">
        <f>IF(COUNT(D1008:F1008)=0,"",MEDIAN(D1008:F1008))</f>
        <v/>
      </c>
      <c r="I1008" s="10">
        <f>IF(COUNT(D1008:F1008)=0,"",MAX(D1008:F1008))</f>
        <v/>
      </c>
      <c r="J1008" s="11">
        <f>IF(OR(G1008="",G1008=0),"",(I1008-G1008)/G1008)</f>
        <v/>
      </c>
      <c r="K1008" s="4">
        <f>IF(COUNT(D1008:F1008)=0,"",INDEX($D$1:$F$1,MATCH(MIN(D1008:F1008),D1008:F1008,0)))</f>
        <v/>
      </c>
      <c r="L1008" s="10" t="n">
        <v>5019.51</v>
      </c>
      <c r="M1008" s="12" t="n">
        <v>1</v>
      </c>
    </row>
    <row r="1009">
      <c r="A1009" s="4" t="inlineStr">
        <is>
          <t>MAT-30-005</t>
        </is>
      </c>
      <c r="B1009" s="5" t="inlineStr">
        <is>
          <t>Cable UTP Cat 5 8 Cca 305M Azul</t>
        </is>
      </c>
      <c r="C1009" s="4" t="inlineStr">
        <is>
          <t>unidad</t>
        </is>
      </c>
      <c r="D1009" s="10" t="n">
        <v>79.8</v>
      </c>
      <c r="E1009" s="10" t="n"/>
      <c r="F1009" s="10" t="n"/>
      <c r="G1009" s="10">
        <f>IF(COUNT(D1009:F1009)=0,"",MIN(D1009:F1009))</f>
        <v/>
      </c>
      <c r="H1009" s="10">
        <f>IF(COUNT(D1009:F1009)=0,"",MEDIAN(D1009:F1009))</f>
        <v/>
      </c>
      <c r="I1009" s="10">
        <f>IF(COUNT(D1009:F1009)=0,"",MAX(D1009:F1009))</f>
        <v/>
      </c>
      <c r="J1009" s="11">
        <f>IF(OR(G1009="",G1009=0),"",(I1009-G1009)/G1009)</f>
        <v/>
      </c>
      <c r="K1009" s="4">
        <f>IF(COUNT(D1009:F1009)=0,"",INDEX($D$1:$F$1,MATCH(MIN(D1009:F1009),D1009:F1009,0)))</f>
        <v/>
      </c>
      <c r="L1009" s="10" t="n">
        <v>79.8</v>
      </c>
      <c r="M1009" s="12" t="n">
        <v>1</v>
      </c>
    </row>
    <row r="1010">
      <c r="A1010" s="4" t="inlineStr">
        <is>
          <t>MAT-30-006</t>
        </is>
      </c>
      <c r="B1010" s="5" t="inlineStr">
        <is>
          <t>Cable UTP Cat 5E Gris</t>
        </is>
      </c>
      <c r="C1010" s="4" t="inlineStr">
        <is>
          <t>unidad</t>
        </is>
      </c>
      <c r="D1010" s="10" t="n">
        <v>72.59999999999999</v>
      </c>
      <c r="E1010" s="10" t="n"/>
      <c r="F1010" s="10" t="n"/>
      <c r="G1010" s="10">
        <f>IF(COUNT(D1010:F1010)=0,"",MIN(D1010:F1010))</f>
        <v/>
      </c>
      <c r="H1010" s="10">
        <f>IF(COUNT(D1010:F1010)=0,"",MEDIAN(D1010:F1010))</f>
        <v/>
      </c>
      <c r="I1010" s="10">
        <f>IF(COUNT(D1010:F1010)=0,"",MAX(D1010:F1010))</f>
        <v/>
      </c>
      <c r="J1010" s="11">
        <f>IF(OR(G1010="",G1010=0),"",(I1010-G1010)/G1010)</f>
        <v/>
      </c>
      <c r="K1010" s="4">
        <f>IF(COUNT(D1010:F1010)=0,"",INDEX($D$1:$F$1,MATCH(MIN(D1010:F1010),D1010:F1010,0)))</f>
        <v/>
      </c>
      <c r="L1010" s="10" t="n">
        <v>72.59999999999999</v>
      </c>
      <c r="M1010" s="12" t="n">
        <v>1</v>
      </c>
    </row>
    <row r="1011">
      <c r="A1011" s="4" t="inlineStr">
        <is>
          <t>MAT-30-007</t>
        </is>
      </c>
      <c r="B1011" s="5" t="inlineStr">
        <is>
          <t>Cable Retract. Dock A 3.5 Mm para Iphone</t>
        </is>
      </c>
      <c r="C1011" s="4" t="inlineStr">
        <is>
          <t>unidad</t>
        </is>
      </c>
      <c r="D1011" s="10" t="n">
        <v>5.11</v>
      </c>
      <c r="E1011" s="10" t="n"/>
      <c r="F1011" s="10" t="n"/>
      <c r="G1011" s="10">
        <f>IF(COUNT(D1011:F1011)=0,"",MIN(D1011:F1011))</f>
        <v/>
      </c>
      <c r="H1011" s="10">
        <f>IF(COUNT(D1011:F1011)=0,"",MEDIAN(D1011:F1011))</f>
        <v/>
      </c>
      <c r="I1011" s="10">
        <f>IF(COUNT(D1011:F1011)=0,"",MAX(D1011:F1011))</f>
        <v/>
      </c>
      <c r="J1011" s="11">
        <f>IF(OR(G1011="",G1011=0),"",(I1011-G1011)/G1011)</f>
        <v/>
      </c>
      <c r="K1011" s="4">
        <f>IF(COUNT(D1011:F1011)=0,"",INDEX($D$1:$F$1,MATCH(MIN(D1011:F1011),D1011:F1011,0)))</f>
        <v/>
      </c>
      <c r="L1011" s="10" t="n">
        <v>5.11</v>
      </c>
      <c r="M1011" s="12" t="n">
        <v>1</v>
      </c>
    </row>
    <row r="1012">
      <c r="A1012" s="4" t="inlineStr">
        <is>
          <t>MAT-30-008</t>
        </is>
      </c>
      <c r="B1012" s="5" t="inlineStr">
        <is>
          <t>Cable UTP Cat 5E Azul R / 1000'</t>
        </is>
      </c>
      <c r="C1012" s="4" t="inlineStr">
        <is>
          <t>unidad</t>
        </is>
      </c>
      <c r="D1012" s="10" t="n">
        <v>106.6</v>
      </c>
      <c r="E1012" s="10" t="n"/>
      <c r="F1012" s="10" t="n"/>
      <c r="G1012" s="10">
        <f>IF(COUNT(D1012:F1012)=0,"",MIN(D1012:F1012))</f>
        <v/>
      </c>
      <c r="H1012" s="10">
        <f>IF(COUNT(D1012:F1012)=0,"",MEDIAN(D1012:F1012))</f>
        <v/>
      </c>
      <c r="I1012" s="10">
        <f>IF(COUNT(D1012:F1012)=0,"",MAX(D1012:F1012))</f>
        <v/>
      </c>
      <c r="J1012" s="11">
        <f>IF(OR(G1012="",G1012=0),"",(I1012-G1012)/G1012)</f>
        <v/>
      </c>
      <c r="K1012" s="4">
        <f>IF(COUNT(D1012:F1012)=0,"",INDEX($D$1:$F$1,MATCH(MIN(D1012:F1012),D1012:F1012,0)))</f>
        <v/>
      </c>
      <c r="L1012" s="10" t="n">
        <v>106.6</v>
      </c>
      <c r="M1012" s="12" t="n">
        <v>1</v>
      </c>
    </row>
    <row r="1013">
      <c r="A1013" s="4" t="inlineStr">
        <is>
          <t>MAT-30-009</t>
        </is>
      </c>
      <c r="B1013" s="5" t="inlineStr">
        <is>
          <t>Cable UTP Cat 6 305M Gris interior</t>
        </is>
      </c>
      <c r="C1013" s="4" t="inlineStr">
        <is>
          <t>unidad</t>
        </is>
      </c>
      <c r="D1013" s="10" t="n">
        <v>97.2</v>
      </c>
      <c r="E1013" s="10" t="n"/>
      <c r="F1013" s="10" t="n"/>
      <c r="G1013" s="10">
        <f>IF(COUNT(D1013:F1013)=0,"",MIN(D1013:F1013))</f>
        <v/>
      </c>
      <c r="H1013" s="10">
        <f>IF(COUNT(D1013:F1013)=0,"",MEDIAN(D1013:F1013))</f>
        <v/>
      </c>
      <c r="I1013" s="10">
        <f>IF(COUNT(D1013:F1013)=0,"",MAX(D1013:F1013))</f>
        <v/>
      </c>
      <c r="J1013" s="11">
        <f>IF(OR(G1013="",G1013=0),"",(I1013-G1013)/G1013)</f>
        <v/>
      </c>
      <c r="K1013" s="4">
        <f>IF(COUNT(D1013:F1013)=0,"",INDEX($D$1:$F$1,MATCH(MIN(D1013:F1013),D1013:F1013,0)))</f>
        <v/>
      </c>
      <c r="L1013" s="10" t="n">
        <v>97.2</v>
      </c>
      <c r="M1013" s="12" t="n">
        <v>1</v>
      </c>
    </row>
    <row r="1014">
      <c r="A1014" s="4" t="inlineStr">
        <is>
          <t>MAT-30-010</t>
        </is>
      </c>
      <c r="B1014" s="5" t="inlineStr">
        <is>
          <t>Cable UTP Cat 5E 305M Negro</t>
        </is>
      </c>
      <c r="C1014" s="4" t="inlineStr">
        <is>
          <t>unidad</t>
        </is>
      </c>
      <c r="D1014" s="10" t="n">
        <v>115.6</v>
      </c>
      <c r="E1014" s="10" t="n"/>
      <c r="F1014" s="10" t="n"/>
      <c r="G1014" s="10">
        <f>IF(COUNT(D1014:F1014)=0,"",MIN(D1014:F1014))</f>
        <v/>
      </c>
      <c r="H1014" s="10">
        <f>IF(COUNT(D1014:F1014)=0,"",MEDIAN(D1014:F1014))</f>
        <v/>
      </c>
      <c r="I1014" s="10">
        <f>IF(COUNT(D1014:F1014)=0,"",MAX(D1014:F1014))</f>
        <v/>
      </c>
      <c r="J1014" s="11">
        <f>IF(OR(G1014="",G1014=0),"",(I1014-G1014)/G1014)</f>
        <v/>
      </c>
      <c r="K1014" s="4">
        <f>IF(COUNT(D1014:F1014)=0,"",INDEX($D$1:$F$1,MATCH(MIN(D1014:F1014),D1014:F1014,0)))</f>
        <v/>
      </c>
      <c r="L1014" s="10" t="n">
        <v>115.6</v>
      </c>
      <c r="M1014" s="12" t="n">
        <v>1</v>
      </c>
    </row>
    <row r="1015">
      <c r="A1015" s="4" t="inlineStr">
        <is>
          <t>MAT-30-011</t>
        </is>
      </c>
      <c r="B1015" s="5" t="inlineStr">
        <is>
          <t>Cable UTP Cat 6 305M Negro Exter.</t>
        </is>
      </c>
      <c r="C1015" s="4" t="inlineStr">
        <is>
          <t>unidad</t>
        </is>
      </c>
      <c r="D1015" s="10" t="n">
        <v>135</v>
      </c>
      <c r="E1015" s="10" t="n"/>
      <c r="F1015" s="10" t="n"/>
      <c r="G1015" s="10">
        <f>IF(COUNT(D1015:F1015)=0,"",MIN(D1015:F1015))</f>
        <v/>
      </c>
      <c r="H1015" s="10">
        <f>IF(COUNT(D1015:F1015)=0,"",MEDIAN(D1015:F1015))</f>
        <v/>
      </c>
      <c r="I1015" s="10">
        <f>IF(COUNT(D1015:F1015)=0,"",MAX(D1015:F1015))</f>
        <v/>
      </c>
      <c r="J1015" s="11">
        <f>IF(OR(G1015="",G1015=0),"",(I1015-G1015)/G1015)</f>
        <v/>
      </c>
      <c r="K1015" s="4">
        <f>IF(COUNT(D1015:F1015)=0,"",INDEX($D$1:$F$1,MATCH(MIN(D1015:F1015),D1015:F1015,0)))</f>
        <v/>
      </c>
      <c r="L1015" s="10" t="n">
        <v>135</v>
      </c>
      <c r="M1015" s="12" t="n">
        <v>1</v>
      </c>
    </row>
    <row r="1016">
      <c r="A1016" s="4" t="inlineStr">
        <is>
          <t>MAT-30-012</t>
        </is>
      </c>
      <c r="B1016" s="5" t="inlineStr">
        <is>
          <t>Cable Firewire 4P A 4P De 1.8M</t>
        </is>
      </c>
      <c r="C1016" s="4" t="inlineStr">
        <is>
          <t>unidad</t>
        </is>
      </c>
      <c r="D1016" s="10" t="n">
        <v>7.89</v>
      </c>
      <c r="E1016" s="10" t="n"/>
      <c r="F1016" s="10" t="n"/>
      <c r="G1016" s="10">
        <f>IF(COUNT(D1016:F1016)=0,"",MIN(D1016:F1016))</f>
        <v/>
      </c>
      <c r="H1016" s="10">
        <f>IF(COUNT(D1016:F1016)=0,"",MEDIAN(D1016:F1016))</f>
        <v/>
      </c>
      <c r="I1016" s="10">
        <f>IF(COUNT(D1016:F1016)=0,"",MAX(D1016:F1016))</f>
        <v/>
      </c>
      <c r="J1016" s="11">
        <f>IF(OR(G1016="",G1016=0),"",(I1016-G1016)/G1016)</f>
        <v/>
      </c>
      <c r="K1016" s="4">
        <f>IF(COUNT(D1016:F1016)=0,"",INDEX($D$1:$F$1,MATCH(MIN(D1016:F1016),D1016:F1016,0)))</f>
        <v/>
      </c>
      <c r="L1016" s="10" t="n">
        <v>7.89</v>
      </c>
      <c r="M1016" s="12" t="n">
        <v>1</v>
      </c>
    </row>
    <row r="1017">
      <c r="A1017" s="4" t="inlineStr">
        <is>
          <t>MAT-30-013</t>
        </is>
      </c>
      <c r="B1017" s="5" t="inlineStr">
        <is>
          <t>Cable telefónico 6 Hilos Awg28 Marfil R / 1000</t>
        </is>
      </c>
      <c r="C1017" s="4" t="inlineStr">
        <is>
          <t>unidad</t>
        </is>
      </c>
      <c r="D1017" s="10" t="n">
        <v>187.6</v>
      </c>
      <c r="E1017" s="10" t="n"/>
      <c r="F1017" s="10" t="n"/>
      <c r="G1017" s="10">
        <f>IF(COUNT(D1017:F1017)=0,"",MIN(D1017:F1017))</f>
        <v/>
      </c>
      <c r="H1017" s="10">
        <f>IF(COUNT(D1017:F1017)=0,"",MEDIAN(D1017:F1017))</f>
        <v/>
      </c>
      <c r="I1017" s="10">
        <f>IF(COUNT(D1017:F1017)=0,"",MAX(D1017:F1017))</f>
        <v/>
      </c>
      <c r="J1017" s="11">
        <f>IF(OR(G1017="",G1017=0),"",(I1017-G1017)/G1017)</f>
        <v/>
      </c>
      <c r="K1017" s="4">
        <f>IF(COUNT(D1017:F1017)=0,"",INDEX($D$1:$F$1,MATCH(MIN(D1017:F1017),D1017:F1017,0)))</f>
        <v/>
      </c>
      <c r="L1017" s="10" t="n">
        <v>187.6</v>
      </c>
      <c r="M1017" s="12" t="n">
        <v>1</v>
      </c>
    </row>
    <row r="1018">
      <c r="A1018" s="4" t="inlineStr">
        <is>
          <t>MAT-30-014</t>
        </is>
      </c>
      <c r="B1018" s="5" t="inlineStr">
        <is>
          <t>Cable UTP Cat 6 24 / 4 Azul R / 1000'</t>
        </is>
      </c>
      <c r="C1018" s="4" t="inlineStr">
        <is>
          <t>unidad</t>
        </is>
      </c>
      <c r="D1018" s="10" t="n">
        <v>222.6</v>
      </c>
      <c r="E1018" s="10" t="n"/>
      <c r="F1018" s="10" t="n"/>
      <c r="G1018" s="10">
        <f>IF(COUNT(D1018:F1018)=0,"",MIN(D1018:F1018))</f>
        <v/>
      </c>
      <c r="H1018" s="10">
        <f>IF(COUNT(D1018:F1018)=0,"",MEDIAN(D1018:F1018))</f>
        <v/>
      </c>
      <c r="I1018" s="10">
        <f>IF(COUNT(D1018:F1018)=0,"",MAX(D1018:F1018))</f>
        <v/>
      </c>
      <c r="J1018" s="11">
        <f>IF(OR(G1018="",G1018=0),"",(I1018-G1018)/G1018)</f>
        <v/>
      </c>
      <c r="K1018" s="4">
        <f>IF(COUNT(D1018:F1018)=0,"",INDEX($D$1:$F$1,MATCH(MIN(D1018:F1018),D1018:F1018,0)))</f>
        <v/>
      </c>
      <c r="L1018" s="10" t="n">
        <v>222.6</v>
      </c>
      <c r="M1018" s="12" t="n">
        <v>1</v>
      </c>
    </row>
    <row r="1019">
      <c r="A1019" s="4" t="inlineStr">
        <is>
          <t>MAT-30-015</t>
        </is>
      </c>
      <c r="B1019" s="5" t="inlineStr">
        <is>
          <t>Cable UTP Cat 6E 24 / 4 Negro R / 1000'</t>
        </is>
      </c>
      <c r="C1019" s="4" t="inlineStr">
        <is>
          <t>unidad</t>
        </is>
      </c>
      <c r="D1019" s="10" t="n">
        <v>222.6</v>
      </c>
      <c r="E1019" s="10" t="n"/>
      <c r="F1019" s="10" t="n"/>
      <c r="G1019" s="10">
        <f>IF(COUNT(D1019:F1019)=0,"",MIN(D1019:F1019))</f>
        <v/>
      </c>
      <c r="H1019" s="10">
        <f>IF(COUNT(D1019:F1019)=0,"",MEDIAN(D1019:F1019))</f>
        <v/>
      </c>
      <c r="I1019" s="10">
        <f>IF(COUNT(D1019:F1019)=0,"",MAX(D1019:F1019))</f>
        <v/>
      </c>
      <c r="J1019" s="11">
        <f>IF(OR(G1019="",G1019=0),"",(I1019-G1019)/G1019)</f>
        <v/>
      </c>
      <c r="K1019" s="4">
        <f>IF(COUNT(D1019:F1019)=0,"",INDEX($D$1:$F$1,MATCH(MIN(D1019:F1019),D1019:F1019,0)))</f>
        <v/>
      </c>
      <c r="L1019" s="10" t="n">
        <v>222.6</v>
      </c>
      <c r="M1019" s="12" t="n">
        <v>1</v>
      </c>
    </row>
    <row r="1020">
      <c r="A1020" s="4" t="inlineStr">
        <is>
          <t>MAT-30-016</t>
        </is>
      </c>
      <c r="B1020" s="5" t="inlineStr">
        <is>
          <t>Cable UTP Cat 6E 24 / 4 Gris R / 1640'</t>
        </is>
      </c>
      <c r="C1020" s="4" t="inlineStr">
        <is>
          <t>unidad</t>
        </is>
      </c>
      <c r="D1020" s="10" t="n">
        <v>242.2</v>
      </c>
      <c r="E1020" s="10" t="n"/>
      <c r="F1020" s="10" t="n"/>
      <c r="G1020" s="10">
        <f>IF(COUNT(D1020:F1020)=0,"",MIN(D1020:F1020))</f>
        <v/>
      </c>
      <c r="H1020" s="10">
        <f>IF(COUNT(D1020:F1020)=0,"",MEDIAN(D1020:F1020))</f>
        <v/>
      </c>
      <c r="I1020" s="10">
        <f>IF(COUNT(D1020:F1020)=0,"",MAX(D1020:F1020))</f>
        <v/>
      </c>
      <c r="J1020" s="11">
        <f>IF(OR(G1020="",G1020=0),"",(I1020-G1020)/G1020)</f>
        <v/>
      </c>
      <c r="K1020" s="4">
        <f>IF(COUNT(D1020:F1020)=0,"",INDEX($D$1:$F$1,MATCH(MIN(D1020:F1020),D1020:F1020,0)))</f>
        <v/>
      </c>
      <c r="L1020" s="10" t="n">
        <v>242.2</v>
      </c>
      <c r="M1020" s="12" t="n">
        <v>1</v>
      </c>
    </row>
    <row r="1021">
      <c r="A1021" s="4" t="inlineStr">
        <is>
          <t>MAT-30-017</t>
        </is>
      </c>
      <c r="B1021" s="5" t="inlineStr">
        <is>
          <t>Cable Firewire 9P A 9P De 1.8M</t>
        </is>
      </c>
      <c r="C1021" s="4" t="inlineStr">
        <is>
          <t>unidad</t>
        </is>
      </c>
      <c r="D1021" s="10" t="n">
        <v>15.72</v>
      </c>
      <c r="E1021" s="10" t="n"/>
      <c r="F1021" s="10" t="n"/>
      <c r="G1021" s="10">
        <f>IF(COUNT(D1021:F1021)=0,"",MIN(D1021:F1021))</f>
        <v/>
      </c>
      <c r="H1021" s="10">
        <f>IF(COUNT(D1021:F1021)=0,"",MEDIAN(D1021:F1021))</f>
        <v/>
      </c>
      <c r="I1021" s="10">
        <f>IF(COUNT(D1021:F1021)=0,"",MAX(D1021:F1021))</f>
        <v/>
      </c>
      <c r="J1021" s="11">
        <f>IF(OR(G1021="",G1021=0),"",(I1021-G1021)/G1021)</f>
        <v/>
      </c>
      <c r="K1021" s="4">
        <f>IF(COUNT(D1021:F1021)=0,"",INDEX($D$1:$F$1,MATCH(MIN(D1021:F1021),D1021:F1021,0)))</f>
        <v/>
      </c>
      <c r="L1021" s="10" t="n">
        <v>15.72</v>
      </c>
      <c r="M1021" s="12" t="n">
        <v>1</v>
      </c>
    </row>
    <row r="1022">
      <c r="A1022" s="4" t="inlineStr">
        <is>
          <t>MAT-30-018</t>
        </is>
      </c>
      <c r="B1022" s="5" t="inlineStr">
        <is>
          <t>Cable, 6 Fiber, Xglo, Singlemode</t>
        </is>
      </c>
      <c r="C1022" s="4" t="inlineStr">
        <is>
          <t>unidad</t>
        </is>
      </c>
      <c r="D1022" s="10" t="n">
        <v>437</v>
      </c>
      <c r="E1022" s="10" t="n"/>
      <c r="F1022" s="10" t="n"/>
      <c r="G1022" s="10">
        <f>IF(COUNT(D1022:F1022)=0,"",MIN(D1022:F1022))</f>
        <v/>
      </c>
      <c r="H1022" s="10">
        <f>IF(COUNT(D1022:F1022)=0,"",MEDIAN(D1022:F1022))</f>
        <v/>
      </c>
      <c r="I1022" s="10">
        <f>IF(COUNT(D1022:F1022)=0,"",MAX(D1022:F1022))</f>
        <v/>
      </c>
      <c r="J1022" s="11">
        <f>IF(OR(G1022="",G1022=0),"",(I1022-G1022)/G1022)</f>
        <v/>
      </c>
      <c r="K1022" s="4">
        <f>IF(COUNT(D1022:F1022)=0,"",INDEX($D$1:$F$1,MATCH(MIN(D1022:F1022),D1022:F1022,0)))</f>
        <v/>
      </c>
      <c r="L1022" s="10" t="n">
        <v>437</v>
      </c>
      <c r="M1022" s="12" t="n">
        <v>1</v>
      </c>
    </row>
    <row r="1023">
      <c r="A1023" s="4" t="inlineStr">
        <is>
          <t>MAT-30-019</t>
        </is>
      </c>
      <c r="B1023" s="5" t="inlineStr">
        <is>
          <t>Cable Audio 2 x 0.75+4 x 2X0.22</t>
        </is>
      </c>
      <c r="C1023" s="4" t="inlineStr">
        <is>
          <t>unidad</t>
        </is>
      </c>
      <c r="D1023" s="10" t="n">
        <v>617.2</v>
      </c>
      <c r="E1023" s="10" t="n"/>
      <c r="F1023" s="10" t="n"/>
      <c r="G1023" s="10">
        <f>IF(COUNT(D1023:F1023)=0,"",MIN(D1023:F1023))</f>
        <v/>
      </c>
      <c r="H1023" s="10">
        <f>IF(COUNT(D1023:F1023)=0,"",MEDIAN(D1023:F1023))</f>
        <v/>
      </c>
      <c r="I1023" s="10">
        <f>IF(COUNT(D1023:F1023)=0,"",MAX(D1023:F1023))</f>
        <v/>
      </c>
      <c r="J1023" s="11">
        <f>IF(OR(G1023="",G1023=0),"",(I1023-G1023)/G1023)</f>
        <v/>
      </c>
      <c r="K1023" s="4">
        <f>IF(COUNT(D1023:F1023)=0,"",INDEX($D$1:$F$1,MATCH(MIN(D1023:F1023),D1023:F1023,0)))</f>
        <v/>
      </c>
      <c r="L1023" s="10" t="n">
        <v>617.2</v>
      </c>
      <c r="M1023" s="12" t="n">
        <v>1</v>
      </c>
    </row>
    <row r="1024">
      <c r="A1024" s="4" t="inlineStr">
        <is>
          <t>MAT-30-020</t>
        </is>
      </c>
      <c r="B1024" s="5" t="inlineStr">
        <is>
          <t>Cable UTP blanco Blindado Cat 5E 24 / 4</t>
        </is>
      </c>
      <c r="C1024" s="4" t="inlineStr">
        <is>
          <t>unidad</t>
        </is>
      </c>
      <c r="D1024" s="10" t="n">
        <v>813.6</v>
      </c>
      <c r="E1024" s="10" t="n"/>
      <c r="F1024" s="10" t="n"/>
      <c r="G1024" s="10">
        <f>IF(COUNT(D1024:F1024)=0,"",MIN(D1024:F1024))</f>
        <v/>
      </c>
      <c r="H1024" s="10">
        <f>IF(COUNT(D1024:F1024)=0,"",MEDIAN(D1024:F1024))</f>
        <v/>
      </c>
      <c r="I1024" s="10">
        <f>IF(COUNT(D1024:F1024)=0,"",MAX(D1024:F1024))</f>
        <v/>
      </c>
      <c r="J1024" s="11">
        <f>IF(OR(G1024="",G1024=0),"",(I1024-G1024)/G1024)</f>
        <v/>
      </c>
      <c r="K1024" s="4">
        <f>IF(COUNT(D1024:F1024)=0,"",INDEX($D$1:$F$1,MATCH(MIN(D1024:F1024),D1024:F1024,0)))</f>
        <v/>
      </c>
      <c r="L1024" s="10" t="n">
        <v>813.6</v>
      </c>
      <c r="M1024" s="12" t="n">
        <v>1</v>
      </c>
    </row>
    <row r="1025">
      <c r="A1025" s="4" t="inlineStr">
        <is>
          <t>MAT-30-021</t>
        </is>
      </c>
      <c r="B1025" s="5" t="inlineStr">
        <is>
          <t>Cable telefónico 2 x 18 AWG Gris Blindado</t>
        </is>
      </c>
      <c r="C1025" s="4" t="inlineStr">
        <is>
          <t>unidad</t>
        </is>
      </c>
      <c r="D1025" s="10" t="n">
        <v>1675.6</v>
      </c>
      <c r="E1025" s="10" t="n"/>
      <c r="F1025" s="10" t="n"/>
      <c r="G1025" s="10">
        <f>IF(COUNT(D1025:F1025)=0,"",MIN(D1025:F1025))</f>
        <v/>
      </c>
      <c r="H1025" s="10">
        <f>IF(COUNT(D1025:F1025)=0,"",MEDIAN(D1025:F1025))</f>
        <v/>
      </c>
      <c r="I1025" s="10">
        <f>IF(COUNT(D1025:F1025)=0,"",MAX(D1025:F1025))</f>
        <v/>
      </c>
      <c r="J1025" s="11">
        <f>IF(OR(G1025="",G1025=0),"",(I1025-G1025)/G1025)</f>
        <v/>
      </c>
      <c r="K1025" s="4">
        <f>IF(COUNT(D1025:F1025)=0,"",INDEX($D$1:$F$1,MATCH(MIN(D1025:F1025),D1025:F1025,0)))</f>
        <v/>
      </c>
      <c r="L1025" s="10" t="n">
        <v>1675.6</v>
      </c>
      <c r="M1025" s="12" t="n">
        <v>1</v>
      </c>
    </row>
    <row r="1026">
      <c r="A1026" s="4" t="inlineStr">
        <is>
          <t>MAT-30-022</t>
        </is>
      </c>
      <c r="B1026" s="5" t="inlineStr">
        <is>
          <t>Cable UTP-Cat 5E 1 Ft Snagless</t>
        </is>
      </c>
      <c r="C1026" s="4" t="inlineStr">
        <is>
          <t>unidad</t>
        </is>
      </c>
      <c r="D1026" s="10" t="n">
        <v>125.64</v>
      </c>
      <c r="E1026" s="10" t="n"/>
      <c r="F1026" s="10" t="n"/>
      <c r="G1026" s="10">
        <f>IF(COUNT(D1026:F1026)=0,"",MIN(D1026:F1026))</f>
        <v/>
      </c>
      <c r="H1026" s="10">
        <f>IF(COUNT(D1026:F1026)=0,"",MEDIAN(D1026:F1026))</f>
        <v/>
      </c>
      <c r="I1026" s="10">
        <f>IF(COUNT(D1026:F1026)=0,"",MAX(D1026:F1026))</f>
        <v/>
      </c>
      <c r="J1026" s="11">
        <f>IF(OR(G1026="",G1026=0),"",(I1026-G1026)/G1026)</f>
        <v/>
      </c>
      <c r="K1026" s="4">
        <f>IF(COUNT(D1026:F1026)=0,"",INDEX($D$1:$F$1,MATCH(MIN(D1026:F1026),D1026:F1026,0)))</f>
        <v/>
      </c>
      <c r="L1026" s="10" t="n">
        <v>125.64</v>
      </c>
      <c r="M1026" s="12" t="n">
        <v>1</v>
      </c>
    </row>
    <row r="1027">
      <c r="A1027" s="4" t="inlineStr">
        <is>
          <t>MAT-30-023</t>
        </is>
      </c>
      <c r="B1027" s="5" t="inlineStr">
        <is>
          <t>Cable Hdmi 15'</t>
        </is>
      </c>
      <c r="C1027" s="4" t="inlineStr">
        <is>
          <t>unidad</t>
        </is>
      </c>
      <c r="D1027" s="10" t="n">
        <v>163.92</v>
      </c>
      <c r="E1027" s="10" t="n"/>
      <c r="F1027" s="10" t="n"/>
      <c r="G1027" s="10">
        <f>IF(COUNT(D1027:F1027)=0,"",MIN(D1027:F1027))</f>
        <v/>
      </c>
      <c r="H1027" s="10">
        <f>IF(COUNT(D1027:F1027)=0,"",MEDIAN(D1027:F1027))</f>
        <v/>
      </c>
      <c r="I1027" s="10">
        <f>IF(COUNT(D1027:F1027)=0,"",MAX(D1027:F1027))</f>
        <v/>
      </c>
      <c r="J1027" s="11">
        <f>IF(OR(G1027="",G1027=0),"",(I1027-G1027)/G1027)</f>
        <v/>
      </c>
      <c r="K1027" s="4">
        <f>IF(COUNT(D1027:F1027)=0,"",INDEX($D$1:$F$1,MATCH(MIN(D1027:F1027),D1027:F1027,0)))</f>
        <v/>
      </c>
      <c r="L1027" s="10" t="n">
        <v>163.92</v>
      </c>
      <c r="M1027" s="12" t="n">
        <v>1</v>
      </c>
    </row>
    <row r="1028">
      <c r="A1028" s="4" t="inlineStr">
        <is>
          <t>MAT-30-024</t>
        </is>
      </c>
      <c r="B1028" s="5" t="inlineStr">
        <is>
          <t>Cable Hdmi 10' 1.3 Mt 1002048</t>
        </is>
      </c>
      <c r="C1028" s="4" t="inlineStr">
        <is>
          <t>unidad</t>
        </is>
      </c>
      <c r="D1028" s="10" t="n">
        <v>192.95</v>
      </c>
      <c r="E1028" s="10" t="n"/>
      <c r="F1028" s="10" t="n"/>
      <c r="G1028" s="10">
        <f>IF(COUNT(D1028:F1028)=0,"",MIN(D1028:F1028))</f>
        <v/>
      </c>
      <c r="H1028" s="10">
        <f>IF(COUNT(D1028:F1028)=0,"",MEDIAN(D1028:F1028))</f>
        <v/>
      </c>
      <c r="I1028" s="10">
        <f>IF(COUNT(D1028:F1028)=0,"",MAX(D1028:F1028))</f>
        <v/>
      </c>
      <c r="J1028" s="11">
        <f>IF(OR(G1028="",G1028=0),"",(I1028-G1028)/G1028)</f>
        <v/>
      </c>
      <c r="K1028" s="4">
        <f>IF(COUNT(D1028:F1028)=0,"",INDEX($D$1:$F$1,MATCH(MIN(D1028:F1028),D1028:F1028,0)))</f>
        <v/>
      </c>
      <c r="L1028" s="10" t="n">
        <v>192.95</v>
      </c>
      <c r="M1028" s="12" t="n">
        <v>1</v>
      </c>
    </row>
    <row r="1029">
      <c r="A1029" s="4" t="inlineStr">
        <is>
          <t>MAT-30-025</t>
        </is>
      </c>
      <c r="B1029" s="5" t="inlineStr">
        <is>
          <t>Cable Hdmi 1080P 6'</t>
        </is>
      </c>
      <c r="C1029" s="4" t="inlineStr">
        <is>
          <t>unidad</t>
        </is>
      </c>
      <c r="D1029" s="10" t="n">
        <v>197.11</v>
      </c>
      <c r="E1029" s="10" t="n"/>
      <c r="F1029" s="10" t="n"/>
      <c r="G1029" s="10">
        <f>IF(COUNT(D1029:F1029)=0,"",MIN(D1029:F1029))</f>
        <v/>
      </c>
      <c r="H1029" s="10">
        <f>IF(COUNT(D1029:F1029)=0,"",MEDIAN(D1029:F1029))</f>
        <v/>
      </c>
      <c r="I1029" s="10">
        <f>IF(COUNT(D1029:F1029)=0,"",MAX(D1029:F1029))</f>
        <v/>
      </c>
      <c r="J1029" s="11">
        <f>IF(OR(G1029="",G1029=0),"",(I1029-G1029)/G1029)</f>
        <v/>
      </c>
      <c r="K1029" s="4">
        <f>IF(COUNT(D1029:F1029)=0,"",INDEX($D$1:$F$1,MATCH(MIN(D1029:F1029),D1029:F1029,0)))</f>
        <v/>
      </c>
      <c r="L1029" s="10" t="n">
        <v>197.11</v>
      </c>
      <c r="M1029" s="12" t="n">
        <v>1</v>
      </c>
    </row>
    <row r="1030">
      <c r="A1030" s="4" t="inlineStr">
        <is>
          <t>MAT-30-026</t>
        </is>
      </c>
      <c r="B1030" s="5" t="inlineStr">
        <is>
          <t>Cable Hdmi 1.8 Mts</t>
        </is>
      </c>
      <c r="C1030" s="4" t="inlineStr">
        <is>
          <t>unidad</t>
        </is>
      </c>
      <c r="D1030" s="10" t="n">
        <v>201.04</v>
      </c>
      <c r="E1030" s="10" t="n"/>
      <c r="F1030" s="10" t="n"/>
      <c r="G1030" s="10">
        <f>IF(COUNT(D1030:F1030)=0,"",MIN(D1030:F1030))</f>
        <v/>
      </c>
      <c r="H1030" s="10">
        <f>IF(COUNT(D1030:F1030)=0,"",MEDIAN(D1030:F1030))</f>
        <v/>
      </c>
      <c r="I1030" s="10">
        <f>IF(COUNT(D1030:F1030)=0,"",MAX(D1030:F1030))</f>
        <v/>
      </c>
      <c r="J1030" s="11">
        <f>IF(OR(G1030="",G1030=0),"",(I1030-G1030)/G1030)</f>
        <v/>
      </c>
      <c r="K1030" s="4">
        <f>IF(COUNT(D1030:F1030)=0,"",INDEX($D$1:$F$1,MATCH(MIN(D1030:F1030),D1030:F1030,0)))</f>
        <v/>
      </c>
      <c r="L1030" s="10" t="n">
        <v>201.04</v>
      </c>
      <c r="M1030" s="12" t="n">
        <v>1</v>
      </c>
    </row>
    <row r="1031">
      <c r="A1031" s="4" t="inlineStr">
        <is>
          <t>MAT-30-027</t>
        </is>
      </c>
      <c r="B1031" s="5" t="inlineStr">
        <is>
          <t>Cordon De Parcheo 3' Cat 6 blanco</t>
        </is>
      </c>
      <c r="C1031" s="4" t="inlineStr">
        <is>
          <t>unidad</t>
        </is>
      </c>
      <c r="D1031" s="10" t="n">
        <v>215.49</v>
      </c>
      <c r="E1031" s="10" t="n"/>
      <c r="F1031" s="10" t="n"/>
      <c r="G1031" s="10">
        <f>IF(COUNT(D1031:F1031)=0,"",MIN(D1031:F1031))</f>
        <v/>
      </c>
      <c r="H1031" s="10">
        <f>IF(COUNT(D1031:F1031)=0,"",MEDIAN(D1031:F1031))</f>
        <v/>
      </c>
      <c r="I1031" s="10">
        <f>IF(COUNT(D1031:F1031)=0,"",MAX(D1031:F1031))</f>
        <v/>
      </c>
      <c r="J1031" s="11">
        <f>IF(OR(G1031="",G1031=0),"",(I1031-G1031)/G1031)</f>
        <v/>
      </c>
      <c r="K1031" s="4">
        <f>IF(COUNT(D1031:F1031)=0,"",INDEX($D$1:$F$1,MATCH(MIN(D1031:F1031),D1031:F1031,0)))</f>
        <v/>
      </c>
      <c r="L1031" s="10" t="n">
        <v>215.49</v>
      </c>
      <c r="M1031" s="12" t="n">
        <v>1</v>
      </c>
    </row>
    <row r="1032">
      <c r="A1032" s="4" t="inlineStr">
        <is>
          <t>MAT-30-028</t>
        </is>
      </c>
      <c r="B1032" s="5" t="inlineStr">
        <is>
          <t>Cordon De Parcheo 3' Cat 6 Azul</t>
        </is>
      </c>
      <c r="C1032" s="4" t="inlineStr">
        <is>
          <t>unidad</t>
        </is>
      </c>
      <c r="D1032" s="10" t="n">
        <v>215.59</v>
      </c>
      <c r="E1032" s="10" t="n"/>
      <c r="F1032" s="10" t="n"/>
      <c r="G1032" s="10">
        <f>IF(COUNT(D1032:F1032)=0,"",MIN(D1032:F1032))</f>
        <v/>
      </c>
      <c r="H1032" s="10">
        <f>IF(COUNT(D1032:F1032)=0,"",MEDIAN(D1032:F1032))</f>
        <v/>
      </c>
      <c r="I1032" s="10">
        <f>IF(COUNT(D1032:F1032)=0,"",MAX(D1032:F1032))</f>
        <v/>
      </c>
      <c r="J1032" s="11">
        <f>IF(OR(G1032="",G1032=0),"",(I1032-G1032)/G1032)</f>
        <v/>
      </c>
      <c r="K1032" s="4">
        <f>IF(COUNT(D1032:F1032)=0,"",INDEX($D$1:$F$1,MATCH(MIN(D1032:F1032),D1032:F1032,0)))</f>
        <v/>
      </c>
      <c r="L1032" s="10" t="n">
        <v>215.59</v>
      </c>
      <c r="M1032" s="12" t="n">
        <v>1</v>
      </c>
    </row>
    <row r="1033">
      <c r="A1033" s="4" t="inlineStr">
        <is>
          <t>MAT-30-029</t>
        </is>
      </c>
      <c r="B1033" s="5" t="inlineStr">
        <is>
          <t>Cordon De Parcheo 5' Cat 6 Azul</t>
        </is>
      </c>
      <c r="C1033" s="4" t="inlineStr">
        <is>
          <t>unidad</t>
        </is>
      </c>
      <c r="D1033" s="10" t="n">
        <v>240.65</v>
      </c>
      <c r="E1033" s="10" t="n"/>
      <c r="F1033" s="10" t="n"/>
      <c r="G1033" s="10">
        <f>IF(COUNT(D1033:F1033)=0,"",MIN(D1033:F1033))</f>
        <v/>
      </c>
      <c r="H1033" s="10">
        <f>IF(COUNT(D1033:F1033)=0,"",MEDIAN(D1033:F1033))</f>
        <v/>
      </c>
      <c r="I1033" s="10">
        <f>IF(COUNT(D1033:F1033)=0,"",MAX(D1033:F1033))</f>
        <v/>
      </c>
      <c r="J1033" s="11">
        <f>IF(OR(G1033="",G1033=0),"",(I1033-G1033)/G1033)</f>
        <v/>
      </c>
      <c r="K1033" s="4">
        <f>IF(COUNT(D1033:F1033)=0,"",INDEX($D$1:$F$1,MATCH(MIN(D1033:F1033),D1033:F1033,0)))</f>
        <v/>
      </c>
      <c r="L1033" s="10" t="n">
        <v>240.65</v>
      </c>
      <c r="M1033" s="12" t="n">
        <v>1</v>
      </c>
    </row>
    <row r="1034">
      <c r="A1034" s="4" t="inlineStr">
        <is>
          <t>MAT-30-030</t>
        </is>
      </c>
      <c r="B1034" s="5" t="inlineStr">
        <is>
          <t>Cordon De Parcheo 5' Cat 6 blanco</t>
        </is>
      </c>
      <c r="C1034" s="4" t="inlineStr">
        <is>
          <t>unidad</t>
        </is>
      </c>
      <c r="D1034" s="10" t="n">
        <v>240.65</v>
      </c>
      <c r="E1034" s="10" t="n"/>
      <c r="F1034" s="10" t="n"/>
      <c r="G1034" s="10">
        <f>IF(COUNT(D1034:F1034)=0,"",MIN(D1034:F1034))</f>
        <v/>
      </c>
      <c r="H1034" s="10">
        <f>IF(COUNT(D1034:F1034)=0,"",MEDIAN(D1034:F1034))</f>
        <v/>
      </c>
      <c r="I1034" s="10">
        <f>IF(COUNT(D1034:F1034)=0,"",MAX(D1034:F1034))</f>
        <v/>
      </c>
      <c r="J1034" s="11">
        <f>IF(OR(G1034="",G1034=0),"",(I1034-G1034)/G1034)</f>
        <v/>
      </c>
      <c r="K1034" s="4">
        <f>IF(COUNT(D1034:F1034)=0,"",INDEX($D$1:$F$1,MATCH(MIN(D1034:F1034),D1034:F1034,0)))</f>
        <v/>
      </c>
      <c r="L1034" s="10" t="n">
        <v>241.04</v>
      </c>
      <c r="M1034" s="12" t="n">
        <v>1</v>
      </c>
    </row>
    <row r="1035">
      <c r="A1035" s="4" t="inlineStr">
        <is>
          <t>MAT-30-031</t>
        </is>
      </c>
      <c r="B1035" s="5" t="inlineStr">
        <is>
          <t>Cable Hdmi 10'</t>
        </is>
      </c>
      <c r="C1035" s="4" t="inlineStr">
        <is>
          <t>unidad</t>
        </is>
      </c>
      <c r="D1035" s="10" t="n">
        <v>248.21</v>
      </c>
      <c r="E1035" s="10" t="n"/>
      <c r="F1035" s="10" t="n"/>
      <c r="G1035" s="10">
        <f>IF(COUNT(D1035:F1035)=0,"",MIN(D1035:F1035))</f>
        <v/>
      </c>
      <c r="H1035" s="10">
        <f>IF(COUNT(D1035:F1035)=0,"",MEDIAN(D1035:F1035))</f>
        <v/>
      </c>
      <c r="I1035" s="10">
        <f>IF(COUNT(D1035:F1035)=0,"",MAX(D1035:F1035))</f>
        <v/>
      </c>
      <c r="J1035" s="11">
        <f>IF(OR(G1035="",G1035=0),"",(I1035-G1035)/G1035)</f>
        <v/>
      </c>
      <c r="K1035" s="4">
        <f>IF(COUNT(D1035:F1035)=0,"",INDEX($D$1:$F$1,MATCH(MIN(D1035:F1035),D1035:F1035,0)))</f>
        <v/>
      </c>
      <c r="L1035" s="10" t="n">
        <v>248.21</v>
      </c>
      <c r="M1035" s="12" t="n">
        <v>1</v>
      </c>
    </row>
    <row r="1036">
      <c r="A1036" s="4" t="inlineStr">
        <is>
          <t>MAT-30-032</t>
        </is>
      </c>
      <c r="B1036" s="5" t="inlineStr">
        <is>
          <t>Cable Conexión Ethernet Cat 6 25' 7.5M</t>
        </is>
      </c>
      <c r="C1036" s="4" t="inlineStr">
        <is>
          <t>unidad</t>
        </is>
      </c>
      <c r="D1036" s="10" t="n">
        <v>255.45</v>
      </c>
      <c r="E1036" s="10" t="n"/>
      <c r="F1036" s="10" t="n"/>
      <c r="G1036" s="10">
        <f>IF(COUNT(D1036:F1036)=0,"",MIN(D1036:F1036))</f>
        <v/>
      </c>
      <c r="H1036" s="10">
        <f>IF(COUNT(D1036:F1036)=0,"",MEDIAN(D1036:F1036))</f>
        <v/>
      </c>
      <c r="I1036" s="10">
        <f>IF(COUNT(D1036:F1036)=0,"",MAX(D1036:F1036))</f>
        <v/>
      </c>
      <c r="J1036" s="11">
        <f>IF(OR(G1036="",G1036=0),"",(I1036-G1036)/G1036)</f>
        <v/>
      </c>
      <c r="K1036" s="4">
        <f>IF(COUNT(D1036:F1036)=0,"",INDEX($D$1:$F$1,MATCH(MIN(D1036:F1036),D1036:F1036,0)))</f>
        <v/>
      </c>
      <c r="L1036" s="10" t="n">
        <v>255.45</v>
      </c>
      <c r="M1036" s="12" t="n">
        <v>1</v>
      </c>
    </row>
    <row r="1037">
      <c r="A1037" s="4" t="inlineStr">
        <is>
          <t>MAT-30-033</t>
        </is>
      </c>
      <c r="B1037" s="5" t="inlineStr">
        <is>
          <t>Cordon De Parcheo 7' Cat 6 Azul</t>
        </is>
      </c>
      <c r="C1037" s="4" t="inlineStr">
        <is>
          <t>unidad</t>
        </is>
      </c>
      <c r="D1037" s="10" t="n">
        <v>260.47</v>
      </c>
      <c r="E1037" s="10" t="n"/>
      <c r="F1037" s="10" t="n"/>
      <c r="G1037" s="10">
        <f>IF(COUNT(D1037:F1037)=0,"",MIN(D1037:F1037))</f>
        <v/>
      </c>
      <c r="H1037" s="10">
        <f>IF(COUNT(D1037:F1037)=0,"",MEDIAN(D1037:F1037))</f>
        <v/>
      </c>
      <c r="I1037" s="10">
        <f>IF(COUNT(D1037:F1037)=0,"",MAX(D1037:F1037))</f>
        <v/>
      </c>
      <c r="J1037" s="11">
        <f>IF(OR(G1037="",G1037=0),"",(I1037-G1037)/G1037)</f>
        <v/>
      </c>
      <c r="K1037" s="4">
        <f>IF(COUNT(D1037:F1037)=0,"",INDEX($D$1:$F$1,MATCH(MIN(D1037:F1037),D1037:F1037,0)))</f>
        <v/>
      </c>
      <c r="L1037" s="10" t="n">
        <v>260.47</v>
      </c>
      <c r="M1037" s="12" t="n">
        <v>1</v>
      </c>
    </row>
    <row r="1038">
      <c r="A1038" s="4" t="inlineStr">
        <is>
          <t>MAT-30-034</t>
        </is>
      </c>
      <c r="B1038" s="5" t="inlineStr">
        <is>
          <t>Cordon De Parcheo 7' Cat 6 blanco</t>
        </is>
      </c>
      <c r="C1038" s="4" t="inlineStr">
        <is>
          <t>unidad</t>
        </is>
      </c>
      <c r="D1038" s="10" t="n">
        <v>260.47</v>
      </c>
      <c r="E1038" s="10" t="n"/>
      <c r="F1038" s="10" t="n"/>
      <c r="G1038" s="10">
        <f>IF(COUNT(D1038:F1038)=0,"",MIN(D1038:F1038))</f>
        <v/>
      </c>
      <c r="H1038" s="10">
        <f>IF(COUNT(D1038:F1038)=0,"",MEDIAN(D1038:F1038))</f>
        <v/>
      </c>
      <c r="I1038" s="10">
        <f>IF(COUNT(D1038:F1038)=0,"",MAX(D1038:F1038))</f>
        <v/>
      </c>
      <c r="J1038" s="11">
        <f>IF(OR(G1038="",G1038=0),"",(I1038-G1038)/G1038)</f>
        <v/>
      </c>
      <c r="K1038" s="4">
        <f>IF(COUNT(D1038:F1038)=0,"",INDEX($D$1:$F$1,MATCH(MIN(D1038:F1038),D1038:F1038,0)))</f>
        <v/>
      </c>
      <c r="L1038" s="10" t="n">
        <v>260.47</v>
      </c>
      <c r="M1038" s="12" t="n">
        <v>1</v>
      </c>
    </row>
    <row r="1039">
      <c r="A1039" s="4" t="inlineStr">
        <is>
          <t>MAT-30-035</t>
        </is>
      </c>
      <c r="B1039" s="5" t="inlineStr">
        <is>
          <t>Cable Audio 3.5 Mm 2 Ra 12'</t>
        </is>
      </c>
      <c r="C1039" s="4" t="inlineStr">
        <is>
          <t>unidad</t>
        </is>
      </c>
      <c r="D1039" s="10" t="n">
        <v>264.7</v>
      </c>
      <c r="E1039" s="10" t="n"/>
      <c r="F1039" s="10" t="n"/>
      <c r="G1039" s="10">
        <f>IF(COUNT(D1039:F1039)=0,"",MIN(D1039:F1039))</f>
        <v/>
      </c>
      <c r="H1039" s="10">
        <f>IF(COUNT(D1039:F1039)=0,"",MEDIAN(D1039:F1039))</f>
        <v/>
      </c>
      <c r="I1039" s="10">
        <f>IF(COUNT(D1039:F1039)=0,"",MAX(D1039:F1039))</f>
        <v/>
      </c>
      <c r="J1039" s="11">
        <f>IF(OR(G1039="",G1039=0),"",(I1039-G1039)/G1039)</f>
        <v/>
      </c>
      <c r="K1039" s="4">
        <f>IF(COUNT(D1039:F1039)=0,"",INDEX($D$1:$F$1,MATCH(MIN(D1039:F1039),D1039:F1039,0)))</f>
        <v/>
      </c>
      <c r="L1039" s="10" t="n">
        <v>264.7</v>
      </c>
      <c r="M1039" s="12" t="n">
        <v>1</v>
      </c>
    </row>
    <row r="1040">
      <c r="A1040" s="4" t="inlineStr">
        <is>
          <t>MAT-30-036</t>
        </is>
      </c>
      <c r="B1040" s="5" t="inlineStr">
        <is>
          <t>Cable UTP-Cat 6 7 Ft Snagless</t>
        </is>
      </c>
      <c r="C1040" s="4" t="inlineStr">
        <is>
          <t>unidad</t>
        </is>
      </c>
      <c r="D1040" s="10" t="n">
        <v>292.86</v>
      </c>
      <c r="E1040" s="10" t="n"/>
      <c r="F1040" s="10" t="n"/>
      <c r="G1040" s="10">
        <f>IF(COUNT(D1040:F1040)=0,"",MIN(D1040:F1040))</f>
        <v/>
      </c>
      <c r="H1040" s="10">
        <f>IF(COUNT(D1040:F1040)=0,"",MEDIAN(D1040:F1040))</f>
        <v/>
      </c>
      <c r="I1040" s="10">
        <f>IF(COUNT(D1040:F1040)=0,"",MAX(D1040:F1040))</f>
        <v/>
      </c>
      <c r="J1040" s="11">
        <f>IF(OR(G1040="",G1040=0),"",(I1040-G1040)/G1040)</f>
        <v/>
      </c>
      <c r="K1040" s="4">
        <f>IF(COUNT(D1040:F1040)=0,"",INDEX($D$1:$F$1,MATCH(MIN(D1040:F1040),D1040:F1040,0)))</f>
        <v/>
      </c>
      <c r="L1040" s="10" t="n">
        <v>292.86</v>
      </c>
      <c r="M1040" s="12" t="n">
        <v>1</v>
      </c>
    </row>
    <row r="1041">
      <c r="A1041" s="4" t="inlineStr">
        <is>
          <t>MAT-30-037</t>
        </is>
      </c>
      <c r="B1041" s="5" t="inlineStr">
        <is>
          <t>Cordon De Parcheo 10' Cat 6 blanco</t>
        </is>
      </c>
      <c r="C1041" s="4" t="inlineStr">
        <is>
          <t>unidad</t>
        </is>
      </c>
      <c r="D1041" s="10" t="n">
        <v>298.26</v>
      </c>
      <c r="E1041" s="10" t="n"/>
      <c r="F1041" s="10" t="n"/>
      <c r="G1041" s="10">
        <f>IF(COUNT(D1041:F1041)=0,"",MIN(D1041:F1041))</f>
        <v/>
      </c>
      <c r="H1041" s="10">
        <f>IF(COUNT(D1041:F1041)=0,"",MEDIAN(D1041:F1041))</f>
        <v/>
      </c>
      <c r="I1041" s="10">
        <f>IF(COUNT(D1041:F1041)=0,"",MAX(D1041:F1041))</f>
        <v/>
      </c>
      <c r="J1041" s="11">
        <f>IF(OR(G1041="",G1041=0),"",(I1041-G1041)/G1041)</f>
        <v/>
      </c>
      <c r="K1041" s="4">
        <f>IF(COUNT(D1041:F1041)=0,"",INDEX($D$1:$F$1,MATCH(MIN(D1041:F1041),D1041:F1041,0)))</f>
        <v/>
      </c>
      <c r="L1041" s="10" t="n">
        <v>298.26</v>
      </c>
      <c r="M1041" s="12" t="n">
        <v>1</v>
      </c>
    </row>
    <row r="1042">
      <c r="A1042" s="4" t="inlineStr">
        <is>
          <t>MAT-30-038</t>
        </is>
      </c>
      <c r="B1042" s="5" t="inlineStr">
        <is>
          <t>Cable Hdmi V1.4. 15'</t>
        </is>
      </c>
      <c r="C1042" s="4" t="inlineStr">
        <is>
          <t>unidad</t>
        </is>
      </c>
      <c r="D1042" s="10" t="n">
        <v>325.13</v>
      </c>
      <c r="E1042" s="10" t="n"/>
      <c r="F1042" s="10" t="n"/>
      <c r="G1042" s="10">
        <f>IF(COUNT(D1042:F1042)=0,"",MIN(D1042:F1042))</f>
        <v/>
      </c>
      <c r="H1042" s="10">
        <f>IF(COUNT(D1042:F1042)=0,"",MEDIAN(D1042:F1042))</f>
        <v/>
      </c>
      <c r="I1042" s="10">
        <f>IF(COUNT(D1042:F1042)=0,"",MAX(D1042:F1042))</f>
        <v/>
      </c>
      <c r="J1042" s="11">
        <f>IF(OR(G1042="",G1042=0),"",(I1042-G1042)/G1042)</f>
        <v/>
      </c>
      <c r="K1042" s="4">
        <f>IF(COUNT(D1042:F1042)=0,"",INDEX($D$1:$F$1,MATCH(MIN(D1042:F1042),D1042:F1042,0)))</f>
        <v/>
      </c>
      <c r="L1042" s="10" t="n">
        <v>325.13</v>
      </c>
      <c r="M1042" s="12" t="n">
        <v>1</v>
      </c>
    </row>
    <row r="1043">
      <c r="A1043" s="4" t="inlineStr">
        <is>
          <t>MAT-30-039</t>
        </is>
      </c>
      <c r="B1043" s="5" t="inlineStr">
        <is>
          <t>Cable Hdmi High Speed Hdtv</t>
        </is>
      </c>
      <c r="C1043" s="4" t="inlineStr">
        <is>
          <t>unidad</t>
        </is>
      </c>
      <c r="D1043" s="10" t="n">
        <v>351.76</v>
      </c>
      <c r="E1043" s="10" t="n"/>
      <c r="F1043" s="10" t="n"/>
      <c r="G1043" s="10">
        <f>IF(COUNT(D1043:F1043)=0,"",MIN(D1043:F1043))</f>
        <v/>
      </c>
      <c r="H1043" s="10">
        <f>IF(COUNT(D1043:F1043)=0,"",MEDIAN(D1043:F1043))</f>
        <v/>
      </c>
      <c r="I1043" s="10">
        <f>IF(COUNT(D1043:F1043)=0,"",MAX(D1043:F1043))</f>
        <v/>
      </c>
      <c r="J1043" s="11">
        <f>IF(OR(G1043="",G1043=0),"",(I1043-G1043)/G1043)</f>
        <v/>
      </c>
      <c r="K1043" s="4">
        <f>IF(COUNT(D1043:F1043)=0,"",INDEX($D$1:$F$1,MATCH(MIN(D1043:F1043),D1043:F1043,0)))</f>
        <v/>
      </c>
      <c r="L1043" s="10" t="n">
        <v>351.76</v>
      </c>
      <c r="M1043" s="12" t="n">
        <v>1</v>
      </c>
    </row>
    <row r="1044">
      <c r="A1044" s="4" t="inlineStr">
        <is>
          <t>MAT-30-040</t>
        </is>
      </c>
      <c r="B1044" s="5" t="inlineStr">
        <is>
          <t>Cordon De Parcheo 15' Cat 6 blanco</t>
        </is>
      </c>
      <c r="C1044" s="4" t="inlineStr">
        <is>
          <t>unidad</t>
        </is>
      </c>
      <c r="D1044" s="10" t="n">
        <v>367.05</v>
      </c>
      <c r="E1044" s="10" t="n"/>
      <c r="F1044" s="10" t="n"/>
      <c r="G1044" s="10">
        <f>IF(COUNT(D1044:F1044)=0,"",MIN(D1044:F1044))</f>
        <v/>
      </c>
      <c r="H1044" s="10">
        <f>IF(COUNT(D1044:F1044)=0,"",MEDIAN(D1044:F1044))</f>
        <v/>
      </c>
      <c r="I1044" s="10">
        <f>IF(COUNT(D1044:F1044)=0,"",MAX(D1044:F1044))</f>
        <v/>
      </c>
      <c r="J1044" s="11">
        <f>IF(OR(G1044="",G1044=0),"",(I1044-G1044)/G1044)</f>
        <v/>
      </c>
      <c r="K1044" s="4">
        <f>IF(COUNT(D1044:F1044)=0,"",INDEX($D$1:$F$1,MATCH(MIN(D1044:F1044),D1044:F1044,0)))</f>
        <v/>
      </c>
      <c r="L1044" s="10" t="n">
        <v>367.05</v>
      </c>
      <c r="M1044" s="12" t="n">
        <v>1</v>
      </c>
    </row>
    <row r="1045">
      <c r="A1045" s="4" t="inlineStr">
        <is>
          <t>MAT-30-041</t>
        </is>
      </c>
      <c r="B1045" s="5" t="inlineStr">
        <is>
          <t>Cable Hdmi 1080P 25'</t>
        </is>
      </c>
      <c r="C1045" s="4" t="inlineStr">
        <is>
          <t>unidad</t>
        </is>
      </c>
      <c r="D1045" s="10" t="n">
        <v>430.94</v>
      </c>
      <c r="E1045" s="10" t="n"/>
      <c r="F1045" s="10" t="n"/>
      <c r="G1045" s="10">
        <f>IF(COUNT(D1045:F1045)=0,"",MIN(D1045:F1045))</f>
        <v/>
      </c>
      <c r="H1045" s="10">
        <f>IF(COUNT(D1045:F1045)=0,"",MEDIAN(D1045:F1045))</f>
        <v/>
      </c>
      <c r="I1045" s="10">
        <f>IF(COUNT(D1045:F1045)=0,"",MAX(D1045:F1045))</f>
        <v/>
      </c>
      <c r="J1045" s="11">
        <f>IF(OR(G1045="",G1045=0),"",(I1045-G1045)/G1045)</f>
        <v/>
      </c>
      <c r="K1045" s="4">
        <f>IF(COUNT(D1045:F1045)=0,"",INDEX($D$1:$F$1,MATCH(MIN(D1045:F1045),D1045:F1045,0)))</f>
        <v/>
      </c>
      <c r="L1045" s="10" t="n">
        <v>430.94</v>
      </c>
      <c r="M1045" s="12" t="n">
        <v>1</v>
      </c>
    </row>
    <row r="1046">
      <c r="A1046" s="4" t="inlineStr">
        <is>
          <t>MAT-30-042</t>
        </is>
      </c>
      <c r="B1046" s="5" t="inlineStr">
        <is>
          <t>Cordon De Parcheo 3' RJ45 Cat 6A blanco</t>
        </is>
      </c>
      <c r="C1046" s="4" t="inlineStr">
        <is>
          <t>unidad</t>
        </is>
      </c>
      <c r="D1046" s="10" t="n">
        <v>466.67</v>
      </c>
      <c r="E1046" s="10" t="n"/>
      <c r="F1046" s="10" t="n"/>
      <c r="G1046" s="10">
        <f>IF(COUNT(D1046:F1046)=0,"",MIN(D1046:F1046))</f>
        <v/>
      </c>
      <c r="H1046" s="10">
        <f>IF(COUNT(D1046:F1046)=0,"",MEDIAN(D1046:F1046))</f>
        <v/>
      </c>
      <c r="I1046" s="10">
        <f>IF(COUNT(D1046:F1046)=0,"",MAX(D1046:F1046))</f>
        <v/>
      </c>
      <c r="J1046" s="11">
        <f>IF(OR(G1046="",G1046=0),"",(I1046-G1046)/G1046)</f>
        <v/>
      </c>
      <c r="K1046" s="4">
        <f>IF(COUNT(D1046:F1046)=0,"",INDEX($D$1:$F$1,MATCH(MIN(D1046:F1046),D1046:F1046,0)))</f>
        <v/>
      </c>
      <c r="L1046" s="10" t="n">
        <v>466.67</v>
      </c>
      <c r="M1046" s="12" t="n">
        <v>1</v>
      </c>
    </row>
    <row r="1047">
      <c r="A1047" s="4" t="inlineStr">
        <is>
          <t>MAT-30-043</t>
        </is>
      </c>
      <c r="B1047" s="5" t="inlineStr">
        <is>
          <t>Cable Conexión Ethernet Cat 6 50' 15M</t>
        </is>
      </c>
      <c r="C1047" s="4" t="inlineStr">
        <is>
          <t>unidad</t>
        </is>
      </c>
      <c r="D1047" s="10" t="n">
        <v>477.1</v>
      </c>
      <c r="E1047" s="10" t="n"/>
      <c r="F1047" s="10" t="n"/>
      <c r="G1047" s="10">
        <f>IF(COUNT(D1047:F1047)=0,"",MIN(D1047:F1047))</f>
        <v/>
      </c>
      <c r="H1047" s="10">
        <f>IF(COUNT(D1047:F1047)=0,"",MEDIAN(D1047:F1047))</f>
        <v/>
      </c>
      <c r="I1047" s="10">
        <f>IF(COUNT(D1047:F1047)=0,"",MAX(D1047:F1047))</f>
        <v/>
      </c>
      <c r="J1047" s="11">
        <f>IF(OR(G1047="",G1047=0),"",(I1047-G1047)/G1047)</f>
        <v/>
      </c>
      <c r="K1047" s="4">
        <f>IF(COUNT(D1047:F1047)=0,"",INDEX($D$1:$F$1,MATCH(MIN(D1047:F1047),D1047:F1047,0)))</f>
        <v/>
      </c>
      <c r="L1047" s="10" t="n">
        <v>477.1</v>
      </c>
      <c r="M1047" s="12" t="n">
        <v>1</v>
      </c>
    </row>
    <row r="1048">
      <c r="A1048" s="4" t="inlineStr">
        <is>
          <t>MAT-30-044</t>
        </is>
      </c>
      <c r="B1048" s="5" t="inlineStr">
        <is>
          <t>Cordon De Parcheo 5' RJ45 Cat 6A Azul</t>
        </is>
      </c>
      <c r="C1048" s="4" t="inlineStr">
        <is>
          <t>unidad</t>
        </is>
      </c>
      <c r="D1048" s="10" t="n">
        <v>503</v>
      </c>
      <c r="E1048" s="10" t="n"/>
      <c r="F1048" s="10" t="n"/>
      <c r="G1048" s="10">
        <f>IF(COUNT(D1048:F1048)=0,"",MIN(D1048:F1048))</f>
        <v/>
      </c>
      <c r="H1048" s="10">
        <f>IF(COUNT(D1048:F1048)=0,"",MEDIAN(D1048:F1048))</f>
        <v/>
      </c>
      <c r="I1048" s="10">
        <f>IF(COUNT(D1048:F1048)=0,"",MAX(D1048:F1048))</f>
        <v/>
      </c>
      <c r="J1048" s="11">
        <f>IF(OR(G1048="",G1048=0),"",(I1048-G1048)/G1048)</f>
        <v/>
      </c>
      <c r="K1048" s="4">
        <f>IF(COUNT(D1048:F1048)=0,"",INDEX($D$1:$F$1,MATCH(MIN(D1048:F1048),D1048:F1048,0)))</f>
        <v/>
      </c>
      <c r="L1048" s="10" t="n">
        <v>503</v>
      </c>
      <c r="M1048" s="12" t="n">
        <v>1</v>
      </c>
    </row>
    <row r="1049">
      <c r="A1049" s="4" t="inlineStr">
        <is>
          <t>MAT-30-045</t>
        </is>
      </c>
      <c r="B1049" s="5" t="inlineStr">
        <is>
          <t>Cordon De Parcheo 5' RJ45 Cat 6A blanco</t>
        </is>
      </c>
      <c r="C1049" s="4" t="inlineStr">
        <is>
          <t>unidad</t>
        </is>
      </c>
      <c r="D1049" s="10" t="n">
        <v>503</v>
      </c>
      <c r="E1049" s="10" t="n"/>
      <c r="F1049" s="10" t="n"/>
      <c r="G1049" s="10">
        <f>IF(COUNT(D1049:F1049)=0,"",MIN(D1049:F1049))</f>
        <v/>
      </c>
      <c r="H1049" s="10">
        <f>IF(COUNT(D1049:F1049)=0,"",MEDIAN(D1049:F1049))</f>
        <v/>
      </c>
      <c r="I1049" s="10">
        <f>IF(COUNT(D1049:F1049)=0,"",MAX(D1049:F1049))</f>
        <v/>
      </c>
      <c r="J1049" s="11">
        <f>IF(OR(G1049="",G1049=0),"",(I1049-G1049)/G1049)</f>
        <v/>
      </c>
      <c r="K1049" s="4">
        <f>IF(COUNT(D1049:F1049)=0,"",INDEX($D$1:$F$1,MATCH(MIN(D1049:F1049),D1049:F1049,0)))</f>
        <v/>
      </c>
      <c r="L1049" s="10" t="n">
        <v>503</v>
      </c>
      <c r="M1049" s="12" t="n">
        <v>1</v>
      </c>
    </row>
    <row r="1050">
      <c r="A1050" s="4" t="inlineStr">
        <is>
          <t>MAT-30-046</t>
        </is>
      </c>
      <c r="B1050" s="5" t="inlineStr">
        <is>
          <t>Cable Hdmi V2.1 5'</t>
        </is>
      </c>
      <c r="C1050" s="4" t="inlineStr">
        <is>
          <t>unidad</t>
        </is>
      </c>
      <c r="D1050" s="10" t="n">
        <v>508.63</v>
      </c>
      <c r="E1050" s="10" t="n"/>
      <c r="F1050" s="10" t="n"/>
      <c r="G1050" s="10">
        <f>IF(COUNT(D1050:F1050)=0,"",MIN(D1050:F1050))</f>
        <v/>
      </c>
      <c r="H1050" s="10">
        <f>IF(COUNT(D1050:F1050)=0,"",MEDIAN(D1050:F1050))</f>
        <v/>
      </c>
      <c r="I1050" s="10">
        <f>IF(COUNT(D1050:F1050)=0,"",MAX(D1050:F1050))</f>
        <v/>
      </c>
      <c r="J1050" s="11">
        <f>IF(OR(G1050="",G1050=0),"",(I1050-G1050)/G1050)</f>
        <v/>
      </c>
      <c r="K1050" s="4">
        <f>IF(COUNT(D1050:F1050)=0,"",INDEX($D$1:$F$1,MATCH(MIN(D1050:F1050),D1050:F1050,0)))</f>
        <v/>
      </c>
      <c r="L1050" s="10" t="n">
        <v>508.63</v>
      </c>
      <c r="M1050" s="12" t="n">
        <v>1</v>
      </c>
    </row>
    <row r="1051">
      <c r="A1051" s="4" t="inlineStr">
        <is>
          <t>MAT-30-047</t>
        </is>
      </c>
      <c r="B1051" s="5" t="inlineStr">
        <is>
          <t>Cable Hdmi 10 Ft 4K High Speed Etherne</t>
        </is>
      </c>
      <c r="C1051" s="4" t="inlineStr">
        <is>
          <t>unidad</t>
        </is>
      </c>
      <c r="D1051" s="10" t="n">
        <v>639.3</v>
      </c>
      <c r="E1051" s="10" t="n"/>
      <c r="F1051" s="10" t="n"/>
      <c r="G1051" s="10">
        <f>IF(COUNT(D1051:F1051)=0,"",MIN(D1051:F1051))</f>
        <v/>
      </c>
      <c r="H1051" s="10">
        <f>IF(COUNT(D1051:F1051)=0,"",MEDIAN(D1051:F1051))</f>
        <v/>
      </c>
      <c r="I1051" s="10">
        <f>IF(COUNT(D1051:F1051)=0,"",MAX(D1051:F1051))</f>
        <v/>
      </c>
      <c r="J1051" s="11">
        <f>IF(OR(G1051="",G1051=0),"",(I1051-G1051)/G1051)</f>
        <v/>
      </c>
      <c r="K1051" s="4">
        <f>IF(COUNT(D1051:F1051)=0,"",INDEX($D$1:$F$1,MATCH(MIN(D1051:F1051),D1051:F1051,0)))</f>
        <v/>
      </c>
      <c r="L1051" s="10" t="n">
        <v>639.3</v>
      </c>
      <c r="M1051" s="12" t="n">
        <v>1</v>
      </c>
    </row>
    <row r="1052">
      <c r="A1052" s="4" t="inlineStr">
        <is>
          <t>MAT-30-048</t>
        </is>
      </c>
      <c r="B1052" s="5" t="inlineStr">
        <is>
          <t>Cable Hdmi 1M (3.3')</t>
        </is>
      </c>
      <c r="C1052" s="4" t="inlineStr">
        <is>
          <t>unidad</t>
        </is>
      </c>
      <c r="D1052" s="10" t="n">
        <v>733.41</v>
      </c>
      <c r="E1052" s="10" t="n"/>
      <c r="F1052" s="10" t="n"/>
      <c r="G1052" s="10">
        <f>IF(COUNT(D1052:F1052)=0,"",MIN(D1052:F1052))</f>
        <v/>
      </c>
      <c r="H1052" s="10">
        <f>IF(COUNT(D1052:F1052)=0,"",MEDIAN(D1052:F1052))</f>
        <v/>
      </c>
      <c r="I1052" s="10">
        <f>IF(COUNT(D1052:F1052)=0,"",MAX(D1052:F1052))</f>
        <v/>
      </c>
      <c r="J1052" s="11">
        <f>IF(OR(G1052="",G1052=0),"",(I1052-G1052)/G1052)</f>
        <v/>
      </c>
      <c r="K1052" s="4">
        <f>IF(COUNT(D1052:F1052)=0,"",INDEX($D$1:$F$1,MATCH(MIN(D1052:F1052),D1052:F1052,0)))</f>
        <v/>
      </c>
      <c r="L1052" s="10" t="n">
        <v>733.41</v>
      </c>
      <c r="M1052" s="12" t="n">
        <v>1</v>
      </c>
    </row>
    <row r="1053">
      <c r="A1053" s="4" t="inlineStr">
        <is>
          <t>MAT-30-049</t>
        </is>
      </c>
      <c r="B1053" s="5" t="inlineStr">
        <is>
          <t>Cable De Conexión Tera Cat 6A 1 / 10G 2M</t>
        </is>
      </c>
      <c r="C1053" s="4" t="inlineStr">
        <is>
          <t>unidad</t>
        </is>
      </c>
      <c r="D1053" s="10" t="n">
        <v>860.04</v>
      </c>
      <c r="E1053" s="10" t="n"/>
      <c r="F1053" s="10" t="n"/>
      <c r="G1053" s="10">
        <f>IF(COUNT(D1053:F1053)=0,"",MIN(D1053:F1053))</f>
        <v/>
      </c>
      <c r="H1053" s="10">
        <f>IF(COUNT(D1053:F1053)=0,"",MEDIAN(D1053:F1053))</f>
        <v/>
      </c>
      <c r="I1053" s="10">
        <f>IF(COUNT(D1053:F1053)=0,"",MAX(D1053:F1053))</f>
        <v/>
      </c>
      <c r="J1053" s="11">
        <f>IF(OR(G1053="",G1053=0),"",(I1053-G1053)/G1053)</f>
        <v/>
      </c>
      <c r="K1053" s="4">
        <f>IF(COUNT(D1053:F1053)=0,"",INDEX($D$1:$F$1,MATCH(MIN(D1053:F1053),D1053:F1053,0)))</f>
        <v/>
      </c>
      <c r="L1053" s="10" t="n">
        <v>860.04</v>
      </c>
      <c r="M1053" s="12" t="n">
        <v>1</v>
      </c>
    </row>
    <row r="1054">
      <c r="A1054" s="4" t="inlineStr">
        <is>
          <t>MAT-30-050</t>
        </is>
      </c>
      <c r="B1054" s="5" t="inlineStr">
        <is>
          <t>Cable Hdmi 50 Pies</t>
        </is>
      </c>
      <c r="C1054" s="4" t="inlineStr">
        <is>
          <t>unidad</t>
        </is>
      </c>
      <c r="D1054" s="10" t="n">
        <v>1026.6</v>
      </c>
      <c r="E1054" s="10" t="n"/>
      <c r="F1054" s="10" t="n"/>
      <c r="G1054" s="10">
        <f>IF(COUNT(D1054:F1054)=0,"",MIN(D1054:F1054))</f>
        <v/>
      </c>
      <c r="H1054" s="10">
        <f>IF(COUNT(D1054:F1054)=0,"",MEDIAN(D1054:F1054))</f>
        <v/>
      </c>
      <c r="I1054" s="10">
        <f>IF(COUNT(D1054:F1054)=0,"",MAX(D1054:F1054))</f>
        <v/>
      </c>
      <c r="J1054" s="11">
        <f>IF(OR(G1054="",G1054=0),"",(I1054-G1054)/G1054)</f>
        <v/>
      </c>
      <c r="K1054" s="4">
        <f>IF(COUNT(D1054:F1054)=0,"",INDEX($D$1:$F$1,MATCH(MIN(D1054:F1054),D1054:F1054,0)))</f>
        <v/>
      </c>
      <c r="L1054" s="10" t="n">
        <v>1026.6</v>
      </c>
      <c r="M1054" s="12" t="n">
        <v>1</v>
      </c>
    </row>
    <row r="1055">
      <c r="A1055" s="4" t="inlineStr">
        <is>
          <t>MAT-30-051</t>
        </is>
      </c>
      <c r="B1055" s="5" t="inlineStr">
        <is>
          <t>Cable Hdmi 1080P 50 Pies</t>
        </is>
      </c>
      <c r="C1055" s="4" t="inlineStr">
        <is>
          <t>unidad</t>
        </is>
      </c>
      <c r="D1055" s="10" t="n">
        <v>1133.86</v>
      </c>
      <c r="E1055" s="10" t="n"/>
      <c r="F1055" s="10" t="n"/>
      <c r="G1055" s="10">
        <f>IF(COUNT(D1055:F1055)=0,"",MIN(D1055:F1055))</f>
        <v/>
      </c>
      <c r="H1055" s="10">
        <f>IF(COUNT(D1055:F1055)=0,"",MEDIAN(D1055:F1055))</f>
        <v/>
      </c>
      <c r="I1055" s="10">
        <f>IF(COUNT(D1055:F1055)=0,"",MAX(D1055:F1055))</f>
        <v/>
      </c>
      <c r="J1055" s="11">
        <f>IF(OR(G1055="",G1055=0),"",(I1055-G1055)/G1055)</f>
        <v/>
      </c>
      <c r="K1055" s="4">
        <f>IF(COUNT(D1055:F1055)=0,"",INDEX($D$1:$F$1,MATCH(MIN(D1055:F1055),D1055:F1055,0)))</f>
        <v/>
      </c>
      <c r="L1055" s="10" t="n">
        <v>1133.86</v>
      </c>
      <c r="M1055" s="12" t="n">
        <v>1</v>
      </c>
    </row>
    <row r="1056">
      <c r="A1056" s="4" t="inlineStr">
        <is>
          <t>MAT-30-052</t>
        </is>
      </c>
      <c r="B1056" s="5" t="inlineStr">
        <is>
          <t>Cable Hdmi 4M (13.1')</t>
        </is>
      </c>
      <c r="C1056" s="4" t="inlineStr">
        <is>
          <t>unidad</t>
        </is>
      </c>
      <c r="D1056" s="10" t="n">
        <v>1494.2</v>
      </c>
      <c r="E1056" s="10" t="n"/>
      <c r="F1056" s="10" t="n"/>
      <c r="G1056" s="10">
        <f>IF(COUNT(D1056:F1056)=0,"",MIN(D1056:F1056))</f>
        <v/>
      </c>
      <c r="H1056" s="10">
        <f>IF(COUNT(D1056:F1056)=0,"",MEDIAN(D1056:F1056))</f>
        <v/>
      </c>
      <c r="I1056" s="10">
        <f>IF(COUNT(D1056:F1056)=0,"",MAX(D1056:F1056))</f>
        <v/>
      </c>
      <c r="J1056" s="11">
        <f>IF(OR(G1056="",G1056=0),"",(I1056-G1056)/G1056)</f>
        <v/>
      </c>
      <c r="K1056" s="4">
        <f>IF(COUNT(D1056:F1056)=0,"",INDEX($D$1:$F$1,MATCH(MIN(D1056:F1056),D1056:F1056,0)))</f>
        <v/>
      </c>
      <c r="L1056" s="10" t="n">
        <v>1494.2</v>
      </c>
      <c r="M1056" s="12" t="n">
        <v>1</v>
      </c>
    </row>
    <row r="1057">
      <c r="A1057" s="4" t="inlineStr">
        <is>
          <t>MAT-30-053</t>
        </is>
      </c>
      <c r="B1057" s="5" t="inlineStr">
        <is>
          <t>Cable Cobre Direct Attach</t>
        </is>
      </c>
      <c r="C1057" s="4" t="inlineStr">
        <is>
          <t>unidad</t>
        </is>
      </c>
      <c r="D1057" s="10" t="n">
        <v>1649.33</v>
      </c>
      <c r="E1057" s="10" t="n"/>
      <c r="F1057" s="10" t="n"/>
      <c r="G1057" s="10">
        <f>IF(COUNT(D1057:F1057)=0,"",MIN(D1057:F1057))</f>
        <v/>
      </c>
      <c r="H1057" s="10">
        <f>IF(COUNT(D1057:F1057)=0,"",MEDIAN(D1057:F1057))</f>
        <v/>
      </c>
      <c r="I1057" s="10">
        <f>IF(COUNT(D1057:F1057)=0,"",MAX(D1057:F1057))</f>
        <v/>
      </c>
      <c r="J1057" s="11">
        <f>IF(OR(G1057="",G1057=0),"",(I1057-G1057)/G1057)</f>
        <v/>
      </c>
      <c r="K1057" s="4">
        <f>IF(COUNT(D1057:F1057)=0,"",INDEX($D$1:$F$1,MATCH(MIN(D1057:F1057),D1057:F1057,0)))</f>
        <v/>
      </c>
      <c r="L1057" s="10" t="n">
        <v>1649.33</v>
      </c>
      <c r="M1057" s="12" t="n">
        <v>1</v>
      </c>
    </row>
    <row r="1058">
      <c r="A1058" s="4" t="inlineStr">
        <is>
          <t>MAT-30-054</t>
        </is>
      </c>
      <c r="B1058" s="5" t="inlineStr">
        <is>
          <t>Cable Hdmi 20 Ft 4K High Speed Etherne</t>
        </is>
      </c>
      <c r="C1058" s="4" t="inlineStr">
        <is>
          <t>unidad</t>
        </is>
      </c>
      <c r="D1058" s="10" t="n">
        <v>3754.59</v>
      </c>
      <c r="E1058" s="10" t="n"/>
      <c r="F1058" s="10" t="n"/>
      <c r="G1058" s="10">
        <f>IF(COUNT(D1058:F1058)=0,"",MIN(D1058:F1058))</f>
        <v/>
      </c>
      <c r="H1058" s="10">
        <f>IF(COUNT(D1058:F1058)=0,"",MEDIAN(D1058:F1058))</f>
        <v/>
      </c>
      <c r="I1058" s="10">
        <f>IF(COUNT(D1058:F1058)=0,"",MAX(D1058:F1058))</f>
        <v/>
      </c>
      <c r="J1058" s="11">
        <f>IF(OR(G1058="",G1058=0),"",(I1058-G1058)/G1058)</f>
        <v/>
      </c>
      <c r="K1058" s="4">
        <f>IF(COUNT(D1058:F1058)=0,"",INDEX($D$1:$F$1,MATCH(MIN(D1058:F1058),D1058:F1058,0)))</f>
        <v/>
      </c>
      <c r="L1058" s="10" t="n">
        <v>3754.59</v>
      </c>
      <c r="M1058" s="12" t="n">
        <v>1</v>
      </c>
    </row>
    <row r="1059">
      <c r="A1059" s="4" t="inlineStr">
        <is>
          <t>MAT-30-055</t>
        </is>
      </c>
      <c r="B1059" s="5" t="inlineStr">
        <is>
          <t>Cable UTP Cat. 6E 24 / 4 Gris R / 1000'</t>
        </is>
      </c>
      <c r="C1059" s="4" t="inlineStr">
        <is>
          <t>unidad</t>
        </is>
      </c>
      <c r="D1059" s="10" t="n">
        <v>11979.27</v>
      </c>
      <c r="E1059" s="10" t="n"/>
      <c r="F1059" s="10" t="n"/>
      <c r="G1059" s="10">
        <f>IF(COUNT(D1059:F1059)=0,"",MIN(D1059:F1059))</f>
        <v/>
      </c>
      <c r="H1059" s="10">
        <f>IF(COUNT(D1059:F1059)=0,"",MEDIAN(D1059:F1059))</f>
        <v/>
      </c>
      <c r="I1059" s="10">
        <f>IF(COUNT(D1059:F1059)=0,"",MAX(D1059:F1059))</f>
        <v/>
      </c>
      <c r="J1059" s="11">
        <f>IF(OR(G1059="",G1059=0),"",(I1059-G1059)/G1059)</f>
        <v/>
      </c>
      <c r="K1059" s="4">
        <f>IF(COUNT(D1059:F1059)=0,"",INDEX($D$1:$F$1,MATCH(MIN(D1059:F1059),D1059:F1059,0)))</f>
        <v/>
      </c>
      <c r="L1059" s="10" t="n">
        <v>11979.27</v>
      </c>
      <c r="M1059" s="12" t="n">
        <v>1</v>
      </c>
    </row>
    <row r="1060">
      <c r="A1060" s="4" t="inlineStr">
        <is>
          <t>MAT-30-056</t>
        </is>
      </c>
      <c r="B1060" s="5" t="inlineStr">
        <is>
          <t>Cable Manager, Vertical, Value, 7 Pies</t>
        </is>
      </c>
      <c r="C1060" s="4" t="inlineStr">
        <is>
          <t>unidad</t>
        </is>
      </c>
      <c r="D1060" s="10" t="n">
        <v>20292.59</v>
      </c>
      <c r="E1060" s="10" t="n"/>
      <c r="F1060" s="10" t="n"/>
      <c r="G1060" s="10">
        <f>IF(COUNT(D1060:F1060)=0,"",MIN(D1060:F1060))</f>
        <v/>
      </c>
      <c r="H1060" s="10">
        <f>IF(COUNT(D1060:F1060)=0,"",MEDIAN(D1060:F1060))</f>
        <v/>
      </c>
      <c r="I1060" s="10">
        <f>IF(COUNT(D1060:F1060)=0,"",MAX(D1060:F1060))</f>
        <v/>
      </c>
      <c r="J1060" s="11">
        <f>IF(OR(G1060="",G1060=0),"",(I1060-G1060)/G1060)</f>
        <v/>
      </c>
      <c r="K1060" s="4">
        <f>IF(COUNT(D1060:F1060)=0,"",INDEX($D$1:$F$1,MATCH(MIN(D1060:F1060),D1060:F1060,0)))</f>
        <v/>
      </c>
      <c r="L1060" s="10" t="n">
        <v>20292.59</v>
      </c>
      <c r="M1060" s="12" t="n">
        <v>1</v>
      </c>
    </row>
    <row r="1061">
      <c r="A1061" s="4" t="inlineStr">
        <is>
          <t>MAT-30-057</t>
        </is>
      </c>
      <c r="B1061" s="5" t="inlineStr">
        <is>
          <t>Cable Copper Categoria 7A E10 R / 1000'</t>
        </is>
      </c>
      <c r="C1061" s="4" t="inlineStr">
        <is>
          <t>unidad</t>
        </is>
      </c>
      <c r="D1061" s="10" t="n">
        <v>21280</v>
      </c>
      <c r="E1061" s="10" t="n"/>
      <c r="F1061" s="10" t="n"/>
      <c r="G1061" s="10">
        <f>IF(COUNT(D1061:F1061)=0,"",MIN(D1061:F1061))</f>
        <v/>
      </c>
      <c r="H1061" s="10">
        <f>IF(COUNT(D1061:F1061)=0,"",MEDIAN(D1061:F1061))</f>
        <v/>
      </c>
      <c r="I1061" s="10">
        <f>IF(COUNT(D1061:F1061)=0,"",MAX(D1061:F1061))</f>
        <v/>
      </c>
      <c r="J1061" s="11">
        <f>IF(OR(G1061="",G1061=0),"",(I1061-G1061)/G1061)</f>
        <v/>
      </c>
      <c r="K1061" s="4">
        <f>IF(COUNT(D1061:F1061)=0,"",INDEX($D$1:$F$1,MATCH(MIN(D1061:F1061),D1061:F1061,0)))</f>
        <v/>
      </c>
      <c r="L1061" s="10" t="n">
        <v>21280</v>
      </c>
      <c r="M1061" s="12" t="n">
        <v>1</v>
      </c>
    </row>
    <row r="1062">
      <c r="A1062" s="4" t="inlineStr">
        <is>
          <t>MAT-30-058</t>
        </is>
      </c>
      <c r="B1062" s="5" t="inlineStr">
        <is>
          <t>Barril De Union Cople F Con Tuerca</t>
        </is>
      </c>
      <c r="C1062" s="4" t="inlineStr">
        <is>
          <t>unidad</t>
        </is>
      </c>
      <c r="D1062" s="10" t="n">
        <v>0.41</v>
      </c>
      <c r="E1062" s="10" t="n"/>
      <c r="F1062" s="10" t="n"/>
      <c r="G1062" s="10">
        <f>IF(COUNT(D1062:F1062)=0,"",MIN(D1062:F1062))</f>
        <v/>
      </c>
      <c r="H1062" s="10">
        <f>IF(COUNT(D1062:F1062)=0,"",MEDIAN(D1062:F1062))</f>
        <v/>
      </c>
      <c r="I1062" s="10">
        <f>IF(COUNT(D1062:F1062)=0,"",MAX(D1062:F1062))</f>
        <v/>
      </c>
      <c r="J1062" s="11">
        <f>IF(OR(G1062="",G1062=0),"",(I1062-G1062)/G1062)</f>
        <v/>
      </c>
      <c r="K1062" s="4">
        <f>IF(COUNT(D1062:F1062)=0,"",INDEX($D$1:$F$1,MATCH(MIN(D1062:F1062),D1062:F1062,0)))</f>
        <v/>
      </c>
      <c r="L1062" s="10" t="n">
        <v>0.41</v>
      </c>
      <c r="M1062" s="12" t="n">
        <v>1</v>
      </c>
    </row>
    <row r="1063">
      <c r="A1063" s="4" t="inlineStr">
        <is>
          <t>MAT-30-059</t>
        </is>
      </c>
      <c r="B1063" s="5" t="inlineStr">
        <is>
          <t>Acoplador</t>
        </is>
      </c>
      <c r="C1063" s="4" t="inlineStr">
        <is>
          <t>unidad</t>
        </is>
      </c>
      <c r="D1063" s="10" t="n">
        <v>0.58</v>
      </c>
      <c r="E1063" s="10" t="n"/>
      <c r="F1063" s="10" t="n"/>
      <c r="G1063" s="10">
        <f>IF(COUNT(D1063:F1063)=0,"",MIN(D1063:F1063))</f>
        <v/>
      </c>
      <c r="H1063" s="10">
        <f>IF(COUNT(D1063:F1063)=0,"",MEDIAN(D1063:F1063))</f>
        <v/>
      </c>
      <c r="I1063" s="10">
        <f>IF(COUNT(D1063:F1063)=0,"",MAX(D1063:F1063))</f>
        <v/>
      </c>
      <c r="J1063" s="11">
        <f>IF(OR(G1063="",G1063=0),"",(I1063-G1063)/G1063)</f>
        <v/>
      </c>
      <c r="K1063" s="4">
        <f>IF(COUNT(D1063:F1063)=0,"",INDEX($D$1:$F$1,MATCH(MIN(D1063:F1063),D1063:F1063,0)))</f>
        <v/>
      </c>
      <c r="L1063" s="10" t="n">
        <v>0.58</v>
      </c>
      <c r="M1063" s="12" t="n">
        <v>1</v>
      </c>
    </row>
    <row r="1064">
      <c r="A1064" s="4" t="inlineStr">
        <is>
          <t>MAT-30-060</t>
        </is>
      </c>
      <c r="B1064" s="5" t="inlineStr">
        <is>
          <t>Acoplador De 300 A 75 Ohms Interior</t>
        </is>
      </c>
      <c r="C1064" s="4" t="inlineStr">
        <is>
          <t>unidad</t>
        </is>
      </c>
      <c r="D1064" s="10" t="n">
        <v>0.6</v>
      </c>
      <c r="E1064" s="10" t="n"/>
      <c r="F1064" s="10" t="n"/>
      <c r="G1064" s="10">
        <f>IF(COUNT(D1064:F1064)=0,"",MIN(D1064:F1064))</f>
        <v/>
      </c>
      <c r="H1064" s="10">
        <f>IF(COUNT(D1064:F1064)=0,"",MEDIAN(D1064:F1064))</f>
        <v/>
      </c>
      <c r="I1064" s="10">
        <f>IF(COUNT(D1064:F1064)=0,"",MAX(D1064:F1064))</f>
        <v/>
      </c>
      <c r="J1064" s="11">
        <f>IF(OR(G1064="",G1064=0),"",(I1064-G1064)/G1064)</f>
        <v/>
      </c>
      <c r="K1064" s="4">
        <f>IF(COUNT(D1064:F1064)=0,"",INDEX($D$1:$F$1,MATCH(MIN(D1064:F1064),D1064:F1064,0)))</f>
        <v/>
      </c>
      <c r="L1064" s="10" t="n">
        <v>0.6</v>
      </c>
      <c r="M1064" s="12" t="n">
        <v>1</v>
      </c>
    </row>
    <row r="1065">
      <c r="A1065" s="4" t="inlineStr">
        <is>
          <t>MAT-30-061</t>
        </is>
      </c>
      <c r="B1065" s="5" t="inlineStr">
        <is>
          <t>Acoplador De 75 A 300 Ohms Interior</t>
        </is>
      </c>
      <c r="C1065" s="4" t="inlineStr">
        <is>
          <t>unidad</t>
        </is>
      </c>
      <c r="D1065" s="10" t="n">
        <v>0.77</v>
      </c>
      <c r="E1065" s="10" t="n"/>
      <c r="F1065" s="10" t="n"/>
      <c r="G1065" s="10">
        <f>IF(COUNT(D1065:F1065)=0,"",MIN(D1065:F1065))</f>
        <v/>
      </c>
      <c r="H1065" s="10">
        <f>IF(COUNT(D1065:F1065)=0,"",MEDIAN(D1065:F1065))</f>
        <v/>
      </c>
      <c r="I1065" s="10">
        <f>IF(COUNT(D1065:F1065)=0,"",MAX(D1065:F1065))</f>
        <v/>
      </c>
      <c r="J1065" s="11">
        <f>IF(OR(G1065="",G1065=0),"",(I1065-G1065)/G1065)</f>
        <v/>
      </c>
      <c r="K1065" s="4">
        <f>IF(COUNT(D1065:F1065)=0,"",INDEX($D$1:$F$1,MATCH(MIN(D1065:F1065),D1065:F1065,0)))</f>
        <v/>
      </c>
      <c r="L1065" s="10" t="n">
        <v>0.77</v>
      </c>
      <c r="M1065" s="12" t="n">
        <v>1</v>
      </c>
    </row>
    <row r="1066">
      <c r="A1066" s="4" t="inlineStr">
        <is>
          <t>MAT-30-062</t>
        </is>
      </c>
      <c r="B1066" s="5" t="inlineStr">
        <is>
          <t>Barril De Union Cople Dorado F</t>
        </is>
      </c>
      <c r="C1066" s="4" t="inlineStr">
        <is>
          <t>unidad</t>
        </is>
      </c>
      <c r="D1066" s="10" t="n">
        <v>0.6</v>
      </c>
      <c r="E1066" s="10" t="n"/>
      <c r="F1066" s="10" t="n"/>
      <c r="G1066" s="10">
        <f>IF(COUNT(D1066:F1066)=0,"",MIN(D1066:F1066))</f>
        <v/>
      </c>
      <c r="H1066" s="10">
        <f>IF(COUNT(D1066:F1066)=0,"",MEDIAN(D1066:F1066))</f>
        <v/>
      </c>
      <c r="I1066" s="10">
        <f>IF(COUNT(D1066:F1066)=0,"",MAX(D1066:F1066))</f>
        <v/>
      </c>
      <c r="J1066" s="11">
        <f>IF(OR(G1066="",G1066=0),"",(I1066-G1066)/G1066)</f>
        <v/>
      </c>
      <c r="K1066" s="4">
        <f>IF(COUNT(D1066:F1066)=0,"",INDEX($D$1:$F$1,MATCH(MIN(D1066:F1066),D1066:F1066,0)))</f>
        <v/>
      </c>
      <c r="L1066" s="10" t="n">
        <v>0.6</v>
      </c>
      <c r="M1066" s="12" t="n">
        <v>1</v>
      </c>
    </row>
    <row r="1067">
      <c r="A1067" s="4" t="inlineStr">
        <is>
          <t>MAT-30-063</t>
        </is>
      </c>
      <c r="B1067" s="5" t="inlineStr">
        <is>
          <t>Barril Union Doble</t>
        </is>
      </c>
      <c r="C1067" s="4" t="inlineStr">
        <is>
          <t>unidad</t>
        </is>
      </c>
      <c r="D1067" s="10" t="n">
        <v>1.43</v>
      </c>
      <c r="E1067" s="10" t="n"/>
      <c r="F1067" s="10" t="n"/>
      <c r="G1067" s="10">
        <f>IF(COUNT(D1067:F1067)=0,"",MIN(D1067:F1067))</f>
        <v/>
      </c>
      <c r="H1067" s="10">
        <f>IF(COUNT(D1067:F1067)=0,"",MEDIAN(D1067:F1067))</f>
        <v/>
      </c>
      <c r="I1067" s="10">
        <f>IF(COUNT(D1067:F1067)=0,"",MAX(D1067:F1067))</f>
        <v/>
      </c>
      <c r="J1067" s="11">
        <f>IF(OR(G1067="",G1067=0),"",(I1067-G1067)/G1067)</f>
        <v/>
      </c>
      <c r="K1067" s="4">
        <f>IF(COUNT(D1067:F1067)=0,"",INDEX($D$1:$F$1,MATCH(MIN(D1067:F1067),D1067:F1067,0)))</f>
        <v/>
      </c>
      <c r="L1067" s="10" t="n">
        <v>1.43</v>
      </c>
      <c r="M1067" s="12" t="n">
        <v>1</v>
      </c>
    </row>
    <row r="1068">
      <c r="A1068" s="4" t="inlineStr">
        <is>
          <t>MAT-30-064</t>
        </is>
      </c>
      <c r="B1068" s="5" t="inlineStr">
        <is>
          <t>Barril Union Sencillo</t>
        </is>
      </c>
      <c r="C1068" s="4" t="inlineStr">
        <is>
          <t>unidad</t>
        </is>
      </c>
      <c r="D1068" s="10" t="n">
        <v>0.51</v>
      </c>
      <c r="E1068" s="10" t="n"/>
      <c r="F1068" s="10" t="n"/>
      <c r="G1068" s="10">
        <f>IF(COUNT(D1068:F1068)=0,"",MIN(D1068:F1068))</f>
        <v/>
      </c>
      <c r="H1068" s="10">
        <f>IF(COUNT(D1068:F1068)=0,"",MEDIAN(D1068:F1068))</f>
        <v/>
      </c>
      <c r="I1068" s="10">
        <f>IF(COUNT(D1068:F1068)=0,"",MAX(D1068:F1068))</f>
        <v/>
      </c>
      <c r="J1068" s="11">
        <f>IF(OR(G1068="",G1068=0),"",(I1068-G1068)/G1068)</f>
        <v/>
      </c>
      <c r="K1068" s="4">
        <f>IF(COUNT(D1068:F1068)=0,"",INDEX($D$1:$F$1,MATCH(MIN(D1068:F1068),D1068:F1068,0)))</f>
        <v/>
      </c>
      <c r="L1068" s="10" t="n">
        <v>0.51</v>
      </c>
      <c r="M1068" s="12" t="n">
        <v>1</v>
      </c>
    </row>
    <row r="1069">
      <c r="A1069" s="4" t="inlineStr">
        <is>
          <t>MAT-30-065</t>
        </is>
      </c>
      <c r="B1069" s="5" t="inlineStr">
        <is>
          <t>Jack para Circuito Impreso de 4 Contacto R11</t>
        </is>
      </c>
      <c r="C1069" s="4" t="inlineStr">
        <is>
          <t>unidad</t>
        </is>
      </c>
      <c r="D1069" s="10" t="n">
        <v>1.31</v>
      </c>
      <c r="E1069" s="10" t="n"/>
      <c r="F1069" s="10" t="n"/>
      <c r="G1069" s="10">
        <f>IF(COUNT(D1069:F1069)=0,"",MIN(D1069:F1069))</f>
        <v/>
      </c>
      <c r="H1069" s="10">
        <f>IF(COUNT(D1069:F1069)=0,"",MEDIAN(D1069:F1069))</f>
        <v/>
      </c>
      <c r="I1069" s="10">
        <f>IF(COUNT(D1069:F1069)=0,"",MAX(D1069:F1069))</f>
        <v/>
      </c>
      <c r="J1069" s="11">
        <f>IF(OR(G1069="",G1069=0),"",(I1069-G1069)/G1069)</f>
        <v/>
      </c>
      <c r="K1069" s="4">
        <f>IF(COUNT(D1069:F1069)=0,"",INDEX($D$1:$F$1,MATCH(MIN(D1069:F1069),D1069:F1069,0)))</f>
        <v/>
      </c>
      <c r="L1069" s="10" t="n">
        <v>1.31</v>
      </c>
      <c r="M1069" s="12" t="n">
        <v>1</v>
      </c>
    </row>
    <row r="1070">
      <c r="A1070" s="4" t="inlineStr">
        <is>
          <t>MAT-30-066</t>
        </is>
      </c>
      <c r="B1070" s="5" t="inlineStr">
        <is>
          <t>Tira Sencillo 36 Pines</t>
        </is>
      </c>
      <c r="C1070" s="4" t="inlineStr">
        <is>
          <t>unidad</t>
        </is>
      </c>
      <c r="D1070" s="10" t="n">
        <v>0.65</v>
      </c>
      <c r="E1070" s="10" t="n"/>
      <c r="F1070" s="10" t="n"/>
      <c r="G1070" s="10">
        <f>IF(COUNT(D1070:F1070)=0,"",MIN(D1070:F1070))</f>
        <v/>
      </c>
      <c r="H1070" s="10">
        <f>IF(COUNT(D1070:F1070)=0,"",MEDIAN(D1070:F1070))</f>
        <v/>
      </c>
      <c r="I1070" s="10">
        <f>IF(COUNT(D1070:F1070)=0,"",MAX(D1070:F1070))</f>
        <v/>
      </c>
      <c r="J1070" s="11">
        <f>IF(OR(G1070="",G1070=0),"",(I1070-G1070)/G1070)</f>
        <v/>
      </c>
      <c r="K1070" s="4">
        <f>IF(COUNT(D1070:F1070)=0,"",INDEX($D$1:$F$1,MATCH(MIN(D1070:F1070),D1070:F1070,0)))</f>
        <v/>
      </c>
      <c r="L1070" s="10" t="n">
        <v>0.65</v>
      </c>
      <c r="M1070" s="12" t="n">
        <v>1</v>
      </c>
    </row>
    <row r="1071">
      <c r="A1071" s="4" t="inlineStr">
        <is>
          <t>MAT-30-067</t>
        </is>
      </c>
      <c r="B1071" s="5" t="inlineStr">
        <is>
          <t>Cople con Cable para Tira Led Monocromatica</t>
        </is>
      </c>
      <c r="C1071" s="4" t="inlineStr">
        <is>
          <t>unidad</t>
        </is>
      </c>
      <c r="D1071" s="10" t="n">
        <v>2.46</v>
      </c>
      <c r="E1071" s="10" t="n"/>
      <c r="F1071" s="10" t="n"/>
      <c r="G1071" s="10">
        <f>IF(COUNT(D1071:F1071)=0,"",MIN(D1071:F1071))</f>
        <v/>
      </c>
      <c r="H1071" s="10">
        <f>IF(COUNT(D1071:F1071)=0,"",MEDIAN(D1071:F1071))</f>
        <v/>
      </c>
      <c r="I1071" s="10">
        <f>IF(COUNT(D1071:F1071)=0,"",MAX(D1071:F1071))</f>
        <v/>
      </c>
      <c r="J1071" s="11">
        <f>IF(OR(G1071="",G1071=0),"",(I1071-G1071)/G1071)</f>
        <v/>
      </c>
      <c r="K1071" s="4">
        <f>IF(COUNT(D1071:F1071)=0,"",INDEX($D$1:$F$1,MATCH(MIN(D1071:F1071),D1071:F1071,0)))</f>
        <v/>
      </c>
      <c r="L1071" s="10" t="n">
        <v>2.46</v>
      </c>
      <c r="M1071" s="12" t="n">
        <v>1</v>
      </c>
    </row>
    <row r="1072">
      <c r="A1072" s="4" t="inlineStr">
        <is>
          <t>MAT-30-068</t>
        </is>
      </c>
      <c r="B1072" s="5" t="inlineStr">
        <is>
          <t>Jack Telf. Doble</t>
        </is>
      </c>
      <c r="C1072" s="4" t="inlineStr">
        <is>
          <t>unidad</t>
        </is>
      </c>
      <c r="D1072" s="10" t="n">
        <v>2.11</v>
      </c>
      <c r="E1072" s="10" t="n"/>
      <c r="F1072" s="10" t="n"/>
      <c r="G1072" s="10">
        <f>IF(COUNT(D1072:F1072)=0,"",MIN(D1072:F1072))</f>
        <v/>
      </c>
      <c r="H1072" s="10">
        <f>IF(COUNT(D1072:F1072)=0,"",MEDIAN(D1072:F1072))</f>
        <v/>
      </c>
      <c r="I1072" s="10">
        <f>IF(COUNT(D1072:F1072)=0,"",MAX(D1072:F1072))</f>
        <v/>
      </c>
      <c r="J1072" s="11">
        <f>IF(OR(G1072="",G1072=0),"",(I1072-G1072)/G1072)</f>
        <v/>
      </c>
      <c r="K1072" s="4">
        <f>IF(COUNT(D1072:F1072)=0,"",INDEX($D$1:$F$1,MATCH(MIN(D1072:F1072),D1072:F1072,0)))</f>
        <v/>
      </c>
      <c r="L1072" s="10" t="n">
        <v>2.11</v>
      </c>
      <c r="M1072" s="12" t="n">
        <v>1</v>
      </c>
    </row>
    <row r="1073">
      <c r="A1073" s="4" t="inlineStr">
        <is>
          <t>MAT-30-069</t>
        </is>
      </c>
      <c r="B1073" s="5" t="inlineStr">
        <is>
          <t>Cople con Cable para Tira Led Rgb</t>
        </is>
      </c>
      <c r="C1073" s="4" t="inlineStr">
        <is>
          <t>unidad</t>
        </is>
      </c>
      <c r="D1073" s="10" t="n">
        <v>3.01</v>
      </c>
      <c r="E1073" s="10" t="n"/>
      <c r="F1073" s="10" t="n"/>
      <c r="G1073" s="10">
        <f>IF(COUNT(D1073:F1073)=0,"",MIN(D1073:F1073))</f>
        <v/>
      </c>
      <c r="H1073" s="10">
        <f>IF(COUNT(D1073:F1073)=0,"",MEDIAN(D1073:F1073))</f>
        <v/>
      </c>
      <c r="I1073" s="10">
        <f>IF(COUNT(D1073:F1073)=0,"",MAX(D1073:F1073))</f>
        <v/>
      </c>
      <c r="J1073" s="11">
        <f>IF(OR(G1073="",G1073=0),"",(I1073-G1073)/G1073)</f>
        <v/>
      </c>
      <c r="K1073" s="4">
        <f>IF(COUNT(D1073:F1073)=0,"",INDEX($D$1:$F$1,MATCH(MIN(D1073:F1073),D1073:F1073,0)))</f>
        <v/>
      </c>
      <c r="L1073" s="10" t="n">
        <v>3.01</v>
      </c>
      <c r="M1073" s="12" t="n">
        <v>1</v>
      </c>
    </row>
    <row r="1074">
      <c r="A1074" s="4" t="inlineStr">
        <is>
          <t>MAT-30-070</t>
        </is>
      </c>
      <c r="B1074" s="5" t="inlineStr">
        <is>
          <t>Barriles De Union (Coples) Dorados F 24K</t>
        </is>
      </c>
      <c r="C1074" s="4" t="inlineStr">
        <is>
          <t>unidad</t>
        </is>
      </c>
      <c r="D1074" s="10" t="n">
        <v>3.67</v>
      </c>
      <c r="E1074" s="10" t="n"/>
      <c r="F1074" s="10" t="n"/>
      <c r="G1074" s="10">
        <f>IF(COUNT(D1074:F1074)=0,"",MIN(D1074:F1074))</f>
        <v/>
      </c>
      <c r="H1074" s="10">
        <f>IF(COUNT(D1074:F1074)=0,"",MEDIAN(D1074:F1074))</f>
        <v/>
      </c>
      <c r="I1074" s="10">
        <f>IF(COUNT(D1074:F1074)=0,"",MAX(D1074:F1074))</f>
        <v/>
      </c>
      <c r="J1074" s="11">
        <f>IF(OR(G1074="",G1074=0),"",(I1074-G1074)/G1074)</f>
        <v/>
      </c>
      <c r="K1074" s="4">
        <f>IF(COUNT(D1074:F1074)=0,"",INDEX($D$1:$F$1,MATCH(MIN(D1074:F1074),D1074:F1074,0)))</f>
        <v/>
      </c>
      <c r="L1074" s="10" t="n">
        <v>3.67</v>
      </c>
      <c r="M1074" s="12" t="n">
        <v>1</v>
      </c>
    </row>
    <row r="1075">
      <c r="A1075" s="4" t="inlineStr">
        <is>
          <t>MAT-30-071</t>
        </is>
      </c>
      <c r="B1075" s="5" t="inlineStr">
        <is>
          <t>Conectores Dorados F De Enroscar para Rg-6</t>
        </is>
      </c>
      <c r="C1075" s="4" t="inlineStr">
        <is>
          <t>unidad</t>
        </is>
      </c>
      <c r="D1075" s="10" t="n">
        <v>3.68</v>
      </c>
      <c r="E1075" s="10" t="n"/>
      <c r="F1075" s="10" t="n"/>
      <c r="G1075" s="10">
        <f>IF(COUNT(D1075:F1075)=0,"",MIN(D1075:F1075))</f>
        <v/>
      </c>
      <c r="H1075" s="10">
        <f>IF(COUNT(D1075:F1075)=0,"",MEDIAN(D1075:F1075))</f>
        <v/>
      </c>
      <c r="I1075" s="10">
        <f>IF(COUNT(D1075:F1075)=0,"",MAX(D1075:F1075))</f>
        <v/>
      </c>
      <c r="J1075" s="11">
        <f>IF(OR(G1075="",G1075=0),"",(I1075-G1075)/G1075)</f>
        <v/>
      </c>
      <c r="K1075" s="4">
        <f>IF(COUNT(D1075:F1075)=0,"",INDEX($D$1:$F$1,MATCH(MIN(D1075:F1075),D1075:F1075,0)))</f>
        <v/>
      </c>
      <c r="L1075" s="10" t="n">
        <v>3.68</v>
      </c>
      <c r="M1075" s="12" t="n">
        <v>1</v>
      </c>
    </row>
    <row r="1076">
      <c r="A1076" s="4" t="inlineStr">
        <is>
          <t>MAT-30-072</t>
        </is>
      </c>
      <c r="B1076" s="5" t="inlineStr">
        <is>
          <t>Mangas De Protección</t>
        </is>
      </c>
      <c r="C1076" s="4" t="inlineStr">
        <is>
          <t>unidad</t>
        </is>
      </c>
      <c r="D1076" s="10" t="n">
        <v>26.88</v>
      </c>
      <c r="E1076" s="10" t="n"/>
      <c r="F1076" s="10" t="n"/>
      <c r="G1076" s="10">
        <f>IF(COUNT(D1076:F1076)=0,"",MIN(D1076:F1076))</f>
        <v/>
      </c>
      <c r="H1076" s="10">
        <f>IF(COUNT(D1076:F1076)=0,"",MEDIAN(D1076:F1076))</f>
        <v/>
      </c>
      <c r="I1076" s="10">
        <f>IF(COUNT(D1076:F1076)=0,"",MAX(D1076:F1076))</f>
        <v/>
      </c>
      <c r="J1076" s="11">
        <f>IF(OR(G1076="",G1076=0),"",(I1076-G1076)/G1076)</f>
        <v/>
      </c>
      <c r="K1076" s="4">
        <f>IF(COUNT(D1076:F1076)=0,"",INDEX($D$1:$F$1,MATCH(MIN(D1076:F1076),D1076:F1076,0)))</f>
        <v/>
      </c>
      <c r="L1076" s="10" t="n">
        <v>26.88</v>
      </c>
      <c r="M1076" s="12" t="n">
        <v>1</v>
      </c>
    </row>
    <row r="1077">
      <c r="A1077" s="4" t="inlineStr">
        <is>
          <t>MAT-30-073</t>
        </is>
      </c>
      <c r="B1077" s="5" t="inlineStr">
        <is>
          <t>Casquillo Con Tuerca para Soldadores Wtcpt</t>
        </is>
      </c>
      <c r="C1077" s="4" t="inlineStr">
        <is>
          <t>unidad</t>
        </is>
      </c>
      <c r="D1077" s="10" t="n">
        <v>30.46</v>
      </c>
      <c r="E1077" s="10" t="n"/>
      <c r="F1077" s="10" t="n"/>
      <c r="G1077" s="10">
        <f>IF(COUNT(D1077:F1077)=0,"",MIN(D1077:F1077))</f>
        <v/>
      </c>
      <c r="H1077" s="10">
        <f>IF(COUNT(D1077:F1077)=0,"",MEDIAN(D1077:F1077))</f>
        <v/>
      </c>
      <c r="I1077" s="10">
        <f>IF(COUNT(D1077:F1077)=0,"",MAX(D1077:F1077))</f>
        <v/>
      </c>
      <c r="J1077" s="11">
        <f>IF(OR(G1077="",G1077=0),"",(I1077-G1077)/G1077)</f>
        <v/>
      </c>
      <c r="K1077" s="4">
        <f>IF(COUNT(D1077:F1077)=0,"",INDEX($D$1:$F$1,MATCH(MIN(D1077:F1077),D1077:F1077,0)))</f>
        <v/>
      </c>
      <c r="L1077" s="10" t="n">
        <v>30.46</v>
      </c>
      <c r="M1077" s="12" t="n">
        <v>1</v>
      </c>
    </row>
    <row r="1078">
      <c r="A1078" s="4" t="inlineStr">
        <is>
          <t>MAT-30-074</t>
        </is>
      </c>
      <c r="B1078" s="5" t="inlineStr">
        <is>
          <t>Conector Plug Para Camara</t>
        </is>
      </c>
      <c r="C1078" s="4" t="inlineStr">
        <is>
          <t>unidad</t>
        </is>
      </c>
      <c r="D1078" s="10" t="n">
        <v>33.77</v>
      </c>
      <c r="E1078" s="10" t="n"/>
      <c r="F1078" s="10" t="n"/>
      <c r="G1078" s="10">
        <f>IF(COUNT(D1078:F1078)=0,"",MIN(D1078:F1078))</f>
        <v/>
      </c>
      <c r="H1078" s="10">
        <f>IF(COUNT(D1078:F1078)=0,"",MEDIAN(D1078:F1078))</f>
        <v/>
      </c>
      <c r="I1078" s="10">
        <f>IF(COUNT(D1078:F1078)=0,"",MAX(D1078:F1078))</f>
        <v/>
      </c>
      <c r="J1078" s="11">
        <f>IF(OR(G1078="",G1078=0),"",(I1078-G1078)/G1078)</f>
        <v/>
      </c>
      <c r="K1078" s="4">
        <f>IF(COUNT(D1078:F1078)=0,"",INDEX($D$1:$F$1,MATCH(MIN(D1078:F1078),D1078:F1078,0)))</f>
        <v/>
      </c>
      <c r="L1078" s="10" t="n">
        <v>33.77</v>
      </c>
      <c r="M1078" s="12" t="n">
        <v>1</v>
      </c>
    </row>
    <row r="1079">
      <c r="A1079" s="4" t="inlineStr">
        <is>
          <t>MAT-30-075</t>
        </is>
      </c>
      <c r="B1079" s="5" t="inlineStr">
        <is>
          <t>Plug UTP Categoría 6</t>
        </is>
      </c>
      <c r="C1079" s="4" t="inlineStr">
        <is>
          <t>unidad</t>
        </is>
      </c>
      <c r="D1079" s="10" t="n">
        <v>43.71</v>
      </c>
      <c r="E1079" s="10" t="n"/>
      <c r="F1079" s="10" t="n"/>
      <c r="G1079" s="10">
        <f>IF(COUNT(D1079:F1079)=0,"",MIN(D1079:F1079))</f>
        <v/>
      </c>
      <c r="H1079" s="10">
        <f>IF(COUNT(D1079:F1079)=0,"",MEDIAN(D1079:F1079))</f>
        <v/>
      </c>
      <c r="I1079" s="10">
        <f>IF(COUNT(D1079:F1079)=0,"",MAX(D1079:F1079))</f>
        <v/>
      </c>
      <c r="J1079" s="11">
        <f>IF(OR(G1079="",G1079=0),"",(I1079-G1079)/G1079)</f>
        <v/>
      </c>
      <c r="K1079" s="4">
        <f>IF(COUNT(D1079:F1079)=0,"",INDEX($D$1:$F$1,MATCH(MIN(D1079:F1079),D1079:F1079,0)))</f>
        <v/>
      </c>
      <c r="L1079" s="10" t="n">
        <v>43.71</v>
      </c>
      <c r="M1079" s="12" t="n">
        <v>1</v>
      </c>
    </row>
    <row r="1080">
      <c r="A1080" s="4" t="inlineStr">
        <is>
          <t>MAT-30-076</t>
        </is>
      </c>
      <c r="B1080" s="5" t="inlineStr">
        <is>
          <t>Decorator Strap, Bl3P</t>
        </is>
      </c>
      <c r="C1080" s="4" t="inlineStr">
        <is>
          <t>unidad</t>
        </is>
      </c>
      <c r="D1080" s="10" t="n">
        <v>56.86</v>
      </c>
      <c r="E1080" s="10" t="n"/>
      <c r="F1080" s="10" t="n"/>
      <c r="G1080" s="10">
        <f>IF(COUNT(D1080:F1080)=0,"",MIN(D1080:F1080))</f>
        <v/>
      </c>
      <c r="H1080" s="10">
        <f>IF(COUNT(D1080:F1080)=0,"",MEDIAN(D1080:F1080))</f>
        <v/>
      </c>
      <c r="I1080" s="10">
        <f>IF(COUNT(D1080:F1080)=0,"",MAX(D1080:F1080))</f>
        <v/>
      </c>
      <c r="J1080" s="11">
        <f>IF(OR(G1080="",G1080=0),"",(I1080-G1080)/G1080)</f>
        <v/>
      </c>
      <c r="K1080" s="4">
        <f>IF(COUNT(D1080:F1080)=0,"",INDEX($D$1:$F$1,MATCH(MIN(D1080:F1080),D1080:F1080,0)))</f>
        <v/>
      </c>
      <c r="L1080" s="10" t="n">
        <v>56.86</v>
      </c>
      <c r="M1080" s="12" t="n">
        <v>1</v>
      </c>
    </row>
    <row r="1081">
      <c r="A1081" s="4" t="inlineStr">
        <is>
          <t>MAT-30-077</t>
        </is>
      </c>
      <c r="B1081" s="5" t="inlineStr">
        <is>
          <t>Decorator Strap, Bl4P</t>
        </is>
      </c>
      <c r="C1081" s="4" t="inlineStr">
        <is>
          <t>unidad</t>
        </is>
      </c>
      <c r="D1081" s="10" t="n">
        <v>58</v>
      </c>
      <c r="E1081" s="10" t="n"/>
      <c r="F1081" s="10" t="n"/>
      <c r="G1081" s="10">
        <f>IF(COUNT(D1081:F1081)=0,"",MIN(D1081:F1081))</f>
        <v/>
      </c>
      <c r="H1081" s="10">
        <f>IF(COUNT(D1081:F1081)=0,"",MEDIAN(D1081:F1081))</f>
        <v/>
      </c>
      <c r="I1081" s="10">
        <f>IF(COUNT(D1081:F1081)=0,"",MAX(D1081:F1081))</f>
        <v/>
      </c>
      <c r="J1081" s="11">
        <f>IF(OR(G1081="",G1081=0),"",(I1081-G1081)/G1081)</f>
        <v/>
      </c>
      <c r="K1081" s="4">
        <f>IF(COUNT(D1081:F1081)=0,"",INDEX($D$1:$F$1,MATCH(MIN(D1081:F1081),D1081:F1081,0)))</f>
        <v/>
      </c>
      <c r="L1081" s="10" t="n">
        <v>58</v>
      </c>
      <c r="M1081" s="12" t="n">
        <v>1</v>
      </c>
    </row>
    <row r="1082">
      <c r="A1082" s="4" t="inlineStr">
        <is>
          <t>MAT-30-078</t>
        </is>
      </c>
      <c r="B1082" s="5" t="inlineStr">
        <is>
          <t>Keystone Jack Icon,Data / Voice Bag Of 25</t>
        </is>
      </c>
      <c r="C1082" s="4" t="inlineStr">
        <is>
          <t>unidad</t>
        </is>
      </c>
      <c r="D1082" s="10" t="n">
        <v>70.47</v>
      </c>
      <c r="E1082" s="10" t="n"/>
      <c r="F1082" s="10" t="n"/>
      <c r="G1082" s="10">
        <f>IF(COUNT(D1082:F1082)=0,"",MIN(D1082:F1082))</f>
        <v/>
      </c>
      <c r="H1082" s="10">
        <f>IF(COUNT(D1082:F1082)=0,"",MEDIAN(D1082:F1082))</f>
        <v/>
      </c>
      <c r="I1082" s="10">
        <f>IF(COUNT(D1082:F1082)=0,"",MAX(D1082:F1082))</f>
        <v/>
      </c>
      <c r="J1082" s="11">
        <f>IF(OR(G1082="",G1082=0),"",(I1082-G1082)/G1082)</f>
        <v/>
      </c>
      <c r="K1082" s="4">
        <f>IF(COUNT(D1082:F1082)=0,"",INDEX($D$1:$F$1,MATCH(MIN(D1082:F1082),D1082:F1082,0)))</f>
        <v/>
      </c>
      <c r="L1082" s="10" t="n">
        <v>70.47</v>
      </c>
      <c r="M1082" s="12" t="n">
        <v>1</v>
      </c>
    </row>
    <row r="1083">
      <c r="A1083" s="4" t="inlineStr">
        <is>
          <t>MAT-30-079</t>
        </is>
      </c>
      <c r="B1083" s="5" t="inlineStr">
        <is>
          <t>Conector RJ45 Blanco Cat 5E</t>
        </is>
      </c>
      <c r="C1083" s="4" t="inlineStr">
        <is>
          <t>unidad</t>
        </is>
      </c>
      <c r="D1083" s="10" t="n">
        <v>76.15000000000001</v>
      </c>
      <c r="E1083" s="10" t="n"/>
      <c r="F1083" s="10" t="n"/>
      <c r="G1083" s="10">
        <f>IF(COUNT(D1083:F1083)=0,"",MIN(D1083:F1083))</f>
        <v/>
      </c>
      <c r="H1083" s="10">
        <f>IF(COUNT(D1083:F1083)=0,"",MEDIAN(D1083:F1083))</f>
        <v/>
      </c>
      <c r="I1083" s="10">
        <f>IF(COUNT(D1083:F1083)=0,"",MAX(D1083:F1083))</f>
        <v/>
      </c>
      <c r="J1083" s="11">
        <f>IF(OR(G1083="",G1083=0),"",(I1083-G1083)/G1083)</f>
        <v/>
      </c>
      <c r="K1083" s="4">
        <f>IF(COUNT(D1083:F1083)=0,"",INDEX($D$1:$F$1,MATCH(MIN(D1083:F1083),D1083:F1083,0)))</f>
        <v/>
      </c>
      <c r="L1083" s="10" t="n">
        <v>76.15000000000001</v>
      </c>
      <c r="M1083" s="12" t="n">
        <v>1</v>
      </c>
    </row>
    <row r="1084">
      <c r="A1084" s="4" t="inlineStr">
        <is>
          <t>MAT-30-080</t>
        </is>
      </c>
      <c r="B1084" s="5" t="inlineStr">
        <is>
          <t>Fp,Keystone,2 Hole,Sg,Pc Desig,Screw,Kit</t>
        </is>
      </c>
      <c r="C1084" s="4" t="inlineStr">
        <is>
          <t>unidad</t>
        </is>
      </c>
      <c r="D1084" s="10" t="n">
        <v>77.06</v>
      </c>
      <c r="E1084" s="10" t="n"/>
      <c r="F1084" s="10" t="n"/>
      <c r="G1084" s="10">
        <f>IF(COUNT(D1084:F1084)=0,"",MIN(D1084:F1084))</f>
        <v/>
      </c>
      <c r="H1084" s="10">
        <f>IF(COUNT(D1084:F1084)=0,"",MEDIAN(D1084:F1084))</f>
        <v/>
      </c>
      <c r="I1084" s="10">
        <f>IF(COUNT(D1084:F1084)=0,"",MAX(D1084:F1084))</f>
        <v/>
      </c>
      <c r="J1084" s="11">
        <f>IF(OR(G1084="",G1084=0),"",(I1084-G1084)/G1084)</f>
        <v/>
      </c>
      <c r="K1084" s="4">
        <f>IF(COUNT(D1084:F1084)=0,"",INDEX($D$1:$F$1,MATCH(MIN(D1084:F1084),D1084:F1084,0)))</f>
        <v/>
      </c>
      <c r="L1084" s="10" t="n">
        <v>77.06</v>
      </c>
      <c r="M1084" s="12" t="n">
        <v>1</v>
      </c>
    </row>
    <row r="1085">
      <c r="A1085" s="4" t="inlineStr">
        <is>
          <t>MAT-30-081</t>
        </is>
      </c>
      <c r="B1085" s="5" t="inlineStr">
        <is>
          <t>Keystone,Blank,Qty10 Fogwhite</t>
        </is>
      </c>
      <c r="C1085" s="4" t="inlineStr">
        <is>
          <t>unidad</t>
        </is>
      </c>
      <c r="D1085" s="10" t="n">
        <v>96.98</v>
      </c>
      <c r="E1085" s="10" t="n"/>
      <c r="F1085" s="10" t="n"/>
      <c r="G1085" s="10">
        <f>IF(COUNT(D1085:F1085)=0,"",MIN(D1085:F1085))</f>
        <v/>
      </c>
      <c r="H1085" s="10">
        <f>IF(COUNT(D1085:F1085)=0,"",MEDIAN(D1085:F1085))</f>
        <v/>
      </c>
      <c r="I1085" s="10">
        <f>IF(COUNT(D1085:F1085)=0,"",MAX(D1085:F1085))</f>
        <v/>
      </c>
      <c r="J1085" s="11">
        <f>IF(OR(G1085="",G1085=0),"",(I1085-G1085)/G1085)</f>
        <v/>
      </c>
      <c r="K1085" s="4">
        <f>IF(COUNT(D1085:F1085)=0,"",INDEX($D$1:$F$1,MATCH(MIN(D1085:F1085),D1085:F1085,0)))</f>
        <v/>
      </c>
      <c r="L1085" s="10" t="n">
        <v>96.98</v>
      </c>
      <c r="M1085" s="12" t="n">
        <v>1</v>
      </c>
    </row>
    <row r="1086">
      <c r="A1086" s="4" t="inlineStr">
        <is>
          <t>MAT-30-082</t>
        </is>
      </c>
      <c r="B1086" s="5" t="inlineStr">
        <is>
          <t>Placa De Pared Modular 3S</t>
        </is>
      </c>
      <c r="C1086" s="4" t="inlineStr">
        <is>
          <t>unidad</t>
        </is>
      </c>
      <c r="D1086" s="10" t="n">
        <v>101.11</v>
      </c>
      <c r="E1086" s="10" t="n"/>
      <c r="F1086" s="10" t="n"/>
      <c r="G1086" s="10">
        <f>IF(COUNT(D1086:F1086)=0,"",MIN(D1086:F1086))</f>
        <v/>
      </c>
      <c r="H1086" s="10">
        <f>IF(COUNT(D1086:F1086)=0,"",MEDIAN(D1086:F1086))</f>
        <v/>
      </c>
      <c r="I1086" s="10">
        <f>IF(COUNT(D1086:F1086)=0,"",MAX(D1086:F1086))</f>
        <v/>
      </c>
      <c r="J1086" s="11">
        <f>IF(OR(G1086="",G1086=0),"",(I1086-G1086)/G1086)</f>
        <v/>
      </c>
      <c r="K1086" s="4">
        <f>IF(COUNT(D1086:F1086)=0,"",INDEX($D$1:$F$1,MATCH(MIN(D1086:F1086),D1086:F1086,0)))</f>
        <v/>
      </c>
      <c r="L1086" s="10" t="n">
        <v>101.11</v>
      </c>
      <c r="M1086" s="12" t="n">
        <v>1</v>
      </c>
    </row>
    <row r="1087">
      <c r="A1087" s="4" t="inlineStr">
        <is>
          <t>MAT-30-083</t>
        </is>
      </c>
      <c r="B1087" s="5" t="inlineStr">
        <is>
          <t>Placa Max 1 Puerto blanco</t>
        </is>
      </c>
      <c r="C1087" s="4" t="inlineStr">
        <is>
          <t>unidad</t>
        </is>
      </c>
      <c r="D1087" s="10" t="n">
        <v>101.21</v>
      </c>
      <c r="E1087" s="10" t="n"/>
      <c r="F1087" s="10" t="n"/>
      <c r="G1087" s="10">
        <f>IF(COUNT(D1087:F1087)=0,"",MIN(D1087:F1087))</f>
        <v/>
      </c>
      <c r="H1087" s="10">
        <f>IF(COUNT(D1087:F1087)=0,"",MEDIAN(D1087:F1087))</f>
        <v/>
      </c>
      <c r="I1087" s="10">
        <f>IF(COUNT(D1087:F1087)=0,"",MAX(D1087:F1087))</f>
        <v/>
      </c>
      <c r="J1087" s="11">
        <f>IF(OR(G1087="",G1087=0),"",(I1087-G1087)/G1087)</f>
        <v/>
      </c>
      <c r="K1087" s="4">
        <f>IF(COUNT(D1087:F1087)=0,"",INDEX($D$1:$F$1,MATCH(MIN(D1087:F1087),D1087:F1087,0)))</f>
        <v/>
      </c>
      <c r="L1087" s="10" t="n">
        <v>101.21</v>
      </c>
      <c r="M1087" s="12" t="n">
        <v>1</v>
      </c>
    </row>
    <row r="1088">
      <c r="A1088" s="4" t="inlineStr">
        <is>
          <t>MAT-30-084</t>
        </is>
      </c>
      <c r="B1088" s="5" t="inlineStr">
        <is>
          <t>Placa Max 2 Puerto blanco</t>
        </is>
      </c>
      <c r="C1088" s="4" t="inlineStr">
        <is>
          <t>unidad</t>
        </is>
      </c>
      <c r="D1088" s="10" t="n">
        <v>101.21</v>
      </c>
      <c r="E1088" s="10" t="n"/>
      <c r="F1088" s="10" t="n"/>
      <c r="G1088" s="10">
        <f>IF(COUNT(D1088:F1088)=0,"",MIN(D1088:F1088))</f>
        <v/>
      </c>
      <c r="H1088" s="10">
        <f>IF(COUNT(D1088:F1088)=0,"",MEDIAN(D1088:F1088))</f>
        <v/>
      </c>
      <c r="I1088" s="10">
        <f>IF(COUNT(D1088:F1088)=0,"",MAX(D1088:F1088))</f>
        <v/>
      </c>
      <c r="J1088" s="11">
        <f>IF(OR(G1088="",G1088=0),"",(I1088-G1088)/G1088)</f>
        <v/>
      </c>
      <c r="K1088" s="4">
        <f>IF(COUNT(D1088:F1088)=0,"",INDEX($D$1:$F$1,MATCH(MIN(D1088:F1088),D1088:F1088,0)))</f>
        <v/>
      </c>
      <c r="L1088" s="10" t="n">
        <v>101.21</v>
      </c>
      <c r="M1088" s="12" t="n">
        <v>1</v>
      </c>
    </row>
    <row r="1089">
      <c r="A1089" s="4" t="inlineStr">
        <is>
          <t>MAT-30-085</t>
        </is>
      </c>
      <c r="B1089" s="5" t="inlineStr">
        <is>
          <t>Faceplate, Single Gang, 4 Openings, Mx,</t>
        </is>
      </c>
      <c r="C1089" s="4" t="inlineStr">
        <is>
          <t>unidad</t>
        </is>
      </c>
      <c r="D1089" s="10" t="n">
        <v>102.17</v>
      </c>
      <c r="E1089" s="10" t="n"/>
      <c r="F1089" s="10" t="n"/>
      <c r="G1089" s="10">
        <f>IF(COUNT(D1089:F1089)=0,"",MIN(D1089:F1089))</f>
        <v/>
      </c>
      <c r="H1089" s="10">
        <f>IF(COUNT(D1089:F1089)=0,"",MEDIAN(D1089:F1089))</f>
        <v/>
      </c>
      <c r="I1089" s="10">
        <f>IF(COUNT(D1089:F1089)=0,"",MAX(D1089:F1089))</f>
        <v/>
      </c>
      <c r="J1089" s="11">
        <f>IF(OR(G1089="",G1089=0),"",(I1089-G1089)/G1089)</f>
        <v/>
      </c>
      <c r="K1089" s="4">
        <f>IF(COUNT(D1089:F1089)=0,"",INDEX($D$1:$F$1,MATCH(MIN(D1089:F1089),D1089:F1089,0)))</f>
        <v/>
      </c>
      <c r="L1089" s="10" t="n">
        <v>102.17</v>
      </c>
      <c r="M1089" s="12" t="n">
        <v>1</v>
      </c>
    </row>
    <row r="1090">
      <c r="A1090" s="4" t="inlineStr">
        <is>
          <t>MAT-30-086</t>
        </is>
      </c>
      <c r="B1090" s="5" t="inlineStr">
        <is>
          <t>Placa Serie Ct para 1 Acoplador blanco</t>
        </is>
      </c>
      <c r="C1090" s="4" t="inlineStr">
        <is>
          <t>unidad</t>
        </is>
      </c>
      <c r="D1090" s="10" t="n">
        <v>101.92</v>
      </c>
      <c r="E1090" s="10" t="n"/>
      <c r="F1090" s="10" t="n"/>
      <c r="G1090" s="10">
        <f>IF(COUNT(D1090:F1090)=0,"",MIN(D1090:F1090))</f>
        <v/>
      </c>
      <c r="H1090" s="10">
        <f>IF(COUNT(D1090:F1090)=0,"",MEDIAN(D1090:F1090))</f>
        <v/>
      </c>
      <c r="I1090" s="10">
        <f>IF(COUNT(D1090:F1090)=0,"",MAX(D1090:F1090))</f>
        <v/>
      </c>
      <c r="J1090" s="11">
        <f>IF(OR(G1090="",G1090=0),"",(I1090-G1090)/G1090)</f>
        <v/>
      </c>
      <c r="K1090" s="4">
        <f>IF(COUNT(D1090:F1090)=0,"",INDEX($D$1:$F$1,MATCH(MIN(D1090:F1090),D1090:F1090,0)))</f>
        <v/>
      </c>
      <c r="L1090" s="10" t="n">
        <v>101.92</v>
      </c>
      <c r="M1090" s="12" t="n">
        <v>1</v>
      </c>
    </row>
    <row r="1091">
      <c r="A1091" s="4" t="inlineStr">
        <is>
          <t>MAT-30-087</t>
        </is>
      </c>
      <c r="B1091" s="5" t="inlineStr">
        <is>
          <t>Cat 5E Keystone Jack Individual Bag,Fog</t>
        </is>
      </c>
      <c r="C1091" s="4" t="inlineStr">
        <is>
          <t>unidad</t>
        </is>
      </c>
      <c r="D1091" s="10" t="n">
        <v>106.97</v>
      </c>
      <c r="E1091" s="10" t="n"/>
      <c r="F1091" s="10" t="n"/>
      <c r="G1091" s="10">
        <f>IF(COUNT(D1091:F1091)=0,"",MIN(D1091:F1091))</f>
        <v/>
      </c>
      <c r="H1091" s="10">
        <f>IF(COUNT(D1091:F1091)=0,"",MEDIAN(D1091:F1091))</f>
        <v/>
      </c>
      <c r="I1091" s="10">
        <f>IF(COUNT(D1091:F1091)=0,"",MAX(D1091:F1091))</f>
        <v/>
      </c>
      <c r="J1091" s="11">
        <f>IF(OR(G1091="",G1091=0),"",(I1091-G1091)/G1091)</f>
        <v/>
      </c>
      <c r="K1091" s="4">
        <f>IF(COUNT(D1091:F1091)=0,"",INDEX($D$1:$F$1,MATCH(MIN(D1091:F1091),D1091:F1091,0)))</f>
        <v/>
      </c>
      <c r="L1091" s="10" t="n">
        <v>106.97</v>
      </c>
      <c r="M1091" s="12" t="n">
        <v>1</v>
      </c>
    </row>
    <row r="1092">
      <c r="A1092" s="4" t="inlineStr">
        <is>
          <t>MAT-30-088</t>
        </is>
      </c>
      <c r="B1092" s="5" t="inlineStr">
        <is>
          <t>Inserto Ciego Max Paq.10 Negro</t>
        </is>
      </c>
      <c r="C1092" s="4" t="inlineStr">
        <is>
          <t>unidad</t>
        </is>
      </c>
      <c r="D1092" s="10" t="n">
        <v>128.13</v>
      </c>
      <c r="E1092" s="10" t="n"/>
      <c r="F1092" s="10" t="n"/>
      <c r="G1092" s="10">
        <f>IF(COUNT(D1092:F1092)=0,"",MIN(D1092:F1092))</f>
        <v/>
      </c>
      <c r="H1092" s="10">
        <f>IF(COUNT(D1092:F1092)=0,"",MEDIAN(D1092:F1092))</f>
        <v/>
      </c>
      <c r="I1092" s="10">
        <f>IF(COUNT(D1092:F1092)=0,"",MAX(D1092:F1092))</f>
        <v/>
      </c>
      <c r="J1092" s="11">
        <f>IF(OR(G1092="",G1092=0),"",(I1092-G1092)/G1092)</f>
        <v/>
      </c>
      <c r="K1092" s="4">
        <f>IF(COUNT(D1092:F1092)=0,"",INDEX($D$1:$F$1,MATCH(MIN(D1092:F1092),D1092:F1092,0)))</f>
        <v/>
      </c>
      <c r="L1092" s="10" t="n">
        <v>128.13</v>
      </c>
      <c r="M1092" s="12" t="n">
        <v>1</v>
      </c>
    </row>
    <row r="1093">
      <c r="A1093" s="4" t="inlineStr">
        <is>
          <t>MAT-30-089</t>
        </is>
      </c>
      <c r="B1093" s="5" t="inlineStr">
        <is>
          <t>Placa Serie Ct para 2 Acoplador blanco</t>
        </is>
      </c>
      <c r="C1093" s="4" t="inlineStr">
        <is>
          <t>unidad</t>
        </is>
      </c>
      <c r="D1093" s="10" t="n">
        <v>145.92</v>
      </c>
      <c r="E1093" s="10" t="n"/>
      <c r="F1093" s="10" t="n"/>
      <c r="G1093" s="10">
        <f>IF(COUNT(D1093:F1093)=0,"",MIN(D1093:F1093))</f>
        <v/>
      </c>
      <c r="H1093" s="10">
        <f>IF(COUNT(D1093:F1093)=0,"",MEDIAN(D1093:F1093))</f>
        <v/>
      </c>
      <c r="I1093" s="10">
        <f>IF(COUNT(D1093:F1093)=0,"",MAX(D1093:F1093))</f>
        <v/>
      </c>
      <c r="J1093" s="11">
        <f>IF(OR(G1093="",G1093=0),"",(I1093-G1093)/G1093)</f>
        <v/>
      </c>
      <c r="K1093" s="4">
        <f>IF(COUNT(D1093:F1093)=0,"",INDEX($D$1:$F$1,MATCH(MIN(D1093:F1093),D1093:F1093,0)))</f>
        <v/>
      </c>
      <c r="L1093" s="10" t="n">
        <v>145.92</v>
      </c>
      <c r="M1093" s="12" t="n">
        <v>1</v>
      </c>
    </row>
    <row r="1094">
      <c r="A1094" s="4" t="inlineStr">
        <is>
          <t>MAT-30-090</t>
        </is>
      </c>
      <c r="B1094" s="5" t="inlineStr">
        <is>
          <t>Módulo Ciego Wp3455 Wh</t>
        </is>
      </c>
      <c r="C1094" s="4" t="inlineStr">
        <is>
          <t>unidad</t>
        </is>
      </c>
      <c r="D1094" s="10" t="n">
        <v>146.83</v>
      </c>
      <c r="E1094" s="10" t="n"/>
      <c r="F1094" s="10" t="n"/>
      <c r="G1094" s="10">
        <f>IF(COUNT(D1094:F1094)=0,"",MIN(D1094:F1094))</f>
        <v/>
      </c>
      <c r="H1094" s="10">
        <f>IF(COUNT(D1094:F1094)=0,"",MEDIAN(D1094:F1094))</f>
        <v/>
      </c>
      <c r="I1094" s="10">
        <f>IF(COUNT(D1094:F1094)=0,"",MAX(D1094:F1094))</f>
        <v/>
      </c>
      <c r="J1094" s="11">
        <f>IF(OR(G1094="",G1094=0),"",(I1094-G1094)/G1094)</f>
        <v/>
      </c>
      <c r="K1094" s="4">
        <f>IF(COUNT(D1094:F1094)=0,"",INDEX($D$1:$F$1,MATCH(MIN(D1094:F1094),D1094:F1094,0)))</f>
        <v/>
      </c>
      <c r="L1094" s="10" t="n">
        <v>146.83</v>
      </c>
      <c r="M1094" s="12" t="n">
        <v>1</v>
      </c>
    </row>
    <row r="1095">
      <c r="A1095" s="4" t="inlineStr">
        <is>
          <t>MAT-30-091</t>
        </is>
      </c>
      <c r="B1095" s="5" t="inlineStr">
        <is>
          <t>Conector Rca Rojo</t>
        </is>
      </c>
      <c r="C1095" s="4" t="inlineStr">
        <is>
          <t>unidad</t>
        </is>
      </c>
      <c r="D1095" s="10" t="n">
        <v>181.66</v>
      </c>
      <c r="E1095" s="10" t="n"/>
      <c r="F1095" s="10" t="n"/>
      <c r="G1095" s="10">
        <f>IF(COUNT(D1095:F1095)=0,"",MIN(D1095:F1095))</f>
        <v/>
      </c>
      <c r="H1095" s="10">
        <f>IF(COUNT(D1095:F1095)=0,"",MEDIAN(D1095:F1095))</f>
        <v/>
      </c>
      <c r="I1095" s="10">
        <f>IF(COUNT(D1095:F1095)=0,"",MAX(D1095:F1095))</f>
        <v/>
      </c>
      <c r="J1095" s="11">
        <f>IF(OR(G1095="",G1095=0),"",(I1095-G1095)/G1095)</f>
        <v/>
      </c>
      <c r="K1095" s="4">
        <f>IF(COUNT(D1095:F1095)=0,"",INDEX($D$1:$F$1,MATCH(MIN(D1095:F1095),D1095:F1095,0)))</f>
        <v/>
      </c>
      <c r="L1095" s="10" t="n">
        <v>181.66</v>
      </c>
      <c r="M1095" s="12" t="n">
        <v>1</v>
      </c>
    </row>
    <row r="1096">
      <c r="A1096" s="4" t="inlineStr">
        <is>
          <t>MAT-30-092</t>
        </is>
      </c>
      <c r="B1096" s="5" t="inlineStr">
        <is>
          <t>Jack Max RJ45 Plano Cat 6 Negro</t>
        </is>
      </c>
      <c r="C1096" s="4" t="inlineStr">
        <is>
          <t>unidad</t>
        </is>
      </c>
      <c r="D1096" s="10" t="n">
        <v>189.16</v>
      </c>
      <c r="E1096" s="10" t="n"/>
      <c r="F1096" s="10" t="n"/>
      <c r="G1096" s="10">
        <f>IF(COUNT(D1096:F1096)=0,"",MIN(D1096:F1096))</f>
        <v/>
      </c>
      <c r="H1096" s="10">
        <f>IF(COUNT(D1096:F1096)=0,"",MEDIAN(D1096:F1096))</f>
        <v/>
      </c>
      <c r="I1096" s="10">
        <f>IF(COUNT(D1096:F1096)=0,"",MAX(D1096:F1096))</f>
        <v/>
      </c>
      <c r="J1096" s="11">
        <f>IF(OR(G1096="",G1096=0),"",(I1096-G1096)/G1096)</f>
        <v/>
      </c>
      <c r="K1096" s="4">
        <f>IF(COUNT(D1096:F1096)=0,"",INDEX($D$1:$F$1,MATCH(MIN(D1096:F1096),D1096:F1096,0)))</f>
        <v/>
      </c>
      <c r="L1096" s="10" t="n">
        <v>189.16</v>
      </c>
      <c r="M1096" s="12" t="n">
        <v>1</v>
      </c>
    </row>
    <row r="1097">
      <c r="A1097" s="4" t="inlineStr">
        <is>
          <t>MAT-30-093</t>
        </is>
      </c>
      <c r="B1097" s="5" t="inlineStr">
        <is>
          <t>Mc6 UTP Modular Cord, 1 Ft, White</t>
        </is>
      </c>
      <c r="C1097" s="4" t="inlineStr">
        <is>
          <t>unidad</t>
        </is>
      </c>
      <c r="D1097" s="10" t="n">
        <v>190.83</v>
      </c>
      <c r="E1097" s="10" t="n"/>
      <c r="F1097" s="10" t="n"/>
      <c r="G1097" s="10">
        <f>IF(COUNT(D1097:F1097)=0,"",MIN(D1097:F1097))</f>
        <v/>
      </c>
      <c r="H1097" s="10">
        <f>IF(COUNT(D1097:F1097)=0,"",MEDIAN(D1097:F1097))</f>
        <v/>
      </c>
      <c r="I1097" s="10">
        <f>IF(COUNT(D1097:F1097)=0,"",MAX(D1097:F1097))</f>
        <v/>
      </c>
      <c r="J1097" s="11">
        <f>IF(OR(G1097="",G1097=0),"",(I1097-G1097)/G1097)</f>
        <v/>
      </c>
      <c r="K1097" s="4">
        <f>IF(COUNT(D1097:F1097)=0,"",INDEX($D$1:$F$1,MATCH(MIN(D1097:F1097),D1097:F1097,0)))</f>
        <v/>
      </c>
      <c r="L1097" s="10" t="n">
        <v>190.83</v>
      </c>
      <c r="M1097" s="12" t="n">
        <v>1</v>
      </c>
    </row>
    <row r="1098">
      <c r="A1098" s="4" t="inlineStr">
        <is>
          <t>MAT-30-094</t>
        </is>
      </c>
      <c r="B1098" s="5" t="inlineStr">
        <is>
          <t>UTP Modular Cord, 1 Ft, Blue</t>
        </is>
      </c>
      <c r="C1098" s="4" t="inlineStr">
        <is>
          <t>unidad</t>
        </is>
      </c>
      <c r="D1098" s="10" t="n">
        <v>190.83</v>
      </c>
      <c r="E1098" s="10" t="n"/>
      <c r="F1098" s="10" t="n"/>
      <c r="G1098" s="10">
        <f>IF(COUNT(D1098:F1098)=0,"",MIN(D1098:F1098))</f>
        <v/>
      </c>
      <c r="H1098" s="10">
        <f>IF(COUNT(D1098:F1098)=0,"",MEDIAN(D1098:F1098))</f>
        <v/>
      </c>
      <c r="I1098" s="10">
        <f>IF(COUNT(D1098:F1098)=0,"",MAX(D1098:F1098))</f>
        <v/>
      </c>
      <c r="J1098" s="11">
        <f>IF(OR(G1098="",G1098=0),"",(I1098-G1098)/G1098)</f>
        <v/>
      </c>
      <c r="K1098" s="4">
        <f>IF(COUNT(D1098:F1098)=0,"",INDEX($D$1:$F$1,MATCH(MIN(D1098:F1098),D1098:F1098,0)))</f>
        <v/>
      </c>
      <c r="L1098" s="10" t="n">
        <v>190.83</v>
      </c>
      <c r="M1098" s="12" t="n">
        <v>1</v>
      </c>
    </row>
    <row r="1099">
      <c r="A1099" s="4" t="inlineStr">
        <is>
          <t>MAT-30-095</t>
        </is>
      </c>
      <c r="B1099" s="5" t="inlineStr">
        <is>
          <t>Patch Cord Cat 6 Blanco 3 Ft</t>
        </is>
      </c>
      <c r="C1099" s="4" t="inlineStr">
        <is>
          <t>unidad</t>
        </is>
      </c>
      <c r="D1099" s="10" t="n">
        <v>192.87</v>
      </c>
      <c r="E1099" s="10" t="n"/>
      <c r="F1099" s="10" t="n"/>
      <c r="G1099" s="10">
        <f>IF(COUNT(D1099:F1099)=0,"",MIN(D1099:F1099))</f>
        <v/>
      </c>
      <c r="H1099" s="10">
        <f>IF(COUNT(D1099:F1099)=0,"",MEDIAN(D1099:F1099))</f>
        <v/>
      </c>
      <c r="I1099" s="10">
        <f>IF(COUNT(D1099:F1099)=0,"",MAX(D1099:F1099))</f>
        <v/>
      </c>
      <c r="J1099" s="11">
        <f>IF(OR(G1099="",G1099=0),"",(I1099-G1099)/G1099)</f>
        <v/>
      </c>
      <c r="K1099" s="4">
        <f>IF(COUNT(D1099:F1099)=0,"",INDEX($D$1:$F$1,MATCH(MIN(D1099:F1099),D1099:F1099,0)))</f>
        <v/>
      </c>
      <c r="L1099" s="10" t="n">
        <v>192.87</v>
      </c>
      <c r="M1099" s="12" t="n">
        <v>1</v>
      </c>
    </row>
    <row r="1100">
      <c r="A1100" s="4" t="inlineStr">
        <is>
          <t>MAT-30-096</t>
        </is>
      </c>
      <c r="B1100" s="5" t="inlineStr">
        <is>
          <t>Inserto Ciego Max Paq.10 blanco</t>
        </is>
      </c>
      <c r="C1100" s="4" t="inlineStr">
        <is>
          <t>unidad</t>
        </is>
      </c>
      <c r="D1100" s="10" t="n">
        <v>200.21</v>
      </c>
      <c r="E1100" s="10" t="n"/>
      <c r="F1100" s="10" t="n"/>
      <c r="G1100" s="10">
        <f>IF(COUNT(D1100:F1100)=0,"",MIN(D1100:F1100))</f>
        <v/>
      </c>
      <c r="H1100" s="10">
        <f>IF(COUNT(D1100:F1100)=0,"",MEDIAN(D1100:F1100))</f>
        <v/>
      </c>
      <c r="I1100" s="10">
        <f>IF(COUNT(D1100:F1100)=0,"",MAX(D1100:F1100))</f>
        <v/>
      </c>
      <c r="J1100" s="11">
        <f>IF(OR(G1100="",G1100=0),"",(I1100-G1100)/G1100)</f>
        <v/>
      </c>
      <c r="K1100" s="4">
        <f>IF(COUNT(D1100:F1100)=0,"",INDEX($D$1:$F$1,MATCH(MIN(D1100:F1100),D1100:F1100,0)))</f>
        <v/>
      </c>
      <c r="L1100" s="10" t="n">
        <v>200.21</v>
      </c>
      <c r="M1100" s="12" t="n">
        <v>1</v>
      </c>
    </row>
    <row r="1101">
      <c r="A1101" s="4" t="inlineStr">
        <is>
          <t>MAT-30-097</t>
        </is>
      </c>
      <c r="B1101" s="5" t="inlineStr">
        <is>
          <t>Jack Zmax RJ45 Cat 6 Negro</t>
        </is>
      </c>
      <c r="C1101" s="4" t="inlineStr">
        <is>
          <t>unidad</t>
        </is>
      </c>
      <c r="D1101" s="10" t="n">
        <v>251.93</v>
      </c>
      <c r="E1101" s="10" t="n"/>
      <c r="F1101" s="10" t="n"/>
      <c r="G1101" s="10">
        <f>IF(COUNT(D1101:F1101)=0,"",MIN(D1101:F1101))</f>
        <v/>
      </c>
      <c r="H1101" s="10">
        <f>IF(COUNT(D1101:F1101)=0,"",MEDIAN(D1101:F1101))</f>
        <v/>
      </c>
      <c r="I1101" s="10">
        <f>IF(COUNT(D1101:F1101)=0,"",MAX(D1101:F1101))</f>
        <v/>
      </c>
      <c r="J1101" s="11">
        <f>IF(OR(G1101="",G1101=0),"",(I1101-G1101)/G1101)</f>
        <v/>
      </c>
      <c r="K1101" s="4">
        <f>IF(COUNT(D1101:F1101)=0,"",INDEX($D$1:$F$1,MATCH(MIN(D1101:F1101),D1101:F1101,0)))</f>
        <v/>
      </c>
      <c r="L1101" s="10" t="n">
        <v>251.93</v>
      </c>
      <c r="M1101" s="12" t="n">
        <v>1</v>
      </c>
    </row>
    <row r="1102">
      <c r="A1102" s="4" t="inlineStr">
        <is>
          <t>MAT-30-098</t>
        </is>
      </c>
      <c r="B1102" s="5" t="inlineStr">
        <is>
          <t>Jack Max RJ45 Plano Cat 6 blanco</t>
        </is>
      </c>
      <c r="C1102" s="4" t="inlineStr">
        <is>
          <t>unidad</t>
        </is>
      </c>
      <c r="D1102" s="10" t="n">
        <v>254.97</v>
      </c>
      <c r="E1102" s="10" t="n"/>
      <c r="F1102" s="10" t="n"/>
      <c r="G1102" s="10">
        <f>IF(COUNT(D1102:F1102)=0,"",MIN(D1102:F1102))</f>
        <v/>
      </c>
      <c r="H1102" s="10">
        <f>IF(COUNT(D1102:F1102)=0,"",MEDIAN(D1102:F1102))</f>
        <v/>
      </c>
      <c r="I1102" s="10">
        <f>IF(COUNT(D1102:F1102)=0,"",MAX(D1102:F1102))</f>
        <v/>
      </c>
      <c r="J1102" s="11">
        <f>IF(OR(G1102="",G1102=0),"",(I1102-G1102)/G1102)</f>
        <v/>
      </c>
      <c r="K1102" s="4">
        <f>IF(COUNT(D1102:F1102)=0,"",INDEX($D$1:$F$1,MATCH(MIN(D1102:F1102),D1102:F1102,0)))</f>
        <v/>
      </c>
      <c r="L1102" s="10" t="n">
        <v>254.97</v>
      </c>
      <c r="M1102" s="12" t="n">
        <v>1</v>
      </c>
    </row>
    <row r="1103">
      <c r="A1103" s="4" t="inlineStr">
        <is>
          <t>MAT-30-099</t>
        </is>
      </c>
      <c r="B1103" s="5" t="inlineStr">
        <is>
          <t>Jack Zmax RJ45 Cat 6 Azul</t>
        </is>
      </c>
      <c r="C1103" s="4" t="inlineStr">
        <is>
          <t>unidad</t>
        </is>
      </c>
      <c r="D1103" s="10" t="n">
        <v>256.97</v>
      </c>
      <c r="E1103" s="10" t="n"/>
      <c r="F1103" s="10" t="n"/>
      <c r="G1103" s="10">
        <f>IF(COUNT(D1103:F1103)=0,"",MIN(D1103:F1103))</f>
        <v/>
      </c>
      <c r="H1103" s="10">
        <f>IF(COUNT(D1103:F1103)=0,"",MEDIAN(D1103:F1103))</f>
        <v/>
      </c>
      <c r="I1103" s="10">
        <f>IF(COUNT(D1103:F1103)=0,"",MAX(D1103:F1103))</f>
        <v/>
      </c>
      <c r="J1103" s="11">
        <f>IF(OR(G1103="",G1103=0),"",(I1103-G1103)/G1103)</f>
        <v/>
      </c>
      <c r="K1103" s="4">
        <f>IF(COUNT(D1103:F1103)=0,"",INDEX($D$1:$F$1,MATCH(MIN(D1103:F1103),D1103:F1103,0)))</f>
        <v/>
      </c>
      <c r="L1103" s="10" t="n">
        <v>256.97</v>
      </c>
      <c r="M1103" s="12" t="n">
        <v>1</v>
      </c>
    </row>
    <row r="1104">
      <c r="A1104" s="4" t="inlineStr">
        <is>
          <t>MAT-30-100</t>
        </is>
      </c>
      <c r="B1104" s="5" t="inlineStr">
        <is>
          <t>Pasador De Cables</t>
        </is>
      </c>
      <c r="C1104" s="4" t="inlineStr">
        <is>
          <t>unidad</t>
        </is>
      </c>
      <c r="D1104" s="10" t="n">
        <v>305.63</v>
      </c>
      <c r="E1104" s="10" t="n"/>
      <c r="F1104" s="10" t="n"/>
      <c r="G1104" s="10">
        <f>IF(COUNT(D1104:F1104)=0,"",MIN(D1104:F1104))</f>
        <v/>
      </c>
      <c r="H1104" s="10">
        <f>IF(COUNT(D1104:F1104)=0,"",MEDIAN(D1104:F1104))</f>
        <v/>
      </c>
      <c r="I1104" s="10">
        <f>IF(COUNT(D1104:F1104)=0,"",MAX(D1104:F1104))</f>
        <v/>
      </c>
      <c r="J1104" s="11">
        <f>IF(OR(G1104="",G1104=0),"",(I1104-G1104)/G1104)</f>
        <v/>
      </c>
      <c r="K1104" s="4">
        <f>IF(COUNT(D1104:F1104)=0,"",INDEX($D$1:$F$1,MATCH(MIN(D1104:F1104),D1104:F1104,0)))</f>
        <v/>
      </c>
      <c r="L1104" s="10" t="n">
        <v>305.63</v>
      </c>
      <c r="M1104" s="12" t="n">
        <v>1</v>
      </c>
    </row>
    <row r="1105">
      <c r="A1105" s="4" t="inlineStr">
        <is>
          <t>MAT-30-101</t>
        </is>
      </c>
      <c r="B1105" s="5" t="inlineStr">
        <is>
          <t>Keystone,Usb 2.0 A-A,F / F Fog White</t>
        </is>
      </c>
      <c r="C1105" s="4" t="inlineStr">
        <is>
          <t>unidad</t>
        </is>
      </c>
      <c r="D1105" s="10" t="n">
        <v>316.63</v>
      </c>
      <c r="E1105" s="10" t="n"/>
      <c r="F1105" s="10" t="n"/>
      <c r="G1105" s="10">
        <f>IF(COUNT(D1105:F1105)=0,"",MIN(D1105:F1105))</f>
        <v/>
      </c>
      <c r="H1105" s="10">
        <f>IF(COUNT(D1105:F1105)=0,"",MEDIAN(D1105:F1105))</f>
        <v/>
      </c>
      <c r="I1105" s="10">
        <f>IF(COUNT(D1105:F1105)=0,"",MAX(D1105:F1105))</f>
        <v/>
      </c>
      <c r="J1105" s="11">
        <f>IF(OR(G1105="",G1105=0),"",(I1105-G1105)/G1105)</f>
        <v/>
      </c>
      <c r="K1105" s="4">
        <f>IF(COUNT(D1105:F1105)=0,"",INDEX($D$1:$F$1,MATCH(MIN(D1105:F1105),D1105:F1105,0)))</f>
        <v/>
      </c>
      <c r="L1105" s="10" t="n">
        <v>316.63</v>
      </c>
      <c r="M1105" s="12" t="n">
        <v>1</v>
      </c>
    </row>
    <row r="1106">
      <c r="A1106" s="4" t="inlineStr">
        <is>
          <t>MAT-30-102</t>
        </is>
      </c>
      <c r="B1106" s="5" t="inlineStr">
        <is>
          <t>Jack Zmax RJ45 Cat 6A Blindado Negro</t>
        </is>
      </c>
      <c r="C1106" s="4" t="inlineStr">
        <is>
          <t>unidad</t>
        </is>
      </c>
      <c r="D1106" s="10" t="n">
        <v>275.76</v>
      </c>
      <c r="E1106" s="10" t="n"/>
      <c r="F1106" s="10" t="n"/>
      <c r="G1106" s="10">
        <f>IF(COUNT(D1106:F1106)=0,"",MIN(D1106:F1106))</f>
        <v/>
      </c>
      <c r="H1106" s="10">
        <f>IF(COUNT(D1106:F1106)=0,"",MEDIAN(D1106:F1106))</f>
        <v/>
      </c>
      <c r="I1106" s="10">
        <f>IF(COUNT(D1106:F1106)=0,"",MAX(D1106:F1106))</f>
        <v/>
      </c>
      <c r="J1106" s="11">
        <f>IF(OR(G1106="",G1106=0),"",(I1106-G1106)/G1106)</f>
        <v/>
      </c>
      <c r="K1106" s="4">
        <f>IF(COUNT(D1106:F1106)=0,"",INDEX($D$1:$F$1,MATCH(MIN(D1106:F1106),D1106:F1106,0)))</f>
        <v/>
      </c>
      <c r="L1106" s="10" t="n">
        <v>317.84</v>
      </c>
      <c r="M1106" s="12" t="n">
        <v>1</v>
      </c>
    </row>
    <row r="1107">
      <c r="A1107" s="4" t="inlineStr">
        <is>
          <t>MAT-30-103</t>
        </is>
      </c>
      <c r="B1107" s="5" t="inlineStr">
        <is>
          <t>Jack Zmax RJ45 Cat 6A Blindado Azul</t>
        </is>
      </c>
      <c r="C1107" s="4" t="inlineStr">
        <is>
          <t>unidad</t>
        </is>
      </c>
      <c r="D1107" s="10" t="n">
        <v>343.31</v>
      </c>
      <c r="E1107" s="10" t="n"/>
      <c r="F1107" s="10" t="n"/>
      <c r="G1107" s="10">
        <f>IF(COUNT(D1107:F1107)=0,"",MIN(D1107:F1107))</f>
        <v/>
      </c>
      <c r="H1107" s="10">
        <f>IF(COUNT(D1107:F1107)=0,"",MEDIAN(D1107:F1107))</f>
        <v/>
      </c>
      <c r="I1107" s="10">
        <f>IF(COUNT(D1107:F1107)=0,"",MAX(D1107:F1107))</f>
        <v/>
      </c>
      <c r="J1107" s="11">
        <f>IF(OR(G1107="",G1107=0),"",(I1107-G1107)/G1107)</f>
        <v/>
      </c>
      <c r="K1107" s="4">
        <f>IF(COUNT(D1107:F1107)=0,"",INDEX($D$1:$F$1,MATCH(MIN(D1107:F1107),D1107:F1107,0)))</f>
        <v/>
      </c>
      <c r="L1107" s="10" t="n">
        <v>343.31</v>
      </c>
      <c r="M1107" s="12" t="n">
        <v>1</v>
      </c>
    </row>
    <row r="1108">
      <c r="A1108" s="4" t="inlineStr">
        <is>
          <t>MAT-30-104</t>
        </is>
      </c>
      <c r="B1108" s="5" t="inlineStr">
        <is>
          <t>Jack Zmax RJ45 Cat 6A Blindado Blanco</t>
        </is>
      </c>
      <c r="C1108" s="4" t="inlineStr">
        <is>
          <t>unidad</t>
        </is>
      </c>
      <c r="D1108" s="10" t="n">
        <v>301.15</v>
      </c>
      <c r="E1108" s="10" t="n"/>
      <c r="F1108" s="10" t="n"/>
      <c r="G1108" s="10">
        <f>IF(COUNT(D1108:F1108)=0,"",MIN(D1108:F1108))</f>
        <v/>
      </c>
      <c r="H1108" s="10">
        <f>IF(COUNT(D1108:F1108)=0,"",MEDIAN(D1108:F1108))</f>
        <v/>
      </c>
      <c r="I1108" s="10">
        <f>IF(COUNT(D1108:F1108)=0,"",MAX(D1108:F1108))</f>
        <v/>
      </c>
      <c r="J1108" s="11">
        <f>IF(OR(G1108="",G1108=0),"",(I1108-G1108)/G1108)</f>
        <v/>
      </c>
      <c r="K1108" s="4">
        <f>IF(COUNT(D1108:F1108)=0,"",INDEX($D$1:$F$1,MATCH(MIN(D1108:F1108),D1108:F1108,0)))</f>
        <v/>
      </c>
      <c r="L1108" s="10" t="n">
        <v>342.87</v>
      </c>
      <c r="M1108" s="12" t="n">
        <v>1</v>
      </c>
    </row>
    <row r="1109">
      <c r="A1109" s="4" t="inlineStr">
        <is>
          <t>MAT-30-105</t>
        </is>
      </c>
      <c r="B1109" s="5" t="inlineStr">
        <is>
          <t>Jack Zmax RJ45 Cat 6 blanco</t>
        </is>
      </c>
      <c r="C1109" s="4" t="inlineStr">
        <is>
          <t>unidad</t>
        </is>
      </c>
      <c r="D1109" s="10" t="n">
        <v>431.95</v>
      </c>
      <c r="E1109" s="10" t="n"/>
      <c r="F1109" s="10" t="n"/>
      <c r="G1109" s="10">
        <f>IF(COUNT(D1109:F1109)=0,"",MIN(D1109:F1109))</f>
        <v/>
      </c>
      <c r="H1109" s="10">
        <f>IF(COUNT(D1109:F1109)=0,"",MEDIAN(D1109:F1109))</f>
        <v/>
      </c>
      <c r="I1109" s="10">
        <f>IF(COUNT(D1109:F1109)=0,"",MAX(D1109:F1109))</f>
        <v/>
      </c>
      <c r="J1109" s="11">
        <f>IF(OR(G1109="",G1109=0),"",(I1109-G1109)/G1109)</f>
        <v/>
      </c>
      <c r="K1109" s="4">
        <f>IF(COUNT(D1109:F1109)=0,"",INDEX($D$1:$F$1,MATCH(MIN(D1109:F1109),D1109:F1109,0)))</f>
        <v/>
      </c>
      <c r="L1109" s="10" t="n">
        <v>431.95</v>
      </c>
      <c r="M1109" s="12" t="n">
        <v>1</v>
      </c>
    </row>
    <row r="1110">
      <c r="A1110" s="4" t="inlineStr">
        <is>
          <t>MAT-30-106</t>
        </is>
      </c>
      <c r="B1110" s="5" t="inlineStr">
        <is>
          <t>Jack 7A Para Patch Panel</t>
        </is>
      </c>
      <c r="C1110" s="4" t="inlineStr">
        <is>
          <t>unidad</t>
        </is>
      </c>
      <c r="D1110" s="10" t="n">
        <v>497.15</v>
      </c>
      <c r="E1110" s="10" t="n"/>
      <c r="F1110" s="10" t="n"/>
      <c r="G1110" s="10">
        <f>IF(COUNT(D1110:F1110)=0,"",MIN(D1110:F1110))</f>
        <v/>
      </c>
      <c r="H1110" s="10">
        <f>IF(COUNT(D1110:F1110)=0,"",MEDIAN(D1110:F1110))</f>
        <v/>
      </c>
      <c r="I1110" s="10">
        <f>IF(COUNT(D1110:F1110)=0,"",MAX(D1110:F1110))</f>
        <v/>
      </c>
      <c r="J1110" s="11">
        <f>IF(OR(G1110="",G1110=0),"",(I1110-G1110)/G1110)</f>
        <v/>
      </c>
      <c r="K1110" s="4">
        <f>IF(COUNT(D1110:F1110)=0,"",INDEX($D$1:$F$1,MATCH(MIN(D1110:F1110),D1110:F1110,0)))</f>
        <v/>
      </c>
      <c r="L1110" s="10" t="n">
        <v>497.15</v>
      </c>
      <c r="M1110" s="12" t="n">
        <v>1</v>
      </c>
    </row>
    <row r="1111">
      <c r="A1111" s="4" t="inlineStr">
        <is>
          <t>MAT-30-107</t>
        </is>
      </c>
      <c r="B1111" s="5" t="inlineStr">
        <is>
          <t>Conector De Fibra Óptica</t>
        </is>
      </c>
      <c r="C1111" s="4" t="inlineStr">
        <is>
          <t>unidad</t>
        </is>
      </c>
      <c r="D1111" s="10" t="n">
        <v>525.0700000000001</v>
      </c>
      <c r="E1111" s="10" t="n"/>
      <c r="F1111" s="10" t="n"/>
      <c r="G1111" s="10">
        <f>IF(COUNT(D1111:F1111)=0,"",MIN(D1111:F1111))</f>
        <v/>
      </c>
      <c r="H1111" s="10">
        <f>IF(COUNT(D1111:F1111)=0,"",MEDIAN(D1111:F1111))</f>
        <v/>
      </c>
      <c r="I1111" s="10">
        <f>IF(COUNT(D1111:F1111)=0,"",MAX(D1111:F1111))</f>
        <v/>
      </c>
      <c r="J1111" s="11">
        <f>IF(OR(G1111="",G1111=0),"",(I1111-G1111)/G1111)</f>
        <v/>
      </c>
      <c r="K1111" s="4">
        <f>IF(COUNT(D1111:F1111)=0,"",INDEX($D$1:$F$1,MATCH(MIN(D1111:F1111),D1111:F1111,0)))</f>
        <v/>
      </c>
      <c r="L1111" s="10" t="n">
        <v>525.0700000000001</v>
      </c>
      <c r="M1111" s="12" t="n">
        <v>1</v>
      </c>
    </row>
    <row r="1112">
      <c r="A1112" s="4" t="inlineStr">
        <is>
          <t>MAT-30-108</t>
        </is>
      </c>
      <c r="B1112" s="5" t="inlineStr">
        <is>
          <t>Conector De Fibra Os1 / Os4</t>
        </is>
      </c>
      <c r="C1112" s="4" t="inlineStr">
        <is>
          <t>unidad</t>
        </is>
      </c>
      <c r="D1112" s="10" t="n">
        <v>652.25</v>
      </c>
      <c r="E1112" s="10" t="n"/>
      <c r="F1112" s="10" t="n"/>
      <c r="G1112" s="10">
        <f>IF(COUNT(D1112:F1112)=0,"",MIN(D1112:F1112))</f>
        <v/>
      </c>
      <c r="H1112" s="10">
        <f>IF(COUNT(D1112:F1112)=0,"",MEDIAN(D1112:F1112))</f>
        <v/>
      </c>
      <c r="I1112" s="10">
        <f>IF(COUNT(D1112:F1112)=0,"",MAX(D1112:F1112))</f>
        <v/>
      </c>
      <c r="J1112" s="11">
        <f>IF(OR(G1112="",G1112=0),"",(I1112-G1112)/G1112)</f>
        <v/>
      </c>
      <c r="K1112" s="4">
        <f>IF(COUNT(D1112:F1112)=0,"",INDEX($D$1:$F$1,MATCH(MIN(D1112:F1112),D1112:F1112,0)))</f>
        <v/>
      </c>
      <c r="L1112" s="10" t="n">
        <v>652.25</v>
      </c>
      <c r="M1112" s="12" t="n">
        <v>1</v>
      </c>
    </row>
    <row r="1113">
      <c r="A1113" s="4" t="inlineStr">
        <is>
          <t>MAT-30-109</t>
        </is>
      </c>
      <c r="B1113" s="5" t="inlineStr">
        <is>
          <t>Placa Sencilla Acero 1 Puerto</t>
        </is>
      </c>
      <c r="C1113" s="4" t="inlineStr">
        <is>
          <t>unidad</t>
        </is>
      </c>
      <c r="D1113" s="10" t="n">
        <v>883.79</v>
      </c>
      <c r="E1113" s="10" t="n"/>
      <c r="F1113" s="10" t="n"/>
      <c r="G1113" s="10">
        <f>IF(COUNT(D1113:F1113)=0,"",MIN(D1113:F1113))</f>
        <v/>
      </c>
      <c r="H1113" s="10">
        <f>IF(COUNT(D1113:F1113)=0,"",MEDIAN(D1113:F1113))</f>
        <v/>
      </c>
      <c r="I1113" s="10">
        <f>IF(COUNT(D1113:F1113)=0,"",MAX(D1113:F1113))</f>
        <v/>
      </c>
      <c r="J1113" s="11">
        <f>IF(OR(G1113="",G1113=0),"",(I1113-G1113)/G1113)</f>
        <v/>
      </c>
      <c r="K1113" s="4">
        <f>IF(COUNT(D1113:F1113)=0,"",INDEX($D$1:$F$1,MATCH(MIN(D1113:F1113),D1113:F1113,0)))</f>
        <v/>
      </c>
      <c r="L1113" s="10" t="n">
        <v>883.79</v>
      </c>
      <c r="M1113" s="12" t="n">
        <v>1</v>
      </c>
    </row>
    <row r="1114">
      <c r="A1114" s="4" t="inlineStr">
        <is>
          <t>MAT-30-110</t>
        </is>
      </c>
      <c r="B1114" s="5" t="inlineStr">
        <is>
          <t>Placa Sencilla Acero 2 Puerto</t>
        </is>
      </c>
      <c r="C1114" s="4" t="inlineStr">
        <is>
          <t>unidad</t>
        </is>
      </c>
      <c r="D1114" s="10" t="n">
        <v>883.79</v>
      </c>
      <c r="E1114" s="10" t="n"/>
      <c r="F1114" s="10" t="n"/>
      <c r="G1114" s="10">
        <f>IF(COUNT(D1114:F1114)=0,"",MIN(D1114:F1114))</f>
        <v/>
      </c>
      <c r="H1114" s="10">
        <f>IF(COUNT(D1114:F1114)=0,"",MEDIAN(D1114:F1114))</f>
        <v/>
      </c>
      <c r="I1114" s="10">
        <f>IF(COUNT(D1114:F1114)=0,"",MAX(D1114:F1114))</f>
        <v/>
      </c>
      <c r="J1114" s="11">
        <f>IF(OR(G1114="",G1114=0),"",(I1114-G1114)/G1114)</f>
        <v/>
      </c>
      <c r="K1114" s="4">
        <f>IF(COUNT(D1114:F1114)=0,"",INDEX($D$1:$F$1,MATCH(MIN(D1114:F1114),D1114:F1114,0)))</f>
        <v/>
      </c>
      <c r="L1114" s="10" t="n">
        <v>883.79</v>
      </c>
      <c r="M1114" s="12" t="n">
        <v>1</v>
      </c>
    </row>
    <row r="1115">
      <c r="A1115" s="4" t="inlineStr">
        <is>
          <t>MAT-30-111</t>
        </is>
      </c>
      <c r="B1115" s="5" t="inlineStr">
        <is>
          <t>Jumper Xglo 1 Mt</t>
        </is>
      </c>
      <c r="C1115" s="4" t="inlineStr">
        <is>
          <t>unidad</t>
        </is>
      </c>
      <c r="D1115" s="10" t="n">
        <v>359.05</v>
      </c>
      <c r="E1115" s="10" t="n"/>
      <c r="F1115" s="10" t="n"/>
      <c r="G1115" s="10">
        <f>IF(COUNT(D1115:F1115)=0,"",MIN(D1115:F1115))</f>
        <v/>
      </c>
      <c r="H1115" s="10">
        <f>IF(COUNT(D1115:F1115)=0,"",MEDIAN(D1115:F1115))</f>
        <v/>
      </c>
      <c r="I1115" s="10">
        <f>IF(COUNT(D1115:F1115)=0,"",MAX(D1115:F1115))</f>
        <v/>
      </c>
      <c r="J1115" s="11">
        <f>IF(OR(G1115="",G1115=0),"",(I1115-G1115)/G1115)</f>
        <v/>
      </c>
      <c r="K1115" s="4">
        <f>IF(COUNT(D1115:F1115)=0,"",INDEX($D$1:$F$1,MATCH(MIN(D1115:F1115),D1115:F1115,0)))</f>
        <v/>
      </c>
      <c r="L1115" s="10" t="n">
        <v>720.5</v>
      </c>
      <c r="M1115" s="12" t="n">
        <v>1</v>
      </c>
    </row>
    <row r="1116">
      <c r="A1116" s="4" t="inlineStr">
        <is>
          <t>MAT-30-112</t>
        </is>
      </c>
      <c r="B1116" s="5" t="inlineStr">
        <is>
          <t>Jumper De F. O Xglo 1 Mt</t>
        </is>
      </c>
      <c r="C1116" s="4" t="inlineStr">
        <is>
          <t>unidad</t>
        </is>
      </c>
      <c r="D1116" s="10" t="n">
        <v>1187.51</v>
      </c>
      <c r="E1116" s="10" t="n"/>
      <c r="F1116" s="10" t="n"/>
      <c r="G1116" s="10">
        <f>IF(COUNT(D1116:F1116)=0,"",MIN(D1116:F1116))</f>
        <v/>
      </c>
      <c r="H1116" s="10">
        <f>IF(COUNT(D1116:F1116)=0,"",MEDIAN(D1116:F1116))</f>
        <v/>
      </c>
      <c r="I1116" s="10">
        <f>IF(COUNT(D1116:F1116)=0,"",MAX(D1116:F1116))</f>
        <v/>
      </c>
      <c r="J1116" s="11">
        <f>IF(OR(G1116="",G1116=0),"",(I1116-G1116)/G1116)</f>
        <v/>
      </c>
      <c r="K1116" s="4">
        <f>IF(COUNT(D1116:F1116)=0,"",INDEX($D$1:$F$1,MATCH(MIN(D1116:F1116),D1116:F1116,0)))</f>
        <v/>
      </c>
      <c r="L1116" s="10" t="n">
        <v>1187.51</v>
      </c>
      <c r="M1116" s="12" t="n">
        <v>1</v>
      </c>
    </row>
    <row r="1117">
      <c r="A1117" s="4" t="inlineStr">
        <is>
          <t>MAT-30-113</t>
        </is>
      </c>
      <c r="B1117" s="5" t="inlineStr">
        <is>
          <t>Placa Doble Acero 3 Puerto</t>
        </is>
      </c>
      <c r="C1117" s="4" t="inlineStr">
        <is>
          <t>unidad</t>
        </is>
      </c>
      <c r="D1117" s="10" t="n">
        <v>1196.92</v>
      </c>
      <c r="E1117" s="10" t="n"/>
      <c r="F1117" s="10" t="n"/>
      <c r="G1117" s="10">
        <f>IF(COUNT(D1117:F1117)=0,"",MIN(D1117:F1117))</f>
        <v/>
      </c>
      <c r="H1117" s="10">
        <f>IF(COUNT(D1117:F1117)=0,"",MEDIAN(D1117:F1117))</f>
        <v/>
      </c>
      <c r="I1117" s="10">
        <f>IF(COUNT(D1117:F1117)=0,"",MAX(D1117:F1117))</f>
        <v/>
      </c>
      <c r="J1117" s="11">
        <f>IF(OR(G1117="",G1117=0),"",(I1117-G1117)/G1117)</f>
        <v/>
      </c>
      <c r="K1117" s="4">
        <f>IF(COUNT(D1117:F1117)=0,"",INDEX($D$1:$F$1,MATCH(MIN(D1117:F1117),D1117:F1117,0)))</f>
        <v/>
      </c>
      <c r="L1117" s="10" t="n">
        <v>1196.92</v>
      </c>
      <c r="M1117" s="12" t="n">
        <v>1</v>
      </c>
    </row>
    <row r="1118">
      <c r="A1118" s="4" t="inlineStr">
        <is>
          <t>MAT-30-114</t>
        </is>
      </c>
      <c r="B1118" s="5" t="inlineStr">
        <is>
          <t>Jumper Xglo 3 Mt.</t>
        </is>
      </c>
      <c r="C1118" s="4" t="inlineStr">
        <is>
          <t>unidad</t>
        </is>
      </c>
      <c r="D1118" s="10" t="n">
        <v>1215.37</v>
      </c>
      <c r="E1118" s="10" t="n"/>
      <c r="F1118" s="10" t="n"/>
      <c r="G1118" s="10">
        <f>IF(COUNT(D1118:F1118)=0,"",MIN(D1118:F1118))</f>
        <v/>
      </c>
      <c r="H1118" s="10">
        <f>IF(COUNT(D1118:F1118)=0,"",MEDIAN(D1118:F1118))</f>
        <v/>
      </c>
      <c r="I1118" s="10">
        <f>IF(COUNT(D1118:F1118)=0,"",MAX(D1118:F1118))</f>
        <v/>
      </c>
      <c r="J1118" s="11">
        <f>IF(OR(G1118="",G1118=0),"",(I1118-G1118)/G1118)</f>
        <v/>
      </c>
      <c r="K1118" s="4">
        <f>IF(COUNT(D1118:F1118)=0,"",INDEX($D$1:$F$1,MATCH(MIN(D1118:F1118),D1118:F1118,0)))</f>
        <v/>
      </c>
      <c r="L1118" s="10" t="n">
        <v>1215.37</v>
      </c>
      <c r="M1118" s="12" t="n">
        <v>1</v>
      </c>
    </row>
    <row r="1119">
      <c r="A1119" s="4" t="inlineStr">
        <is>
          <t>MAT-30-115</t>
        </is>
      </c>
      <c r="B1119" s="5" t="inlineStr">
        <is>
          <t>Patch Cord 7 Pies Cat 7</t>
        </is>
      </c>
      <c r="C1119" s="4" t="inlineStr">
        <is>
          <t>unidad</t>
        </is>
      </c>
      <c r="D1119" s="10" t="n">
        <v>1305.12</v>
      </c>
      <c r="E1119" s="10" t="n"/>
      <c r="F1119" s="10" t="n"/>
      <c r="G1119" s="10">
        <f>IF(COUNT(D1119:F1119)=0,"",MIN(D1119:F1119))</f>
        <v/>
      </c>
      <c r="H1119" s="10">
        <f>IF(COUNT(D1119:F1119)=0,"",MEDIAN(D1119:F1119))</f>
        <v/>
      </c>
      <c r="I1119" s="10">
        <f>IF(COUNT(D1119:F1119)=0,"",MAX(D1119:F1119))</f>
        <v/>
      </c>
      <c r="J1119" s="11">
        <f>IF(OR(G1119="",G1119=0),"",(I1119-G1119)/G1119)</f>
        <v/>
      </c>
      <c r="K1119" s="4">
        <f>IF(COUNT(D1119:F1119)=0,"",INDEX($D$1:$F$1,MATCH(MIN(D1119:F1119),D1119:F1119,0)))</f>
        <v/>
      </c>
      <c r="L1119" s="10" t="n">
        <v>1305.12</v>
      </c>
      <c r="M1119" s="12" t="n">
        <v>1</v>
      </c>
    </row>
    <row r="1120">
      <c r="A1120" s="4" t="inlineStr">
        <is>
          <t>MAT-30-116</t>
        </is>
      </c>
      <c r="B1120" s="5" t="inlineStr">
        <is>
          <t>Adaptador De Fibra Reforzado</t>
        </is>
      </c>
      <c r="C1120" s="4" t="inlineStr">
        <is>
          <t>unidad</t>
        </is>
      </c>
      <c r="D1120" s="10" t="n">
        <v>1315.91</v>
      </c>
      <c r="E1120" s="10" t="n"/>
      <c r="F1120" s="10" t="n"/>
      <c r="G1120" s="10">
        <f>IF(COUNT(D1120:F1120)=0,"",MIN(D1120:F1120))</f>
        <v/>
      </c>
      <c r="H1120" s="10">
        <f>IF(COUNT(D1120:F1120)=0,"",MEDIAN(D1120:F1120))</f>
        <v/>
      </c>
      <c r="I1120" s="10">
        <f>IF(COUNT(D1120:F1120)=0,"",MAX(D1120:F1120))</f>
        <v/>
      </c>
      <c r="J1120" s="11">
        <f>IF(OR(G1120="",G1120=0),"",(I1120-G1120)/G1120)</f>
        <v/>
      </c>
      <c r="K1120" s="4">
        <f>IF(COUNT(D1120:F1120)=0,"",INDEX($D$1:$F$1,MATCH(MIN(D1120:F1120),D1120:F1120,0)))</f>
        <v/>
      </c>
      <c r="L1120" s="10" t="n">
        <v>1315.91</v>
      </c>
      <c r="M1120" s="12" t="n">
        <v>1</v>
      </c>
    </row>
    <row r="1121">
      <c r="A1121" s="4" t="inlineStr">
        <is>
          <t>MAT-30-117</t>
        </is>
      </c>
      <c r="B1121" s="5" t="inlineStr">
        <is>
          <t>Patch Cord 10 Pies Cat 7</t>
        </is>
      </c>
      <c r="C1121" s="4" t="inlineStr">
        <is>
          <t>unidad</t>
        </is>
      </c>
      <c r="D1121" s="10" t="n">
        <v>1396.76</v>
      </c>
      <c r="E1121" s="10" t="n"/>
      <c r="F1121" s="10" t="n"/>
      <c r="G1121" s="10">
        <f>IF(COUNT(D1121:F1121)=0,"",MIN(D1121:F1121))</f>
        <v/>
      </c>
      <c r="H1121" s="10">
        <f>IF(COUNT(D1121:F1121)=0,"",MEDIAN(D1121:F1121))</f>
        <v/>
      </c>
      <c r="I1121" s="10">
        <f>IF(COUNT(D1121:F1121)=0,"",MAX(D1121:F1121))</f>
        <v/>
      </c>
      <c r="J1121" s="11">
        <f>IF(OR(G1121="",G1121=0),"",(I1121-G1121)/G1121)</f>
        <v/>
      </c>
      <c r="K1121" s="4">
        <f>IF(COUNT(D1121:F1121)=0,"",INDEX($D$1:$F$1,MATCH(MIN(D1121:F1121),D1121:F1121,0)))</f>
        <v/>
      </c>
      <c r="L1121" s="10" t="n">
        <v>1396.76</v>
      </c>
      <c r="M1121" s="12" t="n">
        <v>1</v>
      </c>
    </row>
    <row r="1122">
      <c r="A1122" s="4" t="inlineStr">
        <is>
          <t>MAT-30-118</t>
        </is>
      </c>
      <c r="B1122" s="5" t="inlineStr">
        <is>
          <t>Jack RJ45 Cat 6 Negro</t>
        </is>
      </c>
      <c r="C1122" s="4" t="inlineStr">
        <is>
          <t>unidad</t>
        </is>
      </c>
      <c r="D1122" s="10" t="n">
        <v>1513.22</v>
      </c>
      <c r="E1122" s="10" t="n"/>
      <c r="F1122" s="10" t="n"/>
      <c r="G1122" s="10">
        <f>IF(COUNT(D1122:F1122)=0,"",MIN(D1122:F1122))</f>
        <v/>
      </c>
      <c r="H1122" s="10">
        <f>IF(COUNT(D1122:F1122)=0,"",MEDIAN(D1122:F1122))</f>
        <v/>
      </c>
      <c r="I1122" s="10">
        <f>IF(COUNT(D1122:F1122)=0,"",MAX(D1122:F1122))</f>
        <v/>
      </c>
      <c r="J1122" s="11">
        <f>IF(OR(G1122="",G1122=0),"",(I1122-G1122)/G1122)</f>
        <v/>
      </c>
      <c r="K1122" s="4">
        <f>IF(COUNT(D1122:F1122)=0,"",INDEX($D$1:$F$1,MATCH(MIN(D1122:F1122),D1122:F1122,0)))</f>
        <v/>
      </c>
      <c r="L1122" s="10" t="n">
        <v>1513.22</v>
      </c>
      <c r="M1122" s="12" t="n">
        <v>1</v>
      </c>
    </row>
    <row r="1123">
      <c r="A1123" s="4" t="inlineStr">
        <is>
          <t>MAT-30-119</t>
        </is>
      </c>
      <c r="B1123" s="5" t="inlineStr">
        <is>
          <t>Adaptador De Fibra Reforzados</t>
        </is>
      </c>
      <c r="C1123" s="4" t="inlineStr">
        <is>
          <t>unidad</t>
        </is>
      </c>
      <c r="D1123" s="10" t="n">
        <v>1646.92</v>
      </c>
      <c r="E1123" s="10" t="n"/>
      <c r="F1123" s="10" t="n"/>
      <c r="G1123" s="10">
        <f>IF(COUNT(D1123:F1123)=0,"",MIN(D1123:F1123))</f>
        <v/>
      </c>
      <c r="H1123" s="10">
        <f>IF(COUNT(D1123:F1123)=0,"",MEDIAN(D1123:F1123))</f>
        <v/>
      </c>
      <c r="I1123" s="10">
        <f>IF(COUNT(D1123:F1123)=0,"",MAX(D1123:F1123))</f>
        <v/>
      </c>
      <c r="J1123" s="11">
        <f>IF(OR(G1123="",G1123=0),"",(I1123-G1123)/G1123)</f>
        <v/>
      </c>
      <c r="K1123" s="4">
        <f>IF(COUNT(D1123:F1123)=0,"",INDEX($D$1:$F$1,MATCH(MIN(D1123:F1123),D1123:F1123,0)))</f>
        <v/>
      </c>
      <c r="L1123" s="10" t="n">
        <v>1646.92</v>
      </c>
      <c r="M1123" s="12" t="n">
        <v>1</v>
      </c>
    </row>
    <row r="1124">
      <c r="A1124" s="4" t="inlineStr">
        <is>
          <t>MAT-30-120</t>
        </is>
      </c>
      <c r="B1124" s="5" t="inlineStr">
        <is>
          <t>Patch Panel Max Modular, De 48 Puertos,</t>
        </is>
      </c>
      <c r="C1124" s="4" t="inlineStr">
        <is>
          <t>unidad</t>
        </is>
      </c>
      <c r="D1124" s="10" t="n">
        <v>1782.28</v>
      </c>
      <c r="E1124" s="10" t="n"/>
      <c r="F1124" s="10" t="n"/>
      <c r="G1124" s="10">
        <f>IF(COUNT(D1124:F1124)=0,"",MIN(D1124:F1124))</f>
        <v/>
      </c>
      <c r="H1124" s="10">
        <f>IF(COUNT(D1124:F1124)=0,"",MEDIAN(D1124:F1124))</f>
        <v/>
      </c>
      <c r="I1124" s="10">
        <f>IF(COUNT(D1124:F1124)=0,"",MAX(D1124:F1124))</f>
        <v/>
      </c>
      <c r="J1124" s="11">
        <f>IF(OR(G1124="",G1124=0),"",(I1124-G1124)/G1124)</f>
        <v/>
      </c>
      <c r="K1124" s="4">
        <f>IF(COUNT(D1124:F1124)=0,"",INDEX($D$1:$F$1,MATCH(MIN(D1124:F1124),D1124:F1124,0)))</f>
        <v/>
      </c>
      <c r="L1124" s="10" t="n">
        <v>1782.28</v>
      </c>
      <c r="M1124" s="12" t="n">
        <v>1</v>
      </c>
    </row>
    <row r="1125">
      <c r="A1125" s="4" t="inlineStr">
        <is>
          <t>MAT-30-121</t>
        </is>
      </c>
      <c r="B1125" s="5" t="inlineStr">
        <is>
          <t>Bandeja De Empalme</t>
        </is>
      </c>
      <c r="C1125" s="4" t="inlineStr">
        <is>
          <t>unidad</t>
        </is>
      </c>
      <c r="D1125" s="10" t="n">
        <v>1803.27</v>
      </c>
      <c r="E1125" s="10" t="n"/>
      <c r="F1125" s="10" t="n"/>
      <c r="G1125" s="10">
        <f>IF(COUNT(D1125:F1125)=0,"",MIN(D1125:F1125))</f>
        <v/>
      </c>
      <c r="H1125" s="10">
        <f>IF(COUNT(D1125:F1125)=0,"",MEDIAN(D1125:F1125))</f>
        <v/>
      </c>
      <c r="I1125" s="10">
        <f>IF(COUNT(D1125:F1125)=0,"",MAX(D1125:F1125))</f>
        <v/>
      </c>
      <c r="J1125" s="11">
        <f>IF(OR(G1125="",G1125=0),"",(I1125-G1125)/G1125)</f>
        <v/>
      </c>
      <c r="K1125" s="4">
        <f>IF(COUNT(D1125:F1125)=0,"",INDEX($D$1:$F$1,MATCH(MIN(D1125:F1125),D1125:F1125,0)))</f>
        <v/>
      </c>
      <c r="L1125" s="10" t="n">
        <v>1803.27</v>
      </c>
      <c r="M1125" s="12" t="n">
        <v>1</v>
      </c>
    </row>
    <row r="1126">
      <c r="A1126" s="4" t="inlineStr">
        <is>
          <t>MAT-30-122</t>
        </is>
      </c>
      <c r="B1126" s="5" t="inlineStr">
        <is>
          <t>Tapa Ciega Para Rack</t>
        </is>
      </c>
      <c r="C1126" s="4" t="inlineStr">
        <is>
          <t>unidad</t>
        </is>
      </c>
      <c r="D1126" s="10" t="n">
        <v>1866.53</v>
      </c>
      <c r="E1126" s="10" t="n"/>
      <c r="F1126" s="10" t="n"/>
      <c r="G1126" s="10">
        <f>IF(COUNT(D1126:F1126)=0,"",MIN(D1126:F1126))</f>
        <v/>
      </c>
      <c r="H1126" s="10">
        <f>IF(COUNT(D1126:F1126)=0,"",MEDIAN(D1126:F1126))</f>
        <v/>
      </c>
      <c r="I1126" s="10">
        <f>IF(COUNT(D1126:F1126)=0,"",MAX(D1126:F1126))</f>
        <v/>
      </c>
      <c r="J1126" s="11">
        <f>IF(OR(G1126="",G1126=0),"",(I1126-G1126)/G1126)</f>
        <v/>
      </c>
      <c r="K1126" s="4">
        <f>IF(COUNT(D1126:F1126)=0,"",INDEX($D$1:$F$1,MATCH(MIN(D1126:F1126),D1126:F1126,0)))</f>
        <v/>
      </c>
      <c r="L1126" s="10" t="n">
        <v>1866.53</v>
      </c>
      <c r="M1126" s="12" t="n">
        <v>1</v>
      </c>
    </row>
    <row r="1127">
      <c r="A1127" s="4" t="inlineStr">
        <is>
          <t>MAT-30-123</t>
        </is>
      </c>
      <c r="B1127" s="5" t="inlineStr">
        <is>
          <t>Organizador De Cable Hor. 1 Ur</t>
        </is>
      </c>
      <c r="C1127" s="4" t="inlineStr">
        <is>
          <t>unidad</t>
        </is>
      </c>
      <c r="D1127" s="10" t="n">
        <v>2171.17</v>
      </c>
      <c r="E1127" s="10" t="n"/>
      <c r="F1127" s="10" t="n"/>
      <c r="G1127" s="10">
        <f>IF(COUNT(D1127:F1127)=0,"",MIN(D1127:F1127))</f>
        <v/>
      </c>
      <c r="H1127" s="10">
        <f>IF(COUNT(D1127:F1127)=0,"",MEDIAN(D1127:F1127))</f>
        <v/>
      </c>
      <c r="I1127" s="10">
        <f>IF(COUNT(D1127:F1127)=0,"",MAX(D1127:F1127))</f>
        <v/>
      </c>
      <c r="J1127" s="11">
        <f>IF(OR(G1127="",G1127=0),"",(I1127-G1127)/G1127)</f>
        <v/>
      </c>
      <c r="K1127" s="4">
        <f>IF(COUNT(D1127:F1127)=0,"",INDEX($D$1:$F$1,MATCH(MIN(D1127:F1127),D1127:F1127,0)))</f>
        <v/>
      </c>
      <c r="L1127" s="10" t="n">
        <v>2171.17</v>
      </c>
      <c r="M1127" s="12" t="n">
        <v>1</v>
      </c>
    </row>
    <row r="1128">
      <c r="A1128" s="4" t="inlineStr">
        <is>
          <t>MAT-30-124</t>
        </is>
      </c>
      <c r="B1128" s="5" t="inlineStr">
        <is>
          <t>Organizador De Cable 2 Ur</t>
        </is>
      </c>
      <c r="C1128" s="4" t="inlineStr">
        <is>
          <t>unidad</t>
        </is>
      </c>
      <c r="D1128" s="10" t="n">
        <v>2740.76</v>
      </c>
      <c r="E1128" s="10" t="n"/>
      <c r="F1128" s="10" t="n"/>
      <c r="G1128" s="10">
        <f>IF(COUNT(D1128:F1128)=0,"",MIN(D1128:F1128))</f>
        <v/>
      </c>
      <c r="H1128" s="10">
        <f>IF(COUNT(D1128:F1128)=0,"",MEDIAN(D1128:F1128))</f>
        <v/>
      </c>
      <c r="I1128" s="10">
        <f>IF(COUNT(D1128:F1128)=0,"",MAX(D1128:F1128))</f>
        <v/>
      </c>
      <c r="J1128" s="11">
        <f>IF(OR(G1128="",G1128=0),"",(I1128-G1128)/G1128)</f>
        <v/>
      </c>
      <c r="K1128" s="4">
        <f>IF(COUNT(D1128:F1128)=0,"",INDEX($D$1:$F$1,MATCH(MIN(D1128:F1128),D1128:F1128,0)))</f>
        <v/>
      </c>
      <c r="L1128" s="10" t="n">
        <v>2740.76</v>
      </c>
      <c r="M1128" s="12" t="n">
        <v>1</v>
      </c>
    </row>
    <row r="1129">
      <c r="A1129" s="4" t="inlineStr">
        <is>
          <t>MAT-30-125</t>
        </is>
      </c>
      <c r="B1129" s="5" t="inlineStr">
        <is>
          <t>Adaptador Fibra Optica</t>
        </is>
      </c>
      <c r="C1129" s="4" t="inlineStr">
        <is>
          <t>unidad</t>
        </is>
      </c>
      <c r="D1129" s="10" t="n">
        <v>83.44</v>
      </c>
      <c r="E1129" s="10" t="n"/>
      <c r="F1129" s="10" t="n"/>
      <c r="G1129" s="10">
        <f>IF(COUNT(D1129:F1129)=0,"",MIN(D1129:F1129))</f>
        <v/>
      </c>
      <c r="H1129" s="10">
        <f>IF(COUNT(D1129:F1129)=0,"",MEDIAN(D1129:F1129))</f>
        <v/>
      </c>
      <c r="I1129" s="10">
        <f>IF(COUNT(D1129:F1129)=0,"",MAX(D1129:F1129))</f>
        <v/>
      </c>
      <c r="J1129" s="11">
        <f>IF(OR(G1129="",G1129=0),"",(I1129-G1129)/G1129)</f>
        <v/>
      </c>
      <c r="K1129" s="4">
        <f>IF(COUNT(D1129:F1129)=0,"",INDEX($D$1:$F$1,MATCH(MIN(D1129:F1129),D1129:F1129,0)))</f>
        <v/>
      </c>
      <c r="L1129" s="10" t="n">
        <v>1446.73</v>
      </c>
      <c r="M1129" s="12" t="n">
        <v>1</v>
      </c>
    </row>
    <row r="1130">
      <c r="A1130" s="4" t="inlineStr">
        <is>
          <t>MAT-30-126</t>
        </is>
      </c>
      <c r="B1130" s="5" t="inlineStr">
        <is>
          <t>Adaptador Quickpack Fibra Optica</t>
        </is>
      </c>
      <c r="C1130" s="4" t="inlineStr">
        <is>
          <t>unidad</t>
        </is>
      </c>
      <c r="D1130" s="10" t="n">
        <v>3491.49</v>
      </c>
      <c r="E1130" s="10" t="n"/>
      <c r="F1130" s="10" t="n"/>
      <c r="G1130" s="10">
        <f>IF(COUNT(D1130:F1130)=0,"",MIN(D1130:F1130))</f>
        <v/>
      </c>
      <c r="H1130" s="10">
        <f>IF(COUNT(D1130:F1130)=0,"",MEDIAN(D1130:F1130))</f>
        <v/>
      </c>
      <c r="I1130" s="10">
        <f>IF(COUNT(D1130:F1130)=0,"",MAX(D1130:F1130))</f>
        <v/>
      </c>
      <c r="J1130" s="11">
        <f>IF(OR(G1130="",G1130=0),"",(I1130-G1130)/G1130)</f>
        <v/>
      </c>
      <c r="K1130" s="4">
        <f>IF(COUNT(D1130:F1130)=0,"",INDEX($D$1:$F$1,MATCH(MIN(D1130:F1130),D1130:F1130,0)))</f>
        <v/>
      </c>
      <c r="L1130" s="10" t="n">
        <v>3491.49</v>
      </c>
      <c r="M1130" s="12" t="n">
        <v>1</v>
      </c>
    </row>
    <row r="1131">
      <c r="A1131" s="4" t="inlineStr">
        <is>
          <t>MAT-30-127</t>
        </is>
      </c>
      <c r="B1131" s="5" t="inlineStr">
        <is>
          <t>Modulo 12-Port Cat 5E12-Po</t>
        </is>
      </c>
      <c r="C1131" s="4" t="inlineStr">
        <is>
          <t>unidad</t>
        </is>
      </c>
      <c r="D1131" s="10" t="n">
        <v>4089.16</v>
      </c>
      <c r="E1131" s="10" t="n"/>
      <c r="F1131" s="10" t="n"/>
      <c r="G1131" s="10">
        <f>IF(COUNT(D1131:F1131)=0,"",MIN(D1131:F1131))</f>
        <v/>
      </c>
      <c r="H1131" s="10">
        <f>IF(COUNT(D1131:F1131)=0,"",MEDIAN(D1131:F1131))</f>
        <v/>
      </c>
      <c r="I1131" s="10">
        <f>IF(COUNT(D1131:F1131)=0,"",MAX(D1131:F1131))</f>
        <v/>
      </c>
      <c r="J1131" s="11">
        <f>IF(OR(G1131="",G1131=0),"",(I1131-G1131)/G1131)</f>
        <v/>
      </c>
      <c r="K1131" s="4">
        <f>IF(COUNT(D1131:F1131)=0,"",INDEX($D$1:$F$1,MATCH(MIN(D1131:F1131),D1131:F1131,0)))</f>
        <v/>
      </c>
      <c r="L1131" s="10" t="n">
        <v>4089.16</v>
      </c>
      <c r="M1131" s="12" t="n">
        <v>1</v>
      </c>
    </row>
    <row r="1132">
      <c r="A1132" s="4" t="inlineStr">
        <is>
          <t>MAT-30-128</t>
        </is>
      </c>
      <c r="B1132" s="5" t="inlineStr">
        <is>
          <t>Modulo Ric con 12 Acopladores</t>
        </is>
      </c>
      <c r="C1132" s="4" t="inlineStr">
        <is>
          <t>unidad</t>
        </is>
      </c>
      <c r="D1132" s="10" t="n">
        <v>4491.54</v>
      </c>
      <c r="E1132" s="10" t="n"/>
      <c r="F1132" s="10" t="n"/>
      <c r="G1132" s="10">
        <f>IF(COUNT(D1132:F1132)=0,"",MIN(D1132:F1132))</f>
        <v/>
      </c>
      <c r="H1132" s="10">
        <f>IF(COUNT(D1132:F1132)=0,"",MEDIAN(D1132:F1132))</f>
        <v/>
      </c>
      <c r="I1132" s="10">
        <f>IF(COUNT(D1132:F1132)=0,"",MAX(D1132:F1132))</f>
        <v/>
      </c>
      <c r="J1132" s="11">
        <f>IF(OR(G1132="",G1132=0),"",(I1132-G1132)/G1132)</f>
        <v/>
      </c>
      <c r="K1132" s="4">
        <f>IF(COUNT(D1132:F1132)=0,"",INDEX($D$1:$F$1,MATCH(MIN(D1132:F1132),D1132:F1132,0)))</f>
        <v/>
      </c>
      <c r="L1132" s="10" t="n">
        <v>4491.54</v>
      </c>
      <c r="M1132" s="12" t="n">
        <v>1</v>
      </c>
    </row>
    <row r="1133">
      <c r="A1133" s="4" t="inlineStr">
        <is>
          <t>MAT-30-129</t>
        </is>
      </c>
      <c r="B1133" s="5" t="inlineStr">
        <is>
          <t>Modulo 12-Port Cat 612-Po</t>
        </is>
      </c>
      <c r="C1133" s="4" t="inlineStr">
        <is>
          <t>unidad</t>
        </is>
      </c>
      <c r="D1133" s="10" t="n">
        <v>5514.72</v>
      </c>
      <c r="E1133" s="10" t="n"/>
      <c r="F1133" s="10" t="n"/>
      <c r="G1133" s="10">
        <f>IF(COUNT(D1133:F1133)=0,"",MIN(D1133:F1133))</f>
        <v/>
      </c>
      <c r="H1133" s="10">
        <f>IF(COUNT(D1133:F1133)=0,"",MEDIAN(D1133:F1133))</f>
        <v/>
      </c>
      <c r="I1133" s="10">
        <f>IF(COUNT(D1133:F1133)=0,"",MAX(D1133:F1133))</f>
        <v/>
      </c>
      <c r="J1133" s="11">
        <f>IF(OR(G1133="",G1133=0),"",(I1133-G1133)/G1133)</f>
        <v/>
      </c>
      <c r="K1133" s="4">
        <f>IF(COUNT(D1133:F1133)=0,"",INDEX($D$1:$F$1,MATCH(MIN(D1133:F1133),D1133:F1133,0)))</f>
        <v/>
      </c>
      <c r="L1133" s="10" t="n">
        <v>5514.72</v>
      </c>
      <c r="M1133" s="12" t="n">
        <v>1</v>
      </c>
    </row>
    <row r="1134">
      <c r="A1134" s="4" t="inlineStr">
        <is>
          <t>MAT-30-130</t>
        </is>
      </c>
      <c r="B1134" s="5" t="inlineStr">
        <is>
          <t>Patch Pannel Quest Cat 6 24 Puertos</t>
        </is>
      </c>
      <c r="C1134" s="4" t="inlineStr">
        <is>
          <t>unidad</t>
        </is>
      </c>
      <c r="D1134" s="10" t="n">
        <v>5568.67</v>
      </c>
      <c r="E1134" s="10" t="n"/>
      <c r="F1134" s="10" t="n"/>
      <c r="G1134" s="10">
        <f>IF(COUNT(D1134:F1134)=0,"",MIN(D1134:F1134))</f>
        <v/>
      </c>
      <c r="H1134" s="10">
        <f>IF(COUNT(D1134:F1134)=0,"",MEDIAN(D1134:F1134))</f>
        <v/>
      </c>
      <c r="I1134" s="10">
        <f>IF(COUNT(D1134:F1134)=0,"",MAX(D1134:F1134))</f>
        <v/>
      </c>
      <c r="J1134" s="11">
        <f>IF(OR(G1134="",G1134=0),"",(I1134-G1134)/G1134)</f>
        <v/>
      </c>
      <c r="K1134" s="4">
        <f>IF(COUNT(D1134:F1134)=0,"",INDEX($D$1:$F$1,MATCH(MIN(D1134:F1134),D1134:F1134,0)))</f>
        <v/>
      </c>
      <c r="L1134" s="10" t="n">
        <v>5568.67</v>
      </c>
      <c r="M1134" s="12" t="n">
        <v>1</v>
      </c>
    </row>
    <row r="1135">
      <c r="A1135" s="4" t="inlineStr">
        <is>
          <t>MAT-30-131</t>
        </is>
      </c>
      <c r="B1135" s="5" t="inlineStr">
        <is>
          <t>Organizador Cable Vertical 42U</t>
        </is>
      </c>
      <c r="C1135" s="4" t="inlineStr">
        <is>
          <t>unidad</t>
        </is>
      </c>
      <c r="D1135" s="10" t="n">
        <v>6282.9</v>
      </c>
      <c r="E1135" s="10" t="n"/>
      <c r="F1135" s="10" t="n"/>
      <c r="G1135" s="10">
        <f>IF(COUNT(D1135:F1135)=0,"",MIN(D1135:F1135))</f>
        <v/>
      </c>
      <c r="H1135" s="10">
        <f>IF(COUNT(D1135:F1135)=0,"",MEDIAN(D1135:F1135))</f>
        <v/>
      </c>
      <c r="I1135" s="10">
        <f>IF(COUNT(D1135:F1135)=0,"",MAX(D1135:F1135))</f>
        <v/>
      </c>
      <c r="J1135" s="11">
        <f>IF(OR(G1135="",G1135=0),"",(I1135-G1135)/G1135)</f>
        <v/>
      </c>
      <c r="K1135" s="4">
        <f>IF(COUNT(D1135:F1135)=0,"",INDEX($D$1:$F$1,MATCH(MIN(D1135:F1135),D1135:F1135,0)))</f>
        <v/>
      </c>
      <c r="L1135" s="10" t="n">
        <v>6282.9</v>
      </c>
      <c r="M1135" s="12" t="n">
        <v>1</v>
      </c>
    </row>
    <row r="1136">
      <c r="A1136" s="4" t="inlineStr">
        <is>
          <t>MAT-30-132</t>
        </is>
      </c>
      <c r="B1136" s="5" t="inlineStr">
        <is>
          <t>Distribuidor F. O Deslizable</t>
        </is>
      </c>
      <c r="C1136" s="4" t="inlineStr">
        <is>
          <t>unidad</t>
        </is>
      </c>
      <c r="D1136" s="10" t="n">
        <v>7469.85</v>
      </c>
      <c r="E1136" s="10" t="n"/>
      <c r="F1136" s="10" t="n"/>
      <c r="G1136" s="10">
        <f>IF(COUNT(D1136:F1136)=0,"",MIN(D1136:F1136))</f>
        <v/>
      </c>
      <c r="H1136" s="10">
        <f>IF(COUNT(D1136:F1136)=0,"",MEDIAN(D1136:F1136))</f>
        <v/>
      </c>
      <c r="I1136" s="10">
        <f>IF(COUNT(D1136:F1136)=0,"",MAX(D1136:F1136))</f>
        <v/>
      </c>
      <c r="J1136" s="11">
        <f>IF(OR(G1136="",G1136=0),"",(I1136-G1136)/G1136)</f>
        <v/>
      </c>
      <c r="K1136" s="4">
        <f>IF(COUNT(D1136:F1136)=0,"",INDEX($D$1:$F$1,MATCH(MIN(D1136:F1136),D1136:F1136,0)))</f>
        <v/>
      </c>
      <c r="L1136" s="10" t="n">
        <v>7469.85</v>
      </c>
      <c r="M1136" s="12" t="n">
        <v>1</v>
      </c>
    </row>
    <row r="1137">
      <c r="A1137" s="4" t="inlineStr">
        <is>
          <t>MAT-30-133</t>
        </is>
      </c>
      <c r="B1137" s="5" t="inlineStr">
        <is>
          <t>Rack 7 Pies</t>
        </is>
      </c>
      <c r="C1137" s="4" t="inlineStr">
        <is>
          <t>unidad</t>
        </is>
      </c>
      <c r="D1137" s="10" t="n">
        <v>10078.03</v>
      </c>
      <c r="E1137" s="10" t="n"/>
      <c r="F1137" s="10" t="n"/>
      <c r="G1137" s="10">
        <f>IF(COUNT(D1137:F1137)=0,"",MIN(D1137:F1137))</f>
        <v/>
      </c>
      <c r="H1137" s="10">
        <f>IF(COUNT(D1137:F1137)=0,"",MEDIAN(D1137:F1137))</f>
        <v/>
      </c>
      <c r="I1137" s="10">
        <f>IF(COUNT(D1137:F1137)=0,"",MAX(D1137:F1137))</f>
        <v/>
      </c>
      <c r="J1137" s="11">
        <f>IF(OR(G1137="",G1137=0),"",(I1137-G1137)/G1137)</f>
        <v/>
      </c>
      <c r="K1137" s="4">
        <f>IF(COUNT(D1137:F1137)=0,"",INDEX($D$1:$F$1,MATCH(MIN(D1137:F1137),D1137:F1137,0)))</f>
        <v/>
      </c>
      <c r="L1137" s="10" t="n">
        <v>10078.03</v>
      </c>
      <c r="M1137" s="12" t="n">
        <v>1</v>
      </c>
    </row>
    <row r="1138">
      <c r="A1138" s="4" t="inlineStr">
        <is>
          <t>MAT-30-134</t>
        </is>
      </c>
      <c r="B1138" s="5" t="inlineStr">
        <is>
          <t>Modulo Comunicacion Ethernet</t>
        </is>
      </c>
      <c r="C1138" s="4" t="inlineStr">
        <is>
          <t>unidad</t>
        </is>
      </c>
      <c r="D1138" s="10" t="n">
        <v>10635.77</v>
      </c>
      <c r="E1138" s="10" t="n"/>
      <c r="F1138" s="10" t="n"/>
      <c r="G1138" s="10">
        <f>IF(COUNT(D1138:F1138)=0,"",MIN(D1138:F1138))</f>
        <v/>
      </c>
      <c r="H1138" s="10">
        <f>IF(COUNT(D1138:F1138)=0,"",MEDIAN(D1138:F1138))</f>
        <v/>
      </c>
      <c r="I1138" s="10">
        <f>IF(COUNT(D1138:F1138)=0,"",MAX(D1138:F1138))</f>
        <v/>
      </c>
      <c r="J1138" s="11">
        <f>IF(OR(G1138="",G1138=0),"",(I1138-G1138)/G1138)</f>
        <v/>
      </c>
      <c r="K1138" s="4">
        <f>IF(COUNT(D1138:F1138)=0,"",INDEX($D$1:$F$1,MATCH(MIN(D1138:F1138),D1138:F1138,0)))</f>
        <v/>
      </c>
      <c r="L1138" s="10" t="n">
        <v>10635.77</v>
      </c>
      <c r="M1138" s="12" t="n">
        <v>1</v>
      </c>
    </row>
    <row r="1139">
      <c r="A1139" s="4" t="inlineStr">
        <is>
          <t>MAT-30-135</t>
        </is>
      </c>
      <c r="B1139" s="5" t="inlineStr">
        <is>
          <t>Organizador Routeit Vertical Doble De 45</t>
        </is>
      </c>
      <c r="C1139" s="4" t="inlineStr">
        <is>
          <t>unidad</t>
        </is>
      </c>
      <c r="D1139" s="10" t="n">
        <v>24364.91</v>
      </c>
      <c r="E1139" s="10" t="n"/>
      <c r="F1139" s="10" t="n"/>
      <c r="G1139" s="10">
        <f>IF(COUNT(D1139:F1139)=0,"",MIN(D1139:F1139))</f>
        <v/>
      </c>
      <c r="H1139" s="10">
        <f>IF(COUNT(D1139:F1139)=0,"",MEDIAN(D1139:F1139))</f>
        <v/>
      </c>
      <c r="I1139" s="10">
        <f>IF(COUNT(D1139:F1139)=0,"",MAX(D1139:F1139))</f>
        <v/>
      </c>
      <c r="J1139" s="11">
        <f>IF(OR(G1139="",G1139=0),"",(I1139-G1139)/G1139)</f>
        <v/>
      </c>
      <c r="K1139" s="4">
        <f>IF(COUNT(D1139:F1139)=0,"",INDEX($D$1:$F$1,MATCH(MIN(D1139:F1139),D1139:F1139,0)))</f>
        <v/>
      </c>
      <c r="L1139" s="10" t="n">
        <v>24364.91</v>
      </c>
      <c r="M1139" s="12" t="n">
        <v>1</v>
      </c>
    </row>
    <row r="1140">
      <c r="A1140" s="4" t="inlineStr">
        <is>
          <t>MAT-30-136</t>
        </is>
      </c>
      <c r="B1140" s="5" t="inlineStr">
        <is>
          <t>Transf. exterior para Antena</t>
        </is>
      </c>
      <c r="C1140" s="4" t="inlineStr">
        <is>
          <t>unidad</t>
        </is>
      </c>
      <c r="D1140" s="10" t="n">
        <v>1.21</v>
      </c>
      <c r="E1140" s="10" t="n"/>
      <c r="F1140" s="10" t="n"/>
      <c r="G1140" s="10">
        <f>IF(COUNT(D1140:F1140)=0,"",MIN(D1140:F1140))</f>
        <v/>
      </c>
      <c r="H1140" s="10">
        <f>IF(COUNT(D1140:F1140)=0,"",MEDIAN(D1140:F1140))</f>
        <v/>
      </c>
      <c r="I1140" s="10">
        <f>IF(COUNT(D1140:F1140)=0,"",MAX(D1140:F1140))</f>
        <v/>
      </c>
      <c r="J1140" s="11">
        <f>IF(OR(G1140="",G1140=0),"",(I1140-G1140)/G1140)</f>
        <v/>
      </c>
      <c r="K1140" s="4">
        <f>IF(COUNT(D1140:F1140)=0,"",INDEX($D$1:$F$1,MATCH(MIN(D1140:F1140),D1140:F1140,0)))</f>
        <v/>
      </c>
      <c r="L1140" s="10" t="n">
        <v>1.21</v>
      </c>
      <c r="M1140" s="12" t="n">
        <v>1</v>
      </c>
    </row>
    <row r="1141">
      <c r="A1141" s="4" t="inlineStr">
        <is>
          <t>MAT-30-137</t>
        </is>
      </c>
      <c r="B1141" s="5" t="inlineStr">
        <is>
          <t>Fuente Inalabrica On / Off</t>
        </is>
      </c>
      <c r="C1141" s="4" t="inlineStr">
        <is>
          <t>unidad</t>
        </is>
      </c>
      <c r="D1141" s="10" t="n">
        <v>2122.4</v>
      </c>
      <c r="E1141" s="10" t="n"/>
      <c r="F1141" s="10" t="n"/>
      <c r="G1141" s="10">
        <f>IF(COUNT(D1141:F1141)=0,"",MIN(D1141:F1141))</f>
        <v/>
      </c>
      <c r="H1141" s="10">
        <f>IF(COUNT(D1141:F1141)=0,"",MEDIAN(D1141:F1141))</f>
        <v/>
      </c>
      <c r="I1141" s="10">
        <f>IF(COUNT(D1141:F1141)=0,"",MAX(D1141:F1141))</f>
        <v/>
      </c>
      <c r="J1141" s="11">
        <f>IF(OR(G1141="",G1141=0),"",(I1141-G1141)/G1141)</f>
        <v/>
      </c>
      <c r="K1141" s="4">
        <f>IF(COUNT(D1141:F1141)=0,"",INDEX($D$1:$F$1,MATCH(MIN(D1141:F1141),D1141:F1141,0)))</f>
        <v/>
      </c>
      <c r="L1141" s="10" t="n">
        <v>2122.4</v>
      </c>
      <c r="M1141" s="12" t="n">
        <v>1</v>
      </c>
    </row>
    <row r="1142">
      <c r="A1142" s="4" t="inlineStr">
        <is>
          <t>MAT-30-138</t>
        </is>
      </c>
      <c r="B1142" s="5" t="inlineStr">
        <is>
          <t>Injector PoE Injec</t>
        </is>
      </c>
      <c r="C1142" s="4" t="inlineStr">
        <is>
          <t>unidad</t>
        </is>
      </c>
      <c r="D1142" s="10" t="n">
        <v>9810.73</v>
      </c>
      <c r="E1142" s="10" t="n"/>
      <c r="F1142" s="10" t="n"/>
      <c r="G1142" s="10">
        <f>IF(COUNT(D1142:F1142)=0,"",MIN(D1142:F1142))</f>
        <v/>
      </c>
      <c r="H1142" s="10">
        <f>IF(COUNT(D1142:F1142)=0,"",MEDIAN(D1142:F1142))</f>
        <v/>
      </c>
      <c r="I1142" s="10">
        <f>IF(COUNT(D1142:F1142)=0,"",MAX(D1142:F1142))</f>
        <v/>
      </c>
      <c r="J1142" s="11">
        <f>IF(OR(G1142="",G1142=0),"",(I1142-G1142)/G1142)</f>
        <v/>
      </c>
      <c r="K1142" s="4">
        <f>IF(COUNT(D1142:F1142)=0,"",INDEX($D$1:$F$1,MATCH(MIN(D1142:F1142),D1142:F1142,0)))</f>
        <v/>
      </c>
      <c r="L1142" s="10" t="n">
        <v>9810.73</v>
      </c>
      <c r="M1142" s="12" t="n">
        <v>1</v>
      </c>
    </row>
    <row r="1143">
      <c r="A1143" s="4" t="inlineStr">
        <is>
          <t>MAT-30-139</t>
        </is>
      </c>
      <c r="B1143" s="5" t="inlineStr">
        <is>
          <t>Caja De Superficie Ip66 / Ip67</t>
        </is>
      </c>
      <c r="C1143" s="4" t="inlineStr">
        <is>
          <t>unidad</t>
        </is>
      </c>
      <c r="D1143" s="10" t="n">
        <v>2153.87</v>
      </c>
      <c r="E1143" s="10" t="n"/>
      <c r="F1143" s="10" t="n"/>
      <c r="G1143" s="10">
        <f>IF(COUNT(D1143:F1143)=0,"",MIN(D1143:F1143))</f>
        <v/>
      </c>
      <c r="H1143" s="10">
        <f>IF(COUNT(D1143:F1143)=0,"",MEDIAN(D1143:F1143))</f>
        <v/>
      </c>
      <c r="I1143" s="10">
        <f>IF(COUNT(D1143:F1143)=0,"",MAX(D1143:F1143))</f>
        <v/>
      </c>
      <c r="J1143" s="11">
        <f>IF(OR(G1143="",G1143=0),"",(I1143-G1143)/G1143)</f>
        <v/>
      </c>
      <c r="K1143" s="4">
        <f>IF(COUNT(D1143:F1143)=0,"",INDEX($D$1:$F$1,MATCH(MIN(D1143:F1143),D1143:F1143,0)))</f>
        <v/>
      </c>
      <c r="L1143" s="10" t="n">
        <v>2153.87</v>
      </c>
      <c r="M1143" s="12" t="n">
        <v>1</v>
      </c>
    </row>
    <row r="1144">
      <c r="A1144" s="4" t="inlineStr">
        <is>
          <t>MAT-30-140</t>
        </is>
      </c>
      <c r="B1144" s="5" t="inlineStr">
        <is>
          <t>Video Balun St-530135A</t>
        </is>
      </c>
      <c r="C1144" s="4" t="inlineStr">
        <is>
          <t>unidad</t>
        </is>
      </c>
      <c r="D1144" s="10" t="n">
        <v>251.58</v>
      </c>
      <c r="E1144" s="10" t="n"/>
      <c r="F1144" s="10" t="n"/>
      <c r="G1144" s="10">
        <f>IF(COUNT(D1144:F1144)=0,"",MIN(D1144:F1144))</f>
        <v/>
      </c>
      <c r="H1144" s="10">
        <f>IF(COUNT(D1144:F1144)=0,"",MEDIAN(D1144:F1144))</f>
        <v/>
      </c>
      <c r="I1144" s="10">
        <f>IF(COUNT(D1144:F1144)=0,"",MAX(D1144:F1144))</f>
        <v/>
      </c>
      <c r="J1144" s="11">
        <f>IF(OR(G1144="",G1144=0),"",(I1144-G1144)/G1144)</f>
        <v/>
      </c>
      <c r="K1144" s="4">
        <f>IF(COUNT(D1144:F1144)=0,"",INDEX($D$1:$F$1,MATCH(MIN(D1144:F1144),D1144:F1144,0)))</f>
        <v/>
      </c>
      <c r="L1144" s="10" t="n">
        <v>251.58</v>
      </c>
      <c r="M1144" s="12" t="n">
        <v>1</v>
      </c>
    </row>
    <row r="1145">
      <c r="A1145" s="4" t="inlineStr">
        <is>
          <t>MAT-30-141</t>
        </is>
      </c>
      <c r="B1145" s="5" t="inlineStr">
        <is>
          <t>Switch 8 Puertos 10 / 100 Mbps Plastico</t>
        </is>
      </c>
      <c r="C1145" s="4" t="inlineStr">
        <is>
          <t>unidad</t>
        </is>
      </c>
      <c r="D1145" s="10" t="n">
        <v>500.98</v>
      </c>
      <c r="E1145" s="10" t="n"/>
      <c r="F1145" s="10" t="n"/>
      <c r="G1145" s="10">
        <f>IF(COUNT(D1145:F1145)=0,"",MIN(D1145:F1145))</f>
        <v/>
      </c>
      <c r="H1145" s="10">
        <f>IF(COUNT(D1145:F1145)=0,"",MEDIAN(D1145:F1145))</f>
        <v/>
      </c>
      <c r="I1145" s="10">
        <f>IF(COUNT(D1145:F1145)=0,"",MAX(D1145:F1145))</f>
        <v/>
      </c>
      <c r="J1145" s="11">
        <f>IF(OR(G1145="",G1145=0),"",(I1145-G1145)/G1145)</f>
        <v/>
      </c>
      <c r="K1145" s="4">
        <f>IF(COUNT(D1145:F1145)=0,"",INDEX($D$1:$F$1,MATCH(MIN(D1145:F1145),D1145:F1145,0)))</f>
        <v/>
      </c>
      <c r="L1145" s="10" t="n">
        <v>500.98</v>
      </c>
      <c r="M1145" s="12" t="n">
        <v>1</v>
      </c>
    </row>
    <row r="1146">
      <c r="A1146" s="4" t="inlineStr">
        <is>
          <t>MAT-30-142</t>
        </is>
      </c>
      <c r="B1146" s="5" t="inlineStr">
        <is>
          <t>Modulador Agil Uso Comercial para 3 Canales</t>
        </is>
      </c>
      <c r="C1146" s="4" t="inlineStr">
        <is>
          <t>unidad</t>
        </is>
      </c>
      <c r="D1146" s="10" t="n">
        <v>670.0599999999999</v>
      </c>
      <c r="E1146" s="10" t="n"/>
      <c r="F1146" s="10" t="n"/>
      <c r="G1146" s="10">
        <f>IF(COUNT(D1146:F1146)=0,"",MIN(D1146:F1146))</f>
        <v/>
      </c>
      <c r="H1146" s="10">
        <f>IF(COUNT(D1146:F1146)=0,"",MEDIAN(D1146:F1146))</f>
        <v/>
      </c>
      <c r="I1146" s="10">
        <f>IF(COUNT(D1146:F1146)=0,"",MAX(D1146:F1146))</f>
        <v/>
      </c>
      <c r="J1146" s="11">
        <f>IF(OR(G1146="",G1146=0),"",(I1146-G1146)/G1146)</f>
        <v/>
      </c>
      <c r="K1146" s="4">
        <f>IF(COUNT(D1146:F1146)=0,"",INDEX($D$1:$F$1,MATCH(MIN(D1146:F1146),D1146:F1146,0)))</f>
        <v/>
      </c>
      <c r="L1146" s="10" t="n">
        <v>670.0599999999999</v>
      </c>
      <c r="M1146" s="12" t="n">
        <v>1</v>
      </c>
    </row>
    <row r="1147">
      <c r="A1147" s="4" t="inlineStr">
        <is>
          <t>MAT-30-143</t>
        </is>
      </c>
      <c r="B1147" s="5" t="inlineStr">
        <is>
          <t>Switch Remoto Rf 3-Way</t>
        </is>
      </c>
      <c r="C1147" s="4" t="inlineStr">
        <is>
          <t>unidad</t>
        </is>
      </c>
      <c r="D1147" s="10" t="n">
        <v>4799.38</v>
      </c>
      <c r="E1147" s="10" t="n"/>
      <c r="F1147" s="10" t="n"/>
      <c r="G1147" s="10">
        <f>IF(COUNT(D1147:F1147)=0,"",MIN(D1147:F1147))</f>
        <v/>
      </c>
      <c r="H1147" s="10">
        <f>IF(COUNT(D1147:F1147)=0,"",MEDIAN(D1147:F1147))</f>
        <v/>
      </c>
      <c r="I1147" s="10">
        <f>IF(COUNT(D1147:F1147)=0,"",MAX(D1147:F1147))</f>
        <v/>
      </c>
      <c r="J1147" s="11">
        <f>IF(OR(G1147="",G1147=0),"",(I1147-G1147)/G1147)</f>
        <v/>
      </c>
      <c r="K1147" s="4">
        <f>IF(COUNT(D1147:F1147)=0,"",INDEX($D$1:$F$1,MATCH(MIN(D1147:F1147),D1147:F1147,0)))</f>
        <v/>
      </c>
      <c r="L1147" s="10" t="n">
        <v>4799.38</v>
      </c>
      <c r="M1147" s="12" t="n">
        <v>1</v>
      </c>
    </row>
    <row r="1148">
      <c r="A1148" s="4" t="inlineStr">
        <is>
          <t>MAT-30-144</t>
        </is>
      </c>
      <c r="B1148" s="5" t="inlineStr">
        <is>
          <t>Wireless Av / Receiver</t>
        </is>
      </c>
      <c r="C1148" s="4" t="inlineStr">
        <is>
          <t>unidad</t>
        </is>
      </c>
      <c r="D1148" s="10" t="n">
        <v>11046.92</v>
      </c>
      <c r="E1148" s="10" t="n"/>
      <c r="F1148" s="10" t="n"/>
      <c r="G1148" s="10">
        <f>IF(COUNT(D1148:F1148)=0,"",MIN(D1148:F1148))</f>
        <v/>
      </c>
      <c r="H1148" s="10">
        <f>IF(COUNT(D1148:F1148)=0,"",MEDIAN(D1148:F1148))</f>
        <v/>
      </c>
      <c r="I1148" s="10">
        <f>IF(COUNT(D1148:F1148)=0,"",MAX(D1148:F1148))</f>
        <v/>
      </c>
      <c r="J1148" s="11">
        <f>IF(OR(G1148="",G1148=0),"",(I1148-G1148)/G1148)</f>
        <v/>
      </c>
      <c r="K1148" s="4">
        <f>IF(COUNT(D1148:F1148)=0,"",INDEX($D$1:$F$1,MATCH(MIN(D1148:F1148),D1148:F1148,0)))</f>
        <v/>
      </c>
      <c r="L1148" s="10" t="n">
        <v>11046.92</v>
      </c>
      <c r="M1148" s="12" t="n">
        <v>1</v>
      </c>
    </row>
    <row r="1149">
      <c r="A1149" s="4" t="inlineStr">
        <is>
          <t>MAT-30-145</t>
        </is>
      </c>
      <c r="B1149" s="5" t="inlineStr">
        <is>
          <t>Wireless A / V For Hdmi Taa Com</t>
        </is>
      </c>
      <c r="C1149" s="4" t="inlineStr">
        <is>
          <t>unidad</t>
        </is>
      </c>
      <c r="D1149" s="10" t="n">
        <v>16024.35</v>
      </c>
      <c r="E1149" s="10" t="n"/>
      <c r="F1149" s="10" t="n"/>
      <c r="G1149" s="10">
        <f>IF(COUNT(D1149:F1149)=0,"",MIN(D1149:F1149))</f>
        <v/>
      </c>
      <c r="H1149" s="10">
        <f>IF(COUNT(D1149:F1149)=0,"",MEDIAN(D1149:F1149))</f>
        <v/>
      </c>
      <c r="I1149" s="10">
        <f>IF(COUNT(D1149:F1149)=0,"",MAX(D1149:F1149))</f>
        <v/>
      </c>
      <c r="J1149" s="11">
        <f>IF(OR(G1149="",G1149=0),"",(I1149-G1149)/G1149)</f>
        <v/>
      </c>
      <c r="K1149" s="4">
        <f>IF(COUNT(D1149:F1149)=0,"",INDEX($D$1:$F$1,MATCH(MIN(D1149:F1149),D1149:F1149,0)))</f>
        <v/>
      </c>
      <c r="L1149" s="10" t="n">
        <v>16024.35</v>
      </c>
      <c r="M1149" s="12" t="n">
        <v>1</v>
      </c>
    </row>
    <row r="1150">
      <c r="A1150" s="4" t="inlineStr">
        <is>
          <t>MAT-30-146</t>
        </is>
      </c>
      <c r="B1150" s="5" t="inlineStr">
        <is>
          <t>Unidad De Control Digital Pantalla Oled</t>
        </is>
      </c>
      <c r="C1150" s="4" t="inlineStr">
        <is>
          <t>unidad</t>
        </is>
      </c>
      <c r="D1150" s="10" t="n">
        <v>5924.86</v>
      </c>
      <c r="E1150" s="10" t="n"/>
      <c r="F1150" s="10" t="n"/>
      <c r="G1150" s="10">
        <f>IF(COUNT(D1150:F1150)=0,"",MIN(D1150:F1150))</f>
        <v/>
      </c>
      <c r="H1150" s="10">
        <f>IF(COUNT(D1150:F1150)=0,"",MEDIAN(D1150:F1150))</f>
        <v/>
      </c>
      <c r="I1150" s="10">
        <f>IF(COUNT(D1150:F1150)=0,"",MAX(D1150:F1150))</f>
        <v/>
      </c>
      <c r="J1150" s="11">
        <f>IF(OR(G1150="",G1150=0),"",(I1150-G1150)/G1150)</f>
        <v/>
      </c>
      <c r="K1150" s="4">
        <f>IF(COUNT(D1150:F1150)=0,"",INDEX($D$1:$F$1,MATCH(MIN(D1150:F1150),D1150:F1150,0)))</f>
        <v/>
      </c>
      <c r="L1150" s="10" t="n">
        <v>5924.86</v>
      </c>
      <c r="M1150" s="12" t="n">
        <v>1</v>
      </c>
    </row>
    <row r="1151">
      <c r="A1151" s="4" t="inlineStr">
        <is>
          <t>MAT-31-002</t>
        </is>
      </c>
      <c r="B1151" s="5" t="inlineStr">
        <is>
          <t>Central Conserje 2H</t>
        </is>
      </c>
      <c r="C1151" s="4" t="inlineStr">
        <is>
          <t>unidad</t>
        </is>
      </c>
      <c r="D1151" s="10" t="n">
        <v>40009.07</v>
      </c>
      <c r="E1151" s="10" t="n"/>
      <c r="F1151" s="10" t="n"/>
      <c r="G1151" s="10">
        <f>IF(COUNT(D1151:F1151)=0,"",MIN(D1151:F1151))</f>
        <v/>
      </c>
      <c r="H1151" s="10">
        <f>IF(COUNT(D1151:F1151)=0,"",MEDIAN(D1151:F1151))</f>
        <v/>
      </c>
      <c r="I1151" s="10">
        <f>IF(COUNT(D1151:F1151)=0,"",MAX(D1151:F1151))</f>
        <v/>
      </c>
      <c r="J1151" s="11">
        <f>IF(OR(G1151="",G1151=0),"",(I1151-G1151)/G1151)</f>
        <v/>
      </c>
      <c r="K1151" s="4">
        <f>IF(COUNT(D1151:F1151)=0,"",INDEX($D$1:$F$1,MATCH(MIN(D1151:F1151),D1151:F1151,0)))</f>
        <v/>
      </c>
      <c r="L1151" s="10" t="n">
        <v>40009.07</v>
      </c>
      <c r="M1151" s="12" t="n">
        <v>1</v>
      </c>
    </row>
    <row r="1152">
      <c r="A1152" s="4" t="inlineStr">
        <is>
          <t>MAT-31-003</t>
        </is>
      </c>
      <c r="B1152" s="5" t="inlineStr">
        <is>
          <t>Teclado Modulo Conexion con Rs-485 para Inter</t>
        </is>
      </c>
      <c r="C1152" s="4" t="inlineStr">
        <is>
          <t>unidad</t>
        </is>
      </c>
      <c r="D1152" s="10" t="n">
        <v>7887.13</v>
      </c>
      <c r="E1152" s="10" t="n"/>
      <c r="F1152" s="10" t="n"/>
      <c r="G1152" s="10">
        <f>IF(COUNT(D1152:F1152)=0,"",MIN(D1152:F1152))</f>
        <v/>
      </c>
      <c r="H1152" s="10">
        <f>IF(COUNT(D1152:F1152)=0,"",MEDIAN(D1152:F1152))</f>
        <v/>
      </c>
      <c r="I1152" s="10">
        <f>IF(COUNT(D1152:F1152)=0,"",MAX(D1152:F1152))</f>
        <v/>
      </c>
      <c r="J1152" s="11">
        <f>IF(OR(G1152="",G1152=0),"",(I1152-G1152)/G1152)</f>
        <v/>
      </c>
      <c r="K1152" s="4">
        <f>IF(COUNT(D1152:F1152)=0,"",INDEX($D$1:$F$1,MATCH(MIN(D1152:F1152),D1152:F1152,0)))</f>
        <v/>
      </c>
      <c r="L1152" s="10" t="n">
        <v>7887.13</v>
      </c>
      <c r="M1152" s="12" t="n">
        <v>1</v>
      </c>
    </row>
    <row r="1153">
      <c r="A1153" s="4" t="inlineStr">
        <is>
          <t>MAT-31-004</t>
        </is>
      </c>
      <c r="B1153" s="5" t="inlineStr">
        <is>
          <t>Sensor Temp. Humedad para Aire Acond.</t>
        </is>
      </c>
      <c r="C1153" s="4" t="inlineStr">
        <is>
          <t>unidad</t>
        </is>
      </c>
      <c r="D1153" s="10" t="n">
        <v>331.49</v>
      </c>
      <c r="E1153" s="10" t="n"/>
      <c r="F1153" s="10" t="n"/>
      <c r="G1153" s="10">
        <f>IF(COUNT(D1153:F1153)=0,"",MIN(D1153:F1153))</f>
        <v/>
      </c>
      <c r="H1153" s="10">
        <f>IF(COUNT(D1153:F1153)=0,"",MEDIAN(D1153:F1153))</f>
        <v/>
      </c>
      <c r="I1153" s="10">
        <f>IF(COUNT(D1153:F1153)=0,"",MAX(D1153:F1153))</f>
        <v/>
      </c>
      <c r="J1153" s="11">
        <f>IF(OR(G1153="",G1153=0),"",(I1153-G1153)/G1153)</f>
        <v/>
      </c>
      <c r="K1153" s="4">
        <f>IF(COUNT(D1153:F1153)=0,"",INDEX($D$1:$F$1,MATCH(MIN(D1153:F1153),D1153:F1153,0)))</f>
        <v/>
      </c>
      <c r="L1153" s="10" t="n">
        <v>331.49</v>
      </c>
      <c r="M1153" s="12" t="n">
        <v>1</v>
      </c>
    </row>
    <row r="1154">
      <c r="A1154" s="4" t="inlineStr">
        <is>
          <t>MAT-31-005</t>
        </is>
      </c>
      <c r="B1154" s="5" t="inlineStr">
        <is>
          <t>Contacto magnético inalámbrico</t>
        </is>
      </c>
      <c r="C1154" s="4" t="inlineStr">
        <is>
          <t>unidad</t>
        </is>
      </c>
      <c r="D1154" s="10" t="n">
        <v>506.24</v>
      </c>
      <c r="E1154" s="10" t="n"/>
      <c r="F1154" s="10" t="n"/>
      <c r="G1154" s="10">
        <f>IF(COUNT(D1154:F1154)=0,"",MIN(D1154:F1154))</f>
        <v/>
      </c>
      <c r="H1154" s="10">
        <f>IF(COUNT(D1154:F1154)=0,"",MEDIAN(D1154:F1154))</f>
        <v/>
      </c>
      <c r="I1154" s="10">
        <f>IF(COUNT(D1154:F1154)=0,"",MAX(D1154:F1154))</f>
        <v/>
      </c>
      <c r="J1154" s="11">
        <f>IF(OR(G1154="",G1154=0),"",(I1154-G1154)/G1154)</f>
        <v/>
      </c>
      <c r="K1154" s="4">
        <f>IF(COUNT(D1154:F1154)=0,"",INDEX($D$1:$F$1,MATCH(MIN(D1154:F1154),D1154:F1154,0)))</f>
        <v/>
      </c>
      <c r="L1154" s="10" t="n">
        <v>506.24</v>
      </c>
      <c r="M1154" s="12" t="n">
        <v>1</v>
      </c>
    </row>
    <row r="1155">
      <c r="A1155" s="4" t="inlineStr">
        <is>
          <t>MAT-31-006</t>
        </is>
      </c>
      <c r="B1155" s="5" t="inlineStr">
        <is>
          <t>Sensor De Puerta Y Ventana Zigbee</t>
        </is>
      </c>
      <c r="C1155" s="4" t="inlineStr">
        <is>
          <t>unidad</t>
        </is>
      </c>
      <c r="D1155" s="10" t="n">
        <v>1071.83</v>
      </c>
      <c r="E1155" s="10" t="n"/>
      <c r="F1155" s="10" t="n"/>
      <c r="G1155" s="10">
        <f>IF(COUNT(D1155:F1155)=0,"",MIN(D1155:F1155))</f>
        <v/>
      </c>
      <c r="H1155" s="10">
        <f>IF(COUNT(D1155:F1155)=0,"",MEDIAN(D1155:F1155))</f>
        <v/>
      </c>
      <c r="I1155" s="10">
        <f>IF(COUNT(D1155:F1155)=0,"",MAX(D1155:F1155))</f>
        <v/>
      </c>
      <c r="J1155" s="11">
        <f>IF(OR(G1155="",G1155=0),"",(I1155-G1155)/G1155)</f>
        <v/>
      </c>
      <c r="K1155" s="4">
        <f>IF(COUNT(D1155:F1155)=0,"",INDEX($D$1:$F$1,MATCH(MIN(D1155:F1155),D1155:F1155,0)))</f>
        <v/>
      </c>
      <c r="L1155" s="10" t="n">
        <v>1071.83</v>
      </c>
      <c r="M1155" s="12" t="n">
        <v>1</v>
      </c>
    </row>
    <row r="1156">
      <c r="A1156" s="4" t="inlineStr">
        <is>
          <t>MAT-31-007</t>
        </is>
      </c>
      <c r="B1156" s="5" t="inlineStr">
        <is>
          <t>Sensor De Temperatura Y Humedad</t>
        </is>
      </c>
      <c r="C1156" s="4" t="inlineStr">
        <is>
          <t>unidad</t>
        </is>
      </c>
      <c r="D1156" s="10" t="n">
        <v>266.05</v>
      </c>
      <c r="E1156" s="10" t="n"/>
      <c r="F1156" s="10" t="n"/>
      <c r="G1156" s="10">
        <f>IF(COUNT(D1156:F1156)=0,"",MIN(D1156:F1156))</f>
        <v/>
      </c>
      <c r="H1156" s="10">
        <f>IF(COUNT(D1156:F1156)=0,"",MEDIAN(D1156:F1156))</f>
        <v/>
      </c>
      <c r="I1156" s="10">
        <f>IF(COUNT(D1156:F1156)=0,"",MAX(D1156:F1156))</f>
        <v/>
      </c>
      <c r="J1156" s="11">
        <f>IF(OR(G1156="",G1156=0),"",(I1156-G1156)/G1156)</f>
        <v/>
      </c>
      <c r="K1156" s="4">
        <f>IF(COUNT(D1156:F1156)=0,"",INDEX($D$1:$F$1,MATCH(MIN(D1156:F1156),D1156:F1156,0)))</f>
        <v/>
      </c>
      <c r="L1156" s="10" t="n">
        <v>773.13</v>
      </c>
      <c r="M1156" s="12" t="n">
        <v>1</v>
      </c>
    </row>
    <row r="1157">
      <c r="A1157" s="4" t="inlineStr">
        <is>
          <t>MAT-31-008</t>
        </is>
      </c>
      <c r="B1157" s="5" t="inlineStr">
        <is>
          <t>Sensor De Fugas De Agua Ip67 Zigbee</t>
        </is>
      </c>
      <c r="C1157" s="4" t="inlineStr">
        <is>
          <t>unidad</t>
        </is>
      </c>
      <c r="D1157" s="10" t="n">
        <v>1361.17</v>
      </c>
      <c r="E1157" s="10" t="n"/>
      <c r="F1157" s="10" t="n"/>
      <c r="G1157" s="10">
        <f>IF(COUNT(D1157:F1157)=0,"",MIN(D1157:F1157))</f>
        <v/>
      </c>
      <c r="H1157" s="10">
        <f>IF(COUNT(D1157:F1157)=0,"",MEDIAN(D1157:F1157))</f>
        <v/>
      </c>
      <c r="I1157" s="10">
        <f>IF(COUNT(D1157:F1157)=0,"",MAX(D1157:F1157))</f>
        <v/>
      </c>
      <c r="J1157" s="11">
        <f>IF(OR(G1157="",G1157=0),"",(I1157-G1157)/G1157)</f>
        <v/>
      </c>
      <c r="K1157" s="4">
        <f>IF(COUNT(D1157:F1157)=0,"",INDEX($D$1:$F$1,MATCH(MIN(D1157:F1157),D1157:F1157,0)))</f>
        <v/>
      </c>
      <c r="L1157" s="10" t="n">
        <v>1361.17</v>
      </c>
      <c r="M1157" s="12" t="n">
        <v>1</v>
      </c>
    </row>
    <row r="1158">
      <c r="A1158" s="4" t="inlineStr">
        <is>
          <t>MAT-31-009</t>
        </is>
      </c>
      <c r="B1158" s="5" t="inlineStr">
        <is>
          <t>Sensor De Vibración</t>
        </is>
      </c>
      <c r="C1158" s="4" t="inlineStr">
        <is>
          <t>unidad</t>
        </is>
      </c>
      <c r="D1158" s="10" t="n">
        <v>1439.87</v>
      </c>
      <c r="E1158" s="10" t="n"/>
      <c r="F1158" s="10" t="n"/>
      <c r="G1158" s="10">
        <f>IF(COUNT(D1158:F1158)=0,"",MIN(D1158:F1158))</f>
        <v/>
      </c>
      <c r="H1158" s="10">
        <f>IF(COUNT(D1158:F1158)=0,"",MEDIAN(D1158:F1158))</f>
        <v/>
      </c>
      <c r="I1158" s="10">
        <f>IF(COUNT(D1158:F1158)=0,"",MAX(D1158:F1158))</f>
        <v/>
      </c>
      <c r="J1158" s="11">
        <f>IF(OR(G1158="",G1158=0),"",(I1158-G1158)/G1158)</f>
        <v/>
      </c>
      <c r="K1158" s="4">
        <f>IF(COUNT(D1158:F1158)=0,"",INDEX($D$1:$F$1,MATCH(MIN(D1158:F1158),D1158:F1158,0)))</f>
        <v/>
      </c>
      <c r="L1158" s="10" t="n">
        <v>1439.87</v>
      </c>
      <c r="M1158" s="12" t="n">
        <v>1</v>
      </c>
    </row>
    <row r="1159">
      <c r="A1159" s="4" t="inlineStr">
        <is>
          <t>MAT-31-010</t>
        </is>
      </c>
      <c r="B1159" s="5" t="inlineStr">
        <is>
          <t>Sensor De Movimiento 170 Grados Zigbee</t>
        </is>
      </c>
      <c r="C1159" s="4" t="inlineStr">
        <is>
          <t>unidad</t>
        </is>
      </c>
      <c r="D1159" s="10" t="n">
        <v>1474.84</v>
      </c>
      <c r="E1159" s="10" t="n"/>
      <c r="F1159" s="10" t="n"/>
      <c r="G1159" s="10">
        <f>IF(COUNT(D1159:F1159)=0,"",MIN(D1159:F1159))</f>
        <v/>
      </c>
      <c r="H1159" s="10">
        <f>IF(COUNT(D1159:F1159)=0,"",MEDIAN(D1159:F1159))</f>
        <v/>
      </c>
      <c r="I1159" s="10">
        <f>IF(COUNT(D1159:F1159)=0,"",MAX(D1159:F1159))</f>
        <v/>
      </c>
      <c r="J1159" s="11">
        <f>IF(OR(G1159="",G1159=0),"",(I1159-G1159)/G1159)</f>
        <v/>
      </c>
      <c r="K1159" s="4">
        <f>IF(COUNT(D1159:F1159)=0,"",INDEX($D$1:$F$1,MATCH(MIN(D1159:F1159),D1159:F1159,0)))</f>
        <v/>
      </c>
      <c r="L1159" s="10" t="n">
        <v>1474.84</v>
      </c>
      <c r="M1159" s="12" t="n">
        <v>1</v>
      </c>
    </row>
    <row r="1160">
      <c r="A1160" s="4" t="inlineStr">
        <is>
          <t>MAT-31-011</t>
        </is>
      </c>
      <c r="B1160" s="5" t="inlineStr">
        <is>
          <t>Sensor De Movimiento P1</t>
        </is>
      </c>
      <c r="C1160" s="4" t="inlineStr">
        <is>
          <t>unidad</t>
        </is>
      </c>
      <c r="D1160" s="10" t="n">
        <v>1600.26</v>
      </c>
      <c r="E1160" s="10" t="n"/>
      <c r="F1160" s="10" t="n"/>
      <c r="G1160" s="10">
        <f>IF(COUNT(D1160:F1160)=0,"",MIN(D1160:F1160))</f>
        <v/>
      </c>
      <c r="H1160" s="10">
        <f>IF(COUNT(D1160:F1160)=0,"",MEDIAN(D1160:F1160))</f>
        <v/>
      </c>
      <c r="I1160" s="10">
        <f>IF(COUNT(D1160:F1160)=0,"",MAX(D1160:F1160))</f>
        <v/>
      </c>
      <c r="J1160" s="11">
        <f>IF(OR(G1160="",G1160=0),"",(I1160-G1160)/G1160)</f>
        <v/>
      </c>
      <c r="K1160" s="4">
        <f>IF(COUNT(D1160:F1160)=0,"",INDEX($D$1:$F$1,MATCH(MIN(D1160:F1160),D1160:F1160,0)))</f>
        <v/>
      </c>
      <c r="L1160" s="10" t="n">
        <v>1600.26</v>
      </c>
      <c r="M1160" s="12" t="n">
        <v>1</v>
      </c>
    </row>
    <row r="1161">
      <c r="A1161" s="4" t="inlineStr">
        <is>
          <t>MAT-31-012</t>
        </is>
      </c>
      <c r="B1161" s="5" t="inlineStr">
        <is>
          <t>Contacto Radion Universal</t>
        </is>
      </c>
      <c r="C1161" s="4" t="inlineStr">
        <is>
          <t>unidad</t>
        </is>
      </c>
      <c r="D1161" s="10" t="n">
        <v>1906.37</v>
      </c>
      <c r="E1161" s="10" t="n"/>
      <c r="F1161" s="10" t="n"/>
      <c r="G1161" s="10">
        <f>IF(COUNT(D1161:F1161)=0,"",MIN(D1161:F1161))</f>
        <v/>
      </c>
      <c r="H1161" s="10">
        <f>IF(COUNT(D1161:F1161)=0,"",MEDIAN(D1161:F1161))</f>
        <v/>
      </c>
      <c r="I1161" s="10">
        <f>IF(COUNT(D1161:F1161)=0,"",MAX(D1161:F1161))</f>
        <v/>
      </c>
      <c r="J1161" s="11">
        <f>IF(OR(G1161="",G1161=0),"",(I1161-G1161)/G1161)</f>
        <v/>
      </c>
      <c r="K1161" s="4">
        <f>IF(COUNT(D1161:F1161)=0,"",INDEX($D$1:$F$1,MATCH(MIN(D1161:F1161),D1161:F1161,0)))</f>
        <v/>
      </c>
      <c r="L1161" s="10" t="n">
        <v>1906.37</v>
      </c>
      <c r="M1161" s="12" t="n">
        <v>1</v>
      </c>
    </row>
    <row r="1162">
      <c r="A1162" s="4" t="inlineStr">
        <is>
          <t>MAT-31-013</t>
        </is>
      </c>
      <c r="B1162" s="5" t="inlineStr">
        <is>
          <t>Sensor De Presencia Fp2 Znms02 Es</t>
        </is>
      </c>
      <c r="C1162" s="4" t="inlineStr">
        <is>
          <t>unidad</t>
        </is>
      </c>
      <c r="D1162" s="10" t="n">
        <v>6967.3</v>
      </c>
      <c r="E1162" s="10" t="n"/>
      <c r="F1162" s="10" t="n"/>
      <c r="G1162" s="10">
        <f>IF(COUNT(D1162:F1162)=0,"",MIN(D1162:F1162))</f>
        <v/>
      </c>
      <c r="H1162" s="10">
        <f>IF(COUNT(D1162:F1162)=0,"",MEDIAN(D1162:F1162))</f>
        <v/>
      </c>
      <c r="I1162" s="10">
        <f>IF(COUNT(D1162:F1162)=0,"",MAX(D1162:F1162))</f>
        <v/>
      </c>
      <c r="J1162" s="11">
        <f>IF(OR(G1162="",G1162=0),"",(I1162-G1162)/G1162)</f>
        <v/>
      </c>
      <c r="K1162" s="4">
        <f>IF(COUNT(D1162:F1162)=0,"",INDEX($D$1:$F$1,MATCH(MIN(D1162:F1162),D1162:F1162,0)))</f>
        <v/>
      </c>
      <c r="L1162" s="10" t="n">
        <v>6967.3</v>
      </c>
      <c r="M1162" s="12" t="n">
        <v>1</v>
      </c>
    </row>
    <row r="1163">
      <c r="A1163" s="4" t="inlineStr">
        <is>
          <t>MAT-31-014</t>
        </is>
      </c>
      <c r="B1163" s="5" t="inlineStr">
        <is>
          <t>Pulsador para Telefono Sprint</t>
        </is>
      </c>
      <c r="C1163" s="4" t="inlineStr">
        <is>
          <t>unidad</t>
        </is>
      </c>
      <c r="D1163" s="10" t="n">
        <v>101.11</v>
      </c>
      <c r="E1163" s="10" t="n"/>
      <c r="F1163" s="10" t="n"/>
      <c r="G1163" s="10">
        <f>IF(COUNT(D1163:F1163)=0,"",MIN(D1163:F1163))</f>
        <v/>
      </c>
      <c r="H1163" s="10">
        <f>IF(COUNT(D1163:F1163)=0,"",MEDIAN(D1163:F1163))</f>
        <v/>
      </c>
      <c r="I1163" s="10">
        <f>IF(COUNT(D1163:F1163)=0,"",MAX(D1163:F1163))</f>
        <v/>
      </c>
      <c r="J1163" s="11">
        <f>IF(OR(G1163="",G1163=0),"",(I1163-G1163)/G1163)</f>
        <v/>
      </c>
      <c r="K1163" s="4">
        <f>IF(COUNT(D1163:F1163)=0,"",INDEX($D$1:$F$1,MATCH(MIN(D1163:F1163),D1163:F1163,0)))</f>
        <v/>
      </c>
      <c r="L1163" s="10" t="n">
        <v>101.11</v>
      </c>
      <c r="M1163" s="12" t="n">
        <v>1</v>
      </c>
    </row>
    <row r="1164">
      <c r="A1164" s="4" t="inlineStr">
        <is>
          <t>MAT-31-015</t>
        </is>
      </c>
      <c r="B1164" s="5" t="inlineStr">
        <is>
          <t>Pulsador Int. Serie 3000 S. Vx2200</t>
        </is>
      </c>
      <c r="C1164" s="4" t="inlineStr">
        <is>
          <t>unidad</t>
        </is>
      </c>
      <c r="D1164" s="10" t="n">
        <v>1001.67</v>
      </c>
      <c r="E1164" s="10" t="n"/>
      <c r="F1164" s="10" t="n"/>
      <c r="G1164" s="10">
        <f>IF(COUNT(D1164:F1164)=0,"",MIN(D1164:F1164))</f>
        <v/>
      </c>
      <c r="H1164" s="10">
        <f>IF(COUNT(D1164:F1164)=0,"",MEDIAN(D1164:F1164))</f>
        <v/>
      </c>
      <c r="I1164" s="10">
        <f>IF(COUNT(D1164:F1164)=0,"",MAX(D1164:F1164))</f>
        <v/>
      </c>
      <c r="J1164" s="11">
        <f>IF(OR(G1164="",G1164=0),"",(I1164-G1164)/G1164)</f>
        <v/>
      </c>
      <c r="K1164" s="4">
        <f>IF(COUNT(D1164:F1164)=0,"",INDEX($D$1:$F$1,MATCH(MIN(D1164:F1164),D1164:F1164,0)))</f>
        <v/>
      </c>
      <c r="L1164" s="10" t="n">
        <v>1001.67</v>
      </c>
      <c r="M1164" s="12" t="n">
        <v>1</v>
      </c>
    </row>
    <row r="1165">
      <c r="A1165" s="4" t="inlineStr">
        <is>
          <t>MAT-31-016</t>
        </is>
      </c>
      <c r="B1165" s="5" t="inlineStr">
        <is>
          <t>Boton De Salida Mecanico</t>
        </is>
      </c>
      <c r="C1165" s="4" t="inlineStr">
        <is>
          <t>unidad</t>
        </is>
      </c>
      <c r="D1165" s="10" t="n">
        <v>1091.22</v>
      </c>
      <c r="E1165" s="10" t="n"/>
      <c r="F1165" s="10" t="n"/>
      <c r="G1165" s="10">
        <f>IF(COUNT(D1165:F1165)=0,"",MIN(D1165:F1165))</f>
        <v/>
      </c>
      <c r="H1165" s="10">
        <f>IF(COUNT(D1165:F1165)=0,"",MEDIAN(D1165:F1165))</f>
        <v/>
      </c>
      <c r="I1165" s="10">
        <f>IF(COUNT(D1165:F1165)=0,"",MAX(D1165:F1165))</f>
        <v/>
      </c>
      <c r="J1165" s="11">
        <f>IF(OR(G1165="",G1165=0),"",(I1165-G1165)/G1165)</f>
        <v/>
      </c>
      <c r="K1165" s="4">
        <f>IF(COUNT(D1165:F1165)=0,"",INDEX($D$1:$F$1,MATCH(MIN(D1165:F1165),D1165:F1165,0)))</f>
        <v/>
      </c>
      <c r="L1165" s="10" t="n">
        <v>1091.22</v>
      </c>
      <c r="M1165" s="12" t="n">
        <v>1</v>
      </c>
    </row>
    <row r="1166">
      <c r="A1166" s="4" t="inlineStr">
        <is>
          <t>MAT-31-017</t>
        </is>
      </c>
      <c r="B1166" s="5" t="inlineStr">
        <is>
          <t>Pulsador inalámbrico Bidireccional 4 Bot</t>
        </is>
      </c>
      <c r="C1166" s="4" t="inlineStr">
        <is>
          <t>unidad</t>
        </is>
      </c>
      <c r="D1166" s="10" t="n">
        <v>1437.93</v>
      </c>
      <c r="E1166" s="10" t="n"/>
      <c r="F1166" s="10" t="n"/>
      <c r="G1166" s="10">
        <f>IF(COUNT(D1166:F1166)=0,"",MIN(D1166:F1166))</f>
        <v/>
      </c>
      <c r="H1166" s="10">
        <f>IF(COUNT(D1166:F1166)=0,"",MEDIAN(D1166:F1166))</f>
        <v/>
      </c>
      <c r="I1166" s="10">
        <f>IF(COUNT(D1166:F1166)=0,"",MAX(D1166:F1166))</f>
        <v/>
      </c>
      <c r="J1166" s="11">
        <f>IF(OR(G1166="",G1166=0),"",(I1166-G1166)/G1166)</f>
        <v/>
      </c>
      <c r="K1166" s="4">
        <f>IF(COUNT(D1166:F1166)=0,"",INDEX($D$1:$F$1,MATCH(MIN(D1166:F1166),D1166:F1166,0)))</f>
        <v/>
      </c>
      <c r="L1166" s="10" t="n">
        <v>1437.93</v>
      </c>
      <c r="M1166" s="12" t="n">
        <v>1</v>
      </c>
    </row>
    <row r="1167">
      <c r="A1167" s="4" t="inlineStr">
        <is>
          <t>MAT-31-018</t>
        </is>
      </c>
      <c r="B1167" s="5" t="inlineStr">
        <is>
          <t>Pulsador inalámbrico Bidireccional</t>
        </is>
      </c>
      <c r="C1167" s="4" t="inlineStr">
        <is>
          <t>unidad</t>
        </is>
      </c>
      <c r="D1167" s="10" t="n">
        <v>1444.45</v>
      </c>
      <c r="E1167" s="10" t="n"/>
      <c r="F1167" s="10" t="n"/>
      <c r="G1167" s="10">
        <f>IF(COUNT(D1167:F1167)=0,"",MIN(D1167:F1167))</f>
        <v/>
      </c>
      <c r="H1167" s="10">
        <f>IF(COUNT(D1167:F1167)=0,"",MEDIAN(D1167:F1167))</f>
        <v/>
      </c>
      <c r="I1167" s="10">
        <f>IF(COUNT(D1167:F1167)=0,"",MAX(D1167:F1167))</f>
        <v/>
      </c>
      <c r="J1167" s="11">
        <f>IF(OR(G1167="",G1167=0),"",(I1167-G1167)/G1167)</f>
        <v/>
      </c>
      <c r="K1167" s="4">
        <f>IF(COUNT(D1167:F1167)=0,"",INDEX($D$1:$F$1,MATCH(MIN(D1167:F1167),D1167:F1167,0)))</f>
        <v/>
      </c>
      <c r="L1167" s="10" t="n">
        <v>1444.45</v>
      </c>
      <c r="M1167" s="12" t="n">
        <v>1</v>
      </c>
    </row>
    <row r="1168">
      <c r="A1168" s="4" t="inlineStr">
        <is>
          <t>MAT-31-019</t>
        </is>
      </c>
      <c r="B1168" s="5" t="inlineStr">
        <is>
          <t>Botón De Pánico inalámbrico Vesta.</t>
        </is>
      </c>
      <c r="C1168" s="4" t="inlineStr">
        <is>
          <t>unidad</t>
        </is>
      </c>
      <c r="D1168" s="10" t="n">
        <v>1628.17</v>
      </c>
      <c r="E1168" s="10" t="n"/>
      <c r="F1168" s="10" t="n"/>
      <c r="G1168" s="10">
        <f>IF(COUNT(D1168:F1168)=0,"",MIN(D1168:F1168))</f>
        <v/>
      </c>
      <c r="H1168" s="10">
        <f>IF(COUNT(D1168:F1168)=0,"",MEDIAN(D1168:F1168))</f>
        <v/>
      </c>
      <c r="I1168" s="10">
        <f>IF(COUNT(D1168:F1168)=0,"",MAX(D1168:F1168))</f>
        <v/>
      </c>
      <c r="J1168" s="11">
        <f>IF(OR(G1168="",G1168=0),"",(I1168-G1168)/G1168)</f>
        <v/>
      </c>
      <c r="K1168" s="4">
        <f>IF(COUNT(D1168:F1168)=0,"",INDEX($D$1:$F$1,MATCH(MIN(D1168:F1168),D1168:F1168,0)))</f>
        <v/>
      </c>
      <c r="L1168" s="10" t="n">
        <v>1628.17</v>
      </c>
      <c r="M1168" s="12" t="n">
        <v>1</v>
      </c>
    </row>
    <row r="1169">
      <c r="A1169" s="4" t="inlineStr">
        <is>
          <t>MAT-31-020</t>
        </is>
      </c>
      <c r="B1169" s="5" t="inlineStr">
        <is>
          <t>Estación De Llamada Pln-6 Aio240, 6 Zonas</t>
        </is>
      </c>
      <c r="C1169" s="4" t="inlineStr">
        <is>
          <t>unidad</t>
        </is>
      </c>
      <c r="D1169" s="10" t="n">
        <v>9200.34</v>
      </c>
      <c r="E1169" s="10" t="n"/>
      <c r="F1169" s="10" t="n"/>
      <c r="G1169" s="10">
        <f>IF(COUNT(D1169:F1169)=0,"",MIN(D1169:F1169))</f>
        <v/>
      </c>
      <c r="H1169" s="10">
        <f>IF(COUNT(D1169:F1169)=0,"",MEDIAN(D1169:F1169))</f>
        <v/>
      </c>
      <c r="I1169" s="10">
        <f>IF(COUNT(D1169:F1169)=0,"",MAX(D1169:F1169))</f>
        <v/>
      </c>
      <c r="J1169" s="11">
        <f>IF(OR(G1169="",G1169=0),"",(I1169-G1169)/G1169)</f>
        <v/>
      </c>
      <c r="K1169" s="4">
        <f>IF(COUNT(D1169:F1169)=0,"",INDEX($D$1:$F$1,MATCH(MIN(D1169:F1169),D1169:F1169,0)))</f>
        <v/>
      </c>
      <c r="L1169" s="10" t="n">
        <v>9200.34</v>
      </c>
      <c r="M1169" s="12" t="n">
        <v>1</v>
      </c>
    </row>
    <row r="1170">
      <c r="A1170" s="4" t="inlineStr">
        <is>
          <t>MAT-31-021</t>
        </is>
      </c>
      <c r="B1170" s="5" t="inlineStr">
        <is>
          <t>Estacion Interior Touch 7" para intercom</t>
        </is>
      </c>
      <c r="C1170" s="4" t="inlineStr">
        <is>
          <t>unidad</t>
        </is>
      </c>
      <c r="D1170" s="10" t="n">
        <v>14861.01</v>
      </c>
      <c r="E1170" s="10" t="n"/>
      <c r="F1170" s="10" t="n"/>
      <c r="G1170" s="10">
        <f>IF(COUNT(D1170:F1170)=0,"",MIN(D1170:F1170))</f>
        <v/>
      </c>
      <c r="H1170" s="10">
        <f>IF(COUNT(D1170:F1170)=0,"",MEDIAN(D1170:F1170))</f>
        <v/>
      </c>
      <c r="I1170" s="10">
        <f>IF(COUNT(D1170:F1170)=0,"",MAX(D1170:F1170))</f>
        <v/>
      </c>
      <c r="J1170" s="11">
        <f>IF(OR(G1170="",G1170=0),"",(I1170-G1170)/G1170)</f>
        <v/>
      </c>
      <c r="K1170" s="4">
        <f>IF(COUNT(D1170:F1170)=0,"",INDEX($D$1:$F$1,MATCH(MIN(D1170:F1170),D1170:F1170,0)))</f>
        <v/>
      </c>
      <c r="L1170" s="10" t="n">
        <v>14861.01</v>
      </c>
      <c r="M1170" s="12" t="n">
        <v>1</v>
      </c>
    </row>
    <row r="1171">
      <c r="A1171" s="4" t="inlineStr">
        <is>
          <t>MAT-31-022</t>
        </is>
      </c>
      <c r="B1171" s="5" t="inlineStr">
        <is>
          <t>Cerradura Inteligente para Ul1 Negro</t>
        </is>
      </c>
      <c r="C1171" s="4" t="inlineStr">
        <is>
          <t>unidad</t>
        </is>
      </c>
      <c r="D1171" s="10" t="n">
        <v>5063.11</v>
      </c>
      <c r="E1171" s="10" t="n"/>
      <c r="F1171" s="10" t="n"/>
      <c r="G1171" s="10">
        <f>IF(COUNT(D1171:F1171)=0,"",MIN(D1171:F1171))</f>
        <v/>
      </c>
      <c r="H1171" s="10">
        <f>IF(COUNT(D1171:F1171)=0,"",MEDIAN(D1171:F1171))</f>
        <v/>
      </c>
      <c r="I1171" s="10">
        <f>IF(COUNT(D1171:F1171)=0,"",MAX(D1171:F1171))</f>
        <v/>
      </c>
      <c r="J1171" s="11">
        <f>IF(OR(G1171="",G1171=0),"",(I1171-G1171)/G1171)</f>
        <v/>
      </c>
      <c r="K1171" s="4">
        <f>IF(COUNT(D1171:F1171)=0,"",INDEX($D$1:$F$1,MATCH(MIN(D1171:F1171),D1171:F1171,0)))</f>
        <v/>
      </c>
      <c r="L1171" s="10" t="n">
        <v>5063.11</v>
      </c>
      <c r="M1171" s="12" t="n">
        <v>1</v>
      </c>
    </row>
    <row r="1172">
      <c r="A1172" s="4" t="inlineStr">
        <is>
          <t>MAT-31-023</t>
        </is>
      </c>
      <c r="B1172" s="5" t="inlineStr">
        <is>
          <t>Cerradura Inteligente 5-In-1 Ab</t>
        </is>
      </c>
      <c r="C1172" s="4" t="inlineStr">
        <is>
          <t>unidad</t>
        </is>
      </c>
      <c r="D1172" s="10" t="n">
        <v>9798.469999999999</v>
      </c>
      <c r="E1172" s="10" t="n"/>
      <c r="F1172" s="10" t="n"/>
      <c r="G1172" s="10">
        <f>IF(COUNT(D1172:F1172)=0,"",MIN(D1172:F1172))</f>
        <v/>
      </c>
      <c r="H1172" s="10">
        <f>IF(COUNT(D1172:F1172)=0,"",MEDIAN(D1172:F1172))</f>
        <v/>
      </c>
      <c r="I1172" s="10">
        <f>IF(COUNT(D1172:F1172)=0,"",MAX(D1172:F1172))</f>
        <v/>
      </c>
      <c r="J1172" s="11">
        <f>IF(OR(G1172="",G1172=0),"",(I1172-G1172)/G1172)</f>
        <v/>
      </c>
      <c r="K1172" s="4">
        <f>IF(COUNT(D1172:F1172)=0,"",INDEX($D$1:$F$1,MATCH(MIN(D1172:F1172),D1172:F1172,0)))</f>
        <v/>
      </c>
      <c r="L1172" s="10" t="n">
        <v>9798.469999999999</v>
      </c>
      <c r="M1172" s="12" t="n">
        <v>1</v>
      </c>
    </row>
    <row r="1173">
      <c r="A1173" s="4" t="inlineStr">
        <is>
          <t>MAT-31-024</t>
        </is>
      </c>
      <c r="B1173" s="5" t="inlineStr">
        <is>
          <t>Cerradura Inteligente Negro App / Huella</t>
        </is>
      </c>
      <c r="C1173" s="4" t="inlineStr">
        <is>
          <t>unidad</t>
        </is>
      </c>
      <c r="D1173" s="10" t="n">
        <v>10930.42</v>
      </c>
      <c r="E1173" s="10" t="n"/>
      <c r="F1173" s="10" t="n"/>
      <c r="G1173" s="10">
        <f>IF(COUNT(D1173:F1173)=0,"",MIN(D1173:F1173))</f>
        <v/>
      </c>
      <c r="H1173" s="10">
        <f>IF(COUNT(D1173:F1173)=0,"",MEDIAN(D1173:F1173))</f>
        <v/>
      </c>
      <c r="I1173" s="10">
        <f>IF(COUNT(D1173:F1173)=0,"",MAX(D1173:F1173))</f>
        <v/>
      </c>
      <c r="J1173" s="11">
        <f>IF(OR(G1173="",G1173=0),"",(I1173-G1173)/G1173)</f>
        <v/>
      </c>
      <c r="K1173" s="4">
        <f>IF(COUNT(D1173:F1173)=0,"",INDEX($D$1:$F$1,MATCH(MIN(D1173:F1173),D1173:F1173,0)))</f>
        <v/>
      </c>
      <c r="L1173" s="10" t="n">
        <v>10930.42</v>
      </c>
      <c r="M1173" s="12" t="n">
        <v>1</v>
      </c>
    </row>
    <row r="1174">
      <c r="A1174" s="4" t="inlineStr">
        <is>
          <t>MAT-31-025</t>
        </is>
      </c>
      <c r="B1174" s="5" t="inlineStr">
        <is>
          <t>Cerradura Inteligente 3-In-1 Satin</t>
        </is>
      </c>
      <c r="C1174" s="4" t="inlineStr">
        <is>
          <t>unidad</t>
        </is>
      </c>
      <c r="D1174" s="10" t="n">
        <v>15106.17</v>
      </c>
      <c r="E1174" s="10" t="n"/>
      <c r="F1174" s="10" t="n"/>
      <c r="G1174" s="10">
        <f>IF(COUNT(D1174:F1174)=0,"",MIN(D1174:F1174))</f>
        <v/>
      </c>
      <c r="H1174" s="10">
        <f>IF(COUNT(D1174:F1174)=0,"",MEDIAN(D1174:F1174))</f>
        <v/>
      </c>
      <c r="I1174" s="10">
        <f>IF(COUNT(D1174:F1174)=0,"",MAX(D1174:F1174))</f>
        <v/>
      </c>
      <c r="J1174" s="11">
        <f>IF(OR(G1174="",G1174=0),"",(I1174-G1174)/G1174)</f>
        <v/>
      </c>
      <c r="K1174" s="4">
        <f>IF(COUNT(D1174:F1174)=0,"",INDEX($D$1:$F$1,MATCH(MIN(D1174:F1174),D1174:F1174,0)))</f>
        <v/>
      </c>
      <c r="L1174" s="10" t="n">
        <v>15106.17</v>
      </c>
      <c r="M1174" s="12" t="n">
        <v>1</v>
      </c>
    </row>
    <row r="1175">
      <c r="A1175" s="4" t="inlineStr">
        <is>
          <t>MAT-31-026</t>
        </is>
      </c>
      <c r="B1175" s="5" t="inlineStr">
        <is>
          <t>Telefono Trad. intercom Serie 3000</t>
        </is>
      </c>
      <c r="C1175" s="4" t="inlineStr">
        <is>
          <t>unidad</t>
        </is>
      </c>
      <c r="D1175" s="10" t="n">
        <v>305.08</v>
      </c>
      <c r="E1175" s="10" t="n"/>
      <c r="F1175" s="10" t="n"/>
      <c r="G1175" s="10">
        <f>IF(COUNT(D1175:F1175)=0,"",MIN(D1175:F1175))</f>
        <v/>
      </c>
      <c r="H1175" s="10">
        <f>IF(COUNT(D1175:F1175)=0,"",MEDIAN(D1175:F1175))</f>
        <v/>
      </c>
      <c r="I1175" s="10">
        <f>IF(COUNT(D1175:F1175)=0,"",MAX(D1175:F1175))</f>
        <v/>
      </c>
      <c r="J1175" s="11">
        <f>IF(OR(G1175="",G1175=0),"",(I1175-G1175)/G1175)</f>
        <v/>
      </c>
      <c r="K1175" s="4">
        <f>IF(COUNT(D1175:F1175)=0,"",INDEX($D$1:$F$1,MATCH(MIN(D1175:F1175),D1175:F1175,0)))</f>
        <v/>
      </c>
      <c r="L1175" s="10" t="n">
        <v>305.08</v>
      </c>
      <c r="M1175" s="12" t="n">
        <v>1</v>
      </c>
    </row>
    <row r="1176">
      <c r="A1176" s="4" t="inlineStr">
        <is>
          <t>MAT-31-027</t>
        </is>
      </c>
      <c r="B1176" s="5" t="inlineStr">
        <is>
          <t>Telefono Sprint 194 Mm</t>
        </is>
      </c>
      <c r="C1176" s="4" t="inlineStr">
        <is>
          <t>unidad</t>
        </is>
      </c>
      <c r="D1176" s="10" t="n">
        <v>1419</v>
      </c>
      <c r="E1176" s="10" t="n"/>
      <c r="F1176" s="10" t="n"/>
      <c r="G1176" s="10">
        <f>IF(COUNT(D1176:F1176)=0,"",MIN(D1176:F1176))</f>
        <v/>
      </c>
      <c r="H1176" s="10">
        <f>IF(COUNT(D1176:F1176)=0,"",MEDIAN(D1176:F1176))</f>
        <v/>
      </c>
      <c r="I1176" s="10">
        <f>IF(COUNT(D1176:F1176)=0,"",MAX(D1176:F1176))</f>
        <v/>
      </c>
      <c r="J1176" s="11">
        <f>IF(OR(G1176="",G1176=0),"",(I1176-G1176)/G1176)</f>
        <v/>
      </c>
      <c r="K1176" s="4">
        <f>IF(COUNT(D1176:F1176)=0,"",INDEX($D$1:$F$1,MATCH(MIN(D1176:F1176),D1176:F1176,0)))</f>
        <v/>
      </c>
      <c r="L1176" s="10" t="n">
        <v>1419</v>
      </c>
      <c r="M1176" s="12" t="n">
        <v>1</v>
      </c>
    </row>
    <row r="1177">
      <c r="A1177" s="4" t="inlineStr">
        <is>
          <t>MAT-31-028</t>
        </is>
      </c>
      <c r="B1177" s="5" t="inlineStr">
        <is>
          <t>Monitor Touch Negro 7" para intercom</t>
        </is>
      </c>
      <c r="C1177" s="4" t="inlineStr">
        <is>
          <t>unidad</t>
        </is>
      </c>
      <c r="D1177" s="10" t="n">
        <v>5570.12</v>
      </c>
      <c r="E1177" s="10" t="n"/>
      <c r="F1177" s="10" t="n"/>
      <c r="G1177" s="10">
        <f>IF(COUNT(D1177:F1177)=0,"",MIN(D1177:F1177))</f>
        <v/>
      </c>
      <c r="H1177" s="10">
        <f>IF(COUNT(D1177:F1177)=0,"",MEDIAN(D1177:F1177))</f>
        <v/>
      </c>
      <c r="I1177" s="10">
        <f>IF(COUNT(D1177:F1177)=0,"",MAX(D1177:F1177))</f>
        <v/>
      </c>
      <c r="J1177" s="11">
        <f>IF(OR(G1177="",G1177=0),"",(I1177-G1177)/G1177)</f>
        <v/>
      </c>
      <c r="K1177" s="4">
        <f>IF(COUNT(D1177:F1177)=0,"",INDEX($D$1:$F$1,MATCH(MIN(D1177:F1177),D1177:F1177,0)))</f>
        <v/>
      </c>
      <c r="L1177" s="10" t="n">
        <v>5570.12</v>
      </c>
      <c r="M1177" s="12" t="n">
        <v>1</v>
      </c>
    </row>
    <row r="1178">
      <c r="A1178" s="4" t="inlineStr">
        <is>
          <t>MAT-31-029</t>
        </is>
      </c>
      <c r="B1178" s="5" t="inlineStr">
        <is>
          <t>Videoportero para Villa IP / Wf 4 Btn 2 Mp</t>
        </is>
      </c>
      <c r="C1178" s="4" t="inlineStr">
        <is>
          <t>unidad</t>
        </is>
      </c>
      <c r="D1178" s="10" t="n">
        <v>8802.870000000001</v>
      </c>
      <c r="E1178" s="10" t="n"/>
      <c r="F1178" s="10" t="n"/>
      <c r="G1178" s="10">
        <f>IF(COUNT(D1178:F1178)=0,"",MIN(D1178:F1178))</f>
        <v/>
      </c>
      <c r="H1178" s="10">
        <f>IF(COUNT(D1178:F1178)=0,"",MEDIAN(D1178:F1178))</f>
        <v/>
      </c>
      <c r="I1178" s="10">
        <f>IF(COUNT(D1178:F1178)=0,"",MAX(D1178:F1178))</f>
        <v/>
      </c>
      <c r="J1178" s="11">
        <f>IF(OR(G1178="",G1178=0),"",(I1178-G1178)/G1178)</f>
        <v/>
      </c>
      <c r="K1178" s="4">
        <f>IF(COUNT(D1178:F1178)=0,"",INDEX($D$1:$F$1,MATCH(MIN(D1178:F1178),D1178:F1178,0)))</f>
        <v/>
      </c>
      <c r="L1178" s="10" t="n">
        <v>8802.870000000001</v>
      </c>
      <c r="M1178" s="12" t="n">
        <v>1</v>
      </c>
    </row>
    <row r="1179">
      <c r="A1179" s="4" t="inlineStr">
        <is>
          <t>MAT-31-030</t>
        </is>
      </c>
      <c r="B1179" s="5" t="inlineStr">
        <is>
          <t>Kit De Video Timbre Inteligente G4</t>
        </is>
      </c>
      <c r="C1179" s="4" t="inlineStr">
        <is>
          <t>unidad</t>
        </is>
      </c>
      <c r="D1179" s="10" t="n">
        <v>8979.870000000001</v>
      </c>
      <c r="E1179" s="10" t="n"/>
      <c r="F1179" s="10" t="n"/>
      <c r="G1179" s="10">
        <f>IF(COUNT(D1179:F1179)=0,"",MIN(D1179:F1179))</f>
        <v/>
      </c>
      <c r="H1179" s="10">
        <f>IF(COUNT(D1179:F1179)=0,"",MEDIAN(D1179:F1179))</f>
        <v/>
      </c>
      <c r="I1179" s="10">
        <f>IF(COUNT(D1179:F1179)=0,"",MAX(D1179:F1179))</f>
        <v/>
      </c>
      <c r="J1179" s="11">
        <f>IF(OR(G1179="",G1179=0),"",(I1179-G1179)/G1179)</f>
        <v/>
      </c>
      <c r="K1179" s="4">
        <f>IF(COUNT(D1179:F1179)=0,"",INDEX($D$1:$F$1,MATCH(MIN(D1179:F1179),D1179:F1179,0)))</f>
        <v/>
      </c>
      <c r="L1179" s="10" t="n">
        <v>8979.870000000001</v>
      </c>
      <c r="M1179" s="12" t="n">
        <v>1</v>
      </c>
    </row>
    <row r="1180">
      <c r="A1180" s="4" t="inlineStr">
        <is>
          <t>MAT-31-031</t>
        </is>
      </c>
      <c r="B1180" s="5" t="inlineStr">
        <is>
          <t>Monitor para intercom De 7"</t>
        </is>
      </c>
      <c r="C1180" s="4" t="inlineStr">
        <is>
          <t>unidad</t>
        </is>
      </c>
      <c r="D1180" s="10" t="n">
        <v>10076.91</v>
      </c>
      <c r="E1180" s="10" t="n"/>
      <c r="F1180" s="10" t="n"/>
      <c r="G1180" s="10">
        <f>IF(COUNT(D1180:F1180)=0,"",MIN(D1180:F1180))</f>
        <v/>
      </c>
      <c r="H1180" s="10">
        <f>IF(COUNT(D1180:F1180)=0,"",MEDIAN(D1180:F1180))</f>
        <v/>
      </c>
      <c r="I1180" s="10">
        <f>IF(COUNT(D1180:F1180)=0,"",MAX(D1180:F1180))</f>
        <v/>
      </c>
      <c r="J1180" s="11">
        <f>IF(OR(G1180="",G1180=0),"",(I1180-G1180)/G1180)</f>
        <v/>
      </c>
      <c r="K1180" s="4">
        <f>IF(COUNT(D1180:F1180)=0,"",INDEX($D$1:$F$1,MATCH(MIN(D1180:F1180),D1180:F1180,0)))</f>
        <v/>
      </c>
      <c r="L1180" s="10" t="n">
        <v>10076.91</v>
      </c>
      <c r="M1180" s="12" t="n">
        <v>1</v>
      </c>
    </row>
    <row r="1181">
      <c r="A1181" s="4" t="inlineStr">
        <is>
          <t>MAT-31-032</t>
        </is>
      </c>
      <c r="B1181" s="5" t="inlineStr">
        <is>
          <t>Kit intercom Video 4" Ydv-4702 / Ydv4403</t>
        </is>
      </c>
      <c r="C1181" s="4" t="inlineStr">
        <is>
          <t>unidad</t>
        </is>
      </c>
      <c r="D1181" s="10" t="n">
        <v>16736.62</v>
      </c>
      <c r="E1181" s="10" t="n"/>
      <c r="F1181" s="10" t="n"/>
      <c r="G1181" s="10">
        <f>IF(COUNT(D1181:F1181)=0,"",MIN(D1181:F1181))</f>
        <v/>
      </c>
      <c r="H1181" s="10">
        <f>IF(COUNT(D1181:F1181)=0,"",MEDIAN(D1181:F1181))</f>
        <v/>
      </c>
      <c r="I1181" s="10">
        <f>IF(COUNT(D1181:F1181)=0,"",MAX(D1181:F1181))</f>
        <v/>
      </c>
      <c r="J1181" s="11">
        <f>IF(OR(G1181="",G1181=0),"",(I1181-G1181)/G1181)</f>
        <v/>
      </c>
      <c r="K1181" s="4">
        <f>IF(COUNT(D1181:F1181)=0,"",INDEX($D$1:$F$1,MATCH(MIN(D1181:F1181),D1181:F1181,0)))</f>
        <v/>
      </c>
      <c r="L1181" s="10" t="n">
        <v>16736.62</v>
      </c>
      <c r="M1181" s="12" t="n">
        <v>1</v>
      </c>
    </row>
    <row r="1182">
      <c r="A1182" s="4" t="inlineStr">
        <is>
          <t>MAT-31-033</t>
        </is>
      </c>
      <c r="B1182" s="5" t="inlineStr">
        <is>
          <t>Kit intercom Audio 8 Apartamentos</t>
        </is>
      </c>
      <c r="C1182" s="4" t="inlineStr">
        <is>
          <t>unidad</t>
        </is>
      </c>
      <c r="D1182" s="10" t="n">
        <v>16951.2</v>
      </c>
      <c r="E1182" s="10" t="n"/>
      <c r="F1182" s="10" t="n"/>
      <c r="G1182" s="10">
        <f>IF(COUNT(D1182:F1182)=0,"",MIN(D1182:F1182))</f>
        <v/>
      </c>
      <c r="H1182" s="10">
        <f>IF(COUNT(D1182:F1182)=0,"",MEDIAN(D1182:F1182))</f>
        <v/>
      </c>
      <c r="I1182" s="10">
        <f>IF(COUNT(D1182:F1182)=0,"",MAX(D1182:F1182))</f>
        <v/>
      </c>
      <c r="J1182" s="11">
        <f>IF(OR(G1182="",G1182=0),"",(I1182-G1182)/G1182)</f>
        <v/>
      </c>
      <c r="K1182" s="4">
        <f>IF(COUNT(D1182:F1182)=0,"",INDEX($D$1:$F$1,MATCH(MIN(D1182:F1182),D1182:F1182,0)))</f>
        <v/>
      </c>
      <c r="L1182" s="10" t="n">
        <v>16951.2</v>
      </c>
      <c r="M1182" s="12" t="n">
        <v>1</v>
      </c>
    </row>
    <row r="1183">
      <c r="A1183" s="4" t="inlineStr">
        <is>
          <t>MAT-31-034</t>
        </is>
      </c>
      <c r="B1183" s="5" t="inlineStr">
        <is>
          <t>Kit Luci Microeva 2 In / 2 Out</t>
        </is>
      </c>
      <c r="C1183" s="4" t="inlineStr">
        <is>
          <t>unidad</t>
        </is>
      </c>
      <c r="D1183" s="10" t="n">
        <v>22371.26</v>
      </c>
      <c r="E1183" s="10" t="n"/>
      <c r="F1183" s="10" t="n"/>
      <c r="G1183" s="10">
        <f>IF(COUNT(D1183:F1183)=0,"",MIN(D1183:F1183))</f>
        <v/>
      </c>
      <c r="H1183" s="10">
        <f>IF(COUNT(D1183:F1183)=0,"",MEDIAN(D1183:F1183))</f>
        <v/>
      </c>
      <c r="I1183" s="10">
        <f>IF(COUNT(D1183:F1183)=0,"",MAX(D1183:F1183))</f>
        <v/>
      </c>
      <c r="J1183" s="11">
        <f>IF(OR(G1183="",G1183=0),"",(I1183-G1183)/G1183)</f>
        <v/>
      </c>
      <c r="K1183" s="4">
        <f>IF(COUNT(D1183:F1183)=0,"",INDEX($D$1:$F$1,MATCH(MIN(D1183:F1183),D1183:F1183,0)))</f>
        <v/>
      </c>
      <c r="L1183" s="10" t="n">
        <v>22371.26</v>
      </c>
      <c r="M1183" s="12" t="n">
        <v>1</v>
      </c>
    </row>
    <row r="1184">
      <c r="A1184" s="4" t="inlineStr">
        <is>
          <t>MAT-31-035</t>
        </is>
      </c>
      <c r="B1184" s="5" t="inlineStr">
        <is>
          <t>Kit intercom Video 7" Touch Ydv-Ts</t>
        </is>
      </c>
      <c r="C1184" s="4" t="inlineStr">
        <is>
          <t>unidad</t>
        </is>
      </c>
      <c r="D1184" s="10" t="n">
        <v>22538.2</v>
      </c>
      <c r="E1184" s="10" t="n"/>
      <c r="F1184" s="10" t="n"/>
      <c r="G1184" s="10">
        <f>IF(COUNT(D1184:F1184)=0,"",MIN(D1184:F1184))</f>
        <v/>
      </c>
      <c r="H1184" s="10">
        <f>IF(COUNT(D1184:F1184)=0,"",MEDIAN(D1184:F1184))</f>
        <v/>
      </c>
      <c r="I1184" s="10">
        <f>IF(COUNT(D1184:F1184)=0,"",MAX(D1184:F1184))</f>
        <v/>
      </c>
      <c r="J1184" s="11">
        <f>IF(OR(G1184="",G1184=0),"",(I1184-G1184)/G1184)</f>
        <v/>
      </c>
      <c r="K1184" s="4">
        <f>IF(COUNT(D1184:F1184)=0,"",INDEX($D$1:$F$1,MATCH(MIN(D1184:F1184),D1184:F1184,0)))</f>
        <v/>
      </c>
      <c r="L1184" s="10" t="n">
        <v>22538.2</v>
      </c>
      <c r="M1184" s="12" t="n">
        <v>1</v>
      </c>
    </row>
    <row r="1185">
      <c r="A1185" s="4" t="inlineStr">
        <is>
          <t>MAT-31-036</t>
        </is>
      </c>
      <c r="B1185" s="5" t="inlineStr">
        <is>
          <t>Kit intercom Audio Video / Color 4 Apart.</t>
        </is>
      </c>
      <c r="C1185" s="4" t="inlineStr">
        <is>
          <t>unidad</t>
        </is>
      </c>
      <c r="D1185" s="10" t="n">
        <v>32009.7</v>
      </c>
      <c r="E1185" s="10" t="n"/>
      <c r="F1185" s="10" t="n"/>
      <c r="G1185" s="10">
        <f>IF(COUNT(D1185:F1185)=0,"",MIN(D1185:F1185))</f>
        <v/>
      </c>
      <c r="H1185" s="10">
        <f>IF(COUNT(D1185:F1185)=0,"",MEDIAN(D1185:F1185))</f>
        <v/>
      </c>
      <c r="I1185" s="10">
        <f>IF(COUNT(D1185:F1185)=0,"",MAX(D1185:F1185))</f>
        <v/>
      </c>
      <c r="J1185" s="11">
        <f>IF(OR(G1185="",G1185=0),"",(I1185-G1185)/G1185)</f>
        <v/>
      </c>
      <c r="K1185" s="4">
        <f>IF(COUNT(D1185:F1185)=0,"",INDEX($D$1:$F$1,MATCH(MIN(D1185:F1185),D1185:F1185,0)))</f>
        <v/>
      </c>
      <c r="L1185" s="10" t="n">
        <v>32009.7</v>
      </c>
      <c r="M1185" s="12" t="n">
        <v>1</v>
      </c>
    </row>
    <row r="1186">
      <c r="A1186" s="4" t="inlineStr">
        <is>
          <t>MAT-31-037</t>
        </is>
      </c>
      <c r="B1186" s="5" t="inlineStr">
        <is>
          <t>Kit intercom Audio Video / Color 6 Apart.</t>
        </is>
      </c>
      <c r="C1186" s="4" t="inlineStr">
        <is>
          <t>unidad</t>
        </is>
      </c>
      <c r="D1186" s="10" t="n">
        <v>41504.58</v>
      </c>
      <c r="E1186" s="10" t="n"/>
      <c r="F1186" s="10" t="n"/>
      <c r="G1186" s="10">
        <f>IF(COUNT(D1186:F1186)=0,"",MIN(D1186:F1186))</f>
        <v/>
      </c>
      <c r="H1186" s="10">
        <f>IF(COUNT(D1186:F1186)=0,"",MEDIAN(D1186:F1186))</f>
        <v/>
      </c>
      <c r="I1186" s="10">
        <f>IF(COUNT(D1186:F1186)=0,"",MAX(D1186:F1186))</f>
        <v/>
      </c>
      <c r="J1186" s="11">
        <f>IF(OR(G1186="",G1186=0),"",(I1186-G1186)/G1186)</f>
        <v/>
      </c>
      <c r="K1186" s="4">
        <f>IF(COUNT(D1186:F1186)=0,"",INDEX($D$1:$F$1,MATCH(MIN(D1186:F1186),D1186:F1186,0)))</f>
        <v/>
      </c>
      <c r="L1186" s="10" t="n">
        <v>41504.58</v>
      </c>
      <c r="M1186" s="12" t="n">
        <v>1</v>
      </c>
    </row>
    <row r="1187">
      <c r="A1187" s="4" t="inlineStr">
        <is>
          <t>MAT-31-038</t>
        </is>
      </c>
      <c r="B1187" s="5" t="inlineStr">
        <is>
          <t>Kit intercom Audio Video / Color 8 Apart.</t>
        </is>
      </c>
      <c r="C1187" s="4" t="inlineStr">
        <is>
          <t>unidad</t>
        </is>
      </c>
      <c r="D1187" s="10" t="n">
        <v>50715.2</v>
      </c>
      <c r="E1187" s="10" t="n"/>
      <c r="F1187" s="10" t="n"/>
      <c r="G1187" s="10">
        <f>IF(COUNT(D1187:F1187)=0,"",MIN(D1187:F1187))</f>
        <v/>
      </c>
      <c r="H1187" s="10">
        <f>IF(COUNT(D1187:F1187)=0,"",MEDIAN(D1187:F1187))</f>
        <v/>
      </c>
      <c r="I1187" s="10">
        <f>IF(COUNT(D1187:F1187)=0,"",MAX(D1187:F1187))</f>
        <v/>
      </c>
      <c r="J1187" s="11">
        <f>IF(OR(G1187="",G1187=0),"",(I1187-G1187)/G1187)</f>
        <v/>
      </c>
      <c r="K1187" s="4">
        <f>IF(COUNT(D1187:F1187)=0,"",INDEX($D$1:$F$1,MATCH(MIN(D1187:F1187),D1187:F1187,0)))</f>
        <v/>
      </c>
      <c r="L1187" s="10" t="n">
        <v>50715.2</v>
      </c>
      <c r="M1187" s="12" t="n">
        <v>1</v>
      </c>
    </row>
    <row r="1188">
      <c r="A1188" s="4" t="inlineStr">
        <is>
          <t>MAT-31-039</t>
        </is>
      </c>
      <c r="B1188" s="5" t="inlineStr">
        <is>
          <t>Kit Domotica 10 Circuitos On-Off+2 Shutt</t>
        </is>
      </c>
      <c r="C1188" s="4" t="inlineStr">
        <is>
          <t>unidad</t>
        </is>
      </c>
      <c r="D1188" s="10" t="n">
        <v>61795.82</v>
      </c>
      <c r="E1188" s="10" t="n"/>
      <c r="F1188" s="10" t="n"/>
      <c r="G1188" s="10">
        <f>IF(COUNT(D1188:F1188)=0,"",MIN(D1188:F1188))</f>
        <v/>
      </c>
      <c r="H1188" s="10">
        <f>IF(COUNT(D1188:F1188)=0,"",MEDIAN(D1188:F1188))</f>
        <v/>
      </c>
      <c r="I1188" s="10">
        <f>IF(COUNT(D1188:F1188)=0,"",MAX(D1188:F1188))</f>
        <v/>
      </c>
      <c r="J1188" s="11">
        <f>IF(OR(G1188="",G1188=0),"",(I1188-G1188)/G1188)</f>
        <v/>
      </c>
      <c r="K1188" s="4">
        <f>IF(COUNT(D1188:F1188)=0,"",INDEX($D$1:$F$1,MATCH(MIN(D1188:F1188),D1188:F1188,0)))</f>
        <v/>
      </c>
      <c r="L1188" s="10" t="n">
        <v>61795.82</v>
      </c>
      <c r="M1188" s="12" t="n">
        <v>1</v>
      </c>
    </row>
    <row r="1189">
      <c r="A1189" s="4" t="inlineStr">
        <is>
          <t>MAT-31-040</t>
        </is>
      </c>
      <c r="B1189" s="5" t="inlineStr">
        <is>
          <t>Kit Domotica 10 Circuitos On-</t>
        </is>
      </c>
      <c r="C1189" s="4" t="inlineStr">
        <is>
          <t>unidad</t>
        </is>
      </c>
      <c r="D1189" s="10" t="n">
        <v>85380.83</v>
      </c>
      <c r="E1189" s="10" t="n"/>
      <c r="F1189" s="10" t="n"/>
      <c r="G1189" s="10">
        <f>IF(COUNT(D1189:F1189)=0,"",MIN(D1189:F1189))</f>
        <v/>
      </c>
      <c r="H1189" s="10">
        <f>IF(COUNT(D1189:F1189)=0,"",MEDIAN(D1189:F1189))</f>
        <v/>
      </c>
      <c r="I1189" s="10">
        <f>IF(COUNT(D1189:F1189)=0,"",MAX(D1189:F1189))</f>
        <v/>
      </c>
      <c r="J1189" s="11">
        <f>IF(OR(G1189="",G1189=0),"",(I1189-G1189)/G1189)</f>
        <v/>
      </c>
      <c r="K1189" s="4">
        <f>IF(COUNT(D1189:F1189)=0,"",INDEX($D$1:$F$1,MATCH(MIN(D1189:F1189),D1189:F1189,0)))</f>
        <v/>
      </c>
      <c r="L1189" s="10" t="n">
        <v>85380.83</v>
      </c>
      <c r="M1189" s="12" t="n">
        <v>1</v>
      </c>
    </row>
    <row r="1190">
      <c r="A1190" s="4" t="inlineStr">
        <is>
          <t>MAT-31-041</t>
        </is>
      </c>
      <c r="B1190" s="5" t="inlineStr">
        <is>
          <t>Cable Para Conexion 470 Mm</t>
        </is>
      </c>
      <c r="C1190" s="4" t="inlineStr">
        <is>
          <t>unidad</t>
        </is>
      </c>
      <c r="D1190" s="10" t="n">
        <v>178.8</v>
      </c>
      <c r="E1190" s="10" t="n"/>
      <c r="F1190" s="10" t="n"/>
      <c r="G1190" s="10">
        <f>IF(COUNT(D1190:F1190)=0,"",MIN(D1190:F1190))</f>
        <v/>
      </c>
      <c r="H1190" s="10">
        <f>IF(COUNT(D1190:F1190)=0,"",MEDIAN(D1190:F1190))</f>
        <v/>
      </c>
      <c r="I1190" s="10">
        <f>IF(COUNT(D1190:F1190)=0,"",MAX(D1190:F1190))</f>
        <v/>
      </c>
      <c r="J1190" s="11">
        <f>IF(OR(G1190="",G1190=0),"",(I1190-G1190)/G1190)</f>
        <v/>
      </c>
      <c r="K1190" s="4">
        <f>IF(COUNT(D1190:F1190)=0,"",INDEX($D$1:$F$1,MATCH(MIN(D1190:F1190),D1190:F1190,0)))</f>
        <v/>
      </c>
      <c r="L1190" s="10" t="n">
        <v>178.8</v>
      </c>
      <c r="M1190" s="12" t="n">
        <v>1</v>
      </c>
    </row>
    <row r="1191">
      <c r="A1191" s="4" t="inlineStr">
        <is>
          <t>MAT-31-042</t>
        </is>
      </c>
      <c r="B1191" s="5" t="inlineStr">
        <is>
          <t>Organizador De 2 U Fertec</t>
        </is>
      </c>
      <c r="C1191" s="4" t="inlineStr">
        <is>
          <t>unidad</t>
        </is>
      </c>
      <c r="D1191" s="10" t="n">
        <v>713.9400000000001</v>
      </c>
      <c r="E1191" s="10" t="n"/>
      <c r="F1191" s="10" t="n"/>
      <c r="G1191" s="10">
        <f>IF(COUNT(D1191:F1191)=0,"",MIN(D1191:F1191))</f>
        <v/>
      </c>
      <c r="H1191" s="10">
        <f>IF(COUNT(D1191:F1191)=0,"",MEDIAN(D1191:F1191))</f>
        <v/>
      </c>
      <c r="I1191" s="10">
        <f>IF(COUNT(D1191:F1191)=0,"",MAX(D1191:F1191))</f>
        <v/>
      </c>
      <c r="J1191" s="11">
        <f>IF(OR(G1191="",G1191=0),"",(I1191-G1191)/G1191)</f>
        <v/>
      </c>
      <c r="K1191" s="4">
        <f>IF(COUNT(D1191:F1191)=0,"",INDEX($D$1:$F$1,MATCH(MIN(D1191:F1191),D1191:F1191,0)))</f>
        <v/>
      </c>
      <c r="L1191" s="10" t="n">
        <v>713.9400000000001</v>
      </c>
      <c r="M1191" s="12" t="n">
        <v>1</v>
      </c>
    </row>
    <row r="1192">
      <c r="A1192" s="4" t="inlineStr">
        <is>
          <t>MAT-31-043</t>
        </is>
      </c>
      <c r="B1192" s="5" t="inlineStr">
        <is>
          <t>Modulo Termoregulador 12 Vdc Rs485. Mix</t>
        </is>
      </c>
      <c r="C1192" s="4" t="inlineStr">
        <is>
          <t>unidad</t>
        </is>
      </c>
      <c r="D1192" s="10" t="n">
        <v>1766.44</v>
      </c>
      <c r="E1192" s="10" t="n"/>
      <c r="F1192" s="10" t="n"/>
      <c r="G1192" s="10">
        <f>IF(COUNT(D1192:F1192)=0,"",MIN(D1192:F1192))</f>
        <v/>
      </c>
      <c r="H1192" s="10">
        <f>IF(COUNT(D1192:F1192)=0,"",MEDIAN(D1192:F1192))</f>
        <v/>
      </c>
      <c r="I1192" s="10">
        <f>IF(COUNT(D1192:F1192)=0,"",MAX(D1192:F1192))</f>
        <v/>
      </c>
      <c r="J1192" s="11">
        <f>IF(OR(G1192="",G1192=0),"",(I1192-G1192)/G1192)</f>
        <v/>
      </c>
      <c r="K1192" s="4">
        <f>IF(COUNT(D1192:F1192)=0,"",INDEX($D$1:$F$1,MATCH(MIN(D1192:F1192),D1192:F1192,0)))</f>
        <v/>
      </c>
      <c r="L1192" s="10" t="n">
        <v>1766.44</v>
      </c>
      <c r="M1192" s="12" t="n">
        <v>1</v>
      </c>
    </row>
    <row r="1193">
      <c r="A1193" s="4" t="inlineStr">
        <is>
          <t>MAT-31-044</t>
        </is>
      </c>
      <c r="B1193" s="5" t="inlineStr">
        <is>
          <t>Modulo Montaje Para 2 Modulos intercom</t>
        </is>
      </c>
      <c r="C1193" s="4" t="inlineStr">
        <is>
          <t>unidad</t>
        </is>
      </c>
      <c r="D1193" s="10" t="n">
        <v>2573.7</v>
      </c>
      <c r="E1193" s="10" t="n"/>
      <c r="F1193" s="10" t="n"/>
      <c r="G1193" s="10">
        <f>IF(COUNT(D1193:F1193)=0,"",MIN(D1193:F1193))</f>
        <v/>
      </c>
      <c r="H1193" s="10">
        <f>IF(COUNT(D1193:F1193)=0,"",MEDIAN(D1193:F1193))</f>
        <v/>
      </c>
      <c r="I1193" s="10">
        <f>IF(COUNT(D1193:F1193)=0,"",MAX(D1193:F1193))</f>
        <v/>
      </c>
      <c r="J1193" s="11">
        <f>IF(OR(G1193="",G1193=0),"",(I1193-G1193)/G1193)</f>
        <v/>
      </c>
      <c r="K1193" s="4">
        <f>IF(COUNT(D1193:F1193)=0,"",INDEX($D$1:$F$1,MATCH(MIN(D1193:F1193),D1193:F1193,0)))</f>
        <v/>
      </c>
      <c r="L1193" s="10" t="n">
        <v>2573.7</v>
      </c>
      <c r="M1193" s="12" t="n">
        <v>1</v>
      </c>
    </row>
    <row r="1194">
      <c r="A1194" s="4" t="inlineStr">
        <is>
          <t>MAT-31-045</t>
        </is>
      </c>
      <c r="B1194" s="5" t="inlineStr">
        <is>
          <t>Modulo 8 Pulsadores 2H 2F</t>
        </is>
      </c>
      <c r="C1194" s="4" t="inlineStr">
        <is>
          <t>unidad</t>
        </is>
      </c>
      <c r="D1194" s="10" t="n">
        <v>2999.88</v>
      </c>
      <c r="E1194" s="10" t="n"/>
      <c r="F1194" s="10" t="n"/>
      <c r="G1194" s="10">
        <f>IF(COUNT(D1194:F1194)=0,"",MIN(D1194:F1194))</f>
        <v/>
      </c>
      <c r="H1194" s="10">
        <f>IF(COUNT(D1194:F1194)=0,"",MEDIAN(D1194:F1194))</f>
        <v/>
      </c>
      <c r="I1194" s="10">
        <f>IF(COUNT(D1194:F1194)=0,"",MAX(D1194:F1194))</f>
        <v/>
      </c>
      <c r="J1194" s="11">
        <f>IF(OR(G1194="",G1194=0),"",(I1194-G1194)/G1194)</f>
        <v/>
      </c>
      <c r="K1194" s="4">
        <f>IF(COUNT(D1194:F1194)=0,"",INDEX($D$1:$F$1,MATCH(MIN(D1194:F1194),D1194:F1194,0)))</f>
        <v/>
      </c>
      <c r="L1194" s="10" t="n">
        <v>2999.88</v>
      </c>
      <c r="M1194" s="12" t="n">
        <v>1</v>
      </c>
    </row>
    <row r="1195">
      <c r="A1195" s="4" t="inlineStr">
        <is>
          <t>MAT-31-046</t>
        </is>
      </c>
      <c r="B1195" s="5" t="inlineStr">
        <is>
          <t>Modulo Duplicacion Entradas</t>
        </is>
      </c>
      <c r="C1195" s="4" t="inlineStr">
        <is>
          <t>unidad</t>
        </is>
      </c>
      <c r="D1195" s="10" t="n">
        <v>3552.66</v>
      </c>
      <c r="E1195" s="10" t="n"/>
      <c r="F1195" s="10" t="n"/>
      <c r="G1195" s="10">
        <f>IF(COUNT(D1195:F1195)=0,"",MIN(D1195:F1195))</f>
        <v/>
      </c>
      <c r="H1195" s="10">
        <f>IF(COUNT(D1195:F1195)=0,"",MEDIAN(D1195:F1195))</f>
        <v/>
      </c>
      <c r="I1195" s="10">
        <f>IF(COUNT(D1195:F1195)=0,"",MAX(D1195:F1195))</f>
        <v/>
      </c>
      <c r="J1195" s="11">
        <f>IF(OR(G1195="",G1195=0),"",(I1195-G1195)/G1195)</f>
        <v/>
      </c>
      <c r="K1195" s="4">
        <f>IF(COUNT(D1195:F1195)=0,"",INDEX($D$1:$F$1,MATCH(MIN(D1195:F1195),D1195:F1195,0)))</f>
        <v/>
      </c>
      <c r="L1195" s="10" t="n">
        <v>3552.66</v>
      </c>
      <c r="M1195" s="12" t="n">
        <v>1</v>
      </c>
    </row>
    <row r="1196">
      <c r="A1196" s="4" t="inlineStr">
        <is>
          <t>MAT-31-047</t>
        </is>
      </c>
      <c r="B1196" s="5" t="inlineStr">
        <is>
          <t>Módulo De Teclado Sfera 2H</t>
        </is>
      </c>
      <c r="C1196" s="4" t="inlineStr">
        <is>
          <t>unidad</t>
        </is>
      </c>
      <c r="D1196" s="10" t="n">
        <v>3563.14</v>
      </c>
      <c r="E1196" s="10" t="n"/>
      <c r="F1196" s="10" t="n"/>
      <c r="G1196" s="10">
        <f>IF(COUNT(D1196:F1196)=0,"",MIN(D1196:F1196))</f>
        <v/>
      </c>
      <c r="H1196" s="10">
        <f>IF(COUNT(D1196:F1196)=0,"",MEDIAN(D1196:F1196))</f>
        <v/>
      </c>
      <c r="I1196" s="10">
        <f>IF(COUNT(D1196:F1196)=0,"",MAX(D1196:F1196))</f>
        <v/>
      </c>
      <c r="J1196" s="11">
        <f>IF(OR(G1196="",G1196=0),"",(I1196-G1196)/G1196)</f>
        <v/>
      </c>
      <c r="K1196" s="4">
        <f>IF(COUNT(D1196:F1196)=0,"",INDEX($D$1:$F$1,MATCH(MIN(D1196:F1196),D1196:F1196,0)))</f>
        <v/>
      </c>
      <c r="L1196" s="10" t="n">
        <v>3563.14</v>
      </c>
      <c r="M1196" s="12" t="n">
        <v>1</v>
      </c>
    </row>
    <row r="1197">
      <c r="A1197" s="4" t="inlineStr">
        <is>
          <t>MAT-31-048</t>
        </is>
      </c>
      <c r="B1197" s="5" t="inlineStr">
        <is>
          <t>Modulo Pantalla 2H2 Wir</t>
        </is>
      </c>
      <c r="C1197" s="4" t="inlineStr">
        <is>
          <t>unidad</t>
        </is>
      </c>
      <c r="D1197" s="10" t="n">
        <v>12062.42</v>
      </c>
      <c r="E1197" s="10" t="n"/>
      <c r="F1197" s="10" t="n"/>
      <c r="G1197" s="10">
        <f>IF(COUNT(D1197:F1197)=0,"",MIN(D1197:F1197))</f>
        <v/>
      </c>
      <c r="H1197" s="10">
        <f>IF(COUNT(D1197:F1197)=0,"",MEDIAN(D1197:F1197))</f>
        <v/>
      </c>
      <c r="I1197" s="10">
        <f>IF(COUNT(D1197:F1197)=0,"",MAX(D1197:F1197))</f>
        <v/>
      </c>
      <c r="J1197" s="11">
        <f>IF(OR(G1197="",G1197=0),"",(I1197-G1197)/G1197)</f>
        <v/>
      </c>
      <c r="K1197" s="4">
        <f>IF(COUNT(D1197:F1197)=0,"",INDEX($D$1:$F$1,MATCH(MIN(D1197:F1197),D1197:F1197,0)))</f>
        <v/>
      </c>
      <c r="L1197" s="10" t="n">
        <v>12062.42</v>
      </c>
      <c r="M1197" s="12" t="n">
        <v>1</v>
      </c>
    </row>
    <row r="1198">
      <c r="A1198" s="4" t="inlineStr">
        <is>
          <t>MAT-31-049</t>
        </is>
      </c>
      <c r="B1198" s="5" t="inlineStr">
        <is>
          <t>Modulo Dlfra para acceso Modo blanco</t>
        </is>
      </c>
      <c r="C1198" s="4" t="inlineStr">
        <is>
          <t>unidad</t>
        </is>
      </c>
      <c r="D1198" s="10" t="n">
        <v>13196.68</v>
      </c>
      <c r="E1198" s="10" t="n"/>
      <c r="F1198" s="10" t="n"/>
      <c r="G1198" s="10">
        <f>IF(COUNT(D1198:F1198)=0,"",MIN(D1198:F1198))</f>
        <v/>
      </c>
      <c r="H1198" s="10">
        <f>IF(COUNT(D1198:F1198)=0,"",MEDIAN(D1198:F1198))</f>
        <v/>
      </c>
      <c r="I1198" s="10">
        <f>IF(COUNT(D1198:F1198)=0,"",MAX(D1198:F1198))</f>
        <v/>
      </c>
      <c r="J1198" s="11">
        <f>IF(OR(G1198="",G1198=0),"",(I1198-G1198)/G1198)</f>
        <v/>
      </c>
      <c r="K1198" s="4">
        <f>IF(COUNT(D1198:F1198)=0,"",INDEX($D$1:$F$1,MATCH(MIN(D1198:F1198),D1198:F1198,0)))</f>
        <v/>
      </c>
      <c r="L1198" s="10" t="n">
        <v>13196.68</v>
      </c>
      <c r="M1198" s="12" t="n">
        <v>1</v>
      </c>
    </row>
    <row r="1199">
      <c r="A1199" s="4" t="inlineStr">
        <is>
          <t>MAT-31-050</t>
        </is>
      </c>
      <c r="B1199" s="5" t="inlineStr">
        <is>
          <t>Modulo Dlfra para acceso Modo Gris</t>
        </is>
      </c>
      <c r="C1199" s="4" t="inlineStr">
        <is>
          <t>unidad</t>
        </is>
      </c>
      <c r="D1199" s="10" t="n">
        <v>13196.68</v>
      </c>
      <c r="E1199" s="10" t="n"/>
      <c r="F1199" s="10" t="n"/>
      <c r="G1199" s="10">
        <f>IF(COUNT(D1199:F1199)=0,"",MIN(D1199:F1199))</f>
        <v/>
      </c>
      <c r="H1199" s="10">
        <f>IF(COUNT(D1199:F1199)=0,"",MEDIAN(D1199:F1199))</f>
        <v/>
      </c>
      <c r="I1199" s="10">
        <f>IF(COUNT(D1199:F1199)=0,"",MAX(D1199:F1199))</f>
        <v/>
      </c>
      <c r="J1199" s="11">
        <f>IF(OR(G1199="",G1199=0),"",(I1199-G1199)/G1199)</f>
        <v/>
      </c>
      <c r="K1199" s="4">
        <f>IF(COUNT(D1199:F1199)=0,"",INDEX($D$1:$F$1,MATCH(MIN(D1199:F1199),D1199:F1199,0)))</f>
        <v/>
      </c>
      <c r="L1199" s="10" t="n">
        <v>13196.68</v>
      </c>
      <c r="M1199" s="12" t="n">
        <v>1</v>
      </c>
    </row>
    <row r="1200">
      <c r="A1200" s="4" t="inlineStr">
        <is>
          <t>MAT-31-051</t>
        </is>
      </c>
      <c r="B1200" s="5" t="inlineStr">
        <is>
          <t>Modulo Audio Y Video 2 Hilo</t>
        </is>
      </c>
      <c r="C1200" s="4" t="inlineStr">
        <is>
          <t>unidad</t>
        </is>
      </c>
      <c r="D1200" s="10" t="n">
        <v>13617.34</v>
      </c>
      <c r="E1200" s="10" t="n"/>
      <c r="F1200" s="10" t="n"/>
      <c r="G1200" s="10">
        <f>IF(COUNT(D1200:F1200)=0,"",MIN(D1200:F1200))</f>
        <v/>
      </c>
      <c r="H1200" s="10">
        <f>IF(COUNT(D1200:F1200)=0,"",MEDIAN(D1200:F1200))</f>
        <v/>
      </c>
      <c r="I1200" s="10">
        <f>IF(COUNT(D1200:F1200)=0,"",MAX(D1200:F1200))</f>
        <v/>
      </c>
      <c r="J1200" s="11">
        <f>IF(OR(G1200="",G1200=0),"",(I1200-G1200)/G1200)</f>
        <v/>
      </c>
      <c r="K1200" s="4">
        <f>IF(COUNT(D1200:F1200)=0,"",INDEX($D$1:$F$1,MATCH(MIN(D1200:F1200),D1200:F1200,0)))</f>
        <v/>
      </c>
      <c r="L1200" s="10" t="n">
        <v>13617.34</v>
      </c>
      <c r="M1200" s="12" t="n">
        <v>1</v>
      </c>
    </row>
    <row r="1201">
      <c r="A1201" s="4" t="inlineStr">
        <is>
          <t>MAT-31-052</t>
        </is>
      </c>
      <c r="B1201" s="5" t="inlineStr">
        <is>
          <t>Modulo De Expansion</t>
        </is>
      </c>
      <c r="C1201" s="4" t="inlineStr">
        <is>
          <t>unidad</t>
        </is>
      </c>
      <c r="D1201" s="10" t="n">
        <v>21617.57</v>
      </c>
      <c r="E1201" s="10" t="n"/>
      <c r="F1201" s="10" t="n"/>
      <c r="G1201" s="10">
        <f>IF(COUNT(D1201:F1201)=0,"",MIN(D1201:F1201))</f>
        <v/>
      </c>
      <c r="H1201" s="10">
        <f>IF(COUNT(D1201:F1201)=0,"",MEDIAN(D1201:F1201))</f>
        <v/>
      </c>
      <c r="I1201" s="10">
        <f>IF(COUNT(D1201:F1201)=0,"",MAX(D1201:F1201))</f>
        <v/>
      </c>
      <c r="J1201" s="11">
        <f>IF(OR(G1201="",G1201=0),"",(I1201-G1201)/G1201)</f>
        <v/>
      </c>
      <c r="K1201" s="4">
        <f>IF(COUNT(D1201:F1201)=0,"",INDEX($D$1:$F$1,MATCH(MIN(D1201:F1201),D1201:F1201,0)))</f>
        <v/>
      </c>
      <c r="L1201" s="10" t="n">
        <v>21617.57</v>
      </c>
      <c r="M1201" s="12" t="n">
        <v>1</v>
      </c>
    </row>
    <row r="1202">
      <c r="A1202" s="4" t="inlineStr">
        <is>
          <t>MAT-31-053</t>
        </is>
      </c>
      <c r="B1202" s="5" t="inlineStr">
        <is>
          <t>Controlador Smart Home Cub</t>
        </is>
      </c>
      <c r="C1202" s="4" t="inlineStr">
        <is>
          <t>unidad</t>
        </is>
      </c>
      <c r="D1202" s="10" t="n">
        <v>1439.87</v>
      </c>
      <c r="E1202" s="10" t="n"/>
      <c r="F1202" s="10" t="n"/>
      <c r="G1202" s="10">
        <f>IF(COUNT(D1202:F1202)=0,"",MIN(D1202:F1202))</f>
        <v/>
      </c>
      <c r="H1202" s="10">
        <f>IF(COUNT(D1202:F1202)=0,"",MEDIAN(D1202:F1202))</f>
        <v/>
      </c>
      <c r="I1202" s="10">
        <f>IF(COUNT(D1202:F1202)=0,"",MAX(D1202:F1202))</f>
        <v/>
      </c>
      <c r="J1202" s="11">
        <f>IF(OR(G1202="",G1202=0),"",(I1202-G1202)/G1202)</f>
        <v/>
      </c>
      <c r="K1202" s="4">
        <f>IF(COUNT(D1202:F1202)=0,"",INDEX($D$1:$F$1,MATCH(MIN(D1202:F1202),D1202:F1202,0)))</f>
        <v/>
      </c>
      <c r="L1202" s="10" t="n">
        <v>1439.87</v>
      </c>
      <c r="M1202" s="12" t="n">
        <v>1</v>
      </c>
    </row>
    <row r="1203">
      <c r="A1203" s="4" t="inlineStr">
        <is>
          <t>MAT-31-054</t>
        </is>
      </c>
      <c r="B1203" s="5" t="inlineStr">
        <is>
          <t>Toma 8 Hilos para Centralita 1 Mod. Living</t>
        </is>
      </c>
      <c r="C1203" s="4" t="inlineStr">
        <is>
          <t>unidad</t>
        </is>
      </c>
      <c r="D1203" s="10" t="n">
        <v>294.14</v>
      </c>
      <c r="E1203" s="10" t="n"/>
      <c r="F1203" s="10" t="n"/>
      <c r="G1203" s="10">
        <f>IF(COUNT(D1203:F1203)=0,"",MIN(D1203:F1203))</f>
        <v/>
      </c>
      <c r="H1203" s="10">
        <f>IF(COUNT(D1203:F1203)=0,"",MEDIAN(D1203:F1203))</f>
        <v/>
      </c>
      <c r="I1203" s="10">
        <f>IF(COUNT(D1203:F1203)=0,"",MAX(D1203:F1203))</f>
        <v/>
      </c>
      <c r="J1203" s="11">
        <f>IF(OR(G1203="",G1203=0),"",(I1203-G1203)/G1203)</f>
        <v/>
      </c>
      <c r="K1203" s="4">
        <f>IF(COUNT(D1203:F1203)=0,"",INDEX($D$1:$F$1,MATCH(MIN(D1203:F1203),D1203:F1203,0)))</f>
        <v/>
      </c>
      <c r="L1203" s="10" t="n">
        <v>294.14</v>
      </c>
      <c r="M1203" s="12" t="n">
        <v>1</v>
      </c>
    </row>
    <row r="1204">
      <c r="A1204" s="4" t="inlineStr">
        <is>
          <t>MAT-31-055</t>
        </is>
      </c>
      <c r="B1204" s="5" t="inlineStr">
        <is>
          <t>Interruptor Inteligente</t>
        </is>
      </c>
      <c r="C1204" s="4" t="inlineStr">
        <is>
          <t>unidad</t>
        </is>
      </c>
      <c r="D1204" s="10" t="n">
        <v>1026.79</v>
      </c>
      <c r="E1204" s="10" t="n"/>
      <c r="F1204" s="10" t="n"/>
      <c r="G1204" s="10">
        <f>IF(COUNT(D1204:F1204)=0,"",MIN(D1204:F1204))</f>
        <v/>
      </c>
      <c r="H1204" s="10">
        <f>IF(COUNT(D1204:F1204)=0,"",MEDIAN(D1204:F1204))</f>
        <v/>
      </c>
      <c r="I1204" s="10">
        <f>IF(COUNT(D1204:F1204)=0,"",MAX(D1204:F1204))</f>
        <v/>
      </c>
      <c r="J1204" s="11">
        <f>IF(OR(G1204="",G1204=0),"",(I1204-G1204)/G1204)</f>
        <v/>
      </c>
      <c r="K1204" s="4">
        <f>IF(COUNT(D1204:F1204)=0,"",INDEX($D$1:$F$1,MATCH(MIN(D1204:F1204),D1204:F1204,0)))</f>
        <v/>
      </c>
      <c r="L1204" s="10" t="n">
        <v>1026.79</v>
      </c>
      <c r="M1204" s="12" t="n">
        <v>1</v>
      </c>
    </row>
    <row r="1205">
      <c r="A1205" s="4" t="inlineStr">
        <is>
          <t>MAT-31-056</t>
        </is>
      </c>
      <c r="B1205" s="5" t="inlineStr">
        <is>
          <t>Interruptor Wifi Multifunción</t>
        </is>
      </c>
      <c r="C1205" s="4" t="inlineStr">
        <is>
          <t>unidad</t>
        </is>
      </c>
      <c r="D1205" s="10" t="n">
        <v>1078.94</v>
      </c>
      <c r="E1205" s="10" t="n"/>
      <c r="F1205" s="10" t="n"/>
      <c r="G1205" s="10">
        <f>IF(COUNT(D1205:F1205)=0,"",MIN(D1205:F1205))</f>
        <v/>
      </c>
      <c r="H1205" s="10">
        <f>IF(COUNT(D1205:F1205)=0,"",MEDIAN(D1205:F1205))</f>
        <v/>
      </c>
      <c r="I1205" s="10">
        <f>IF(COUNT(D1205:F1205)=0,"",MAX(D1205:F1205))</f>
        <v/>
      </c>
      <c r="J1205" s="11">
        <f>IF(OR(G1205="",G1205=0),"",(I1205-G1205)/G1205)</f>
        <v/>
      </c>
      <c r="K1205" s="4">
        <f>IF(COUNT(D1205:F1205)=0,"",INDEX($D$1:$F$1,MATCH(MIN(D1205:F1205),D1205:F1205,0)))</f>
        <v/>
      </c>
      <c r="L1205" s="10" t="n">
        <v>1078.94</v>
      </c>
      <c r="M1205" s="12" t="n">
        <v>1</v>
      </c>
    </row>
    <row r="1206">
      <c r="A1206" s="4" t="inlineStr">
        <is>
          <t>MAT-31-057</t>
        </is>
      </c>
      <c r="B1206" s="5" t="inlineStr">
        <is>
          <t>Interruptor Wifi Sencillo Hor. blanco</t>
        </is>
      </c>
      <c r="C1206" s="4" t="inlineStr">
        <is>
          <t>unidad</t>
        </is>
      </c>
      <c r="D1206" s="10" t="n">
        <v>1089.61</v>
      </c>
      <c r="E1206" s="10" t="n"/>
      <c r="F1206" s="10" t="n"/>
      <c r="G1206" s="10">
        <f>IF(COUNT(D1206:F1206)=0,"",MIN(D1206:F1206))</f>
        <v/>
      </c>
      <c r="H1206" s="10">
        <f>IF(COUNT(D1206:F1206)=0,"",MEDIAN(D1206:F1206))</f>
        <v/>
      </c>
      <c r="I1206" s="10">
        <f>IF(COUNT(D1206:F1206)=0,"",MAX(D1206:F1206))</f>
        <v/>
      </c>
      <c r="J1206" s="11">
        <f>IF(OR(G1206="",G1206=0),"",(I1206-G1206)/G1206)</f>
        <v/>
      </c>
      <c r="K1206" s="4">
        <f>IF(COUNT(D1206:F1206)=0,"",INDEX($D$1:$F$1,MATCH(MIN(D1206:F1206),D1206:F1206,0)))</f>
        <v/>
      </c>
      <c r="L1206" s="10" t="n">
        <v>1089.61</v>
      </c>
      <c r="M1206" s="12" t="n">
        <v>1</v>
      </c>
    </row>
    <row r="1207">
      <c r="A1207" s="4" t="inlineStr">
        <is>
          <t>MAT-31-058</t>
        </is>
      </c>
      <c r="B1207" s="5" t="inlineStr">
        <is>
          <t>Interruptor Wifi Triple blanco</t>
        </is>
      </c>
      <c r="C1207" s="4" t="inlineStr">
        <is>
          <t>unidad</t>
        </is>
      </c>
      <c r="D1207" s="10" t="n">
        <v>1497.83</v>
      </c>
      <c r="E1207" s="10" t="n"/>
      <c r="F1207" s="10" t="n"/>
      <c r="G1207" s="10">
        <f>IF(COUNT(D1207:F1207)=0,"",MIN(D1207:F1207))</f>
        <v/>
      </c>
      <c r="H1207" s="10">
        <f>IF(COUNT(D1207:F1207)=0,"",MEDIAN(D1207:F1207))</f>
        <v/>
      </c>
      <c r="I1207" s="10">
        <f>IF(COUNT(D1207:F1207)=0,"",MAX(D1207:F1207))</f>
        <v/>
      </c>
      <c r="J1207" s="11">
        <f>IF(OR(G1207="",G1207=0),"",(I1207-G1207)/G1207)</f>
        <v/>
      </c>
      <c r="K1207" s="4">
        <f>IF(COUNT(D1207:F1207)=0,"",INDEX($D$1:$F$1,MATCH(MIN(D1207:F1207),D1207:F1207,0)))</f>
        <v/>
      </c>
      <c r="L1207" s="10" t="n">
        <v>1497.83</v>
      </c>
      <c r="M1207" s="12" t="n">
        <v>1</v>
      </c>
    </row>
    <row r="1208">
      <c r="A1208" s="4" t="inlineStr">
        <is>
          <t>MAT-31-059</t>
        </is>
      </c>
      <c r="B1208" s="5" t="inlineStr">
        <is>
          <t>Interruptor Blanco</t>
        </is>
      </c>
      <c r="C1208" s="4" t="inlineStr">
        <is>
          <t>unidad</t>
        </is>
      </c>
      <c r="D1208" s="10" t="n">
        <v>1508.28</v>
      </c>
      <c r="E1208" s="10" t="n"/>
      <c r="F1208" s="10" t="n"/>
      <c r="G1208" s="10">
        <f>IF(COUNT(D1208:F1208)=0,"",MIN(D1208:F1208))</f>
        <v/>
      </c>
      <c r="H1208" s="10">
        <f>IF(COUNT(D1208:F1208)=0,"",MEDIAN(D1208:F1208))</f>
        <v/>
      </c>
      <c r="I1208" s="10">
        <f>IF(COUNT(D1208:F1208)=0,"",MAX(D1208:F1208))</f>
        <v/>
      </c>
      <c r="J1208" s="11">
        <f>IF(OR(G1208="",G1208=0),"",(I1208-G1208)/G1208)</f>
        <v/>
      </c>
      <c r="K1208" s="4">
        <f>IF(COUNT(D1208:F1208)=0,"",INDEX($D$1:$F$1,MATCH(MIN(D1208:F1208),D1208:F1208,0)))</f>
        <v/>
      </c>
      <c r="L1208" s="10" t="n">
        <v>1630.25</v>
      </c>
      <c r="M1208" s="12" t="n">
        <v>1</v>
      </c>
    </row>
    <row r="1209">
      <c r="A1209" s="4" t="inlineStr">
        <is>
          <t>MAT-31-060</t>
        </is>
      </c>
      <c r="B1209" s="5" t="inlineStr">
        <is>
          <t>Interruptor Medidor De Potencia</t>
        </is>
      </c>
      <c r="C1209" s="4" t="inlineStr">
        <is>
          <t>unidad</t>
        </is>
      </c>
      <c r="D1209" s="10" t="n">
        <v>1740.31</v>
      </c>
      <c r="E1209" s="10" t="n"/>
      <c r="F1209" s="10" t="n"/>
      <c r="G1209" s="10">
        <f>IF(COUNT(D1209:F1209)=0,"",MIN(D1209:F1209))</f>
        <v/>
      </c>
      <c r="H1209" s="10">
        <f>IF(COUNT(D1209:F1209)=0,"",MEDIAN(D1209:F1209))</f>
        <v/>
      </c>
      <c r="I1209" s="10">
        <f>IF(COUNT(D1209:F1209)=0,"",MAX(D1209:F1209))</f>
        <v/>
      </c>
      <c r="J1209" s="11">
        <f>IF(OR(G1209="",G1209=0),"",(I1209-G1209)/G1209)</f>
        <v/>
      </c>
      <c r="K1209" s="4">
        <f>IF(COUNT(D1209:F1209)=0,"",INDEX($D$1:$F$1,MATCH(MIN(D1209:F1209),D1209:F1209,0)))</f>
        <v/>
      </c>
      <c r="L1209" s="10" t="n">
        <v>1740.31</v>
      </c>
      <c r="M1209" s="12" t="n">
        <v>1</v>
      </c>
    </row>
    <row r="1210">
      <c r="A1210" s="4" t="inlineStr">
        <is>
          <t>MAT-31-061</t>
        </is>
      </c>
      <c r="B1210" s="5" t="inlineStr">
        <is>
          <t>Interruptor Tx Ultimate 1 Canal</t>
        </is>
      </c>
      <c r="C1210" s="4" t="inlineStr">
        <is>
          <t>unidad</t>
        </is>
      </c>
      <c r="D1210" s="10" t="n">
        <v>2008.71</v>
      </c>
      <c r="E1210" s="10" t="n"/>
      <c r="F1210" s="10" t="n"/>
      <c r="G1210" s="10">
        <f>IF(COUNT(D1210:F1210)=0,"",MIN(D1210:F1210))</f>
        <v/>
      </c>
      <c r="H1210" s="10">
        <f>IF(COUNT(D1210:F1210)=0,"",MEDIAN(D1210:F1210))</f>
        <v/>
      </c>
      <c r="I1210" s="10">
        <f>IF(COUNT(D1210:F1210)=0,"",MAX(D1210:F1210))</f>
        <v/>
      </c>
      <c r="J1210" s="11">
        <f>IF(OR(G1210="",G1210=0),"",(I1210-G1210)/G1210)</f>
        <v/>
      </c>
      <c r="K1210" s="4">
        <f>IF(COUNT(D1210:F1210)=0,"",INDEX($D$1:$F$1,MATCH(MIN(D1210:F1210),D1210:F1210,0)))</f>
        <v/>
      </c>
      <c r="L1210" s="10" t="n">
        <v>2008.71</v>
      </c>
      <c r="M1210" s="12" t="n">
        <v>1</v>
      </c>
    </row>
    <row r="1211">
      <c r="A1211" s="4" t="inlineStr">
        <is>
          <t>MAT-31-062</t>
        </is>
      </c>
      <c r="B1211" s="5" t="inlineStr">
        <is>
          <t>Interruptor Tx Ultimate 2 Canales</t>
        </is>
      </c>
      <c r="C1211" s="4" t="inlineStr">
        <is>
          <t>unidad</t>
        </is>
      </c>
      <c r="D1211" s="10" t="n">
        <v>2054.7</v>
      </c>
      <c r="E1211" s="10" t="n"/>
      <c r="F1211" s="10" t="n"/>
      <c r="G1211" s="10">
        <f>IF(COUNT(D1211:F1211)=0,"",MIN(D1211:F1211))</f>
        <v/>
      </c>
      <c r="H1211" s="10">
        <f>IF(COUNT(D1211:F1211)=0,"",MEDIAN(D1211:F1211))</f>
        <v/>
      </c>
      <c r="I1211" s="10">
        <f>IF(COUNT(D1211:F1211)=0,"",MAX(D1211:F1211))</f>
        <v/>
      </c>
      <c r="J1211" s="11">
        <f>IF(OR(G1211="",G1211=0),"",(I1211-G1211)/G1211)</f>
        <v/>
      </c>
      <c r="K1211" s="4">
        <f>IF(COUNT(D1211:F1211)=0,"",INDEX($D$1:$F$1,MATCH(MIN(D1211:F1211),D1211:F1211,0)))</f>
        <v/>
      </c>
      <c r="L1211" s="10" t="n">
        <v>2054.7</v>
      </c>
      <c r="M1211" s="12" t="n">
        <v>1</v>
      </c>
    </row>
    <row r="1212">
      <c r="A1212" s="4" t="inlineStr">
        <is>
          <t>MAT-31-063</t>
        </is>
      </c>
      <c r="B1212" s="5" t="inlineStr">
        <is>
          <t>Tomacorriente Smart Zigbee 15A 125V</t>
        </is>
      </c>
      <c r="C1212" s="4" t="inlineStr">
        <is>
          <t>unidad</t>
        </is>
      </c>
      <c r="D1212" s="10" t="n">
        <v>2368.55</v>
      </c>
      <c r="E1212" s="10" t="n"/>
      <c r="F1212" s="10" t="n"/>
      <c r="G1212" s="10">
        <f>IF(COUNT(D1212:F1212)=0,"",MIN(D1212:F1212))</f>
        <v/>
      </c>
      <c r="H1212" s="10">
        <f>IF(COUNT(D1212:F1212)=0,"",MEDIAN(D1212:F1212))</f>
        <v/>
      </c>
      <c r="I1212" s="10">
        <f>IF(COUNT(D1212:F1212)=0,"",MAX(D1212:F1212))</f>
        <v/>
      </c>
      <c r="J1212" s="11">
        <f>IF(OR(G1212="",G1212=0),"",(I1212-G1212)/G1212)</f>
        <v/>
      </c>
      <c r="K1212" s="4">
        <f>IF(COUNT(D1212:F1212)=0,"",INDEX($D$1:$F$1,MATCH(MIN(D1212:F1212),D1212:F1212,0)))</f>
        <v/>
      </c>
      <c r="L1212" s="10" t="n">
        <v>2368.55</v>
      </c>
      <c r="M1212" s="12" t="n">
        <v>1</v>
      </c>
    </row>
    <row r="1213">
      <c r="A1213" s="4" t="inlineStr">
        <is>
          <t>MAT-31-064</t>
        </is>
      </c>
      <c r="B1213" s="5" t="inlineStr">
        <is>
          <t>Interruptor Wifi para Abanico con Bateria</t>
        </is>
      </c>
      <c r="C1213" s="4" t="inlineStr">
        <is>
          <t>unidad</t>
        </is>
      </c>
      <c r="D1213" s="10" t="n">
        <v>2372.05</v>
      </c>
      <c r="E1213" s="10" t="n"/>
      <c r="F1213" s="10" t="n"/>
      <c r="G1213" s="10">
        <f>IF(COUNT(D1213:F1213)=0,"",MIN(D1213:F1213))</f>
        <v/>
      </c>
      <c r="H1213" s="10">
        <f>IF(COUNT(D1213:F1213)=0,"",MEDIAN(D1213:F1213))</f>
        <v/>
      </c>
      <c r="I1213" s="10">
        <f>IF(COUNT(D1213:F1213)=0,"",MAX(D1213:F1213))</f>
        <v/>
      </c>
      <c r="J1213" s="11">
        <f>IF(OR(G1213="",G1213=0),"",(I1213-G1213)/G1213)</f>
        <v/>
      </c>
      <c r="K1213" s="4">
        <f>IF(COUNT(D1213:F1213)=0,"",INDEX($D$1:$F$1,MATCH(MIN(D1213:F1213),D1213:F1213,0)))</f>
        <v/>
      </c>
      <c r="L1213" s="10" t="n">
        <v>2372.05</v>
      </c>
      <c r="M1213" s="12" t="n">
        <v>1</v>
      </c>
    </row>
    <row r="1214">
      <c r="A1214" s="4" t="inlineStr">
        <is>
          <t>MAT-31-065</t>
        </is>
      </c>
      <c r="B1214" s="5" t="inlineStr">
        <is>
          <t>Interruptor Doble con Neutro 120V Blanco</t>
        </is>
      </c>
      <c r="C1214" s="4" t="inlineStr">
        <is>
          <t>unidad</t>
        </is>
      </c>
      <c r="D1214" s="10" t="n">
        <v>2743.31</v>
      </c>
      <c r="E1214" s="10" t="n"/>
      <c r="F1214" s="10" t="n"/>
      <c r="G1214" s="10">
        <f>IF(COUNT(D1214:F1214)=0,"",MIN(D1214:F1214))</f>
        <v/>
      </c>
      <c r="H1214" s="10">
        <f>IF(COUNT(D1214:F1214)=0,"",MEDIAN(D1214:F1214))</f>
        <v/>
      </c>
      <c r="I1214" s="10">
        <f>IF(COUNT(D1214:F1214)=0,"",MAX(D1214:F1214))</f>
        <v/>
      </c>
      <c r="J1214" s="11">
        <f>IF(OR(G1214="",G1214=0),"",(I1214-G1214)/G1214)</f>
        <v/>
      </c>
      <c r="K1214" s="4">
        <f>IF(COUNT(D1214:F1214)=0,"",INDEX($D$1:$F$1,MATCH(MIN(D1214:F1214),D1214:F1214,0)))</f>
        <v/>
      </c>
      <c r="L1214" s="10" t="n">
        <v>2743.31</v>
      </c>
      <c r="M1214" s="12" t="n">
        <v>1</v>
      </c>
    </row>
    <row r="1215">
      <c r="A1215" s="4" t="inlineStr">
        <is>
          <t>MAT-31-066</t>
        </is>
      </c>
      <c r="B1215" s="5" t="inlineStr">
        <is>
          <t>Interruptor Doble Sin Neutro 120V Blanco</t>
        </is>
      </c>
      <c r="C1215" s="4" t="inlineStr">
        <is>
          <t>unidad</t>
        </is>
      </c>
      <c r="D1215" s="10" t="n">
        <v>2743.31</v>
      </c>
      <c r="E1215" s="10" t="n"/>
      <c r="F1215" s="10" t="n"/>
      <c r="G1215" s="10">
        <f>IF(COUNT(D1215:F1215)=0,"",MIN(D1215:F1215))</f>
        <v/>
      </c>
      <c r="H1215" s="10">
        <f>IF(COUNT(D1215:F1215)=0,"",MEDIAN(D1215:F1215))</f>
        <v/>
      </c>
      <c r="I1215" s="10">
        <f>IF(COUNT(D1215:F1215)=0,"",MAX(D1215:F1215))</f>
        <v/>
      </c>
      <c r="J1215" s="11">
        <f>IF(OR(G1215="",G1215=0),"",(I1215-G1215)/G1215)</f>
        <v/>
      </c>
      <c r="K1215" s="4">
        <f>IF(COUNT(D1215:F1215)=0,"",INDEX($D$1:$F$1,MATCH(MIN(D1215:F1215),D1215:F1215,0)))</f>
        <v/>
      </c>
      <c r="L1215" s="10" t="n">
        <v>2743.31</v>
      </c>
      <c r="M1215" s="12" t="n">
        <v>1</v>
      </c>
    </row>
    <row r="1216">
      <c r="A1216" s="4" t="inlineStr">
        <is>
          <t>MAT-31-067</t>
        </is>
      </c>
      <c r="B1216" s="5" t="inlineStr">
        <is>
          <t>Interruptor Simple con Neutro 120V Blanco</t>
        </is>
      </c>
      <c r="C1216" s="4" t="inlineStr">
        <is>
          <t>unidad</t>
        </is>
      </c>
      <c r="D1216" s="10" t="n">
        <v>2892.27</v>
      </c>
      <c r="E1216" s="10" t="n"/>
      <c r="F1216" s="10" t="n"/>
      <c r="G1216" s="10">
        <f>IF(COUNT(D1216:F1216)=0,"",MIN(D1216:F1216))</f>
        <v/>
      </c>
      <c r="H1216" s="10">
        <f>IF(COUNT(D1216:F1216)=0,"",MEDIAN(D1216:F1216))</f>
        <v/>
      </c>
      <c r="I1216" s="10">
        <f>IF(COUNT(D1216:F1216)=0,"",MAX(D1216:F1216))</f>
        <v/>
      </c>
      <c r="J1216" s="11">
        <f>IF(OR(G1216="",G1216=0),"",(I1216-G1216)/G1216)</f>
        <v/>
      </c>
      <c r="K1216" s="4">
        <f>IF(COUNT(D1216:F1216)=0,"",INDEX($D$1:$F$1,MATCH(MIN(D1216:F1216),D1216:F1216,0)))</f>
        <v/>
      </c>
      <c r="L1216" s="10" t="n">
        <v>2892.27</v>
      </c>
      <c r="M1216" s="12" t="n">
        <v>1</v>
      </c>
    </row>
    <row r="1217">
      <c r="A1217" s="4" t="inlineStr">
        <is>
          <t>MAT-31-068</t>
        </is>
      </c>
      <c r="B1217" s="5" t="inlineStr">
        <is>
          <t>Interrupto Simple Sin Neutro 120V Blanco</t>
        </is>
      </c>
      <c r="C1217" s="4" t="inlineStr">
        <is>
          <t>unidad</t>
        </is>
      </c>
      <c r="D1217" s="10" t="n">
        <v>2958.46</v>
      </c>
      <c r="E1217" s="10" t="n"/>
      <c r="F1217" s="10" t="n"/>
      <c r="G1217" s="10">
        <f>IF(COUNT(D1217:F1217)=0,"",MIN(D1217:F1217))</f>
        <v/>
      </c>
      <c r="H1217" s="10">
        <f>IF(COUNT(D1217:F1217)=0,"",MEDIAN(D1217:F1217))</f>
        <v/>
      </c>
      <c r="I1217" s="10">
        <f>IF(COUNT(D1217:F1217)=0,"",MAX(D1217:F1217))</f>
        <v/>
      </c>
      <c r="J1217" s="11">
        <f>IF(OR(G1217="",G1217=0),"",(I1217-G1217)/G1217)</f>
        <v/>
      </c>
      <c r="K1217" s="4">
        <f>IF(COUNT(D1217:F1217)=0,"",INDEX($D$1:$F$1,MATCH(MIN(D1217:F1217),D1217:F1217,0)))</f>
        <v/>
      </c>
      <c r="L1217" s="10" t="n">
        <v>2958.46</v>
      </c>
      <c r="M1217" s="12" t="n">
        <v>1</v>
      </c>
    </row>
    <row r="1218">
      <c r="A1218" s="4" t="inlineStr">
        <is>
          <t>MAT-31-069</t>
        </is>
      </c>
      <c r="B1218" s="5" t="inlineStr">
        <is>
          <t>Int. Timer Smart Home 16A</t>
        </is>
      </c>
      <c r="C1218" s="4" t="inlineStr">
        <is>
          <t>unidad</t>
        </is>
      </c>
      <c r="D1218" s="10" t="n">
        <v>5359.63</v>
      </c>
      <c r="E1218" s="10" t="n"/>
      <c r="F1218" s="10" t="n"/>
      <c r="G1218" s="10">
        <f>IF(COUNT(D1218:F1218)=0,"",MIN(D1218:F1218))</f>
        <v/>
      </c>
      <c r="H1218" s="10">
        <f>IF(COUNT(D1218:F1218)=0,"",MEDIAN(D1218:F1218))</f>
        <v/>
      </c>
      <c r="I1218" s="10">
        <f>IF(COUNT(D1218:F1218)=0,"",MAX(D1218:F1218))</f>
        <v/>
      </c>
      <c r="J1218" s="11">
        <f>IF(OR(G1218="",G1218=0),"",(I1218-G1218)/G1218)</f>
        <v/>
      </c>
      <c r="K1218" s="4">
        <f>IF(COUNT(D1218:F1218)=0,"",INDEX($D$1:$F$1,MATCH(MIN(D1218:F1218),D1218:F1218,0)))</f>
        <v/>
      </c>
      <c r="L1218" s="10" t="n">
        <v>5359.63</v>
      </c>
      <c r="M1218" s="12" t="n">
        <v>1</v>
      </c>
    </row>
    <row r="1219">
      <c r="A1219" s="4" t="inlineStr">
        <is>
          <t>MAT-31-070</t>
        </is>
      </c>
      <c r="B1219" s="5" t="inlineStr">
        <is>
          <t>Shutter+ Switch 2 Way</t>
        </is>
      </c>
      <c r="C1219" s="4" t="inlineStr">
        <is>
          <t>unidad</t>
        </is>
      </c>
      <c r="D1219" s="10" t="n">
        <v>5359.63</v>
      </c>
      <c r="E1219" s="10" t="n"/>
      <c r="F1219" s="10" t="n"/>
      <c r="G1219" s="10">
        <f>IF(COUNT(D1219:F1219)=0,"",MIN(D1219:F1219))</f>
        <v/>
      </c>
      <c r="H1219" s="10">
        <f>IF(COUNT(D1219:F1219)=0,"",MEDIAN(D1219:F1219))</f>
        <v/>
      </c>
      <c r="I1219" s="10">
        <f>IF(COUNT(D1219:F1219)=0,"",MAX(D1219:F1219))</f>
        <v/>
      </c>
      <c r="J1219" s="11">
        <f>IF(OR(G1219="",G1219=0),"",(I1219-G1219)/G1219)</f>
        <v/>
      </c>
      <c r="K1219" s="4">
        <f>IF(COUNT(D1219:F1219)=0,"",INDEX($D$1:$F$1,MATCH(MIN(D1219:F1219),D1219:F1219,0)))</f>
        <v/>
      </c>
      <c r="L1219" s="10" t="n">
        <v>5359.63</v>
      </c>
      <c r="M1219" s="12" t="n">
        <v>1</v>
      </c>
    </row>
    <row r="1220">
      <c r="A1220" s="4" t="inlineStr">
        <is>
          <t>MAT-31-071</t>
        </is>
      </c>
      <c r="B1220" s="5" t="inlineStr">
        <is>
          <t>Toma Cte Inteligente Smat Home</t>
        </is>
      </c>
      <c r="C1220" s="4" t="inlineStr">
        <is>
          <t>unidad</t>
        </is>
      </c>
      <c r="D1220" s="10" t="n">
        <v>5359.63</v>
      </c>
      <c r="E1220" s="10" t="n"/>
      <c r="F1220" s="10" t="n"/>
      <c r="G1220" s="10">
        <f>IF(COUNT(D1220:F1220)=0,"",MIN(D1220:F1220))</f>
        <v/>
      </c>
      <c r="H1220" s="10">
        <f>IF(COUNT(D1220:F1220)=0,"",MEDIAN(D1220:F1220))</f>
        <v/>
      </c>
      <c r="I1220" s="10">
        <f>IF(COUNT(D1220:F1220)=0,"",MAX(D1220:F1220))</f>
        <v/>
      </c>
      <c r="J1220" s="11">
        <f>IF(OR(G1220="",G1220=0),"",(I1220-G1220)/G1220)</f>
        <v/>
      </c>
      <c r="K1220" s="4">
        <f>IF(COUNT(D1220:F1220)=0,"",INDEX($D$1:$F$1,MATCH(MIN(D1220:F1220),D1220:F1220,0)))</f>
        <v/>
      </c>
      <c r="L1220" s="10" t="n">
        <v>5359.63</v>
      </c>
      <c r="M1220" s="12" t="n">
        <v>1</v>
      </c>
    </row>
    <row r="1221">
      <c r="A1221" s="4" t="inlineStr">
        <is>
          <t>MAT-31-072</t>
        </is>
      </c>
      <c r="B1221" s="5" t="inlineStr">
        <is>
          <t>Interior Triple Smart Home 10A</t>
        </is>
      </c>
      <c r="C1221" s="4" t="inlineStr">
        <is>
          <t>unidad</t>
        </is>
      </c>
      <c r="D1221" s="10" t="n">
        <v>7656.61</v>
      </c>
      <c r="E1221" s="10" t="n"/>
      <c r="F1221" s="10" t="n"/>
      <c r="G1221" s="10">
        <f>IF(COUNT(D1221:F1221)=0,"",MIN(D1221:F1221))</f>
        <v/>
      </c>
      <c r="H1221" s="10">
        <f>IF(COUNT(D1221:F1221)=0,"",MEDIAN(D1221:F1221))</f>
        <v/>
      </c>
      <c r="I1221" s="10">
        <f>IF(COUNT(D1221:F1221)=0,"",MAX(D1221:F1221))</f>
        <v/>
      </c>
      <c r="J1221" s="11">
        <f>IF(OR(G1221="",G1221=0),"",(I1221-G1221)/G1221)</f>
        <v/>
      </c>
      <c r="K1221" s="4">
        <f>IF(COUNT(D1221:F1221)=0,"",INDEX($D$1:$F$1,MATCH(MIN(D1221:F1221),D1221:F1221,0)))</f>
        <v/>
      </c>
      <c r="L1221" s="10" t="n">
        <v>7656.61</v>
      </c>
      <c r="M1221" s="12" t="n">
        <v>1</v>
      </c>
    </row>
    <row r="1222">
      <c r="A1222" s="4" t="inlineStr">
        <is>
          <t>MAT-31-073</t>
        </is>
      </c>
      <c r="B1222" s="5" t="inlineStr">
        <is>
          <t>Microfluxa S. Dimmer 0-10V 1 Out</t>
        </is>
      </c>
      <c r="C1222" s="4" t="inlineStr">
        <is>
          <t>unidad</t>
        </is>
      </c>
      <c r="D1222" s="10" t="n">
        <v>7806.53</v>
      </c>
      <c r="E1222" s="10" t="n"/>
      <c r="F1222" s="10" t="n"/>
      <c r="G1222" s="10">
        <f>IF(COUNT(D1222:F1222)=0,"",MIN(D1222:F1222))</f>
        <v/>
      </c>
      <c r="H1222" s="10">
        <f>IF(COUNT(D1222:F1222)=0,"",MEDIAN(D1222:F1222))</f>
        <v/>
      </c>
      <c r="I1222" s="10">
        <f>IF(COUNT(D1222:F1222)=0,"",MAX(D1222:F1222))</f>
        <v/>
      </c>
      <c r="J1222" s="11">
        <f>IF(OR(G1222="",G1222=0),"",(I1222-G1222)/G1222)</f>
        <v/>
      </c>
      <c r="K1222" s="4">
        <f>IF(COUNT(D1222:F1222)=0,"",INDEX($D$1:$F$1,MATCH(MIN(D1222:F1222),D1222:F1222,0)))</f>
        <v/>
      </c>
      <c r="L1222" s="10" t="n">
        <v>7806.53</v>
      </c>
      <c r="M1222" s="12" t="n">
        <v>1</v>
      </c>
    </row>
    <row r="1223">
      <c r="A1223" s="4" t="inlineStr">
        <is>
          <t>MAT-31-074</t>
        </is>
      </c>
      <c r="B1223" s="5" t="inlineStr">
        <is>
          <t>Capacitor 275V 0.5 Mf</t>
        </is>
      </c>
      <c r="C1223" s="4" t="inlineStr">
        <is>
          <t>unidad</t>
        </is>
      </c>
      <c r="D1223" s="10" t="n">
        <v>28.95</v>
      </c>
      <c r="E1223" s="10" t="n"/>
      <c r="F1223" s="10" t="n"/>
      <c r="G1223" s="10">
        <f>IF(COUNT(D1223:F1223)=0,"",MIN(D1223:F1223))</f>
        <v/>
      </c>
      <c r="H1223" s="10">
        <f>IF(COUNT(D1223:F1223)=0,"",MEDIAN(D1223:F1223))</f>
        <v/>
      </c>
      <c r="I1223" s="10">
        <f>IF(COUNT(D1223:F1223)=0,"",MAX(D1223:F1223))</f>
        <v/>
      </c>
      <c r="J1223" s="11">
        <f>IF(OR(G1223="",G1223=0),"",(I1223-G1223)/G1223)</f>
        <v/>
      </c>
      <c r="K1223" s="4">
        <f>IF(COUNT(D1223:F1223)=0,"",INDEX($D$1:$F$1,MATCH(MIN(D1223:F1223),D1223:F1223,0)))</f>
        <v/>
      </c>
      <c r="L1223" s="10" t="n">
        <v>28.95</v>
      </c>
      <c r="M1223" s="12" t="n">
        <v>1</v>
      </c>
    </row>
    <row r="1224">
      <c r="A1224" s="4" t="inlineStr">
        <is>
          <t>MAT-31-075</t>
        </is>
      </c>
      <c r="B1224" s="5" t="inlineStr">
        <is>
          <t>Power Supply 12 Vdc 100-260 Vac</t>
        </is>
      </c>
      <c r="C1224" s="4" t="inlineStr">
        <is>
          <t>unidad</t>
        </is>
      </c>
      <c r="D1224" s="10" t="n">
        <v>1111.78</v>
      </c>
      <c r="E1224" s="10" t="n"/>
      <c r="F1224" s="10" t="n"/>
      <c r="G1224" s="10">
        <f>IF(COUNT(D1224:F1224)=0,"",MIN(D1224:F1224))</f>
        <v/>
      </c>
      <c r="H1224" s="10">
        <f>IF(COUNT(D1224:F1224)=0,"",MEDIAN(D1224:F1224))</f>
        <v/>
      </c>
      <c r="I1224" s="10">
        <f>IF(COUNT(D1224:F1224)=0,"",MAX(D1224:F1224))</f>
        <v/>
      </c>
      <c r="J1224" s="11">
        <f>IF(OR(G1224="",G1224=0),"",(I1224-G1224)/G1224)</f>
        <v/>
      </c>
      <c r="K1224" s="4">
        <f>IF(COUNT(D1224:F1224)=0,"",INDEX($D$1:$F$1,MATCH(MIN(D1224:F1224),D1224:F1224,0)))</f>
        <v/>
      </c>
      <c r="L1224" s="10" t="n">
        <v>1111.78</v>
      </c>
      <c r="M1224" s="12" t="n">
        <v>1</v>
      </c>
    </row>
    <row r="1225">
      <c r="A1225" s="4" t="inlineStr">
        <is>
          <t>MAT-31-076</t>
        </is>
      </c>
      <c r="B1225" s="5" t="inlineStr">
        <is>
          <t>Fuente Alimentador 12V 4A 4 Mod</t>
        </is>
      </c>
      <c r="C1225" s="4" t="inlineStr">
        <is>
          <t>unidad</t>
        </is>
      </c>
      <c r="D1225" s="10" t="n">
        <v>4514.34</v>
      </c>
      <c r="E1225" s="10" t="n"/>
      <c r="F1225" s="10" t="n"/>
      <c r="G1225" s="10">
        <f>IF(COUNT(D1225:F1225)=0,"",MIN(D1225:F1225))</f>
        <v/>
      </c>
      <c r="H1225" s="10">
        <f>IF(COUNT(D1225:F1225)=0,"",MEDIAN(D1225:F1225))</f>
        <v/>
      </c>
      <c r="I1225" s="10">
        <f>IF(COUNT(D1225:F1225)=0,"",MAX(D1225:F1225))</f>
        <v/>
      </c>
      <c r="J1225" s="11">
        <f>IF(OR(G1225="",G1225=0),"",(I1225-G1225)/G1225)</f>
        <v/>
      </c>
      <c r="K1225" s="4">
        <f>IF(COUNT(D1225:F1225)=0,"",INDEX($D$1:$F$1,MATCH(MIN(D1225:F1225),D1225:F1225,0)))</f>
        <v/>
      </c>
      <c r="L1225" s="10" t="n">
        <v>4514.34</v>
      </c>
      <c r="M1225" s="12" t="n">
        <v>1</v>
      </c>
    </row>
    <row r="1226">
      <c r="A1226" s="4" t="inlineStr">
        <is>
          <t>MAT-31-077</t>
        </is>
      </c>
      <c r="B1226" s="5" t="inlineStr">
        <is>
          <t>Pdu 8 Salidas Rackmount Dahua</t>
        </is>
      </c>
      <c r="C1226" s="4" t="inlineStr">
        <is>
          <t>unidad</t>
        </is>
      </c>
      <c r="D1226" s="10" t="n">
        <v>4801.16</v>
      </c>
      <c r="E1226" s="10" t="n"/>
      <c r="F1226" s="10" t="n"/>
      <c r="G1226" s="10">
        <f>IF(COUNT(D1226:F1226)=0,"",MIN(D1226:F1226))</f>
        <v/>
      </c>
      <c r="H1226" s="10">
        <f>IF(COUNT(D1226:F1226)=0,"",MEDIAN(D1226:F1226))</f>
        <v/>
      </c>
      <c r="I1226" s="10">
        <f>IF(COUNT(D1226:F1226)=0,"",MAX(D1226:F1226))</f>
        <v/>
      </c>
      <c r="J1226" s="11">
        <f>IF(OR(G1226="",G1226=0),"",(I1226-G1226)/G1226)</f>
        <v/>
      </c>
      <c r="K1226" s="4">
        <f>IF(COUNT(D1226:F1226)=0,"",INDEX($D$1:$F$1,MATCH(MIN(D1226:F1226),D1226:F1226,0)))</f>
        <v/>
      </c>
      <c r="L1226" s="10" t="n">
        <v>4801.16</v>
      </c>
      <c r="M1226" s="12" t="n">
        <v>1</v>
      </c>
    </row>
    <row r="1227">
      <c r="A1227" s="4" t="inlineStr">
        <is>
          <t>MAT-31-078</t>
        </is>
      </c>
      <c r="B1227" s="5" t="inlineStr">
        <is>
          <t>Fuente Poder 2 Hilos</t>
        </is>
      </c>
      <c r="C1227" s="4" t="inlineStr">
        <is>
          <t>unidad</t>
        </is>
      </c>
      <c r="D1227" s="10" t="n">
        <v>5229.21</v>
      </c>
      <c r="E1227" s="10" t="n"/>
      <c r="F1227" s="10" t="n"/>
      <c r="G1227" s="10">
        <f>IF(COUNT(D1227:F1227)=0,"",MIN(D1227:F1227))</f>
        <v/>
      </c>
      <c r="H1227" s="10">
        <f>IF(COUNT(D1227:F1227)=0,"",MEDIAN(D1227:F1227))</f>
        <v/>
      </c>
      <c r="I1227" s="10">
        <f>IF(COUNT(D1227:F1227)=0,"",MAX(D1227:F1227))</f>
        <v/>
      </c>
      <c r="J1227" s="11">
        <f>IF(OR(G1227="",G1227=0),"",(I1227-G1227)/G1227)</f>
        <v/>
      </c>
      <c r="K1227" s="4">
        <f>IF(COUNT(D1227:F1227)=0,"",INDEX($D$1:$F$1,MATCH(MIN(D1227:F1227),D1227:F1227,0)))</f>
        <v/>
      </c>
      <c r="L1227" s="10" t="n">
        <v>5229.21</v>
      </c>
      <c r="M1227" s="12" t="n">
        <v>1</v>
      </c>
    </row>
    <row r="1228">
      <c r="A1228" s="4" t="inlineStr">
        <is>
          <t>MAT-31-079</t>
        </is>
      </c>
      <c r="B1228" s="5" t="inlineStr">
        <is>
          <t>Regenerador De Bus Úrsula</t>
        </is>
      </c>
      <c r="C1228" s="4" t="inlineStr">
        <is>
          <t>unidad</t>
        </is>
      </c>
      <c r="D1228" s="10" t="n">
        <v>9152.690000000001</v>
      </c>
      <c r="E1228" s="10" t="n"/>
      <c r="F1228" s="10" t="n"/>
      <c r="G1228" s="10">
        <f>IF(COUNT(D1228:F1228)=0,"",MIN(D1228:F1228))</f>
        <v/>
      </c>
      <c r="H1228" s="10">
        <f>IF(COUNT(D1228:F1228)=0,"",MEDIAN(D1228:F1228))</f>
        <v/>
      </c>
      <c r="I1228" s="10">
        <f>IF(COUNT(D1228:F1228)=0,"",MAX(D1228:F1228))</f>
        <v/>
      </c>
      <c r="J1228" s="11">
        <f>IF(OR(G1228="",G1228=0),"",(I1228-G1228)/G1228)</f>
        <v/>
      </c>
      <c r="K1228" s="4">
        <f>IF(COUNT(D1228:F1228)=0,"",INDEX($D$1:$F$1,MATCH(MIN(D1228:F1228),D1228:F1228,0)))</f>
        <v/>
      </c>
      <c r="L1228" s="10" t="n">
        <v>9152.690000000001</v>
      </c>
      <c r="M1228" s="12" t="n">
        <v>1</v>
      </c>
    </row>
    <row r="1229">
      <c r="A1229" s="4" t="inlineStr">
        <is>
          <t>MAT-31-080</t>
        </is>
      </c>
      <c r="B1229" s="5" t="inlineStr">
        <is>
          <t>Base Din Sonoff</t>
        </is>
      </c>
      <c r="C1229" s="4" t="inlineStr">
        <is>
          <t>unidad</t>
        </is>
      </c>
      <c r="D1229" s="10" t="n">
        <v>175.04</v>
      </c>
      <c r="E1229" s="10" t="n"/>
      <c r="F1229" s="10" t="n"/>
      <c r="G1229" s="10">
        <f>IF(COUNT(D1229:F1229)=0,"",MIN(D1229:F1229))</f>
        <v/>
      </c>
      <c r="H1229" s="10">
        <f>IF(COUNT(D1229:F1229)=0,"",MEDIAN(D1229:F1229))</f>
        <v/>
      </c>
      <c r="I1229" s="10">
        <f>IF(COUNT(D1229:F1229)=0,"",MAX(D1229:F1229))</f>
        <v/>
      </c>
      <c r="J1229" s="11">
        <f>IF(OR(G1229="",G1229=0),"",(I1229-G1229)/G1229)</f>
        <v/>
      </c>
      <c r="K1229" s="4">
        <f>IF(COUNT(D1229:F1229)=0,"",INDEX($D$1:$F$1,MATCH(MIN(D1229:F1229),D1229:F1229,0)))</f>
        <v/>
      </c>
      <c r="L1229" s="10" t="n">
        <v>175.04</v>
      </c>
      <c r="M1229" s="12" t="n">
        <v>1</v>
      </c>
    </row>
    <row r="1230">
      <c r="A1230" s="4" t="inlineStr">
        <is>
          <t>MAT-31-081</t>
        </is>
      </c>
      <c r="B1230" s="5" t="inlineStr">
        <is>
          <t>Caja De Registro Para Basic</t>
        </is>
      </c>
      <c r="C1230" s="4" t="inlineStr">
        <is>
          <t>unidad</t>
        </is>
      </c>
      <c r="D1230" s="10" t="n">
        <v>255.43</v>
      </c>
      <c r="E1230" s="10" t="n"/>
      <c r="F1230" s="10" t="n"/>
      <c r="G1230" s="10">
        <f>IF(COUNT(D1230:F1230)=0,"",MIN(D1230:F1230))</f>
        <v/>
      </c>
      <c r="H1230" s="10">
        <f>IF(COUNT(D1230:F1230)=0,"",MEDIAN(D1230:F1230))</f>
        <v/>
      </c>
      <c r="I1230" s="10">
        <f>IF(COUNT(D1230:F1230)=0,"",MAX(D1230:F1230))</f>
        <v/>
      </c>
      <c r="J1230" s="11">
        <f>IF(OR(G1230="",G1230=0),"",(I1230-G1230)/G1230)</f>
        <v/>
      </c>
      <c r="K1230" s="4">
        <f>IF(COUNT(D1230:F1230)=0,"",INDEX($D$1:$F$1,MATCH(MIN(D1230:F1230),D1230:F1230,0)))</f>
        <v/>
      </c>
      <c r="L1230" s="10" t="n">
        <v>255.43</v>
      </c>
      <c r="M1230" s="12" t="n">
        <v>1</v>
      </c>
    </row>
    <row r="1231">
      <c r="A1231" s="4" t="inlineStr">
        <is>
          <t>MAT-31-082</t>
        </is>
      </c>
      <c r="B1231" s="5" t="inlineStr">
        <is>
          <t>Caja Empotrar De 2 Módulos</t>
        </is>
      </c>
      <c r="C1231" s="4" t="inlineStr">
        <is>
          <t>unidad</t>
        </is>
      </c>
      <c r="D1231" s="10" t="n">
        <v>656.41</v>
      </c>
      <c r="E1231" s="10" t="n"/>
      <c r="F1231" s="10" t="n"/>
      <c r="G1231" s="10">
        <f>IF(COUNT(D1231:F1231)=0,"",MIN(D1231:F1231))</f>
        <v/>
      </c>
      <c r="H1231" s="10">
        <f>IF(COUNT(D1231:F1231)=0,"",MEDIAN(D1231:F1231))</f>
        <v/>
      </c>
      <c r="I1231" s="10">
        <f>IF(COUNT(D1231:F1231)=0,"",MAX(D1231:F1231))</f>
        <v/>
      </c>
      <c r="J1231" s="11">
        <f>IF(OR(G1231="",G1231=0),"",(I1231-G1231)/G1231)</f>
        <v/>
      </c>
      <c r="K1231" s="4">
        <f>IF(COUNT(D1231:F1231)=0,"",INDEX($D$1:$F$1,MATCH(MIN(D1231:F1231),D1231:F1231,0)))</f>
        <v/>
      </c>
      <c r="L1231" s="10" t="n">
        <v>656.41</v>
      </c>
      <c r="M1231" s="12" t="n">
        <v>1</v>
      </c>
    </row>
    <row r="1232">
      <c r="A1232" s="4" t="inlineStr">
        <is>
          <t>MAT-31-083</t>
        </is>
      </c>
      <c r="B1232" s="5" t="inlineStr">
        <is>
          <t>Bracket Zl para Fijar Cerradura 600 Lbs</t>
        </is>
      </c>
      <c r="C1232" s="4" t="inlineStr">
        <is>
          <t>unidad</t>
        </is>
      </c>
      <c r="D1232" s="10" t="n">
        <v>1346.9</v>
      </c>
      <c r="E1232" s="10" t="n"/>
      <c r="F1232" s="10" t="n"/>
      <c r="G1232" s="10">
        <f>IF(COUNT(D1232:F1232)=0,"",MIN(D1232:F1232))</f>
        <v/>
      </c>
      <c r="H1232" s="10">
        <f>IF(COUNT(D1232:F1232)=0,"",MEDIAN(D1232:F1232))</f>
        <v/>
      </c>
      <c r="I1232" s="10">
        <f>IF(COUNT(D1232:F1232)=0,"",MAX(D1232:F1232))</f>
        <v/>
      </c>
      <c r="J1232" s="11">
        <f>IF(OR(G1232="",G1232=0),"",(I1232-G1232)/G1232)</f>
        <v/>
      </c>
      <c r="K1232" s="4">
        <f>IF(COUNT(D1232:F1232)=0,"",INDEX($D$1:$F$1,MATCH(MIN(D1232:F1232),D1232:F1232,0)))</f>
        <v/>
      </c>
      <c r="L1232" s="10" t="n">
        <v>1346.9</v>
      </c>
      <c r="M1232" s="12" t="n">
        <v>1</v>
      </c>
    </row>
    <row r="1233">
      <c r="A1233" s="4" t="inlineStr">
        <is>
          <t>MAT-31-084</t>
        </is>
      </c>
      <c r="B1233" s="5" t="inlineStr">
        <is>
          <t>Cubierta De Módulo 2 Hilos</t>
        </is>
      </c>
      <c r="C1233" s="4" t="inlineStr">
        <is>
          <t>unidad</t>
        </is>
      </c>
      <c r="D1233" s="10" t="n">
        <v>1556.51</v>
      </c>
      <c r="E1233" s="10" t="n"/>
      <c r="F1233" s="10" t="n"/>
      <c r="G1233" s="10">
        <f>IF(COUNT(D1233:F1233)=0,"",MIN(D1233:F1233))</f>
        <v/>
      </c>
      <c r="H1233" s="10">
        <f>IF(COUNT(D1233:F1233)=0,"",MEDIAN(D1233:F1233))</f>
        <v/>
      </c>
      <c r="I1233" s="10">
        <f>IF(COUNT(D1233:F1233)=0,"",MAX(D1233:F1233))</f>
        <v/>
      </c>
      <c r="J1233" s="11">
        <f>IF(OR(G1233="",G1233=0),"",(I1233-G1233)/G1233)</f>
        <v/>
      </c>
      <c r="K1233" s="4">
        <f>IF(COUNT(D1233:F1233)=0,"",INDEX($D$1:$F$1,MATCH(MIN(D1233:F1233),D1233:F1233,0)))</f>
        <v/>
      </c>
      <c r="L1233" s="10" t="n">
        <v>1556.51</v>
      </c>
      <c r="M1233" s="12" t="n">
        <v>1</v>
      </c>
    </row>
    <row r="1234">
      <c r="A1234" s="4" t="inlineStr">
        <is>
          <t>MAT-31-085</t>
        </is>
      </c>
      <c r="B1234" s="5" t="inlineStr">
        <is>
          <t>Cubierta Modulo A / V 2P Audio</t>
        </is>
      </c>
      <c r="C1234" s="4" t="inlineStr">
        <is>
          <t>unidad</t>
        </is>
      </c>
      <c r="D1234" s="10" t="n">
        <v>1992.43</v>
      </c>
      <c r="E1234" s="10" t="n"/>
      <c r="F1234" s="10" t="n"/>
      <c r="G1234" s="10">
        <f>IF(COUNT(D1234:F1234)=0,"",MIN(D1234:F1234))</f>
        <v/>
      </c>
      <c r="H1234" s="10">
        <f>IF(COUNT(D1234:F1234)=0,"",MEDIAN(D1234:F1234))</f>
        <v/>
      </c>
      <c r="I1234" s="10">
        <f>IF(COUNT(D1234:F1234)=0,"",MAX(D1234:F1234))</f>
        <v/>
      </c>
      <c r="J1234" s="11">
        <f>IF(OR(G1234="",G1234=0),"",(I1234-G1234)/G1234)</f>
        <v/>
      </c>
      <c r="K1234" s="4">
        <f>IF(COUNT(D1234:F1234)=0,"",INDEX($D$1:$F$1,MATCH(MIN(D1234:F1234),D1234:F1234,0)))</f>
        <v/>
      </c>
      <c r="L1234" s="10" t="n">
        <v>1992.43</v>
      </c>
      <c r="M1234" s="12" t="n">
        <v>1</v>
      </c>
    </row>
    <row r="1235">
      <c r="A1235" s="4" t="inlineStr">
        <is>
          <t>MAT-31-086</t>
        </is>
      </c>
      <c r="B1235" s="5" t="inlineStr">
        <is>
          <t>Bracket U-Zl para Fijar Cerradura 600 Lbs</t>
        </is>
      </c>
      <c r="C1235" s="4" t="inlineStr">
        <is>
          <t>unidad</t>
        </is>
      </c>
      <c r="D1235" s="10" t="n">
        <v>2294.68</v>
      </c>
      <c r="E1235" s="10" t="n"/>
      <c r="F1235" s="10" t="n"/>
      <c r="G1235" s="10">
        <f>IF(COUNT(D1235:F1235)=0,"",MIN(D1235:F1235))</f>
        <v/>
      </c>
      <c r="H1235" s="10">
        <f>IF(COUNT(D1235:F1235)=0,"",MEDIAN(D1235:F1235))</f>
        <v/>
      </c>
      <c r="I1235" s="10">
        <f>IF(COUNT(D1235:F1235)=0,"",MAX(D1235:F1235))</f>
        <v/>
      </c>
      <c r="J1235" s="11">
        <f>IF(OR(G1235="",G1235=0),"",(I1235-G1235)/G1235)</f>
        <v/>
      </c>
      <c r="K1235" s="4">
        <f>IF(COUNT(D1235:F1235)=0,"",INDEX($D$1:$F$1,MATCH(MIN(D1235:F1235),D1235:F1235,0)))</f>
        <v/>
      </c>
      <c r="L1235" s="10" t="n">
        <v>2294.68</v>
      </c>
      <c r="M1235" s="12" t="n">
        <v>1</v>
      </c>
    </row>
    <row r="1236">
      <c r="A1236" s="4" t="inlineStr">
        <is>
          <t>MAT-31-087</t>
        </is>
      </c>
      <c r="B1236" s="5" t="inlineStr">
        <is>
          <t>Cubierta 8 Pulsadorrs 2H 2F</t>
        </is>
      </c>
      <c r="C1236" s="4" t="inlineStr">
        <is>
          <t>unidad</t>
        </is>
      </c>
      <c r="D1236" s="10" t="n">
        <v>2499.01</v>
      </c>
      <c r="E1236" s="10" t="n"/>
      <c r="F1236" s="10" t="n"/>
      <c r="G1236" s="10">
        <f>IF(COUNT(D1236:F1236)=0,"",MIN(D1236:F1236))</f>
        <v/>
      </c>
      <c r="H1236" s="10">
        <f>IF(COUNT(D1236:F1236)=0,"",MEDIAN(D1236:F1236))</f>
        <v/>
      </c>
      <c r="I1236" s="10">
        <f>IF(COUNT(D1236:F1236)=0,"",MAX(D1236:F1236))</f>
        <v/>
      </c>
      <c r="J1236" s="11">
        <f>IF(OR(G1236="",G1236=0),"",(I1236-G1236)/G1236)</f>
        <v/>
      </c>
      <c r="K1236" s="4">
        <f>IF(COUNT(D1236:F1236)=0,"",INDEX($D$1:$F$1,MATCH(MIN(D1236:F1236),D1236:F1236,0)))</f>
        <v/>
      </c>
      <c r="L1236" s="10" t="n">
        <v>2499.01</v>
      </c>
      <c r="M1236" s="12" t="n">
        <v>1</v>
      </c>
    </row>
    <row r="1237">
      <c r="A1237" s="4" t="inlineStr">
        <is>
          <t>MAT-31-088</t>
        </is>
      </c>
      <c r="B1237" s="5" t="inlineStr">
        <is>
          <t>Configurador #3 Caja De 10 Unids</t>
        </is>
      </c>
      <c r="C1237" s="4" t="inlineStr">
        <is>
          <t>unidad</t>
        </is>
      </c>
      <c r="D1237" s="10" t="n">
        <v>323.38</v>
      </c>
      <c r="E1237" s="10" t="n"/>
      <c r="F1237" s="10" t="n"/>
      <c r="G1237" s="10">
        <f>IF(COUNT(D1237:F1237)=0,"",MIN(D1237:F1237))</f>
        <v/>
      </c>
      <c r="H1237" s="10">
        <f>IF(COUNT(D1237:F1237)=0,"",MEDIAN(D1237:F1237))</f>
        <v/>
      </c>
      <c r="I1237" s="10">
        <f>IF(COUNT(D1237:F1237)=0,"",MAX(D1237:F1237))</f>
        <v/>
      </c>
      <c r="J1237" s="11">
        <f>IF(OR(G1237="",G1237=0),"",(I1237-G1237)/G1237)</f>
        <v/>
      </c>
      <c r="K1237" s="4">
        <f>IF(COUNT(D1237:F1237)=0,"",INDEX($D$1:$F$1,MATCH(MIN(D1237:F1237),D1237:F1237,0)))</f>
        <v/>
      </c>
      <c r="L1237" s="10" t="n">
        <v>323.38</v>
      </c>
      <c r="M1237" s="12" t="n">
        <v>1</v>
      </c>
    </row>
    <row r="1238">
      <c r="A1238" s="4" t="inlineStr">
        <is>
          <t>MAT-31-089</t>
        </is>
      </c>
      <c r="B1238" s="5" t="inlineStr">
        <is>
          <t>Configurador #4 Caja De 10 Unids</t>
        </is>
      </c>
      <c r="C1238" s="4" t="inlineStr">
        <is>
          <t>unidad</t>
        </is>
      </c>
      <c r="D1238" s="10" t="n">
        <v>323.38</v>
      </c>
      <c r="E1238" s="10" t="n"/>
      <c r="F1238" s="10" t="n"/>
      <c r="G1238" s="10">
        <f>IF(COUNT(D1238:F1238)=0,"",MIN(D1238:F1238))</f>
        <v/>
      </c>
      <c r="H1238" s="10">
        <f>IF(COUNT(D1238:F1238)=0,"",MEDIAN(D1238:F1238))</f>
        <v/>
      </c>
      <c r="I1238" s="10">
        <f>IF(COUNT(D1238:F1238)=0,"",MAX(D1238:F1238))</f>
        <v/>
      </c>
      <c r="J1238" s="11">
        <f>IF(OR(G1238="",G1238=0),"",(I1238-G1238)/G1238)</f>
        <v/>
      </c>
      <c r="K1238" s="4">
        <f>IF(COUNT(D1238:F1238)=0,"",INDEX($D$1:$F$1,MATCH(MIN(D1238:F1238),D1238:F1238,0)))</f>
        <v/>
      </c>
      <c r="L1238" s="10" t="n">
        <v>323.38</v>
      </c>
      <c r="M1238" s="12" t="n">
        <v>1</v>
      </c>
    </row>
    <row r="1239">
      <c r="A1239" s="4" t="inlineStr">
        <is>
          <t>MAT-31-090</t>
        </is>
      </c>
      <c r="B1239" s="5" t="inlineStr">
        <is>
          <t>Configurador #5 Caja De 10 Unids</t>
        </is>
      </c>
      <c r="C1239" s="4" t="inlineStr">
        <is>
          <t>unidad</t>
        </is>
      </c>
      <c r="D1239" s="10" t="n">
        <v>329.66</v>
      </c>
      <c r="E1239" s="10" t="n"/>
      <c r="F1239" s="10" t="n"/>
      <c r="G1239" s="10">
        <f>IF(COUNT(D1239:F1239)=0,"",MIN(D1239:F1239))</f>
        <v/>
      </c>
      <c r="H1239" s="10">
        <f>IF(COUNT(D1239:F1239)=0,"",MEDIAN(D1239:F1239))</f>
        <v/>
      </c>
      <c r="I1239" s="10">
        <f>IF(COUNT(D1239:F1239)=0,"",MAX(D1239:F1239))</f>
        <v/>
      </c>
      <c r="J1239" s="11">
        <f>IF(OR(G1239="",G1239=0),"",(I1239-G1239)/G1239)</f>
        <v/>
      </c>
      <c r="K1239" s="4">
        <f>IF(COUNT(D1239:F1239)=0,"",INDEX($D$1:$F$1,MATCH(MIN(D1239:F1239),D1239:F1239,0)))</f>
        <v/>
      </c>
      <c r="L1239" s="10" t="n">
        <v>329.66</v>
      </c>
      <c r="M1239" s="12" t="n">
        <v>1</v>
      </c>
    </row>
    <row r="1240">
      <c r="A1240" s="4" t="inlineStr">
        <is>
          <t>MAT-31-091</t>
        </is>
      </c>
      <c r="B1240" s="5" t="inlineStr">
        <is>
          <t>Control Remoto Rf</t>
        </is>
      </c>
      <c r="C1240" s="4" t="inlineStr">
        <is>
          <t>unidad</t>
        </is>
      </c>
      <c r="D1240" s="10" t="n">
        <v>538.84</v>
      </c>
      <c r="E1240" s="10" t="n"/>
      <c r="F1240" s="10" t="n"/>
      <c r="G1240" s="10">
        <f>IF(COUNT(D1240:F1240)=0,"",MIN(D1240:F1240))</f>
        <v/>
      </c>
      <c r="H1240" s="10">
        <f>IF(COUNT(D1240:F1240)=0,"",MEDIAN(D1240:F1240))</f>
        <v/>
      </c>
      <c r="I1240" s="10">
        <f>IF(COUNT(D1240:F1240)=0,"",MAX(D1240:F1240))</f>
        <v/>
      </c>
      <c r="J1240" s="11">
        <f>IF(OR(G1240="",G1240=0),"",(I1240-G1240)/G1240)</f>
        <v/>
      </c>
      <c r="K1240" s="4">
        <f>IF(COUNT(D1240:F1240)=0,"",INDEX($D$1:$F$1,MATCH(MIN(D1240:F1240),D1240:F1240,0)))</f>
        <v/>
      </c>
      <c r="L1240" s="10" t="n">
        <v>538.84</v>
      </c>
      <c r="M1240" s="12" t="n">
        <v>1</v>
      </c>
    </row>
    <row r="1241">
      <c r="A1241" s="4" t="inlineStr">
        <is>
          <t>MAT-31-092</t>
        </is>
      </c>
      <c r="B1241" s="5" t="inlineStr">
        <is>
          <t>Configurador #6 Caja De 10 Unids</t>
        </is>
      </c>
      <c r="C1241" s="4" t="inlineStr">
        <is>
          <t>unidad</t>
        </is>
      </c>
      <c r="D1241" s="10" t="n">
        <v>559.47</v>
      </c>
      <c r="E1241" s="10" t="n"/>
      <c r="F1241" s="10" t="n"/>
      <c r="G1241" s="10">
        <f>IF(COUNT(D1241:F1241)=0,"",MIN(D1241:F1241))</f>
        <v/>
      </c>
      <c r="H1241" s="10">
        <f>IF(COUNT(D1241:F1241)=0,"",MEDIAN(D1241:F1241))</f>
        <v/>
      </c>
      <c r="I1241" s="10">
        <f>IF(COUNT(D1241:F1241)=0,"",MAX(D1241:F1241))</f>
        <v/>
      </c>
      <c r="J1241" s="11">
        <f>IF(OR(G1241="",G1241=0),"",(I1241-G1241)/G1241)</f>
        <v/>
      </c>
      <c r="K1241" s="4">
        <f>IF(COUNT(D1241:F1241)=0,"",INDEX($D$1:$F$1,MATCH(MIN(D1241:F1241),D1241:F1241,0)))</f>
        <v/>
      </c>
      <c r="L1241" s="10" t="n">
        <v>559.47</v>
      </c>
      <c r="M1241" s="12" t="n">
        <v>1</v>
      </c>
    </row>
    <row r="1242">
      <c r="A1242" s="4" t="inlineStr">
        <is>
          <t>MAT-31-093</t>
        </is>
      </c>
      <c r="B1242" s="5" t="inlineStr">
        <is>
          <t>Configurador #2 Caja De 10 Unids</t>
        </is>
      </c>
      <c r="C1242" s="4" t="inlineStr">
        <is>
          <t>unidad</t>
        </is>
      </c>
      <c r="D1242" s="10" t="n">
        <v>594.5700000000001</v>
      </c>
      <c r="E1242" s="10" t="n"/>
      <c r="F1242" s="10" t="n"/>
      <c r="G1242" s="10">
        <f>IF(COUNT(D1242:F1242)=0,"",MIN(D1242:F1242))</f>
        <v/>
      </c>
      <c r="H1242" s="10">
        <f>IF(COUNT(D1242:F1242)=0,"",MEDIAN(D1242:F1242))</f>
        <v/>
      </c>
      <c r="I1242" s="10">
        <f>IF(COUNT(D1242:F1242)=0,"",MAX(D1242:F1242))</f>
        <v/>
      </c>
      <c r="J1242" s="11">
        <f>IF(OR(G1242="",G1242=0),"",(I1242-G1242)/G1242)</f>
        <v/>
      </c>
      <c r="K1242" s="4">
        <f>IF(COUNT(D1242:F1242)=0,"",INDEX($D$1:$F$1,MATCH(MIN(D1242:F1242),D1242:F1242,0)))</f>
        <v/>
      </c>
      <c r="L1242" s="10" t="n">
        <v>594.5700000000001</v>
      </c>
      <c r="M1242" s="12" t="n">
        <v>1</v>
      </c>
    </row>
    <row r="1243">
      <c r="A1243" s="4" t="inlineStr">
        <is>
          <t>MAT-31-094</t>
        </is>
      </c>
      <c r="B1243" s="5" t="inlineStr">
        <is>
          <t>Configurador #9 Caja De 10 Unids</t>
        </is>
      </c>
      <c r="C1243" s="4" t="inlineStr">
        <is>
          <t>unidad</t>
        </is>
      </c>
      <c r="D1243" s="10" t="n">
        <v>594.5700000000001</v>
      </c>
      <c r="E1243" s="10" t="n"/>
      <c r="F1243" s="10" t="n"/>
      <c r="G1243" s="10">
        <f>IF(COUNT(D1243:F1243)=0,"",MIN(D1243:F1243))</f>
        <v/>
      </c>
      <c r="H1243" s="10">
        <f>IF(COUNT(D1243:F1243)=0,"",MEDIAN(D1243:F1243))</f>
        <v/>
      </c>
      <c r="I1243" s="10">
        <f>IF(COUNT(D1243:F1243)=0,"",MAX(D1243:F1243))</f>
        <v/>
      </c>
      <c r="J1243" s="11">
        <f>IF(OR(G1243="",G1243=0),"",(I1243-G1243)/G1243)</f>
        <v/>
      </c>
      <c r="K1243" s="4">
        <f>IF(COUNT(D1243:F1243)=0,"",INDEX($D$1:$F$1,MATCH(MIN(D1243:F1243),D1243:F1243,0)))</f>
        <v/>
      </c>
      <c r="L1243" s="10" t="n">
        <v>594.5700000000001</v>
      </c>
      <c r="M1243" s="12" t="n">
        <v>1</v>
      </c>
    </row>
    <row r="1244">
      <c r="A1244" s="4" t="inlineStr">
        <is>
          <t>MAT-31-095</t>
        </is>
      </c>
      <c r="B1244" s="5" t="inlineStr">
        <is>
          <t>Tarjeta Badge Rifd Neutra Adjunta</t>
        </is>
      </c>
      <c r="C1244" s="4" t="inlineStr">
        <is>
          <t>unidad</t>
        </is>
      </c>
      <c r="D1244" s="10" t="n">
        <v>774.47</v>
      </c>
      <c r="E1244" s="10" t="n"/>
      <c r="F1244" s="10" t="n"/>
      <c r="G1244" s="10">
        <f>IF(COUNT(D1244:F1244)=0,"",MIN(D1244:F1244))</f>
        <v/>
      </c>
      <c r="H1244" s="10">
        <f>IF(COUNT(D1244:F1244)=0,"",MEDIAN(D1244:F1244))</f>
        <v/>
      </c>
      <c r="I1244" s="10">
        <f>IF(COUNT(D1244:F1244)=0,"",MAX(D1244:F1244))</f>
        <v/>
      </c>
      <c r="J1244" s="11">
        <f>IF(OR(G1244="",G1244=0),"",(I1244-G1244)/G1244)</f>
        <v/>
      </c>
      <c r="K1244" s="4">
        <f>IF(COUNT(D1244:F1244)=0,"",INDEX($D$1:$F$1,MATCH(MIN(D1244:F1244),D1244:F1244,0)))</f>
        <v/>
      </c>
      <c r="L1244" s="10" t="n">
        <v>774.47</v>
      </c>
      <c r="M1244" s="12" t="n">
        <v>1</v>
      </c>
    </row>
    <row r="1245">
      <c r="A1245" s="4" t="inlineStr">
        <is>
          <t>MAT-31-096</t>
        </is>
      </c>
      <c r="B1245" s="5" t="inlineStr">
        <is>
          <t>Tarjeta Ingrid Para Extensión</t>
        </is>
      </c>
      <c r="C1245" s="4" t="inlineStr">
        <is>
          <t>unidad</t>
        </is>
      </c>
      <c r="D1245" s="10" t="n">
        <v>7237.01</v>
      </c>
      <c r="E1245" s="10" t="n"/>
      <c r="F1245" s="10" t="n"/>
      <c r="G1245" s="10">
        <f>IF(COUNT(D1245:F1245)=0,"",MIN(D1245:F1245))</f>
        <v/>
      </c>
      <c r="H1245" s="10">
        <f>IF(COUNT(D1245:F1245)=0,"",MEDIAN(D1245:F1245))</f>
        <v/>
      </c>
      <c r="I1245" s="10">
        <f>IF(COUNT(D1245:F1245)=0,"",MAX(D1245:F1245))</f>
        <v/>
      </c>
      <c r="J1245" s="11">
        <f>IF(OR(G1245="",G1245=0),"",(I1245-G1245)/G1245)</f>
        <v/>
      </c>
      <c r="K1245" s="4">
        <f>IF(COUNT(D1245:F1245)=0,"",INDEX($D$1:$F$1,MATCH(MIN(D1245:F1245),D1245:F1245,0)))</f>
        <v/>
      </c>
      <c r="L1245" s="10" t="n">
        <v>7237.01</v>
      </c>
      <c r="M1245" s="12" t="n">
        <v>1</v>
      </c>
    </row>
    <row r="1246">
      <c r="A1246" s="4" t="inlineStr">
        <is>
          <t>MAT-31-097</t>
        </is>
      </c>
      <c r="B1246" s="5" t="inlineStr">
        <is>
          <t>Tarjeta Eva Light 16 In 100 Ut 125V</t>
        </is>
      </c>
      <c r="C1246" s="4" t="inlineStr">
        <is>
          <t>unidad</t>
        </is>
      </c>
      <c r="D1246" s="10" t="n">
        <v>14351.38</v>
      </c>
      <c r="E1246" s="10" t="n"/>
      <c r="F1246" s="10" t="n"/>
      <c r="G1246" s="10">
        <f>IF(COUNT(D1246:F1246)=0,"",MIN(D1246:F1246))</f>
        <v/>
      </c>
      <c r="H1246" s="10">
        <f>IF(COUNT(D1246:F1246)=0,"",MEDIAN(D1246:F1246))</f>
        <v/>
      </c>
      <c r="I1246" s="10">
        <f>IF(COUNT(D1246:F1246)=0,"",MAX(D1246:F1246))</f>
        <v/>
      </c>
      <c r="J1246" s="11">
        <f>IF(OR(G1246="",G1246=0),"",(I1246-G1246)/G1246)</f>
        <v/>
      </c>
      <c r="K1246" s="4">
        <f>IF(COUNT(D1246:F1246)=0,"",INDEX($D$1:$F$1,MATCH(MIN(D1246:F1246),D1246:F1246,0)))</f>
        <v/>
      </c>
      <c r="L1246" s="10" t="n">
        <v>14351.38</v>
      </c>
      <c r="M1246" s="12" t="n">
        <v>1</v>
      </c>
    </row>
    <row r="1247">
      <c r="A1247" s="4" t="inlineStr">
        <is>
          <t>MAT-31-098</t>
        </is>
      </c>
      <c r="B1247" s="5" t="inlineStr">
        <is>
          <t>Tarjeta Vesta 12 Vdc</t>
        </is>
      </c>
      <c r="C1247" s="4" t="inlineStr">
        <is>
          <t>unidad</t>
        </is>
      </c>
      <c r="D1247" s="10" t="n">
        <v>17663.76</v>
      </c>
      <c r="E1247" s="10" t="n"/>
      <c r="F1247" s="10" t="n"/>
      <c r="G1247" s="10">
        <f>IF(COUNT(D1247:F1247)=0,"",MIN(D1247:F1247))</f>
        <v/>
      </c>
      <c r="H1247" s="10">
        <f>IF(COUNT(D1247:F1247)=0,"",MEDIAN(D1247:F1247))</f>
        <v/>
      </c>
      <c r="I1247" s="10">
        <f>IF(COUNT(D1247:F1247)=0,"",MAX(D1247:F1247))</f>
        <v/>
      </c>
      <c r="J1247" s="11">
        <f>IF(OR(G1247="",G1247=0),"",(I1247-G1247)/G1247)</f>
        <v/>
      </c>
      <c r="K1247" s="4">
        <f>IF(COUNT(D1247:F1247)=0,"",INDEX($D$1:$F$1,MATCH(MIN(D1247:F1247),D1247:F1247,0)))</f>
        <v/>
      </c>
      <c r="L1247" s="10" t="n">
        <v>17663.76</v>
      </c>
      <c r="M1247" s="12" t="n">
        <v>1</v>
      </c>
    </row>
    <row r="1248">
      <c r="A1248" s="4" t="inlineStr">
        <is>
          <t>MAT-31-099</t>
        </is>
      </c>
      <c r="B1248" s="5" t="inlineStr">
        <is>
          <t>Tarjeta Eva 16 In 100 Ut Multifuncion 125V</t>
        </is>
      </c>
      <c r="C1248" s="4" t="inlineStr">
        <is>
          <t>unidad</t>
        </is>
      </c>
      <c r="D1248" s="10" t="n">
        <v>19549.22</v>
      </c>
      <c r="E1248" s="10" t="n"/>
      <c r="F1248" s="10" t="n"/>
      <c r="G1248" s="10">
        <f>IF(COUNT(D1248:F1248)=0,"",MIN(D1248:F1248))</f>
        <v/>
      </c>
      <c r="H1248" s="10">
        <f>IF(COUNT(D1248:F1248)=0,"",MEDIAN(D1248:F1248))</f>
        <v/>
      </c>
      <c r="I1248" s="10">
        <f>IF(COUNT(D1248:F1248)=0,"",MAX(D1248:F1248))</f>
        <v/>
      </c>
      <c r="J1248" s="11">
        <f>IF(OR(G1248="",G1248=0),"",(I1248-G1248)/G1248)</f>
        <v/>
      </c>
      <c r="K1248" s="4">
        <f>IF(COUNT(D1248:F1248)=0,"",INDEX($D$1:$F$1,MATCH(MIN(D1248:F1248),D1248:F1248,0)))</f>
        <v/>
      </c>
      <c r="L1248" s="10" t="n">
        <v>19549.22</v>
      </c>
      <c r="M1248" s="12" t="n">
        <v>1</v>
      </c>
    </row>
    <row r="1249">
      <c r="A1249" s="4" t="inlineStr">
        <is>
          <t>MAT-31-100</t>
        </is>
      </c>
      <c r="B1249" s="5" t="inlineStr">
        <is>
          <t>Video Balun Aciple Rap. con Cable 8 Mp Cvi</t>
        </is>
      </c>
      <c r="C1249" s="4" t="inlineStr">
        <is>
          <t>unidad</t>
        </is>
      </c>
      <c r="D1249" s="10" t="n">
        <v>231.08</v>
      </c>
      <c r="E1249" s="10" t="n"/>
      <c r="F1249" s="10" t="n"/>
      <c r="G1249" s="10">
        <f>IF(COUNT(D1249:F1249)=0,"",MIN(D1249:F1249))</f>
        <v/>
      </c>
      <c r="H1249" s="10">
        <f>IF(COUNT(D1249:F1249)=0,"",MEDIAN(D1249:F1249))</f>
        <v/>
      </c>
      <c r="I1249" s="10">
        <f>IF(COUNT(D1249:F1249)=0,"",MAX(D1249:F1249))</f>
        <v/>
      </c>
      <c r="J1249" s="11">
        <f>IF(OR(G1249="",G1249=0),"",(I1249-G1249)/G1249)</f>
        <v/>
      </c>
      <c r="K1249" s="4">
        <f>IF(COUNT(D1249:F1249)=0,"",INDEX($D$1:$F$1,MATCH(MIN(D1249:F1249),D1249:F1249,0)))</f>
        <v/>
      </c>
      <c r="L1249" s="10" t="n">
        <v>231.08</v>
      </c>
      <c r="M1249" s="12" t="n">
        <v>1</v>
      </c>
    </row>
    <row r="1250">
      <c r="A1250" s="4" t="inlineStr">
        <is>
          <t>MAT-31-101</t>
        </is>
      </c>
      <c r="B1250" s="5" t="inlineStr">
        <is>
          <t>Terminal RJ45 Cat 6 (100 Pcs)</t>
        </is>
      </c>
      <c r="C1250" s="4" t="inlineStr">
        <is>
          <t>unidad</t>
        </is>
      </c>
      <c r="D1250" s="10" t="n">
        <v>587.39</v>
      </c>
      <c r="E1250" s="10" t="n"/>
      <c r="F1250" s="10" t="n"/>
      <c r="G1250" s="10">
        <f>IF(COUNT(D1250:F1250)=0,"",MIN(D1250:F1250))</f>
        <v/>
      </c>
      <c r="H1250" s="10">
        <f>IF(COUNT(D1250:F1250)=0,"",MEDIAN(D1250:F1250))</f>
        <v/>
      </c>
      <c r="I1250" s="10">
        <f>IF(COUNT(D1250:F1250)=0,"",MAX(D1250:F1250))</f>
        <v/>
      </c>
      <c r="J1250" s="11">
        <f>IF(OR(G1250="",G1250=0),"",(I1250-G1250)/G1250)</f>
        <v/>
      </c>
      <c r="K1250" s="4">
        <f>IF(COUNT(D1250:F1250)=0,"",INDEX($D$1:$F$1,MATCH(MIN(D1250:F1250),D1250:F1250,0)))</f>
        <v/>
      </c>
      <c r="L1250" s="10" t="n">
        <v>587.39</v>
      </c>
      <c r="M1250" s="12" t="n">
        <v>1</v>
      </c>
    </row>
    <row r="1251">
      <c r="A1251" s="4" t="inlineStr">
        <is>
          <t>MAT-31-102</t>
        </is>
      </c>
      <c r="B1251" s="5" t="inlineStr">
        <is>
          <t>Mini Switch Inalámbrico</t>
        </is>
      </c>
      <c r="C1251" s="4" t="inlineStr">
        <is>
          <t>unidad</t>
        </is>
      </c>
      <c r="D1251" s="10" t="n">
        <v>1120.56</v>
      </c>
      <c r="E1251" s="10" t="n"/>
      <c r="F1251" s="10" t="n"/>
      <c r="G1251" s="10">
        <f>IF(COUNT(D1251:F1251)=0,"",MIN(D1251:F1251))</f>
        <v/>
      </c>
      <c r="H1251" s="10">
        <f>IF(COUNT(D1251:F1251)=0,"",MEDIAN(D1251:F1251))</f>
        <v/>
      </c>
      <c r="I1251" s="10">
        <f>IF(COUNT(D1251:F1251)=0,"",MAX(D1251:F1251))</f>
        <v/>
      </c>
      <c r="J1251" s="11">
        <f>IF(OR(G1251="",G1251=0),"",(I1251-G1251)/G1251)</f>
        <v/>
      </c>
      <c r="K1251" s="4">
        <f>IF(COUNT(D1251:F1251)=0,"",INDEX($D$1:$F$1,MATCH(MIN(D1251:F1251),D1251:F1251,0)))</f>
        <v/>
      </c>
      <c r="L1251" s="10" t="n">
        <v>1120.56</v>
      </c>
      <c r="M1251" s="12" t="n">
        <v>1</v>
      </c>
    </row>
    <row r="1252">
      <c r="A1252" s="4" t="inlineStr">
        <is>
          <t>MAT-31-103</t>
        </is>
      </c>
      <c r="B1252" s="5" t="inlineStr">
        <is>
          <t>Bridge Rf-433 Mhz + Wifi</t>
        </is>
      </c>
      <c r="C1252" s="4" t="inlineStr">
        <is>
          <t>unidad</t>
        </is>
      </c>
      <c r="D1252" s="10" t="n">
        <v>1156.51</v>
      </c>
      <c r="E1252" s="10" t="n"/>
      <c r="F1252" s="10" t="n"/>
      <c r="G1252" s="10">
        <f>IF(COUNT(D1252:F1252)=0,"",MIN(D1252:F1252))</f>
        <v/>
      </c>
      <c r="H1252" s="10">
        <f>IF(COUNT(D1252:F1252)=0,"",MEDIAN(D1252:F1252))</f>
        <v/>
      </c>
      <c r="I1252" s="10">
        <f>IF(COUNT(D1252:F1252)=0,"",MAX(D1252:F1252))</f>
        <v/>
      </c>
      <c r="J1252" s="11">
        <f>IF(OR(G1252="",G1252=0),"",(I1252-G1252)/G1252)</f>
        <v/>
      </c>
      <c r="K1252" s="4">
        <f>IF(COUNT(D1252:F1252)=0,"",INDEX($D$1:$F$1,MATCH(MIN(D1252:F1252),D1252:F1252,0)))</f>
        <v/>
      </c>
      <c r="L1252" s="10" t="n">
        <v>1156.51</v>
      </c>
      <c r="M1252" s="12" t="n">
        <v>1</v>
      </c>
    </row>
    <row r="1253">
      <c r="A1253" s="4" t="inlineStr">
        <is>
          <t>MAT-31-104</t>
        </is>
      </c>
      <c r="B1253" s="5" t="inlineStr">
        <is>
          <t>Receptor Bus Sdi2 Inalámbrica</t>
        </is>
      </c>
      <c r="C1253" s="4" t="inlineStr">
        <is>
          <t>unidad</t>
        </is>
      </c>
      <c r="D1253" s="10" t="n">
        <v>4641.62</v>
      </c>
      <c r="E1253" s="10" t="n"/>
      <c r="F1253" s="10" t="n"/>
      <c r="G1253" s="10">
        <f>IF(COUNT(D1253:F1253)=0,"",MIN(D1253:F1253))</f>
        <v/>
      </c>
      <c r="H1253" s="10">
        <f>IF(COUNT(D1253:F1253)=0,"",MEDIAN(D1253:F1253))</f>
        <v/>
      </c>
      <c r="I1253" s="10">
        <f>IF(COUNT(D1253:F1253)=0,"",MAX(D1253:F1253))</f>
        <v/>
      </c>
      <c r="J1253" s="11">
        <f>IF(OR(G1253="",G1253=0),"",(I1253-G1253)/G1253)</f>
        <v/>
      </c>
      <c r="K1253" s="4">
        <f>IF(COUNT(D1253:F1253)=0,"",INDEX($D$1:$F$1,MATCH(MIN(D1253:F1253),D1253:F1253,0)))</f>
        <v/>
      </c>
      <c r="L1253" s="10" t="n">
        <v>4641.62</v>
      </c>
      <c r="M1253" s="12" t="n">
        <v>1</v>
      </c>
    </row>
    <row r="1254">
      <c r="A1254" s="4" t="inlineStr">
        <is>
          <t>MAT-31-105</t>
        </is>
      </c>
      <c r="B1254" s="5" t="inlineStr">
        <is>
          <t>Borne Transmisor Infrarojos 12 Vcc</t>
        </is>
      </c>
      <c r="C1254" s="4" t="inlineStr">
        <is>
          <t>unidad</t>
        </is>
      </c>
      <c r="D1254" s="10" t="n">
        <v>5282.42</v>
      </c>
      <c r="E1254" s="10" t="n"/>
      <c r="F1254" s="10" t="n"/>
      <c r="G1254" s="10">
        <f>IF(COUNT(D1254:F1254)=0,"",MIN(D1254:F1254))</f>
        <v/>
      </c>
      <c r="H1254" s="10">
        <f>IF(COUNT(D1254:F1254)=0,"",MEDIAN(D1254:F1254))</f>
        <v/>
      </c>
      <c r="I1254" s="10">
        <f>IF(COUNT(D1254:F1254)=0,"",MAX(D1254:F1254))</f>
        <v/>
      </c>
      <c r="J1254" s="11">
        <f>IF(OR(G1254="",G1254=0),"",(I1254-G1254)/G1254)</f>
        <v/>
      </c>
      <c r="K1254" s="4">
        <f>IF(COUNT(D1254:F1254)=0,"",INDEX($D$1:$F$1,MATCH(MIN(D1254:F1254),D1254:F1254,0)))</f>
        <v/>
      </c>
      <c r="L1254" s="10" t="n">
        <v>5282.42</v>
      </c>
      <c r="M1254" s="12" t="n">
        <v>1</v>
      </c>
    </row>
    <row r="1255">
      <c r="A1255" s="4" t="inlineStr">
        <is>
          <t>MAT-31-106</t>
        </is>
      </c>
      <c r="B1255" s="5" t="inlineStr">
        <is>
          <t>Concentrador Hub</t>
        </is>
      </c>
      <c r="C1255" s="4" t="inlineStr">
        <is>
          <t>unidad</t>
        </is>
      </c>
      <c r="D1255" s="10" t="n">
        <v>8465.639999999999</v>
      </c>
      <c r="E1255" s="10" t="n"/>
      <c r="F1255" s="10" t="n"/>
      <c r="G1255" s="10">
        <f>IF(COUNT(D1255:F1255)=0,"",MIN(D1255:F1255))</f>
        <v/>
      </c>
      <c r="H1255" s="10">
        <f>IF(COUNT(D1255:F1255)=0,"",MEDIAN(D1255:F1255))</f>
        <v/>
      </c>
      <c r="I1255" s="10">
        <f>IF(COUNT(D1255:F1255)=0,"",MAX(D1255:F1255))</f>
        <v/>
      </c>
      <c r="J1255" s="11">
        <f>IF(OR(G1255="",G1255=0),"",(I1255-G1255)/G1255)</f>
        <v/>
      </c>
      <c r="K1255" s="4">
        <f>IF(COUNT(D1255:F1255)=0,"",INDEX($D$1:$F$1,MATCH(MIN(D1255:F1255),D1255:F1255,0)))</f>
        <v/>
      </c>
      <c r="L1255" s="10" t="n">
        <v>8465.639999999999</v>
      </c>
      <c r="M1255" s="12" t="n">
        <v>1</v>
      </c>
    </row>
    <row r="1256">
      <c r="A1256" s="4" t="inlineStr">
        <is>
          <t>MAT-31-107</t>
        </is>
      </c>
      <c r="B1256" s="5" t="inlineStr">
        <is>
          <t>Unidad Central con Alexa Incluido</t>
        </is>
      </c>
      <c r="C1256" s="4" t="inlineStr">
        <is>
          <t>unidad</t>
        </is>
      </c>
      <c r="D1256" s="10" t="n">
        <v>10846.87</v>
      </c>
      <c r="E1256" s="10" t="n"/>
      <c r="F1256" s="10" t="n"/>
      <c r="G1256" s="10">
        <f>IF(COUNT(D1256:F1256)=0,"",MIN(D1256:F1256))</f>
        <v/>
      </c>
      <c r="H1256" s="10">
        <f>IF(COUNT(D1256:F1256)=0,"",MEDIAN(D1256:F1256))</f>
        <v/>
      </c>
      <c r="I1256" s="10">
        <f>IF(COUNT(D1256:F1256)=0,"",MAX(D1256:F1256))</f>
        <v/>
      </c>
      <c r="J1256" s="11">
        <f>IF(OR(G1256="",G1256=0),"",(I1256-G1256)/G1256)</f>
        <v/>
      </c>
      <c r="K1256" s="4">
        <f>IF(COUNT(D1256:F1256)=0,"",INDEX($D$1:$F$1,MATCH(MIN(D1256:F1256),D1256:F1256,0)))</f>
        <v/>
      </c>
      <c r="L1256" s="10" t="n">
        <v>10846.87</v>
      </c>
      <c r="M1256" s="12" t="n">
        <v>1</v>
      </c>
    </row>
    <row r="1257">
      <c r="A1257" s="4" t="inlineStr">
        <is>
          <t>MAT-31-108</t>
        </is>
      </c>
      <c r="B1257" s="5" t="inlineStr">
        <is>
          <t>Switch PoE Clod Gigabit Ad 24 Poe+2 Ul</t>
        </is>
      </c>
      <c r="C1257" s="4" t="inlineStr">
        <is>
          <t>unidad</t>
        </is>
      </c>
      <c r="D1257" s="10" t="n">
        <v>18998.93</v>
      </c>
      <c r="E1257" s="10" t="n"/>
      <c r="F1257" s="10" t="n"/>
      <c r="G1257" s="10">
        <f>IF(COUNT(D1257:F1257)=0,"",MIN(D1257:F1257))</f>
        <v/>
      </c>
      <c r="H1257" s="10">
        <f>IF(COUNT(D1257:F1257)=0,"",MEDIAN(D1257:F1257))</f>
        <v/>
      </c>
      <c r="I1257" s="10">
        <f>IF(COUNT(D1257:F1257)=0,"",MAX(D1257:F1257))</f>
        <v/>
      </c>
      <c r="J1257" s="11">
        <f>IF(OR(G1257="",G1257=0),"",(I1257-G1257)/G1257)</f>
        <v/>
      </c>
      <c r="K1257" s="4">
        <f>IF(COUNT(D1257:F1257)=0,"",INDEX($D$1:$F$1,MATCH(MIN(D1257:F1257),D1257:F1257,0)))</f>
        <v/>
      </c>
      <c r="L1257" s="10" t="n">
        <v>18998.93</v>
      </c>
      <c r="M1257" s="12" t="n">
        <v>1</v>
      </c>
    </row>
    <row r="1258">
      <c r="A1258" s="4" t="inlineStr">
        <is>
          <t>MAT-31-109</t>
        </is>
      </c>
      <c r="B1258" s="5" t="inlineStr">
        <is>
          <t>Soneria Adicional 2 Hilos</t>
        </is>
      </c>
      <c r="C1258" s="4" t="inlineStr">
        <is>
          <t>unidad</t>
        </is>
      </c>
      <c r="D1258" s="10" t="n">
        <v>537.03</v>
      </c>
      <c r="E1258" s="10" t="n"/>
      <c r="F1258" s="10" t="n"/>
      <c r="G1258" s="10">
        <f>IF(COUNT(D1258:F1258)=0,"",MIN(D1258:F1258))</f>
        <v/>
      </c>
      <c r="H1258" s="10">
        <f>IF(COUNT(D1258:F1258)=0,"",MEDIAN(D1258:F1258))</f>
        <v/>
      </c>
      <c r="I1258" s="10">
        <f>IF(COUNT(D1258:F1258)=0,"",MAX(D1258:F1258))</f>
        <v/>
      </c>
      <c r="J1258" s="11">
        <f>IF(OR(G1258="",G1258=0),"",(I1258-G1258)/G1258)</f>
        <v/>
      </c>
      <c r="K1258" s="4">
        <f>IF(COUNT(D1258:F1258)=0,"",INDEX($D$1:$F$1,MATCH(MIN(D1258:F1258),D1258:F1258,0)))</f>
        <v/>
      </c>
      <c r="L1258" s="10" t="n">
        <v>537.03</v>
      </c>
      <c r="M1258" s="12" t="n">
        <v>1</v>
      </c>
    </row>
    <row r="1259">
      <c r="A1259" s="4" t="inlineStr">
        <is>
          <t>MAT-31-110</t>
        </is>
      </c>
      <c r="B1259" s="5" t="inlineStr">
        <is>
          <t>Unidad para Secreto De Conversacion</t>
        </is>
      </c>
      <c r="C1259" s="4" t="inlineStr">
        <is>
          <t>unidad</t>
        </is>
      </c>
      <c r="D1259" s="10" t="n">
        <v>563.5599999999999</v>
      </c>
      <c r="E1259" s="10" t="n"/>
      <c r="F1259" s="10" t="n"/>
      <c r="G1259" s="10">
        <f>IF(COUNT(D1259:F1259)=0,"",MIN(D1259:F1259))</f>
        <v/>
      </c>
      <c r="H1259" s="10">
        <f>IF(COUNT(D1259:F1259)=0,"",MEDIAN(D1259:F1259))</f>
        <v/>
      </c>
      <c r="I1259" s="10">
        <f>IF(COUNT(D1259:F1259)=0,"",MAX(D1259:F1259))</f>
        <v/>
      </c>
      <c r="J1259" s="11">
        <f>IF(OR(G1259="",G1259=0),"",(I1259-G1259)/G1259)</f>
        <v/>
      </c>
      <c r="K1259" s="4">
        <f>IF(COUNT(D1259:F1259)=0,"",INDEX($D$1:$F$1,MATCH(MIN(D1259:F1259),D1259:F1259,0)))</f>
        <v/>
      </c>
      <c r="L1259" s="10" t="n">
        <v>563.5599999999999</v>
      </c>
      <c r="M1259" s="12" t="n">
        <v>1</v>
      </c>
    </row>
    <row r="1260">
      <c r="A1260" s="4" t="inlineStr">
        <is>
          <t>MAT-31-111</t>
        </is>
      </c>
      <c r="B1260" s="5" t="inlineStr">
        <is>
          <t>Frontal Para Teclado Numerico</t>
        </is>
      </c>
      <c r="C1260" s="4" t="inlineStr">
        <is>
          <t>unidad</t>
        </is>
      </c>
      <c r="D1260" s="10" t="n">
        <v>1085.02</v>
      </c>
      <c r="E1260" s="10" t="n"/>
      <c r="F1260" s="10" t="n"/>
      <c r="G1260" s="10">
        <f>IF(COUNT(D1260:F1260)=0,"",MIN(D1260:F1260))</f>
        <v/>
      </c>
      <c r="H1260" s="10">
        <f>IF(COUNT(D1260:F1260)=0,"",MEDIAN(D1260:F1260))</f>
        <v/>
      </c>
      <c r="I1260" s="10">
        <f>IF(COUNT(D1260:F1260)=0,"",MAX(D1260:F1260))</f>
        <v/>
      </c>
      <c r="J1260" s="11">
        <f>IF(OR(G1260="",G1260=0),"",(I1260-G1260)/G1260)</f>
        <v/>
      </c>
      <c r="K1260" s="4">
        <f>IF(COUNT(D1260:F1260)=0,"",INDEX($D$1:$F$1,MATCH(MIN(D1260:F1260),D1260:F1260,0)))</f>
        <v/>
      </c>
      <c r="L1260" s="10" t="n">
        <v>1085.02</v>
      </c>
      <c r="M1260" s="12" t="n">
        <v>1</v>
      </c>
    </row>
    <row r="1261">
      <c r="A1261" s="4" t="inlineStr">
        <is>
          <t>MAT-31-112</t>
        </is>
      </c>
      <c r="B1261" s="5" t="inlineStr">
        <is>
          <t>Automation Premium Basic Zigbee</t>
        </is>
      </c>
      <c r="C1261" s="4" t="inlineStr">
        <is>
          <t>unidad</t>
        </is>
      </c>
      <c r="D1261" s="10" t="n">
        <v>1143.26</v>
      </c>
      <c r="E1261" s="10" t="n"/>
      <c r="F1261" s="10" t="n"/>
      <c r="G1261" s="10">
        <f>IF(COUNT(D1261:F1261)=0,"",MIN(D1261:F1261))</f>
        <v/>
      </c>
      <c r="H1261" s="10">
        <f>IF(COUNT(D1261:F1261)=0,"",MEDIAN(D1261:F1261))</f>
        <v/>
      </c>
      <c r="I1261" s="10">
        <f>IF(COUNT(D1261:F1261)=0,"",MAX(D1261:F1261))</f>
        <v/>
      </c>
      <c r="J1261" s="11">
        <f>IF(OR(G1261="",G1261=0),"",(I1261-G1261)/G1261)</f>
        <v/>
      </c>
      <c r="K1261" s="4">
        <f>IF(COUNT(D1261:F1261)=0,"",INDEX($D$1:$F$1,MATCH(MIN(D1261:F1261),D1261:F1261,0)))</f>
        <v/>
      </c>
      <c r="L1261" s="10" t="n">
        <v>1143.26</v>
      </c>
      <c r="M1261" s="12" t="n">
        <v>1</v>
      </c>
    </row>
    <row r="1262">
      <c r="A1262" s="4" t="inlineStr">
        <is>
          <t>MAT-31-113</t>
        </is>
      </c>
      <c r="B1262" s="5" t="inlineStr">
        <is>
          <t>Automation Premium D1</t>
        </is>
      </c>
      <c r="C1262" s="4" t="inlineStr">
        <is>
          <t>unidad</t>
        </is>
      </c>
      <c r="D1262" s="10" t="n">
        <v>1145.61</v>
      </c>
      <c r="E1262" s="10" t="n"/>
      <c r="F1262" s="10" t="n"/>
      <c r="G1262" s="10">
        <f>IF(COUNT(D1262:F1262)=0,"",MIN(D1262:F1262))</f>
        <v/>
      </c>
      <c r="H1262" s="10">
        <f>IF(COUNT(D1262:F1262)=0,"",MEDIAN(D1262:F1262))</f>
        <v/>
      </c>
      <c r="I1262" s="10">
        <f>IF(COUNT(D1262:F1262)=0,"",MAX(D1262:F1262))</f>
        <v/>
      </c>
      <c r="J1262" s="11">
        <f>IF(OR(G1262="",G1262=0),"",(I1262-G1262)/G1262)</f>
        <v/>
      </c>
      <c r="K1262" s="4">
        <f>IF(COUNT(D1262:F1262)=0,"",INDEX($D$1:$F$1,MATCH(MIN(D1262:F1262),D1262:F1262,0)))</f>
        <v/>
      </c>
      <c r="L1262" s="10" t="n">
        <v>1145.61</v>
      </c>
      <c r="M1262" s="12" t="n">
        <v>1</v>
      </c>
    </row>
    <row r="1263">
      <c r="A1263" s="4" t="inlineStr">
        <is>
          <t>MAT-31-114</t>
        </is>
      </c>
      <c r="B1263" s="5" t="inlineStr">
        <is>
          <t>Doble Pulsador Serie Modo</t>
        </is>
      </c>
      <c r="C1263" s="4" t="inlineStr">
        <is>
          <t>unidad</t>
        </is>
      </c>
      <c r="D1263" s="10" t="n">
        <v>1210.31</v>
      </c>
      <c r="E1263" s="10" t="n"/>
      <c r="F1263" s="10" t="n"/>
      <c r="G1263" s="10">
        <f>IF(COUNT(D1263:F1263)=0,"",MIN(D1263:F1263))</f>
        <v/>
      </c>
      <c r="H1263" s="10">
        <f>IF(COUNT(D1263:F1263)=0,"",MEDIAN(D1263:F1263))</f>
        <v/>
      </c>
      <c r="I1263" s="10">
        <f>IF(COUNT(D1263:F1263)=0,"",MAX(D1263:F1263))</f>
        <v/>
      </c>
      <c r="J1263" s="11">
        <f>IF(OR(G1263="",G1263=0),"",(I1263-G1263)/G1263)</f>
        <v/>
      </c>
      <c r="K1263" s="4">
        <f>IF(COUNT(D1263:F1263)=0,"",INDEX($D$1:$F$1,MATCH(MIN(D1263:F1263),D1263:F1263,0)))</f>
        <v/>
      </c>
      <c r="L1263" s="10" t="n">
        <v>1210.31</v>
      </c>
      <c r="M1263" s="12" t="n">
        <v>1</v>
      </c>
    </row>
    <row r="1264">
      <c r="A1264" s="4" t="inlineStr">
        <is>
          <t>MAT-31-115</t>
        </is>
      </c>
      <c r="B1264" s="5" t="inlineStr">
        <is>
          <t>Auto Premium Interruptor 2 Ch Blanco</t>
        </is>
      </c>
      <c r="C1264" s="4" t="inlineStr">
        <is>
          <t>unidad</t>
        </is>
      </c>
      <c r="D1264" s="10" t="n">
        <v>1430.53</v>
      </c>
      <c r="E1264" s="10" t="n"/>
      <c r="F1264" s="10" t="n"/>
      <c r="G1264" s="10">
        <f>IF(COUNT(D1264:F1264)=0,"",MIN(D1264:F1264))</f>
        <v/>
      </c>
      <c r="H1264" s="10">
        <f>IF(COUNT(D1264:F1264)=0,"",MEDIAN(D1264:F1264))</f>
        <v/>
      </c>
      <c r="I1264" s="10">
        <f>IF(COUNT(D1264:F1264)=0,"",MAX(D1264:F1264))</f>
        <v/>
      </c>
      <c r="J1264" s="11">
        <f>IF(OR(G1264="",G1264=0),"",(I1264-G1264)/G1264)</f>
        <v/>
      </c>
      <c r="K1264" s="4">
        <f>IF(COUNT(D1264:F1264)=0,"",INDEX($D$1:$F$1,MATCH(MIN(D1264:F1264),D1264:F1264,0)))</f>
        <v/>
      </c>
      <c r="L1264" s="10" t="n">
        <v>1430.53</v>
      </c>
      <c r="M1264" s="12" t="n">
        <v>1</v>
      </c>
    </row>
    <row r="1265">
      <c r="A1265" s="4" t="inlineStr">
        <is>
          <t>MAT-31-116</t>
        </is>
      </c>
      <c r="B1265" s="5" t="inlineStr">
        <is>
          <t>Automation Premium Tomacorriente</t>
        </is>
      </c>
      <c r="C1265" s="4" t="inlineStr">
        <is>
          <t>unidad</t>
        </is>
      </c>
      <c r="D1265" s="10" t="n">
        <v>1516.19</v>
      </c>
      <c r="E1265" s="10" t="n"/>
      <c r="F1265" s="10" t="n"/>
      <c r="G1265" s="10">
        <f>IF(COUNT(D1265:F1265)=0,"",MIN(D1265:F1265))</f>
        <v/>
      </c>
      <c r="H1265" s="10">
        <f>IF(COUNT(D1265:F1265)=0,"",MEDIAN(D1265:F1265))</f>
        <v/>
      </c>
      <c r="I1265" s="10">
        <f>IF(COUNT(D1265:F1265)=0,"",MAX(D1265:F1265))</f>
        <v/>
      </c>
      <c r="J1265" s="11">
        <f>IF(OR(G1265="",G1265=0),"",(I1265-G1265)/G1265)</f>
        <v/>
      </c>
      <c r="K1265" s="4">
        <f>IF(COUNT(D1265:F1265)=0,"",INDEX($D$1:$F$1,MATCH(MIN(D1265:F1265),D1265:F1265,0)))</f>
        <v/>
      </c>
      <c r="L1265" s="10" t="n">
        <v>1516.19</v>
      </c>
      <c r="M1265" s="12" t="n">
        <v>1</v>
      </c>
    </row>
    <row r="1266">
      <c r="A1266" s="4" t="inlineStr">
        <is>
          <t>MAT-31-117</t>
        </is>
      </c>
      <c r="B1266" s="5" t="inlineStr">
        <is>
          <t>Auto Premium Interruptor 1 Ch Black</t>
        </is>
      </c>
      <c r="C1266" s="4" t="inlineStr">
        <is>
          <t>unidad</t>
        </is>
      </c>
      <c r="D1266" s="10" t="n">
        <v>1749.36</v>
      </c>
      <c r="E1266" s="10" t="n"/>
      <c r="F1266" s="10" t="n"/>
      <c r="G1266" s="10">
        <f>IF(COUNT(D1266:F1266)=0,"",MIN(D1266:F1266))</f>
        <v/>
      </c>
      <c r="H1266" s="10">
        <f>IF(COUNT(D1266:F1266)=0,"",MEDIAN(D1266:F1266))</f>
        <v/>
      </c>
      <c r="I1266" s="10">
        <f>IF(COUNT(D1266:F1266)=0,"",MAX(D1266:F1266))</f>
        <v/>
      </c>
      <c r="J1266" s="11">
        <f>IF(OR(G1266="",G1266=0),"",(I1266-G1266)/G1266)</f>
        <v/>
      </c>
      <c r="K1266" s="4">
        <f>IF(COUNT(D1266:F1266)=0,"",INDEX($D$1:$F$1,MATCH(MIN(D1266:F1266),D1266:F1266,0)))</f>
        <v/>
      </c>
      <c r="L1266" s="10" t="n">
        <v>1749.36</v>
      </c>
      <c r="M1266" s="12" t="n">
        <v>1</v>
      </c>
    </row>
    <row r="1267">
      <c r="A1267" s="4" t="inlineStr">
        <is>
          <t>MAT-31-118</t>
        </is>
      </c>
      <c r="B1267" s="5" t="inlineStr">
        <is>
          <t>Derivador Montante Independ.</t>
        </is>
      </c>
      <c r="C1267" s="4" t="inlineStr">
        <is>
          <t>unidad</t>
        </is>
      </c>
      <c r="D1267" s="10" t="n">
        <v>1765.47</v>
      </c>
      <c r="E1267" s="10" t="n"/>
      <c r="F1267" s="10" t="n"/>
      <c r="G1267" s="10">
        <f>IF(COUNT(D1267:F1267)=0,"",MIN(D1267:F1267))</f>
        <v/>
      </c>
      <c r="H1267" s="10">
        <f>IF(COUNT(D1267:F1267)=0,"",MEDIAN(D1267:F1267))</f>
        <v/>
      </c>
      <c r="I1267" s="10">
        <f>IF(COUNT(D1267:F1267)=0,"",MAX(D1267:F1267))</f>
        <v/>
      </c>
      <c r="J1267" s="11">
        <f>IF(OR(G1267="",G1267=0),"",(I1267-G1267)/G1267)</f>
        <v/>
      </c>
      <c r="K1267" s="4">
        <f>IF(COUNT(D1267:F1267)=0,"",INDEX($D$1:$F$1,MATCH(MIN(D1267:F1267),D1267:F1267,0)))</f>
        <v/>
      </c>
      <c r="L1267" s="10" t="n">
        <v>1765.47</v>
      </c>
      <c r="M1267" s="12" t="n">
        <v>1</v>
      </c>
    </row>
    <row r="1268">
      <c r="A1268" s="4" t="inlineStr">
        <is>
          <t>MAT-31-119</t>
        </is>
      </c>
      <c r="B1268" s="5" t="inlineStr">
        <is>
          <t>Auto Premium Interruptor 2 Ch Negro</t>
        </is>
      </c>
      <c r="C1268" s="4" t="inlineStr">
        <is>
          <t>unidad</t>
        </is>
      </c>
      <c r="D1268" s="10" t="n">
        <v>1856.15</v>
      </c>
      <c r="E1268" s="10" t="n"/>
      <c r="F1268" s="10" t="n"/>
      <c r="G1268" s="10">
        <f>IF(COUNT(D1268:F1268)=0,"",MIN(D1268:F1268))</f>
        <v/>
      </c>
      <c r="H1268" s="10">
        <f>IF(COUNT(D1268:F1268)=0,"",MEDIAN(D1268:F1268))</f>
        <v/>
      </c>
      <c r="I1268" s="10">
        <f>IF(COUNT(D1268:F1268)=0,"",MAX(D1268:F1268))</f>
        <v/>
      </c>
      <c r="J1268" s="11">
        <f>IF(OR(G1268="",G1268=0),"",(I1268-G1268)/G1268)</f>
        <v/>
      </c>
      <c r="K1268" s="4">
        <f>IF(COUNT(D1268:F1268)=0,"",INDEX($D$1:$F$1,MATCH(MIN(D1268:F1268),D1268:F1268,0)))</f>
        <v/>
      </c>
      <c r="L1268" s="10" t="n">
        <v>1856.15</v>
      </c>
      <c r="M1268" s="12" t="n">
        <v>1</v>
      </c>
    </row>
    <row r="1269">
      <c r="A1269" s="4" t="inlineStr">
        <is>
          <t>MAT-31-120</t>
        </is>
      </c>
      <c r="B1269" s="5" t="inlineStr">
        <is>
          <t>Auto Premium Interruptor 3 Ch Negro</t>
        </is>
      </c>
      <c r="C1269" s="4" t="inlineStr">
        <is>
          <t>unidad</t>
        </is>
      </c>
      <c r="D1269" s="10" t="n">
        <v>2071.9</v>
      </c>
      <c r="E1269" s="10" t="n"/>
      <c r="F1269" s="10" t="n"/>
      <c r="G1269" s="10">
        <f>IF(COUNT(D1269:F1269)=0,"",MIN(D1269:F1269))</f>
        <v/>
      </c>
      <c r="H1269" s="10">
        <f>IF(COUNT(D1269:F1269)=0,"",MEDIAN(D1269:F1269))</f>
        <v/>
      </c>
      <c r="I1269" s="10">
        <f>IF(COUNT(D1269:F1269)=0,"",MAX(D1269:F1269))</f>
        <v/>
      </c>
      <c r="J1269" s="11">
        <f>IF(OR(G1269="",G1269=0),"",(I1269-G1269)/G1269)</f>
        <v/>
      </c>
      <c r="K1269" s="4">
        <f>IF(COUNT(D1269:F1269)=0,"",INDEX($D$1:$F$1,MATCH(MIN(D1269:F1269),D1269:F1269,0)))</f>
        <v/>
      </c>
      <c r="L1269" s="10" t="n">
        <v>2071.9</v>
      </c>
      <c r="M1269" s="12" t="n">
        <v>1</v>
      </c>
    </row>
    <row r="1270">
      <c r="A1270" s="4" t="inlineStr">
        <is>
          <t>MAT-31-121</t>
        </is>
      </c>
      <c r="B1270" s="5" t="inlineStr">
        <is>
          <t>Marco Soporte 2 Modulos</t>
        </is>
      </c>
      <c r="C1270" s="4" t="inlineStr">
        <is>
          <t>unidad</t>
        </is>
      </c>
      <c r="D1270" s="10" t="n">
        <v>2164.34</v>
      </c>
      <c r="E1270" s="10" t="n"/>
      <c r="F1270" s="10" t="n"/>
      <c r="G1270" s="10">
        <f>IF(COUNT(D1270:F1270)=0,"",MIN(D1270:F1270))</f>
        <v/>
      </c>
      <c r="H1270" s="10">
        <f>IF(COUNT(D1270:F1270)=0,"",MEDIAN(D1270:F1270))</f>
        <v/>
      </c>
      <c r="I1270" s="10">
        <f>IF(COUNT(D1270:F1270)=0,"",MAX(D1270:F1270))</f>
        <v/>
      </c>
      <c r="J1270" s="11">
        <f>IF(OR(G1270="",G1270=0),"",(I1270-G1270)/G1270)</f>
        <v/>
      </c>
      <c r="K1270" s="4">
        <f>IF(COUNT(D1270:F1270)=0,"",INDEX($D$1:$F$1,MATCH(MIN(D1270:F1270),D1270:F1270,0)))</f>
        <v/>
      </c>
      <c r="L1270" s="10" t="n">
        <v>2164.34</v>
      </c>
      <c r="M1270" s="12" t="n">
        <v>1</v>
      </c>
    </row>
    <row r="1271">
      <c r="A1271" s="4" t="inlineStr">
        <is>
          <t>MAT-31-122</t>
        </is>
      </c>
      <c r="B1271" s="5" t="inlineStr">
        <is>
          <t>Dispositivo Wifi 4 Ch 10A / 15A</t>
        </is>
      </c>
      <c r="C1271" s="4" t="inlineStr">
        <is>
          <t>unidad</t>
        </is>
      </c>
      <c r="D1271" s="10" t="n">
        <v>2604.57</v>
      </c>
      <c r="E1271" s="10" t="n"/>
      <c r="F1271" s="10" t="n"/>
      <c r="G1271" s="10">
        <f>IF(COUNT(D1271:F1271)=0,"",MIN(D1271:F1271))</f>
        <v/>
      </c>
      <c r="H1271" s="10">
        <f>IF(COUNT(D1271:F1271)=0,"",MEDIAN(D1271:F1271))</f>
        <v/>
      </c>
      <c r="I1271" s="10">
        <f>IF(COUNT(D1271:F1271)=0,"",MAX(D1271:F1271))</f>
        <v/>
      </c>
      <c r="J1271" s="11">
        <f>IF(OR(G1271="",G1271=0),"",(I1271-G1271)/G1271)</f>
        <v/>
      </c>
      <c r="K1271" s="4">
        <f>IF(COUNT(D1271:F1271)=0,"",INDEX($D$1:$F$1,MATCH(MIN(D1271:F1271),D1271:F1271,0)))</f>
        <v/>
      </c>
      <c r="L1271" s="10" t="n">
        <v>2675.27</v>
      </c>
      <c r="M1271" s="12" t="n">
        <v>1</v>
      </c>
    </row>
    <row r="1272">
      <c r="A1272" s="4" t="inlineStr">
        <is>
          <t>MAT-31-123</t>
        </is>
      </c>
      <c r="B1272" s="5" t="inlineStr">
        <is>
          <t>Dispositivo Wifi Multifuncion 15A</t>
        </is>
      </c>
      <c r="C1272" s="4" t="inlineStr">
        <is>
          <t>unidad</t>
        </is>
      </c>
      <c r="D1272" s="10" t="n">
        <v>2878.17</v>
      </c>
      <c r="E1272" s="10" t="n"/>
      <c r="F1272" s="10" t="n"/>
      <c r="G1272" s="10">
        <f>IF(COUNT(D1272:F1272)=0,"",MIN(D1272:F1272))</f>
        <v/>
      </c>
      <c r="H1272" s="10">
        <f>IF(COUNT(D1272:F1272)=0,"",MEDIAN(D1272:F1272))</f>
        <v/>
      </c>
      <c r="I1272" s="10">
        <f>IF(COUNT(D1272:F1272)=0,"",MAX(D1272:F1272))</f>
        <v/>
      </c>
      <c r="J1272" s="11">
        <f>IF(OR(G1272="",G1272=0),"",(I1272-G1272)/G1272)</f>
        <v/>
      </c>
      <c r="K1272" s="4">
        <f>IF(COUNT(D1272:F1272)=0,"",INDEX($D$1:$F$1,MATCH(MIN(D1272:F1272),D1272:F1272,0)))</f>
        <v/>
      </c>
      <c r="L1272" s="10" t="n">
        <v>2878.17</v>
      </c>
      <c r="M1272" s="12" t="n">
        <v>1</v>
      </c>
    </row>
    <row r="1273">
      <c r="A1273" s="4" t="inlineStr">
        <is>
          <t>MAT-31-124</t>
        </is>
      </c>
      <c r="B1273" s="5" t="inlineStr">
        <is>
          <t>Smart Home Hub</t>
        </is>
      </c>
      <c r="C1273" s="4" t="inlineStr">
        <is>
          <t>unidad</t>
        </is>
      </c>
      <c r="D1273" s="10" t="n">
        <v>2234.38</v>
      </c>
      <c r="E1273" s="10" t="n"/>
      <c r="F1273" s="10" t="n"/>
      <c r="G1273" s="10">
        <f>IF(COUNT(D1273:F1273)=0,"",MIN(D1273:F1273))</f>
        <v/>
      </c>
      <c r="H1273" s="10">
        <f>IF(COUNT(D1273:F1273)=0,"",MEDIAN(D1273:F1273))</f>
        <v/>
      </c>
      <c r="I1273" s="10">
        <f>IF(COUNT(D1273:F1273)=0,"",MAX(D1273:F1273))</f>
        <v/>
      </c>
      <c r="J1273" s="11">
        <f>IF(OR(G1273="",G1273=0),"",(I1273-G1273)/G1273)</f>
        <v/>
      </c>
      <c r="K1273" s="4">
        <f>IF(COUNT(D1273:F1273)=0,"",INDEX($D$1:$F$1,MATCH(MIN(D1273:F1273),D1273:F1273,0)))</f>
        <v/>
      </c>
      <c r="L1273" s="10" t="n">
        <v>3719.96</v>
      </c>
      <c r="M1273" s="12" t="n">
        <v>1</v>
      </c>
    </row>
    <row r="1274">
      <c r="A1274" s="4" t="inlineStr">
        <is>
          <t>MAT-31-125</t>
        </is>
      </c>
      <c r="B1274" s="5" t="inlineStr">
        <is>
          <t>Accesorios para Instalacion 2 Modulo Interc</t>
        </is>
      </c>
      <c r="C1274" s="4" t="inlineStr">
        <is>
          <t>unidad</t>
        </is>
      </c>
      <c r="D1274" s="10" t="n">
        <v>5396.45</v>
      </c>
      <c r="E1274" s="10" t="n"/>
      <c r="F1274" s="10" t="n"/>
      <c r="G1274" s="10">
        <f>IF(COUNT(D1274:F1274)=0,"",MIN(D1274:F1274))</f>
        <v/>
      </c>
      <c r="H1274" s="10">
        <f>IF(COUNT(D1274:F1274)=0,"",MEDIAN(D1274:F1274))</f>
        <v/>
      </c>
      <c r="I1274" s="10">
        <f>IF(COUNT(D1274:F1274)=0,"",MAX(D1274:F1274))</f>
        <v/>
      </c>
      <c r="J1274" s="11">
        <f>IF(OR(G1274="",G1274=0),"",(I1274-G1274)/G1274)</f>
        <v/>
      </c>
      <c r="K1274" s="4">
        <f>IF(COUNT(D1274:F1274)=0,"",INDEX($D$1:$F$1,MATCH(MIN(D1274:F1274),D1274:F1274,0)))</f>
        <v/>
      </c>
      <c r="L1274" s="10" t="n">
        <v>5396.45</v>
      </c>
      <c r="M1274" s="12" t="n">
        <v>1</v>
      </c>
    </row>
    <row r="1275">
      <c r="A1275" s="4" t="inlineStr">
        <is>
          <t>MAT-31-126</t>
        </is>
      </c>
      <c r="B1275" s="5" t="inlineStr">
        <is>
          <t>Video intercom Modulo Estacion Puerta</t>
        </is>
      </c>
      <c r="C1275" s="4" t="inlineStr">
        <is>
          <t>unidad</t>
        </is>
      </c>
      <c r="D1275" s="10" t="n">
        <v>9883.620000000001</v>
      </c>
      <c r="E1275" s="10" t="n"/>
      <c r="F1275" s="10" t="n"/>
      <c r="G1275" s="10">
        <f>IF(COUNT(D1275:F1275)=0,"",MIN(D1275:F1275))</f>
        <v/>
      </c>
      <c r="H1275" s="10">
        <f>IF(COUNT(D1275:F1275)=0,"",MEDIAN(D1275:F1275))</f>
        <v/>
      </c>
      <c r="I1275" s="10">
        <f>IF(COUNT(D1275:F1275)=0,"",MAX(D1275:F1275))</f>
        <v/>
      </c>
      <c r="J1275" s="11">
        <f>IF(OR(G1275="",G1275=0),"",(I1275-G1275)/G1275)</f>
        <v/>
      </c>
      <c r="K1275" s="4">
        <f>IF(COUNT(D1275:F1275)=0,"",INDEX($D$1:$F$1,MATCH(MIN(D1275:F1275),D1275:F1275,0)))</f>
        <v/>
      </c>
      <c r="L1275" s="10" t="n">
        <v>9883.620000000001</v>
      </c>
      <c r="M1275" s="12" t="n">
        <v>1</v>
      </c>
    </row>
    <row r="1276">
      <c r="A1276" s="4" t="inlineStr">
        <is>
          <t>MAT-31-127</t>
        </is>
      </c>
      <c r="B1276" s="5" t="inlineStr">
        <is>
          <t>Intercom Video 7" Adic 4 Haddit</t>
        </is>
      </c>
      <c r="C1276" s="4" t="inlineStr">
        <is>
          <t>unidad</t>
        </is>
      </c>
      <c r="D1276" s="10" t="n">
        <v>11519.81</v>
      </c>
      <c r="E1276" s="10" t="n"/>
      <c r="F1276" s="10" t="n"/>
      <c r="G1276" s="10">
        <f>IF(COUNT(D1276:F1276)=0,"",MIN(D1276:F1276))</f>
        <v/>
      </c>
      <c r="H1276" s="10">
        <f>IF(COUNT(D1276:F1276)=0,"",MEDIAN(D1276:F1276))</f>
        <v/>
      </c>
      <c r="I1276" s="10">
        <f>IF(COUNT(D1276:F1276)=0,"",MAX(D1276:F1276))</f>
        <v/>
      </c>
      <c r="J1276" s="11">
        <f>IF(OR(G1276="",G1276=0),"",(I1276-G1276)/G1276)</f>
        <v/>
      </c>
      <c r="K1276" s="4">
        <f>IF(COUNT(D1276:F1276)=0,"",INDEX($D$1:$F$1,MATCH(MIN(D1276:F1276),D1276:F1276,0)))</f>
        <v/>
      </c>
      <c r="L1276" s="10" t="n">
        <v>11519.81</v>
      </c>
      <c r="M1276" s="12" t="n">
        <v>1</v>
      </c>
    </row>
    <row r="1277">
      <c r="A1277" s="4" t="inlineStr">
        <is>
          <t>MAT-31-128</t>
        </is>
      </c>
      <c r="B1277" s="5" t="inlineStr">
        <is>
          <t>Temporizador Semanal Plena</t>
        </is>
      </c>
      <c r="C1277" s="4" t="inlineStr">
        <is>
          <t>unidad</t>
        </is>
      </c>
      <c r="D1277" s="10" t="n">
        <v>39743.82</v>
      </c>
      <c r="E1277" s="10" t="n"/>
      <c r="F1277" s="10" t="n"/>
      <c r="G1277" s="10">
        <f>IF(COUNT(D1277:F1277)=0,"",MIN(D1277:F1277))</f>
        <v/>
      </c>
      <c r="H1277" s="10">
        <f>IF(COUNT(D1277:F1277)=0,"",MEDIAN(D1277:F1277))</f>
        <v/>
      </c>
      <c r="I1277" s="10">
        <f>IF(COUNT(D1277:F1277)=0,"",MAX(D1277:F1277))</f>
        <v/>
      </c>
      <c r="J1277" s="11">
        <f>IF(OR(G1277="",G1277=0),"",(I1277-G1277)/G1277)</f>
        <v/>
      </c>
      <c r="K1277" s="4">
        <f>IF(COUNT(D1277:F1277)=0,"",INDEX($D$1:$F$1,MATCH(MIN(D1277:F1277),D1277:F1277,0)))</f>
        <v/>
      </c>
      <c r="L1277" s="10" t="n">
        <v>39743.82</v>
      </c>
      <c r="M1277" s="12" t="n">
        <v>1</v>
      </c>
    </row>
    <row r="1278">
      <c r="A1278" s="4" t="inlineStr">
        <is>
          <t>MAT-31-129</t>
        </is>
      </c>
      <c r="B1278" s="5" t="inlineStr">
        <is>
          <t>Gestor De Mensajes Plena</t>
        </is>
      </c>
      <c r="C1278" s="4" t="inlineStr">
        <is>
          <t>unidad</t>
        </is>
      </c>
      <c r="D1278" s="10" t="n">
        <v>40282.58</v>
      </c>
      <c r="E1278" s="10" t="n"/>
      <c r="F1278" s="10" t="n"/>
      <c r="G1278" s="10">
        <f>IF(COUNT(D1278:F1278)=0,"",MIN(D1278:F1278))</f>
        <v/>
      </c>
      <c r="H1278" s="10">
        <f>IF(COUNT(D1278:F1278)=0,"",MEDIAN(D1278:F1278))</f>
        <v/>
      </c>
      <c r="I1278" s="10">
        <f>IF(COUNT(D1278:F1278)=0,"",MAX(D1278:F1278))</f>
        <v/>
      </c>
      <c r="J1278" s="11">
        <f>IF(OR(G1278="",G1278=0),"",(I1278-G1278)/G1278)</f>
        <v/>
      </c>
      <c r="K1278" s="4">
        <f>IF(COUNT(D1278:F1278)=0,"",INDEX($D$1:$F$1,MATCH(MIN(D1278:F1278),D1278:F1278,0)))</f>
        <v/>
      </c>
      <c r="L1278" s="10" t="n">
        <v>40282.58</v>
      </c>
      <c r="M1278" s="12" t="n">
        <v>1</v>
      </c>
    </row>
    <row r="1279">
      <c r="A1279" s="4" t="inlineStr">
        <is>
          <t>MAT-31-130</t>
        </is>
      </c>
      <c r="B1279" s="5" t="inlineStr">
        <is>
          <t>Plena Matrix Mezclador 8 Canales</t>
        </is>
      </c>
      <c r="C1279" s="4" t="inlineStr">
        <is>
          <t>unidad</t>
        </is>
      </c>
      <c r="D1279" s="10" t="n">
        <v>59719.34</v>
      </c>
      <c r="E1279" s="10" t="n"/>
      <c r="F1279" s="10" t="n"/>
      <c r="G1279" s="10">
        <f>IF(COUNT(D1279:F1279)=0,"",MIN(D1279:F1279))</f>
        <v/>
      </c>
      <c r="H1279" s="10">
        <f>IF(COUNT(D1279:F1279)=0,"",MEDIAN(D1279:F1279))</f>
        <v/>
      </c>
      <c r="I1279" s="10">
        <f>IF(COUNT(D1279:F1279)=0,"",MAX(D1279:F1279))</f>
        <v/>
      </c>
      <c r="J1279" s="11">
        <f>IF(OR(G1279="",G1279=0),"",(I1279-G1279)/G1279)</f>
        <v/>
      </c>
      <c r="K1279" s="4">
        <f>IF(COUNT(D1279:F1279)=0,"",INDEX($D$1:$F$1,MATCH(MIN(D1279:F1279),D1279:F1279,0)))</f>
        <v/>
      </c>
      <c r="L1279" s="10" t="n">
        <v>59719.34</v>
      </c>
      <c r="M1279" s="12" t="n">
        <v>1</v>
      </c>
    </row>
    <row r="1281">
      <c r="A1281"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282"/>
  </sheetData>
  <autoFilter ref="A1:M1279"/>
  <mergeCells count="1">
    <mergeCell ref="A1281:M128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IF($A8="","",IFERROR(INDEX('Catálogo'!$D$2:$D$1567,MATCH($A8,'Catálogo'!$A$2:$A$1567,0)),"código no encontrado"))</f>
        <v/>
      </c>
      <c r="C8" s="4">
        <f>IF($A8="","",IFERROR(INDEX('Catálogo'!$H$2:$H$1567,MATCH($A8,'Catálogo'!$A$2:$A$1567,0)),"código no encontrado"))</f>
        <v/>
      </c>
      <c r="D8" s="4">
        <f>IF($A8="","",IFERROR(INDEX('Catálogo'!$I$2:$I$1567,MATCH($A8,'Catálogo'!$A$2:$A$1567,0)),"código no encontrado"))</f>
        <v/>
      </c>
      <c r="E8" s="15" t="n">
        <v>100</v>
      </c>
      <c r="F8" s="10">
        <f>IF($A8="","",IFERROR(INDEX('Catálogo'!$N$2:$N$1567,MATCH($A8,'Catálogo'!$A$2:$A$1567,0)),"código no encontrado"))</f>
        <v/>
      </c>
      <c r="G8" s="10">
        <f>IF(OR($E8="",$F8="",NOT(ISNUMBER($F8))),"",$E8*$F8)</f>
        <v/>
      </c>
      <c r="H8" s="4">
        <f>IF($A8="","",IFERROR(INDEX('Catálogo'!$Q$2:$Q$1567,MATCH($A8,'Catálogo'!$A$2:$A$1567,0)),"código no encontrado"))</f>
        <v/>
      </c>
      <c r="I8" s="10">
        <f>IF($G8="","",IF($H8="Sí",ROUND($G8/1.18,2),$G8))</f>
        <v/>
      </c>
      <c r="J8" s="14" t="inlineStr">
        <is>
          <t>fila de ejemplo — bórrela</t>
        </is>
      </c>
    </row>
    <row r="9">
      <c r="A9" s="14" t="n"/>
      <c r="B9" s="5">
        <f>IF($A9="","",IFERROR(INDEX('Catálogo'!$D$2:$D$1567,MATCH($A9,'Catálogo'!$A$2:$A$1567,0)),"código no encontrado"))</f>
        <v/>
      </c>
      <c r="C9" s="4">
        <f>IF($A9="","",IFERROR(INDEX('Catálogo'!$H$2:$H$1567,MATCH($A9,'Catálogo'!$A$2:$A$1567,0)),"código no encontrado"))</f>
        <v/>
      </c>
      <c r="D9" s="4">
        <f>IF($A9="","",IFERROR(INDEX('Catálogo'!$I$2:$I$1567,MATCH($A9,'Catálogo'!$A$2:$A$1567,0)),"código no encontrado"))</f>
        <v/>
      </c>
      <c r="E9" s="15" t="n"/>
      <c r="F9" s="10">
        <f>IF($A9="","",IFERROR(INDEX('Catálogo'!$N$2:$N$1567,MATCH($A9,'Catálogo'!$A$2:$A$1567,0)),"código no encontrado"))</f>
        <v/>
      </c>
      <c r="G9" s="10">
        <f>IF(OR($E9="",$F9="",NOT(ISNUMBER($F9))),"",$E9*$F9)</f>
        <v/>
      </c>
      <c r="H9" s="4">
        <f>IF($A9="","",IFERROR(INDEX('Catálogo'!$Q$2:$Q$1567,MATCH($A9,'Catálogo'!$A$2:$A$1567,0)),"código no encontrado"))</f>
        <v/>
      </c>
      <c r="I9" s="10">
        <f>IF($G9="","",IF($H9="Sí",ROUND($G9/1.18,2),$G9))</f>
        <v/>
      </c>
      <c r="J9" s="14" t="n"/>
    </row>
    <row r="10">
      <c r="A10" s="14" t="n"/>
      <c r="B10" s="5">
        <f>IF($A10="","",IFERROR(INDEX('Catálogo'!$D$2:$D$1567,MATCH($A10,'Catálogo'!$A$2:$A$1567,0)),"código no encontrado"))</f>
        <v/>
      </c>
      <c r="C10" s="4">
        <f>IF($A10="","",IFERROR(INDEX('Catálogo'!$H$2:$H$1567,MATCH($A10,'Catálogo'!$A$2:$A$1567,0)),"código no encontrado"))</f>
        <v/>
      </c>
      <c r="D10" s="4">
        <f>IF($A10="","",IFERROR(INDEX('Catálogo'!$I$2:$I$1567,MATCH($A10,'Catálogo'!$A$2:$A$1567,0)),"código no encontrado"))</f>
        <v/>
      </c>
      <c r="E10" s="15" t="n"/>
      <c r="F10" s="10">
        <f>IF($A10="","",IFERROR(INDEX('Catálogo'!$N$2:$N$1567,MATCH($A10,'Catálogo'!$A$2:$A$1567,0)),"código no encontrado"))</f>
        <v/>
      </c>
      <c r="G10" s="10">
        <f>IF(OR($E10="",$F10="",NOT(ISNUMBER($F10))),"",$E10*$F10)</f>
        <v/>
      </c>
      <c r="H10" s="4">
        <f>IF($A10="","",IFERROR(INDEX('Catálogo'!$Q$2:$Q$1567,MATCH($A10,'Catálogo'!$A$2:$A$1567,0)),"código no encontrado"))</f>
        <v/>
      </c>
      <c r="I10" s="10">
        <f>IF($G10="","",IF($H10="Sí",ROUND($G10/1.18,2),$G10))</f>
        <v/>
      </c>
      <c r="J10" s="14" t="n"/>
    </row>
    <row r="11">
      <c r="A11" s="14" t="n"/>
      <c r="B11" s="5">
        <f>IF($A11="","",IFERROR(INDEX('Catálogo'!$D$2:$D$1567,MATCH($A11,'Catálogo'!$A$2:$A$1567,0)),"código no encontrado"))</f>
        <v/>
      </c>
      <c r="C11" s="4">
        <f>IF($A11="","",IFERROR(INDEX('Catálogo'!$H$2:$H$1567,MATCH($A11,'Catálogo'!$A$2:$A$1567,0)),"código no encontrado"))</f>
        <v/>
      </c>
      <c r="D11" s="4">
        <f>IF($A11="","",IFERROR(INDEX('Catálogo'!$I$2:$I$1567,MATCH($A11,'Catálogo'!$A$2:$A$1567,0)),"código no encontrado"))</f>
        <v/>
      </c>
      <c r="E11" s="15" t="n"/>
      <c r="F11" s="10">
        <f>IF($A11="","",IFERROR(INDEX('Catálogo'!$N$2:$N$1567,MATCH($A11,'Catálogo'!$A$2:$A$1567,0)),"código no encontrado"))</f>
        <v/>
      </c>
      <c r="G11" s="10">
        <f>IF(OR($E11="",$F11="",NOT(ISNUMBER($F11))),"",$E11*$F11)</f>
        <v/>
      </c>
      <c r="H11" s="4">
        <f>IF($A11="","",IFERROR(INDEX('Catálogo'!$Q$2:$Q$1567,MATCH($A11,'Catálogo'!$A$2:$A$1567,0)),"código no encontrado"))</f>
        <v/>
      </c>
      <c r="I11" s="10">
        <f>IF($G11="","",IF($H11="Sí",ROUND($G11/1.18,2),$G11))</f>
        <v/>
      </c>
      <c r="J11" s="14" t="n"/>
    </row>
    <row r="12">
      <c r="A12" s="14" t="n"/>
      <c r="B12" s="5">
        <f>IF($A12="","",IFERROR(INDEX('Catálogo'!$D$2:$D$1567,MATCH($A12,'Catálogo'!$A$2:$A$1567,0)),"código no encontrado"))</f>
        <v/>
      </c>
      <c r="C12" s="4">
        <f>IF($A12="","",IFERROR(INDEX('Catálogo'!$H$2:$H$1567,MATCH($A12,'Catálogo'!$A$2:$A$1567,0)),"código no encontrado"))</f>
        <v/>
      </c>
      <c r="D12" s="4">
        <f>IF($A12="","",IFERROR(INDEX('Catálogo'!$I$2:$I$1567,MATCH($A12,'Catálogo'!$A$2:$A$1567,0)),"código no encontrado"))</f>
        <v/>
      </c>
      <c r="E12" s="15" t="n"/>
      <c r="F12" s="10">
        <f>IF($A12="","",IFERROR(INDEX('Catálogo'!$N$2:$N$1567,MATCH($A12,'Catálogo'!$A$2:$A$1567,0)),"código no encontrado"))</f>
        <v/>
      </c>
      <c r="G12" s="10">
        <f>IF(OR($E12="",$F12="",NOT(ISNUMBER($F12))),"",$E12*$F12)</f>
        <v/>
      </c>
      <c r="H12" s="4">
        <f>IF($A12="","",IFERROR(INDEX('Catálogo'!$Q$2:$Q$1567,MATCH($A12,'Catálogo'!$A$2:$A$1567,0)),"código no encontrado"))</f>
        <v/>
      </c>
      <c r="I12" s="10">
        <f>IF($G12="","",IF($H12="Sí",ROUND($G12/1.18,2),$G12))</f>
        <v/>
      </c>
      <c r="J12" s="14" t="n"/>
    </row>
    <row r="13">
      <c r="A13" s="14" t="n"/>
      <c r="B13" s="5">
        <f>IF($A13="","",IFERROR(INDEX('Catálogo'!$D$2:$D$1567,MATCH($A13,'Catálogo'!$A$2:$A$1567,0)),"código no encontrado"))</f>
        <v/>
      </c>
      <c r="C13" s="4">
        <f>IF($A13="","",IFERROR(INDEX('Catálogo'!$H$2:$H$1567,MATCH($A13,'Catálogo'!$A$2:$A$1567,0)),"código no encontrado"))</f>
        <v/>
      </c>
      <c r="D13" s="4">
        <f>IF($A13="","",IFERROR(INDEX('Catálogo'!$I$2:$I$1567,MATCH($A13,'Catálogo'!$A$2:$A$1567,0)),"código no encontrado"))</f>
        <v/>
      </c>
      <c r="E13" s="15" t="n"/>
      <c r="F13" s="10">
        <f>IF($A13="","",IFERROR(INDEX('Catálogo'!$N$2:$N$1567,MATCH($A13,'Catálogo'!$A$2:$A$1567,0)),"código no encontrado"))</f>
        <v/>
      </c>
      <c r="G13" s="10">
        <f>IF(OR($E13="",$F13="",NOT(ISNUMBER($F13))),"",$E13*$F13)</f>
        <v/>
      </c>
      <c r="H13" s="4">
        <f>IF($A13="","",IFERROR(INDEX('Catálogo'!$Q$2:$Q$1567,MATCH($A13,'Catálogo'!$A$2:$A$1567,0)),"código no encontrado"))</f>
        <v/>
      </c>
      <c r="I13" s="10">
        <f>IF($G13="","",IF($H13="Sí",ROUND($G13/1.18,2),$G13))</f>
        <v/>
      </c>
      <c r="J13" s="14" t="n"/>
    </row>
    <row r="14">
      <c r="A14" s="14" t="n"/>
      <c r="B14" s="5">
        <f>IF($A14="","",IFERROR(INDEX('Catálogo'!$D$2:$D$1567,MATCH($A14,'Catálogo'!$A$2:$A$1567,0)),"código no encontrado"))</f>
        <v/>
      </c>
      <c r="C14" s="4">
        <f>IF($A14="","",IFERROR(INDEX('Catálogo'!$H$2:$H$1567,MATCH($A14,'Catálogo'!$A$2:$A$1567,0)),"código no encontrado"))</f>
        <v/>
      </c>
      <c r="D14" s="4">
        <f>IF($A14="","",IFERROR(INDEX('Catálogo'!$I$2:$I$1567,MATCH($A14,'Catálogo'!$A$2:$A$1567,0)),"código no encontrado"))</f>
        <v/>
      </c>
      <c r="E14" s="15" t="n"/>
      <c r="F14" s="10">
        <f>IF($A14="","",IFERROR(INDEX('Catálogo'!$N$2:$N$1567,MATCH($A14,'Catálogo'!$A$2:$A$1567,0)),"código no encontrado"))</f>
        <v/>
      </c>
      <c r="G14" s="10">
        <f>IF(OR($E14="",$F14="",NOT(ISNUMBER($F14))),"",$E14*$F14)</f>
        <v/>
      </c>
      <c r="H14" s="4">
        <f>IF($A14="","",IFERROR(INDEX('Catálogo'!$Q$2:$Q$1567,MATCH($A14,'Catálogo'!$A$2:$A$1567,0)),"código no encontrado"))</f>
        <v/>
      </c>
      <c r="I14" s="10">
        <f>IF($G14="","",IF($H14="Sí",ROUND($G14/1.18,2),$G14))</f>
        <v/>
      </c>
      <c r="J14" s="14" t="n"/>
    </row>
    <row r="15">
      <c r="A15" s="14" t="n"/>
      <c r="B15" s="5">
        <f>IF($A15="","",IFERROR(INDEX('Catálogo'!$D$2:$D$1567,MATCH($A15,'Catálogo'!$A$2:$A$1567,0)),"código no encontrado"))</f>
        <v/>
      </c>
      <c r="C15" s="4">
        <f>IF($A15="","",IFERROR(INDEX('Catálogo'!$H$2:$H$1567,MATCH($A15,'Catálogo'!$A$2:$A$1567,0)),"código no encontrado"))</f>
        <v/>
      </c>
      <c r="D15" s="4">
        <f>IF($A15="","",IFERROR(INDEX('Catálogo'!$I$2:$I$1567,MATCH($A15,'Catálogo'!$A$2:$A$1567,0)),"código no encontrado"))</f>
        <v/>
      </c>
      <c r="E15" s="15" t="n"/>
      <c r="F15" s="10">
        <f>IF($A15="","",IFERROR(INDEX('Catálogo'!$N$2:$N$1567,MATCH($A15,'Catálogo'!$A$2:$A$1567,0)),"código no encontrado"))</f>
        <v/>
      </c>
      <c r="G15" s="10">
        <f>IF(OR($E15="",$F15="",NOT(ISNUMBER($F15))),"",$E15*$F15)</f>
        <v/>
      </c>
      <c r="H15" s="4">
        <f>IF($A15="","",IFERROR(INDEX('Catálogo'!$Q$2:$Q$1567,MATCH($A15,'Catálogo'!$A$2:$A$1567,0)),"código no encontrado"))</f>
        <v/>
      </c>
      <c r="I15" s="10">
        <f>IF($G15="","",IF($H15="Sí",ROUND($G15/1.18,2),$G15))</f>
        <v/>
      </c>
      <c r="J15" s="14" t="n"/>
    </row>
    <row r="16">
      <c r="A16" s="14" t="n"/>
      <c r="B16" s="5">
        <f>IF($A16="","",IFERROR(INDEX('Catálogo'!$D$2:$D$1567,MATCH($A16,'Catálogo'!$A$2:$A$1567,0)),"código no encontrado"))</f>
        <v/>
      </c>
      <c r="C16" s="4">
        <f>IF($A16="","",IFERROR(INDEX('Catálogo'!$H$2:$H$1567,MATCH($A16,'Catálogo'!$A$2:$A$1567,0)),"código no encontrado"))</f>
        <v/>
      </c>
      <c r="D16" s="4">
        <f>IF($A16="","",IFERROR(INDEX('Catálogo'!$I$2:$I$1567,MATCH($A16,'Catálogo'!$A$2:$A$1567,0)),"código no encontrado"))</f>
        <v/>
      </c>
      <c r="E16" s="15" t="n"/>
      <c r="F16" s="10">
        <f>IF($A16="","",IFERROR(INDEX('Catálogo'!$N$2:$N$1567,MATCH($A16,'Catálogo'!$A$2:$A$1567,0)),"código no encontrado"))</f>
        <v/>
      </c>
      <c r="G16" s="10">
        <f>IF(OR($E16="",$F16="",NOT(ISNUMBER($F16))),"",$E16*$F16)</f>
        <v/>
      </c>
      <c r="H16" s="4">
        <f>IF($A16="","",IFERROR(INDEX('Catálogo'!$Q$2:$Q$1567,MATCH($A16,'Catálogo'!$A$2:$A$1567,0)),"código no encontrado"))</f>
        <v/>
      </c>
      <c r="I16" s="10">
        <f>IF($G16="","",IF($H16="Sí",ROUND($G16/1.18,2),$G16))</f>
        <v/>
      </c>
      <c r="J16" s="14" t="n"/>
    </row>
    <row r="17">
      <c r="A17" s="14" t="n"/>
      <c r="B17" s="5">
        <f>IF($A17="","",IFERROR(INDEX('Catálogo'!$D$2:$D$1567,MATCH($A17,'Catálogo'!$A$2:$A$1567,0)),"código no encontrado"))</f>
        <v/>
      </c>
      <c r="C17" s="4">
        <f>IF($A17="","",IFERROR(INDEX('Catálogo'!$H$2:$H$1567,MATCH($A17,'Catálogo'!$A$2:$A$1567,0)),"código no encontrado"))</f>
        <v/>
      </c>
      <c r="D17" s="4">
        <f>IF($A17="","",IFERROR(INDEX('Catálogo'!$I$2:$I$1567,MATCH($A17,'Catálogo'!$A$2:$A$1567,0)),"código no encontrado"))</f>
        <v/>
      </c>
      <c r="E17" s="15" t="n"/>
      <c r="F17" s="10">
        <f>IF($A17="","",IFERROR(INDEX('Catálogo'!$N$2:$N$1567,MATCH($A17,'Catálogo'!$A$2:$A$1567,0)),"código no encontrado"))</f>
        <v/>
      </c>
      <c r="G17" s="10">
        <f>IF(OR($E17="",$F17="",NOT(ISNUMBER($F17))),"",$E17*$F17)</f>
        <v/>
      </c>
      <c r="H17" s="4">
        <f>IF($A17="","",IFERROR(INDEX('Catálogo'!$Q$2:$Q$1567,MATCH($A17,'Catálogo'!$A$2:$A$1567,0)),"código no encontrado"))</f>
        <v/>
      </c>
      <c r="I17" s="10">
        <f>IF($G17="","",IF($H17="Sí",ROUND($G17/1.18,2),$G17))</f>
        <v/>
      </c>
      <c r="J17" s="14" t="n"/>
    </row>
    <row r="18">
      <c r="A18" s="14" t="n"/>
      <c r="B18" s="5">
        <f>IF($A18="","",IFERROR(INDEX('Catálogo'!$D$2:$D$1567,MATCH($A18,'Catálogo'!$A$2:$A$1567,0)),"código no encontrado"))</f>
        <v/>
      </c>
      <c r="C18" s="4">
        <f>IF($A18="","",IFERROR(INDEX('Catálogo'!$H$2:$H$1567,MATCH($A18,'Catálogo'!$A$2:$A$1567,0)),"código no encontrado"))</f>
        <v/>
      </c>
      <c r="D18" s="4">
        <f>IF($A18="","",IFERROR(INDEX('Catálogo'!$I$2:$I$1567,MATCH($A18,'Catálogo'!$A$2:$A$1567,0)),"código no encontrado"))</f>
        <v/>
      </c>
      <c r="E18" s="15" t="n"/>
      <c r="F18" s="10">
        <f>IF($A18="","",IFERROR(INDEX('Catálogo'!$N$2:$N$1567,MATCH($A18,'Catálogo'!$A$2:$A$1567,0)),"código no encontrado"))</f>
        <v/>
      </c>
      <c r="G18" s="10">
        <f>IF(OR($E18="",$F18="",NOT(ISNUMBER($F18))),"",$E18*$F18)</f>
        <v/>
      </c>
      <c r="H18" s="4">
        <f>IF($A18="","",IFERROR(INDEX('Catálogo'!$Q$2:$Q$1567,MATCH($A18,'Catálogo'!$A$2:$A$1567,0)),"código no encontrado"))</f>
        <v/>
      </c>
      <c r="I18" s="10">
        <f>IF($G18="","",IF($H18="Sí",ROUND($G18/1.18,2),$G18))</f>
        <v/>
      </c>
      <c r="J18" s="14" t="n"/>
    </row>
    <row r="19">
      <c r="A19" s="14" t="n"/>
      <c r="B19" s="5">
        <f>IF($A19="","",IFERROR(INDEX('Catálogo'!$D$2:$D$1567,MATCH($A19,'Catálogo'!$A$2:$A$1567,0)),"código no encontrado"))</f>
        <v/>
      </c>
      <c r="C19" s="4">
        <f>IF($A19="","",IFERROR(INDEX('Catálogo'!$H$2:$H$1567,MATCH($A19,'Catálogo'!$A$2:$A$1567,0)),"código no encontrado"))</f>
        <v/>
      </c>
      <c r="D19" s="4">
        <f>IF($A19="","",IFERROR(INDEX('Catálogo'!$I$2:$I$1567,MATCH($A19,'Catálogo'!$A$2:$A$1567,0)),"código no encontrado"))</f>
        <v/>
      </c>
      <c r="E19" s="15" t="n"/>
      <c r="F19" s="10">
        <f>IF($A19="","",IFERROR(INDEX('Catálogo'!$N$2:$N$1567,MATCH($A19,'Catálogo'!$A$2:$A$1567,0)),"código no encontrado"))</f>
        <v/>
      </c>
      <c r="G19" s="10">
        <f>IF(OR($E19="",$F19="",NOT(ISNUMBER($F19))),"",$E19*$F19)</f>
        <v/>
      </c>
      <c r="H19" s="4">
        <f>IF($A19="","",IFERROR(INDEX('Catálogo'!$Q$2:$Q$1567,MATCH($A19,'Catálogo'!$A$2:$A$1567,0)),"código no encontrado"))</f>
        <v/>
      </c>
      <c r="I19" s="10">
        <f>IF($G19="","",IF($H19="Sí",ROUND($G19/1.18,2),$G19))</f>
        <v/>
      </c>
      <c r="J19" s="14" t="n"/>
    </row>
    <row r="20">
      <c r="A20" s="14" t="n"/>
      <c r="B20" s="5">
        <f>IF($A20="","",IFERROR(INDEX('Catálogo'!$D$2:$D$1567,MATCH($A20,'Catálogo'!$A$2:$A$1567,0)),"código no encontrado"))</f>
        <v/>
      </c>
      <c r="C20" s="4">
        <f>IF($A20="","",IFERROR(INDEX('Catálogo'!$H$2:$H$1567,MATCH($A20,'Catálogo'!$A$2:$A$1567,0)),"código no encontrado"))</f>
        <v/>
      </c>
      <c r="D20" s="4">
        <f>IF($A20="","",IFERROR(INDEX('Catálogo'!$I$2:$I$1567,MATCH($A20,'Catálogo'!$A$2:$A$1567,0)),"código no encontrado"))</f>
        <v/>
      </c>
      <c r="E20" s="15" t="n"/>
      <c r="F20" s="10">
        <f>IF($A20="","",IFERROR(INDEX('Catálogo'!$N$2:$N$1567,MATCH($A20,'Catálogo'!$A$2:$A$1567,0)),"código no encontrado"))</f>
        <v/>
      </c>
      <c r="G20" s="10">
        <f>IF(OR($E20="",$F20="",NOT(ISNUMBER($F20))),"",$E20*$F20)</f>
        <v/>
      </c>
      <c r="H20" s="4">
        <f>IF($A20="","",IFERROR(INDEX('Catálogo'!$Q$2:$Q$1567,MATCH($A20,'Catálogo'!$A$2:$A$1567,0)),"código no encontrado"))</f>
        <v/>
      </c>
      <c r="I20" s="10">
        <f>IF($G20="","",IF($H20="Sí",ROUND($G20/1.18,2),$G20))</f>
        <v/>
      </c>
      <c r="J20" s="14" t="n"/>
    </row>
    <row r="21">
      <c r="A21" s="14" t="n"/>
      <c r="B21" s="5">
        <f>IF($A21="","",IFERROR(INDEX('Catálogo'!$D$2:$D$1567,MATCH($A21,'Catálogo'!$A$2:$A$1567,0)),"código no encontrado"))</f>
        <v/>
      </c>
      <c r="C21" s="4">
        <f>IF($A21="","",IFERROR(INDEX('Catálogo'!$H$2:$H$1567,MATCH($A21,'Catálogo'!$A$2:$A$1567,0)),"código no encontrado"))</f>
        <v/>
      </c>
      <c r="D21" s="4">
        <f>IF($A21="","",IFERROR(INDEX('Catálogo'!$I$2:$I$1567,MATCH($A21,'Catálogo'!$A$2:$A$1567,0)),"código no encontrado"))</f>
        <v/>
      </c>
      <c r="E21" s="15" t="n"/>
      <c r="F21" s="10">
        <f>IF($A21="","",IFERROR(INDEX('Catálogo'!$N$2:$N$1567,MATCH($A21,'Catálogo'!$A$2:$A$1567,0)),"código no encontrado"))</f>
        <v/>
      </c>
      <c r="G21" s="10">
        <f>IF(OR($E21="",$F21="",NOT(ISNUMBER($F21))),"",$E21*$F21)</f>
        <v/>
      </c>
      <c r="H21" s="4">
        <f>IF($A21="","",IFERROR(INDEX('Catálogo'!$Q$2:$Q$1567,MATCH($A21,'Catálogo'!$A$2:$A$1567,0)),"código no encontrado"))</f>
        <v/>
      </c>
      <c r="I21" s="10">
        <f>IF($G21="","",IF($H21="Sí",ROUND($G21/1.18,2),$G21))</f>
        <v/>
      </c>
      <c r="J21" s="14" t="n"/>
    </row>
    <row r="22">
      <c r="A22" s="14" t="n"/>
      <c r="B22" s="5">
        <f>IF($A22="","",IFERROR(INDEX('Catálogo'!$D$2:$D$1567,MATCH($A22,'Catálogo'!$A$2:$A$1567,0)),"código no encontrado"))</f>
        <v/>
      </c>
      <c r="C22" s="4">
        <f>IF($A22="","",IFERROR(INDEX('Catálogo'!$H$2:$H$1567,MATCH($A22,'Catálogo'!$A$2:$A$1567,0)),"código no encontrado"))</f>
        <v/>
      </c>
      <c r="D22" s="4">
        <f>IF($A22="","",IFERROR(INDEX('Catálogo'!$I$2:$I$1567,MATCH($A22,'Catálogo'!$A$2:$A$1567,0)),"código no encontrado"))</f>
        <v/>
      </c>
      <c r="E22" s="15" t="n"/>
      <c r="F22" s="10">
        <f>IF($A22="","",IFERROR(INDEX('Catálogo'!$N$2:$N$1567,MATCH($A22,'Catálogo'!$A$2:$A$1567,0)),"código no encontrado"))</f>
        <v/>
      </c>
      <c r="G22" s="10">
        <f>IF(OR($E22="",$F22="",NOT(ISNUMBER($F22))),"",$E22*$F22)</f>
        <v/>
      </c>
      <c r="H22" s="4">
        <f>IF($A22="","",IFERROR(INDEX('Catálogo'!$Q$2:$Q$1567,MATCH($A22,'Catálogo'!$A$2:$A$1567,0)),"código no encontrado"))</f>
        <v/>
      </c>
      <c r="I22" s="10">
        <f>IF($G22="","",IF($H22="Sí",ROUND($G22/1.18,2),$G22))</f>
        <v/>
      </c>
      <c r="J22" s="14" t="n"/>
    </row>
    <row r="23">
      <c r="A23" s="14" t="n"/>
      <c r="B23" s="5">
        <f>IF($A23="","",IFERROR(INDEX('Catálogo'!$D$2:$D$1567,MATCH($A23,'Catálogo'!$A$2:$A$1567,0)),"código no encontrado"))</f>
        <v/>
      </c>
      <c r="C23" s="4">
        <f>IF($A23="","",IFERROR(INDEX('Catálogo'!$H$2:$H$1567,MATCH($A23,'Catálogo'!$A$2:$A$1567,0)),"código no encontrado"))</f>
        <v/>
      </c>
      <c r="D23" s="4">
        <f>IF($A23="","",IFERROR(INDEX('Catálogo'!$I$2:$I$1567,MATCH($A23,'Catálogo'!$A$2:$A$1567,0)),"código no encontrado"))</f>
        <v/>
      </c>
      <c r="E23" s="15" t="n"/>
      <c r="F23" s="10">
        <f>IF($A23="","",IFERROR(INDEX('Catálogo'!$N$2:$N$1567,MATCH($A23,'Catálogo'!$A$2:$A$1567,0)),"código no encontrado"))</f>
        <v/>
      </c>
      <c r="G23" s="10">
        <f>IF(OR($E23="",$F23="",NOT(ISNUMBER($F23))),"",$E23*$F23)</f>
        <v/>
      </c>
      <c r="H23" s="4">
        <f>IF($A23="","",IFERROR(INDEX('Catálogo'!$Q$2:$Q$1567,MATCH($A23,'Catálogo'!$A$2:$A$1567,0)),"código no encontrado"))</f>
        <v/>
      </c>
      <c r="I23" s="10">
        <f>IF($G23="","",IF($H23="Sí",ROUND($G23/1.18,2),$G23))</f>
        <v/>
      </c>
      <c r="J23" s="14" t="n"/>
    </row>
    <row r="24">
      <c r="A24" s="14" t="n"/>
      <c r="B24" s="5">
        <f>IF($A24="","",IFERROR(INDEX('Catálogo'!$D$2:$D$1567,MATCH($A24,'Catálogo'!$A$2:$A$1567,0)),"código no encontrado"))</f>
        <v/>
      </c>
      <c r="C24" s="4">
        <f>IF($A24="","",IFERROR(INDEX('Catálogo'!$H$2:$H$1567,MATCH($A24,'Catálogo'!$A$2:$A$1567,0)),"código no encontrado"))</f>
        <v/>
      </c>
      <c r="D24" s="4">
        <f>IF($A24="","",IFERROR(INDEX('Catálogo'!$I$2:$I$1567,MATCH($A24,'Catálogo'!$A$2:$A$1567,0)),"código no encontrado"))</f>
        <v/>
      </c>
      <c r="E24" s="15" t="n"/>
      <c r="F24" s="10">
        <f>IF($A24="","",IFERROR(INDEX('Catálogo'!$N$2:$N$1567,MATCH($A24,'Catálogo'!$A$2:$A$1567,0)),"código no encontrado"))</f>
        <v/>
      </c>
      <c r="G24" s="10">
        <f>IF(OR($E24="",$F24="",NOT(ISNUMBER($F24))),"",$E24*$F24)</f>
        <v/>
      </c>
      <c r="H24" s="4">
        <f>IF($A24="","",IFERROR(INDEX('Catálogo'!$Q$2:$Q$1567,MATCH($A24,'Catálogo'!$A$2:$A$1567,0)),"código no encontrado"))</f>
        <v/>
      </c>
      <c r="I24" s="10">
        <f>IF($G24="","",IF($H24="Sí",ROUND($G24/1.18,2),$G24))</f>
        <v/>
      </c>
      <c r="J24" s="14" t="n"/>
    </row>
    <row r="25">
      <c r="A25" s="14" t="n"/>
      <c r="B25" s="5">
        <f>IF($A25="","",IFERROR(INDEX('Catálogo'!$D$2:$D$1567,MATCH($A25,'Catálogo'!$A$2:$A$1567,0)),"código no encontrado"))</f>
        <v/>
      </c>
      <c r="C25" s="4">
        <f>IF($A25="","",IFERROR(INDEX('Catálogo'!$H$2:$H$1567,MATCH($A25,'Catálogo'!$A$2:$A$1567,0)),"código no encontrado"))</f>
        <v/>
      </c>
      <c r="D25" s="4">
        <f>IF($A25="","",IFERROR(INDEX('Catálogo'!$I$2:$I$1567,MATCH($A25,'Catálogo'!$A$2:$A$1567,0)),"código no encontrado"))</f>
        <v/>
      </c>
      <c r="E25" s="15" t="n"/>
      <c r="F25" s="10">
        <f>IF($A25="","",IFERROR(INDEX('Catálogo'!$N$2:$N$1567,MATCH($A25,'Catálogo'!$A$2:$A$1567,0)),"código no encontrado"))</f>
        <v/>
      </c>
      <c r="G25" s="10">
        <f>IF(OR($E25="",$F25="",NOT(ISNUMBER($F25))),"",$E25*$F25)</f>
        <v/>
      </c>
      <c r="H25" s="4">
        <f>IF($A25="","",IFERROR(INDEX('Catálogo'!$Q$2:$Q$1567,MATCH($A25,'Catálogo'!$A$2:$A$1567,0)),"código no encontrado"))</f>
        <v/>
      </c>
      <c r="I25" s="10">
        <f>IF($G25="","",IF($H25="Sí",ROUND($G25/1.18,2),$G25))</f>
        <v/>
      </c>
      <c r="J25" s="14" t="n"/>
    </row>
    <row r="26">
      <c r="A26" s="14" t="n"/>
      <c r="B26" s="5">
        <f>IF($A26="","",IFERROR(INDEX('Catálogo'!$D$2:$D$1567,MATCH($A26,'Catálogo'!$A$2:$A$1567,0)),"código no encontrado"))</f>
        <v/>
      </c>
      <c r="C26" s="4">
        <f>IF($A26="","",IFERROR(INDEX('Catálogo'!$H$2:$H$1567,MATCH($A26,'Catálogo'!$A$2:$A$1567,0)),"código no encontrado"))</f>
        <v/>
      </c>
      <c r="D26" s="4">
        <f>IF($A26="","",IFERROR(INDEX('Catálogo'!$I$2:$I$1567,MATCH($A26,'Catálogo'!$A$2:$A$1567,0)),"código no encontrado"))</f>
        <v/>
      </c>
      <c r="E26" s="15" t="n"/>
      <c r="F26" s="10">
        <f>IF($A26="","",IFERROR(INDEX('Catálogo'!$N$2:$N$1567,MATCH($A26,'Catálogo'!$A$2:$A$1567,0)),"código no encontrado"))</f>
        <v/>
      </c>
      <c r="G26" s="10">
        <f>IF(OR($E26="",$F26="",NOT(ISNUMBER($F26))),"",$E26*$F26)</f>
        <v/>
      </c>
      <c r="H26" s="4">
        <f>IF($A26="","",IFERROR(INDEX('Catálogo'!$Q$2:$Q$1567,MATCH($A26,'Catálogo'!$A$2:$A$1567,0)),"código no encontrado"))</f>
        <v/>
      </c>
      <c r="I26" s="10">
        <f>IF($G26="","",IF($H26="Sí",ROUND($G26/1.18,2),$G26))</f>
        <v/>
      </c>
      <c r="J26" s="14" t="n"/>
    </row>
    <row r="27">
      <c r="A27" s="14" t="n"/>
      <c r="B27" s="5">
        <f>IF($A27="","",IFERROR(INDEX('Catálogo'!$D$2:$D$1567,MATCH($A27,'Catálogo'!$A$2:$A$1567,0)),"código no encontrado"))</f>
        <v/>
      </c>
      <c r="C27" s="4">
        <f>IF($A27="","",IFERROR(INDEX('Catálogo'!$H$2:$H$1567,MATCH($A27,'Catálogo'!$A$2:$A$1567,0)),"código no encontrado"))</f>
        <v/>
      </c>
      <c r="D27" s="4">
        <f>IF($A27="","",IFERROR(INDEX('Catálogo'!$I$2:$I$1567,MATCH($A27,'Catálogo'!$A$2:$A$1567,0)),"código no encontrado"))</f>
        <v/>
      </c>
      <c r="E27" s="15" t="n"/>
      <c r="F27" s="10">
        <f>IF($A27="","",IFERROR(INDEX('Catálogo'!$N$2:$N$1567,MATCH($A27,'Catálogo'!$A$2:$A$1567,0)),"código no encontrado"))</f>
        <v/>
      </c>
      <c r="G27" s="10">
        <f>IF(OR($E27="",$F27="",NOT(ISNUMBER($F27))),"",$E27*$F27)</f>
        <v/>
      </c>
      <c r="H27" s="4">
        <f>IF($A27="","",IFERROR(INDEX('Catálogo'!$Q$2:$Q$1567,MATCH($A27,'Catálogo'!$A$2:$A$1567,0)),"código no encontrado"))</f>
        <v/>
      </c>
      <c r="I27" s="10">
        <f>IF($G27="","",IF($H27="Sí",ROUND($G27/1.18,2),$G27))</f>
        <v/>
      </c>
      <c r="J27" s="14" t="n"/>
    </row>
    <row r="28">
      <c r="A28" s="14" t="n"/>
      <c r="B28" s="5">
        <f>IF($A28="","",IFERROR(INDEX('Catálogo'!$D$2:$D$1567,MATCH($A28,'Catálogo'!$A$2:$A$1567,0)),"código no encontrado"))</f>
        <v/>
      </c>
      <c r="C28" s="4">
        <f>IF($A28="","",IFERROR(INDEX('Catálogo'!$H$2:$H$1567,MATCH($A28,'Catálogo'!$A$2:$A$1567,0)),"código no encontrado"))</f>
        <v/>
      </c>
      <c r="D28" s="4">
        <f>IF($A28="","",IFERROR(INDEX('Catálogo'!$I$2:$I$1567,MATCH($A28,'Catálogo'!$A$2:$A$1567,0)),"código no encontrado"))</f>
        <v/>
      </c>
      <c r="E28" s="15" t="n"/>
      <c r="F28" s="10">
        <f>IF($A28="","",IFERROR(INDEX('Catálogo'!$N$2:$N$1567,MATCH($A28,'Catálogo'!$A$2:$A$1567,0)),"código no encontrado"))</f>
        <v/>
      </c>
      <c r="G28" s="10">
        <f>IF(OR($E28="",$F28="",NOT(ISNUMBER($F28))),"",$E28*$F28)</f>
        <v/>
      </c>
      <c r="H28" s="4">
        <f>IF($A28="","",IFERROR(INDEX('Catálogo'!$Q$2:$Q$1567,MATCH($A28,'Catálogo'!$A$2:$A$1567,0)),"código no encontrado"))</f>
        <v/>
      </c>
      <c r="I28" s="10">
        <f>IF($G28="","",IF($H28="Sí",ROUND($G28/1.18,2),$G28))</f>
        <v/>
      </c>
      <c r="J28" s="14" t="n"/>
    </row>
    <row r="29">
      <c r="A29" s="14" t="n"/>
      <c r="B29" s="5">
        <f>IF($A29="","",IFERROR(INDEX('Catálogo'!$D$2:$D$1567,MATCH($A29,'Catálogo'!$A$2:$A$1567,0)),"código no encontrado"))</f>
        <v/>
      </c>
      <c r="C29" s="4">
        <f>IF($A29="","",IFERROR(INDEX('Catálogo'!$H$2:$H$1567,MATCH($A29,'Catálogo'!$A$2:$A$1567,0)),"código no encontrado"))</f>
        <v/>
      </c>
      <c r="D29" s="4">
        <f>IF($A29="","",IFERROR(INDEX('Catálogo'!$I$2:$I$1567,MATCH($A29,'Catálogo'!$A$2:$A$1567,0)),"código no encontrado"))</f>
        <v/>
      </c>
      <c r="E29" s="15" t="n"/>
      <c r="F29" s="10">
        <f>IF($A29="","",IFERROR(INDEX('Catálogo'!$N$2:$N$1567,MATCH($A29,'Catálogo'!$A$2:$A$1567,0)),"código no encontrado"))</f>
        <v/>
      </c>
      <c r="G29" s="10">
        <f>IF(OR($E29="",$F29="",NOT(ISNUMBER($F29))),"",$E29*$F29)</f>
        <v/>
      </c>
      <c r="H29" s="4">
        <f>IF($A29="","",IFERROR(INDEX('Catálogo'!$Q$2:$Q$1567,MATCH($A29,'Catálogo'!$A$2:$A$1567,0)),"código no encontrado"))</f>
        <v/>
      </c>
      <c r="I29" s="10">
        <f>IF($G29="","",IF($H29="Sí",ROUND($G29/1.18,2),$G29))</f>
        <v/>
      </c>
      <c r="J29" s="14" t="n"/>
    </row>
    <row r="30">
      <c r="A30" s="14" t="n"/>
      <c r="B30" s="5">
        <f>IF($A30="","",IFERROR(INDEX('Catálogo'!$D$2:$D$1567,MATCH($A30,'Catálogo'!$A$2:$A$1567,0)),"código no encontrado"))</f>
        <v/>
      </c>
      <c r="C30" s="4">
        <f>IF($A30="","",IFERROR(INDEX('Catálogo'!$H$2:$H$1567,MATCH($A30,'Catálogo'!$A$2:$A$1567,0)),"código no encontrado"))</f>
        <v/>
      </c>
      <c r="D30" s="4">
        <f>IF($A30="","",IFERROR(INDEX('Catálogo'!$I$2:$I$1567,MATCH($A30,'Catálogo'!$A$2:$A$1567,0)),"código no encontrado"))</f>
        <v/>
      </c>
      <c r="E30" s="15" t="n"/>
      <c r="F30" s="10">
        <f>IF($A30="","",IFERROR(INDEX('Catálogo'!$N$2:$N$1567,MATCH($A30,'Catálogo'!$A$2:$A$1567,0)),"código no encontrado"))</f>
        <v/>
      </c>
      <c r="G30" s="10">
        <f>IF(OR($E30="",$F30="",NOT(ISNUMBER($F30))),"",$E30*$F30)</f>
        <v/>
      </c>
      <c r="H30" s="4">
        <f>IF($A30="","",IFERROR(INDEX('Catálogo'!$Q$2:$Q$1567,MATCH($A30,'Catálogo'!$A$2:$A$1567,0)),"código no encontrado"))</f>
        <v/>
      </c>
      <c r="I30" s="10">
        <f>IF($G30="","",IF($H30="Sí",ROUND($G30/1.18,2),$G30))</f>
        <v/>
      </c>
      <c r="J30" s="14" t="n"/>
    </row>
    <row r="31">
      <c r="A31" s="14" t="n"/>
      <c r="B31" s="5">
        <f>IF($A31="","",IFERROR(INDEX('Catálogo'!$D$2:$D$1567,MATCH($A31,'Catálogo'!$A$2:$A$1567,0)),"código no encontrado"))</f>
        <v/>
      </c>
      <c r="C31" s="4">
        <f>IF($A31="","",IFERROR(INDEX('Catálogo'!$H$2:$H$1567,MATCH($A31,'Catálogo'!$A$2:$A$1567,0)),"código no encontrado"))</f>
        <v/>
      </c>
      <c r="D31" s="4">
        <f>IF($A31="","",IFERROR(INDEX('Catálogo'!$I$2:$I$1567,MATCH($A31,'Catálogo'!$A$2:$A$1567,0)),"código no encontrado"))</f>
        <v/>
      </c>
      <c r="E31" s="15" t="n"/>
      <c r="F31" s="10">
        <f>IF($A31="","",IFERROR(INDEX('Catálogo'!$N$2:$N$1567,MATCH($A31,'Catálogo'!$A$2:$A$1567,0)),"código no encontrado"))</f>
        <v/>
      </c>
      <c r="G31" s="10">
        <f>IF(OR($E31="",$F31="",NOT(ISNUMBER($F31))),"",$E31*$F31)</f>
        <v/>
      </c>
      <c r="H31" s="4">
        <f>IF($A31="","",IFERROR(INDEX('Catálogo'!$Q$2:$Q$1567,MATCH($A31,'Catálogo'!$A$2:$A$1567,0)),"código no encontrado"))</f>
        <v/>
      </c>
      <c r="I31" s="10">
        <f>IF($G31="","",IF($H31="Sí",ROUND($G31/1.18,2),$G31))</f>
        <v/>
      </c>
      <c r="J31" s="14" t="n"/>
    </row>
    <row r="32">
      <c r="A32" s="14" t="n"/>
      <c r="B32" s="5">
        <f>IF($A32="","",IFERROR(INDEX('Catálogo'!$D$2:$D$1567,MATCH($A32,'Catálogo'!$A$2:$A$1567,0)),"código no encontrado"))</f>
        <v/>
      </c>
      <c r="C32" s="4">
        <f>IF($A32="","",IFERROR(INDEX('Catálogo'!$H$2:$H$1567,MATCH($A32,'Catálogo'!$A$2:$A$1567,0)),"código no encontrado"))</f>
        <v/>
      </c>
      <c r="D32" s="4">
        <f>IF($A32="","",IFERROR(INDEX('Catálogo'!$I$2:$I$1567,MATCH($A32,'Catálogo'!$A$2:$A$1567,0)),"código no encontrado"))</f>
        <v/>
      </c>
      <c r="E32" s="15" t="n"/>
      <c r="F32" s="10">
        <f>IF($A32="","",IFERROR(INDEX('Catálogo'!$N$2:$N$1567,MATCH($A32,'Catálogo'!$A$2:$A$1567,0)),"código no encontrado"))</f>
        <v/>
      </c>
      <c r="G32" s="10">
        <f>IF(OR($E32="",$F32="",NOT(ISNUMBER($F32))),"",$E32*$F32)</f>
        <v/>
      </c>
      <c r="H32" s="4">
        <f>IF($A32="","",IFERROR(INDEX('Catálogo'!$Q$2:$Q$1567,MATCH($A32,'Catálogo'!$A$2:$A$1567,0)),"código no encontrado"))</f>
        <v/>
      </c>
      <c r="I32" s="10">
        <f>IF($G32="","",IF($H32="Sí",ROUND($G32/1.18,2),$G32))</f>
        <v/>
      </c>
      <c r="J32" s="14" t="n"/>
    </row>
    <row r="33">
      <c r="A33" s="14" t="n"/>
      <c r="B33" s="5">
        <f>IF($A33="","",IFERROR(INDEX('Catálogo'!$D$2:$D$1567,MATCH($A33,'Catálogo'!$A$2:$A$1567,0)),"código no encontrado"))</f>
        <v/>
      </c>
      <c r="C33" s="4">
        <f>IF($A33="","",IFERROR(INDEX('Catálogo'!$H$2:$H$1567,MATCH($A33,'Catálogo'!$A$2:$A$1567,0)),"código no encontrado"))</f>
        <v/>
      </c>
      <c r="D33" s="4">
        <f>IF($A33="","",IFERROR(INDEX('Catálogo'!$I$2:$I$1567,MATCH($A33,'Catálogo'!$A$2:$A$1567,0)),"código no encontrado"))</f>
        <v/>
      </c>
      <c r="E33" s="15" t="n"/>
      <c r="F33" s="10">
        <f>IF($A33="","",IFERROR(INDEX('Catálogo'!$N$2:$N$1567,MATCH($A33,'Catálogo'!$A$2:$A$1567,0)),"código no encontrado"))</f>
        <v/>
      </c>
      <c r="G33" s="10">
        <f>IF(OR($E33="",$F33="",NOT(ISNUMBER($F33))),"",$E33*$F33)</f>
        <v/>
      </c>
      <c r="H33" s="4">
        <f>IF($A33="","",IFERROR(INDEX('Catálogo'!$Q$2:$Q$1567,MATCH($A33,'Catálogo'!$A$2:$A$1567,0)),"código no encontrado"))</f>
        <v/>
      </c>
      <c r="I33" s="10">
        <f>IF($G33="","",IF($H33="Sí",ROUND($G33/1.18,2),$G33))</f>
        <v/>
      </c>
      <c r="J33" s="14" t="n"/>
    </row>
    <row r="34">
      <c r="A34" s="14" t="n"/>
      <c r="B34" s="5">
        <f>IF($A34="","",IFERROR(INDEX('Catálogo'!$D$2:$D$1567,MATCH($A34,'Catálogo'!$A$2:$A$1567,0)),"código no encontrado"))</f>
        <v/>
      </c>
      <c r="C34" s="4">
        <f>IF($A34="","",IFERROR(INDEX('Catálogo'!$H$2:$H$1567,MATCH($A34,'Catálogo'!$A$2:$A$1567,0)),"código no encontrado"))</f>
        <v/>
      </c>
      <c r="D34" s="4">
        <f>IF($A34="","",IFERROR(INDEX('Catálogo'!$I$2:$I$1567,MATCH($A34,'Catálogo'!$A$2:$A$1567,0)),"código no encontrado"))</f>
        <v/>
      </c>
      <c r="E34" s="15" t="n"/>
      <c r="F34" s="10">
        <f>IF($A34="","",IFERROR(INDEX('Catálogo'!$N$2:$N$1567,MATCH($A34,'Catálogo'!$A$2:$A$1567,0)),"código no encontrado"))</f>
        <v/>
      </c>
      <c r="G34" s="10">
        <f>IF(OR($E34="",$F34="",NOT(ISNUMBER($F34))),"",$E34*$F34)</f>
        <v/>
      </c>
      <c r="H34" s="4">
        <f>IF($A34="","",IFERROR(INDEX('Catálogo'!$Q$2:$Q$1567,MATCH($A34,'Catálogo'!$A$2:$A$1567,0)),"código no encontrado"))</f>
        <v/>
      </c>
      <c r="I34" s="10">
        <f>IF($G34="","",IF($H34="Sí",ROUND($G34/1.18,2),$G34))</f>
        <v/>
      </c>
      <c r="J34" s="14" t="n"/>
    </row>
    <row r="35">
      <c r="A35" s="14" t="n"/>
      <c r="B35" s="5">
        <f>IF($A35="","",IFERROR(INDEX('Catálogo'!$D$2:$D$1567,MATCH($A35,'Catálogo'!$A$2:$A$1567,0)),"código no encontrado"))</f>
        <v/>
      </c>
      <c r="C35" s="4">
        <f>IF($A35="","",IFERROR(INDEX('Catálogo'!$H$2:$H$1567,MATCH($A35,'Catálogo'!$A$2:$A$1567,0)),"código no encontrado"))</f>
        <v/>
      </c>
      <c r="D35" s="4">
        <f>IF($A35="","",IFERROR(INDEX('Catálogo'!$I$2:$I$1567,MATCH($A35,'Catálogo'!$A$2:$A$1567,0)),"código no encontrado"))</f>
        <v/>
      </c>
      <c r="E35" s="15" t="n"/>
      <c r="F35" s="10">
        <f>IF($A35="","",IFERROR(INDEX('Catálogo'!$N$2:$N$1567,MATCH($A35,'Catálogo'!$A$2:$A$1567,0)),"código no encontrado"))</f>
        <v/>
      </c>
      <c r="G35" s="10">
        <f>IF(OR($E35="",$F35="",NOT(ISNUMBER($F35))),"",$E35*$F35)</f>
        <v/>
      </c>
      <c r="H35" s="4">
        <f>IF($A35="","",IFERROR(INDEX('Catálogo'!$Q$2:$Q$1567,MATCH($A35,'Catálogo'!$A$2:$A$1567,0)),"código no encontrado"))</f>
        <v/>
      </c>
      <c r="I35" s="10">
        <f>IF($G35="","",IF($H35="Sí",ROUND($G35/1.18,2),$G35))</f>
        <v/>
      </c>
      <c r="J35" s="14" t="n"/>
    </row>
    <row r="36">
      <c r="A36" s="14" t="n"/>
      <c r="B36" s="5">
        <f>IF($A36="","",IFERROR(INDEX('Catálogo'!$D$2:$D$1567,MATCH($A36,'Catálogo'!$A$2:$A$1567,0)),"código no encontrado"))</f>
        <v/>
      </c>
      <c r="C36" s="4">
        <f>IF($A36="","",IFERROR(INDEX('Catálogo'!$H$2:$H$1567,MATCH($A36,'Catálogo'!$A$2:$A$1567,0)),"código no encontrado"))</f>
        <v/>
      </c>
      <c r="D36" s="4">
        <f>IF($A36="","",IFERROR(INDEX('Catálogo'!$I$2:$I$1567,MATCH($A36,'Catálogo'!$A$2:$A$1567,0)),"código no encontrado"))</f>
        <v/>
      </c>
      <c r="E36" s="15" t="n"/>
      <c r="F36" s="10">
        <f>IF($A36="","",IFERROR(INDEX('Catálogo'!$N$2:$N$1567,MATCH($A36,'Catálogo'!$A$2:$A$1567,0)),"código no encontrado"))</f>
        <v/>
      </c>
      <c r="G36" s="10">
        <f>IF(OR($E36="",$F36="",NOT(ISNUMBER($F36))),"",$E36*$F36)</f>
        <v/>
      </c>
      <c r="H36" s="4">
        <f>IF($A36="","",IFERROR(INDEX('Catálogo'!$Q$2:$Q$1567,MATCH($A36,'Catálogo'!$A$2:$A$1567,0)),"código no encontrado"))</f>
        <v/>
      </c>
      <c r="I36" s="10">
        <f>IF($G36="","",IF($H36="Sí",ROUND($G36/1.18,2),$G36))</f>
        <v/>
      </c>
      <c r="J36" s="14" t="n"/>
    </row>
    <row r="37">
      <c r="A37" s="14" t="n"/>
      <c r="B37" s="5">
        <f>IF($A37="","",IFERROR(INDEX('Catálogo'!$D$2:$D$1567,MATCH($A37,'Catálogo'!$A$2:$A$1567,0)),"código no encontrado"))</f>
        <v/>
      </c>
      <c r="C37" s="4">
        <f>IF($A37="","",IFERROR(INDEX('Catálogo'!$H$2:$H$1567,MATCH($A37,'Catálogo'!$A$2:$A$1567,0)),"código no encontrado"))</f>
        <v/>
      </c>
      <c r="D37" s="4">
        <f>IF($A37="","",IFERROR(INDEX('Catálogo'!$I$2:$I$1567,MATCH($A37,'Catálogo'!$A$2:$A$1567,0)),"código no encontrado"))</f>
        <v/>
      </c>
      <c r="E37" s="15" t="n"/>
      <c r="F37" s="10">
        <f>IF($A37="","",IFERROR(INDEX('Catálogo'!$N$2:$N$1567,MATCH($A37,'Catálogo'!$A$2:$A$1567,0)),"código no encontrado"))</f>
        <v/>
      </c>
      <c r="G37" s="10">
        <f>IF(OR($E37="",$F37="",NOT(ISNUMBER($F37))),"",$E37*$F37)</f>
        <v/>
      </c>
      <c r="H37" s="4">
        <f>IF($A37="","",IFERROR(INDEX('Catálogo'!$Q$2:$Q$1567,MATCH($A37,'Catálogo'!$A$2:$A$1567,0)),"código no encontrado"))</f>
        <v/>
      </c>
      <c r="I37" s="10">
        <f>IF($G37="","",IF($H37="Sí",ROUND($G37/1.18,2),$G37))</f>
        <v/>
      </c>
      <c r="J37" s="14" t="n"/>
    </row>
    <row r="38">
      <c r="A38" s="14" t="n"/>
      <c r="B38" s="5">
        <f>IF($A38="","",IFERROR(INDEX('Catálogo'!$D$2:$D$1567,MATCH($A38,'Catálogo'!$A$2:$A$1567,0)),"código no encontrado"))</f>
        <v/>
      </c>
      <c r="C38" s="4">
        <f>IF($A38="","",IFERROR(INDEX('Catálogo'!$H$2:$H$1567,MATCH($A38,'Catálogo'!$A$2:$A$1567,0)),"código no encontrado"))</f>
        <v/>
      </c>
      <c r="D38" s="4">
        <f>IF($A38="","",IFERROR(INDEX('Catálogo'!$I$2:$I$1567,MATCH($A38,'Catálogo'!$A$2:$A$1567,0)),"código no encontrado"))</f>
        <v/>
      </c>
      <c r="E38" s="15" t="n"/>
      <c r="F38" s="10">
        <f>IF($A38="","",IFERROR(INDEX('Catálogo'!$N$2:$N$1567,MATCH($A38,'Catálogo'!$A$2:$A$1567,0)),"código no encontrado"))</f>
        <v/>
      </c>
      <c r="G38" s="10">
        <f>IF(OR($E38="",$F38="",NOT(ISNUMBER($F38))),"",$E38*$F38)</f>
        <v/>
      </c>
      <c r="H38" s="4">
        <f>IF($A38="","",IFERROR(INDEX('Catálogo'!$Q$2:$Q$1567,MATCH($A38,'Catálogo'!$A$2:$A$1567,0)),"código no encontrado"))</f>
        <v/>
      </c>
      <c r="I38" s="10">
        <f>IF($G38="","",IF($H38="Sí",ROUND($G38/1.18,2),$G38))</f>
        <v/>
      </c>
      <c r="J38" s="14" t="n"/>
    </row>
    <row r="39">
      <c r="A39" s="14" t="n"/>
      <c r="B39" s="5">
        <f>IF($A39="","",IFERROR(INDEX('Catálogo'!$D$2:$D$1567,MATCH($A39,'Catálogo'!$A$2:$A$1567,0)),"código no encontrado"))</f>
        <v/>
      </c>
      <c r="C39" s="4">
        <f>IF($A39="","",IFERROR(INDEX('Catálogo'!$H$2:$H$1567,MATCH($A39,'Catálogo'!$A$2:$A$1567,0)),"código no encontrado"))</f>
        <v/>
      </c>
      <c r="D39" s="4">
        <f>IF($A39="","",IFERROR(INDEX('Catálogo'!$I$2:$I$1567,MATCH($A39,'Catálogo'!$A$2:$A$1567,0)),"código no encontrado"))</f>
        <v/>
      </c>
      <c r="E39" s="15" t="n"/>
      <c r="F39" s="10">
        <f>IF($A39="","",IFERROR(INDEX('Catálogo'!$N$2:$N$1567,MATCH($A39,'Catálogo'!$A$2:$A$1567,0)),"código no encontrado"))</f>
        <v/>
      </c>
      <c r="G39" s="10">
        <f>IF(OR($E39="",$F39="",NOT(ISNUMBER($F39))),"",$E39*$F39)</f>
        <v/>
      </c>
      <c r="H39" s="4">
        <f>IF($A39="","",IFERROR(INDEX('Catálogo'!$Q$2:$Q$1567,MATCH($A39,'Catálogo'!$A$2:$A$1567,0)),"código no encontrado"))</f>
        <v/>
      </c>
      <c r="I39" s="10">
        <f>IF($G39="","",IF($H39="Sí",ROUND($G39/1.18,2),$G39))</f>
        <v/>
      </c>
      <c r="J39" s="14" t="n"/>
    </row>
    <row r="40">
      <c r="A40" s="14" t="n"/>
      <c r="B40" s="5">
        <f>IF($A40="","",IFERROR(INDEX('Catálogo'!$D$2:$D$1567,MATCH($A40,'Catálogo'!$A$2:$A$1567,0)),"código no encontrado"))</f>
        <v/>
      </c>
      <c r="C40" s="4">
        <f>IF($A40="","",IFERROR(INDEX('Catálogo'!$H$2:$H$1567,MATCH($A40,'Catálogo'!$A$2:$A$1567,0)),"código no encontrado"))</f>
        <v/>
      </c>
      <c r="D40" s="4">
        <f>IF($A40="","",IFERROR(INDEX('Catálogo'!$I$2:$I$1567,MATCH($A40,'Catálogo'!$A$2:$A$1567,0)),"código no encontrado"))</f>
        <v/>
      </c>
      <c r="E40" s="15" t="n"/>
      <c r="F40" s="10">
        <f>IF($A40="","",IFERROR(INDEX('Catálogo'!$N$2:$N$1567,MATCH($A40,'Catálogo'!$A$2:$A$1567,0)),"código no encontrado"))</f>
        <v/>
      </c>
      <c r="G40" s="10">
        <f>IF(OR($E40="",$F40="",NOT(ISNUMBER($F40))),"",$E40*$F40)</f>
        <v/>
      </c>
      <c r="H40" s="4">
        <f>IF($A40="","",IFERROR(INDEX('Catálogo'!$Q$2:$Q$1567,MATCH($A40,'Catálogo'!$A$2:$A$1567,0)),"código no encontrado"))</f>
        <v/>
      </c>
      <c r="I40" s="10">
        <f>IF($G40="","",IF($H40="Sí",ROUND($G40/1.18,2),$G40))</f>
        <v/>
      </c>
      <c r="J40" s="14" t="n"/>
    </row>
    <row r="41">
      <c r="A41" s="14" t="n"/>
      <c r="B41" s="5">
        <f>IF($A41="","",IFERROR(INDEX('Catálogo'!$D$2:$D$1567,MATCH($A41,'Catálogo'!$A$2:$A$1567,0)),"código no encontrado"))</f>
        <v/>
      </c>
      <c r="C41" s="4">
        <f>IF($A41="","",IFERROR(INDEX('Catálogo'!$H$2:$H$1567,MATCH($A41,'Catálogo'!$A$2:$A$1567,0)),"código no encontrado"))</f>
        <v/>
      </c>
      <c r="D41" s="4">
        <f>IF($A41="","",IFERROR(INDEX('Catálogo'!$I$2:$I$1567,MATCH($A41,'Catálogo'!$A$2:$A$1567,0)),"código no encontrado"))</f>
        <v/>
      </c>
      <c r="E41" s="15" t="n"/>
      <c r="F41" s="10">
        <f>IF($A41="","",IFERROR(INDEX('Catálogo'!$N$2:$N$1567,MATCH($A41,'Catálogo'!$A$2:$A$1567,0)),"código no encontrado"))</f>
        <v/>
      </c>
      <c r="G41" s="10">
        <f>IF(OR($E41="",$F41="",NOT(ISNUMBER($F41))),"",$E41*$F41)</f>
        <v/>
      </c>
      <c r="H41" s="4">
        <f>IF($A41="","",IFERROR(INDEX('Catálogo'!$Q$2:$Q$1567,MATCH($A41,'Catálogo'!$A$2:$A$1567,0)),"código no encontrado"))</f>
        <v/>
      </c>
      <c r="I41" s="10">
        <f>IF($G41="","",IF($H41="Sí",ROUND($G41/1.18,2),$G41))</f>
        <v/>
      </c>
      <c r="J41" s="14" t="n"/>
    </row>
    <row r="42">
      <c r="A42" s="14" t="n"/>
      <c r="B42" s="5">
        <f>IF($A42="","",IFERROR(INDEX('Catálogo'!$D$2:$D$1567,MATCH($A42,'Catálogo'!$A$2:$A$1567,0)),"código no encontrado"))</f>
        <v/>
      </c>
      <c r="C42" s="4">
        <f>IF($A42="","",IFERROR(INDEX('Catálogo'!$H$2:$H$1567,MATCH($A42,'Catálogo'!$A$2:$A$1567,0)),"código no encontrado"))</f>
        <v/>
      </c>
      <c r="D42" s="4">
        <f>IF($A42="","",IFERROR(INDEX('Catálogo'!$I$2:$I$1567,MATCH($A42,'Catálogo'!$A$2:$A$1567,0)),"código no encontrado"))</f>
        <v/>
      </c>
      <c r="E42" s="15" t="n"/>
      <c r="F42" s="10">
        <f>IF($A42="","",IFERROR(INDEX('Catálogo'!$N$2:$N$1567,MATCH($A42,'Catálogo'!$A$2:$A$1567,0)),"código no encontrado"))</f>
        <v/>
      </c>
      <c r="G42" s="10">
        <f>IF(OR($E42="",$F42="",NOT(ISNUMBER($F42))),"",$E42*$F42)</f>
        <v/>
      </c>
      <c r="H42" s="4">
        <f>IF($A42="","",IFERROR(INDEX('Catálogo'!$Q$2:$Q$1567,MATCH($A42,'Catálogo'!$A$2:$A$1567,0)),"código no encontrado"))</f>
        <v/>
      </c>
      <c r="I42" s="10">
        <f>IF($G42="","",IF($H42="Sí",ROUND($G42/1.18,2),$G42))</f>
        <v/>
      </c>
      <c r="J42" s="14" t="n"/>
    </row>
    <row r="43">
      <c r="A43" s="14" t="n"/>
      <c r="B43" s="5">
        <f>IF($A43="","",IFERROR(INDEX('Catálogo'!$D$2:$D$1567,MATCH($A43,'Catálogo'!$A$2:$A$1567,0)),"código no encontrado"))</f>
        <v/>
      </c>
      <c r="C43" s="4">
        <f>IF($A43="","",IFERROR(INDEX('Catálogo'!$H$2:$H$1567,MATCH($A43,'Catálogo'!$A$2:$A$1567,0)),"código no encontrado"))</f>
        <v/>
      </c>
      <c r="D43" s="4">
        <f>IF($A43="","",IFERROR(INDEX('Catálogo'!$I$2:$I$1567,MATCH($A43,'Catálogo'!$A$2:$A$1567,0)),"código no encontrado"))</f>
        <v/>
      </c>
      <c r="E43" s="15" t="n"/>
      <c r="F43" s="10">
        <f>IF($A43="","",IFERROR(INDEX('Catálogo'!$N$2:$N$1567,MATCH($A43,'Catálogo'!$A$2:$A$1567,0)),"código no encontrado"))</f>
        <v/>
      </c>
      <c r="G43" s="10">
        <f>IF(OR($E43="",$F43="",NOT(ISNUMBER($F43))),"",$E43*$F43)</f>
        <v/>
      </c>
      <c r="H43" s="4">
        <f>IF($A43="","",IFERROR(INDEX('Catálogo'!$Q$2:$Q$1567,MATCH($A43,'Catálogo'!$A$2:$A$1567,0)),"código no encontrado"))</f>
        <v/>
      </c>
      <c r="I43" s="10">
        <f>IF($G43="","",IF($H43="Sí",ROUND($G43/1.18,2),$G43))</f>
        <v/>
      </c>
      <c r="J43" s="14" t="n"/>
    </row>
    <row r="44">
      <c r="A44" s="14" t="n"/>
      <c r="B44" s="5">
        <f>IF($A44="","",IFERROR(INDEX('Catálogo'!$D$2:$D$1567,MATCH($A44,'Catálogo'!$A$2:$A$1567,0)),"código no encontrado"))</f>
        <v/>
      </c>
      <c r="C44" s="4">
        <f>IF($A44="","",IFERROR(INDEX('Catálogo'!$H$2:$H$1567,MATCH($A44,'Catálogo'!$A$2:$A$1567,0)),"código no encontrado"))</f>
        <v/>
      </c>
      <c r="D44" s="4">
        <f>IF($A44="","",IFERROR(INDEX('Catálogo'!$I$2:$I$1567,MATCH($A44,'Catálogo'!$A$2:$A$1567,0)),"código no encontrado"))</f>
        <v/>
      </c>
      <c r="E44" s="15" t="n"/>
      <c r="F44" s="10">
        <f>IF($A44="","",IFERROR(INDEX('Catálogo'!$N$2:$N$1567,MATCH($A44,'Catálogo'!$A$2:$A$1567,0)),"código no encontrado"))</f>
        <v/>
      </c>
      <c r="G44" s="10">
        <f>IF(OR($E44="",$F44="",NOT(ISNUMBER($F44))),"",$E44*$F44)</f>
        <v/>
      </c>
      <c r="H44" s="4">
        <f>IF($A44="","",IFERROR(INDEX('Catálogo'!$Q$2:$Q$1567,MATCH($A44,'Catálogo'!$A$2:$A$1567,0)),"código no encontrado"))</f>
        <v/>
      </c>
      <c r="I44" s="10">
        <f>IF($G44="","",IF($H44="Sí",ROUND($G44/1.18,2),$G44))</f>
        <v/>
      </c>
      <c r="J44" s="14" t="n"/>
    </row>
    <row r="45">
      <c r="A45" s="14" t="n"/>
      <c r="B45" s="5">
        <f>IF($A45="","",IFERROR(INDEX('Catálogo'!$D$2:$D$1567,MATCH($A45,'Catálogo'!$A$2:$A$1567,0)),"código no encontrado"))</f>
        <v/>
      </c>
      <c r="C45" s="4">
        <f>IF($A45="","",IFERROR(INDEX('Catálogo'!$H$2:$H$1567,MATCH($A45,'Catálogo'!$A$2:$A$1567,0)),"código no encontrado"))</f>
        <v/>
      </c>
      <c r="D45" s="4">
        <f>IF($A45="","",IFERROR(INDEX('Catálogo'!$I$2:$I$1567,MATCH($A45,'Catálogo'!$A$2:$A$1567,0)),"código no encontrado"))</f>
        <v/>
      </c>
      <c r="E45" s="15" t="n"/>
      <c r="F45" s="10">
        <f>IF($A45="","",IFERROR(INDEX('Catálogo'!$N$2:$N$1567,MATCH($A45,'Catálogo'!$A$2:$A$1567,0)),"código no encontrado"))</f>
        <v/>
      </c>
      <c r="G45" s="10">
        <f>IF(OR($E45="",$F45="",NOT(ISNUMBER($F45))),"",$E45*$F45)</f>
        <v/>
      </c>
      <c r="H45" s="4">
        <f>IF($A45="","",IFERROR(INDEX('Catálogo'!$Q$2:$Q$1567,MATCH($A45,'Catálogo'!$A$2:$A$1567,0)),"código no encontrado"))</f>
        <v/>
      </c>
      <c r="I45" s="10">
        <f>IF($G45="","",IF($H45="Sí",ROUND($G45/1.18,2),$G45))</f>
        <v/>
      </c>
      <c r="J45" s="14" t="n"/>
    </row>
    <row r="46">
      <c r="A46" s="14" t="n"/>
      <c r="B46" s="5">
        <f>IF($A46="","",IFERROR(INDEX('Catálogo'!$D$2:$D$1567,MATCH($A46,'Catálogo'!$A$2:$A$1567,0)),"código no encontrado"))</f>
        <v/>
      </c>
      <c r="C46" s="4">
        <f>IF($A46="","",IFERROR(INDEX('Catálogo'!$H$2:$H$1567,MATCH($A46,'Catálogo'!$A$2:$A$1567,0)),"código no encontrado"))</f>
        <v/>
      </c>
      <c r="D46" s="4">
        <f>IF($A46="","",IFERROR(INDEX('Catálogo'!$I$2:$I$1567,MATCH($A46,'Catálogo'!$A$2:$A$1567,0)),"código no encontrado"))</f>
        <v/>
      </c>
      <c r="E46" s="15" t="n"/>
      <c r="F46" s="10">
        <f>IF($A46="","",IFERROR(INDEX('Catálogo'!$N$2:$N$1567,MATCH($A46,'Catálogo'!$A$2:$A$1567,0)),"código no encontrado"))</f>
        <v/>
      </c>
      <c r="G46" s="10">
        <f>IF(OR($E46="",$F46="",NOT(ISNUMBER($F46))),"",$E46*$F46)</f>
        <v/>
      </c>
      <c r="H46" s="4">
        <f>IF($A46="","",IFERROR(INDEX('Catálogo'!$Q$2:$Q$1567,MATCH($A46,'Catálogo'!$A$2:$A$1567,0)),"código no encontrado"))</f>
        <v/>
      </c>
      <c r="I46" s="10">
        <f>IF($G46="","",IF($H46="Sí",ROUND($G46/1.18,2),$G46))</f>
        <v/>
      </c>
      <c r="J46" s="14" t="n"/>
    </row>
    <row r="47">
      <c r="A47" s="14" t="n"/>
      <c r="B47" s="5">
        <f>IF($A47="","",IFERROR(INDEX('Catálogo'!$D$2:$D$1567,MATCH($A47,'Catálogo'!$A$2:$A$1567,0)),"código no encontrado"))</f>
        <v/>
      </c>
      <c r="C47" s="4">
        <f>IF($A47="","",IFERROR(INDEX('Catálogo'!$H$2:$H$1567,MATCH($A47,'Catálogo'!$A$2:$A$1567,0)),"código no encontrado"))</f>
        <v/>
      </c>
      <c r="D47" s="4">
        <f>IF($A47="","",IFERROR(INDEX('Catálogo'!$I$2:$I$1567,MATCH($A47,'Catálogo'!$A$2:$A$1567,0)),"código no encontrado"))</f>
        <v/>
      </c>
      <c r="E47" s="15" t="n"/>
      <c r="F47" s="10">
        <f>IF($A47="","",IFERROR(INDEX('Catálogo'!$N$2:$N$1567,MATCH($A47,'Catálogo'!$A$2:$A$1567,0)),"código no encontrado"))</f>
        <v/>
      </c>
      <c r="G47" s="10">
        <f>IF(OR($E47="",$F47="",NOT(ISNUMBER($F47))),"",$E47*$F47)</f>
        <v/>
      </c>
      <c r="H47" s="4">
        <f>IF($A47="","",IFERROR(INDEX('Catálogo'!$Q$2:$Q$1567,MATCH($A47,'Catálogo'!$A$2:$A$1567,0)),"código no encontrado"))</f>
        <v/>
      </c>
      <c r="I47" s="10">
        <f>IF($G47="","",IF($H47="Sí",ROUND($G47/1.18,2),$G47))</f>
        <v/>
      </c>
      <c r="J47" s="14" t="n"/>
    </row>
    <row r="48">
      <c r="A48" s="14" t="n"/>
      <c r="B48" s="5">
        <f>IF($A48="","",IFERROR(INDEX('Catálogo'!$D$2:$D$1567,MATCH($A48,'Catálogo'!$A$2:$A$1567,0)),"código no encontrado"))</f>
        <v/>
      </c>
      <c r="C48" s="4">
        <f>IF($A48="","",IFERROR(INDEX('Catálogo'!$H$2:$H$1567,MATCH($A48,'Catálogo'!$A$2:$A$1567,0)),"código no encontrado"))</f>
        <v/>
      </c>
      <c r="D48" s="4">
        <f>IF($A48="","",IFERROR(INDEX('Catálogo'!$I$2:$I$1567,MATCH($A48,'Catálogo'!$A$2:$A$1567,0)),"código no encontrado"))</f>
        <v/>
      </c>
      <c r="E48" s="15" t="n"/>
      <c r="F48" s="10">
        <f>IF($A48="","",IFERROR(INDEX('Catálogo'!$N$2:$N$1567,MATCH($A48,'Catálogo'!$A$2:$A$1567,0)),"código no encontrado"))</f>
        <v/>
      </c>
      <c r="G48" s="10">
        <f>IF(OR($E48="",$F48="",NOT(ISNUMBER($F48))),"",$E48*$F48)</f>
        <v/>
      </c>
      <c r="H48" s="4">
        <f>IF($A48="","",IFERROR(INDEX('Catálogo'!$Q$2:$Q$1567,MATCH($A48,'Catálogo'!$A$2:$A$1567,0)),"código no encontrado"))</f>
        <v/>
      </c>
      <c r="I48" s="10">
        <f>IF($G48="","",IF($H48="Sí",ROUND($G48/1.18,2),$G48))</f>
        <v/>
      </c>
      <c r="J48" s="14" t="n"/>
    </row>
    <row r="49">
      <c r="A49" s="14" t="n"/>
      <c r="B49" s="5">
        <f>IF($A49="","",IFERROR(INDEX('Catálogo'!$D$2:$D$1567,MATCH($A49,'Catálogo'!$A$2:$A$1567,0)),"código no encontrado"))</f>
        <v/>
      </c>
      <c r="C49" s="4">
        <f>IF($A49="","",IFERROR(INDEX('Catálogo'!$H$2:$H$1567,MATCH($A49,'Catálogo'!$A$2:$A$1567,0)),"código no encontrado"))</f>
        <v/>
      </c>
      <c r="D49" s="4">
        <f>IF($A49="","",IFERROR(INDEX('Catálogo'!$I$2:$I$1567,MATCH($A49,'Catálogo'!$A$2:$A$1567,0)),"código no encontrado"))</f>
        <v/>
      </c>
      <c r="E49" s="15" t="n"/>
      <c r="F49" s="10">
        <f>IF($A49="","",IFERROR(INDEX('Catálogo'!$N$2:$N$1567,MATCH($A49,'Catálogo'!$A$2:$A$1567,0)),"código no encontrado"))</f>
        <v/>
      </c>
      <c r="G49" s="10">
        <f>IF(OR($E49="",$F49="",NOT(ISNUMBER($F49))),"",$E49*$F49)</f>
        <v/>
      </c>
      <c r="H49" s="4">
        <f>IF($A49="","",IFERROR(INDEX('Catálogo'!$Q$2:$Q$1567,MATCH($A49,'Catálogo'!$A$2:$A$1567,0)),"código no encontrado"))</f>
        <v/>
      </c>
      <c r="I49" s="10">
        <f>IF($G49="","",IF($H49="Sí",ROUND($G49/1.18,2),$G49))</f>
        <v/>
      </c>
      <c r="J49" s="14" t="n"/>
    </row>
    <row r="50">
      <c r="A50" s="14" t="n"/>
      <c r="B50" s="5">
        <f>IF($A50="","",IFERROR(INDEX('Catálogo'!$D$2:$D$1567,MATCH($A50,'Catálogo'!$A$2:$A$1567,0)),"código no encontrado"))</f>
        <v/>
      </c>
      <c r="C50" s="4">
        <f>IF($A50="","",IFERROR(INDEX('Catálogo'!$H$2:$H$1567,MATCH($A50,'Catálogo'!$A$2:$A$1567,0)),"código no encontrado"))</f>
        <v/>
      </c>
      <c r="D50" s="4">
        <f>IF($A50="","",IFERROR(INDEX('Catálogo'!$I$2:$I$1567,MATCH($A50,'Catálogo'!$A$2:$A$1567,0)),"código no encontrado"))</f>
        <v/>
      </c>
      <c r="E50" s="15" t="n"/>
      <c r="F50" s="10">
        <f>IF($A50="","",IFERROR(INDEX('Catálogo'!$N$2:$N$1567,MATCH($A50,'Catálogo'!$A$2:$A$1567,0)),"código no encontrado"))</f>
        <v/>
      </c>
      <c r="G50" s="10">
        <f>IF(OR($E50="",$F50="",NOT(ISNUMBER($F50))),"",$E50*$F50)</f>
        <v/>
      </c>
      <c r="H50" s="4">
        <f>IF($A50="","",IFERROR(INDEX('Catálogo'!$Q$2:$Q$1567,MATCH($A50,'Catálogo'!$A$2:$A$1567,0)),"código no encontrado"))</f>
        <v/>
      </c>
      <c r="I50" s="10">
        <f>IF($G50="","",IF($H50="Sí",ROUND($G50/1.18,2),$G50))</f>
        <v/>
      </c>
      <c r="J50" s="14" t="n"/>
    </row>
    <row r="51">
      <c r="A51" s="14" t="n"/>
      <c r="B51" s="5">
        <f>IF($A51="","",IFERROR(INDEX('Catálogo'!$D$2:$D$1567,MATCH($A51,'Catálogo'!$A$2:$A$1567,0)),"código no encontrado"))</f>
        <v/>
      </c>
      <c r="C51" s="4">
        <f>IF($A51="","",IFERROR(INDEX('Catálogo'!$H$2:$H$1567,MATCH($A51,'Catálogo'!$A$2:$A$1567,0)),"código no encontrado"))</f>
        <v/>
      </c>
      <c r="D51" s="4">
        <f>IF($A51="","",IFERROR(INDEX('Catálogo'!$I$2:$I$1567,MATCH($A51,'Catálogo'!$A$2:$A$1567,0)),"código no encontrado"))</f>
        <v/>
      </c>
      <c r="E51" s="15" t="n"/>
      <c r="F51" s="10">
        <f>IF($A51="","",IFERROR(INDEX('Catálogo'!$N$2:$N$1567,MATCH($A51,'Catálogo'!$A$2:$A$1567,0)),"código no encontrado"))</f>
        <v/>
      </c>
      <c r="G51" s="10">
        <f>IF(OR($E51="",$F51="",NOT(ISNUMBER($F51))),"",$E51*$F51)</f>
        <v/>
      </c>
      <c r="H51" s="4">
        <f>IF($A51="","",IFERROR(INDEX('Catálogo'!$Q$2:$Q$1567,MATCH($A51,'Catálogo'!$A$2:$A$1567,0)),"código no encontrado"))</f>
        <v/>
      </c>
      <c r="I51" s="10">
        <f>IF($G51="","",IF($H51="Sí",ROUND($G51/1.18,2),$G51))</f>
        <v/>
      </c>
      <c r="J51" s="14" t="n"/>
    </row>
    <row r="52">
      <c r="A52" s="14" t="n"/>
      <c r="B52" s="5">
        <f>IF($A52="","",IFERROR(INDEX('Catálogo'!$D$2:$D$1567,MATCH($A52,'Catálogo'!$A$2:$A$1567,0)),"código no encontrado"))</f>
        <v/>
      </c>
      <c r="C52" s="4">
        <f>IF($A52="","",IFERROR(INDEX('Catálogo'!$H$2:$H$1567,MATCH($A52,'Catálogo'!$A$2:$A$1567,0)),"código no encontrado"))</f>
        <v/>
      </c>
      <c r="D52" s="4">
        <f>IF($A52="","",IFERROR(INDEX('Catálogo'!$I$2:$I$1567,MATCH($A52,'Catálogo'!$A$2:$A$1567,0)),"código no encontrado"))</f>
        <v/>
      </c>
      <c r="E52" s="15" t="n"/>
      <c r="F52" s="10">
        <f>IF($A52="","",IFERROR(INDEX('Catálogo'!$N$2:$N$1567,MATCH($A52,'Catálogo'!$A$2:$A$1567,0)),"código no encontrado"))</f>
        <v/>
      </c>
      <c r="G52" s="10">
        <f>IF(OR($E52="",$F52="",NOT(ISNUMBER($F52))),"",$E52*$F52)</f>
        <v/>
      </c>
      <c r="H52" s="4">
        <f>IF($A52="","",IFERROR(INDEX('Catálogo'!$Q$2:$Q$1567,MATCH($A52,'Catálogo'!$A$2:$A$1567,0)),"código no encontrado"))</f>
        <v/>
      </c>
      <c r="I52" s="10">
        <f>IF($G52="","",IF($H52="Sí",ROUND($G52/1.18,2),$G52))</f>
        <v/>
      </c>
      <c r="J52" s="14" t="n"/>
    </row>
    <row r="53">
      <c r="A53" s="14" t="n"/>
      <c r="B53" s="5">
        <f>IF($A53="","",IFERROR(INDEX('Catálogo'!$D$2:$D$1567,MATCH($A53,'Catálogo'!$A$2:$A$1567,0)),"código no encontrado"))</f>
        <v/>
      </c>
      <c r="C53" s="4">
        <f>IF($A53="","",IFERROR(INDEX('Catálogo'!$H$2:$H$1567,MATCH($A53,'Catálogo'!$A$2:$A$1567,0)),"código no encontrado"))</f>
        <v/>
      </c>
      <c r="D53" s="4">
        <f>IF($A53="","",IFERROR(INDEX('Catálogo'!$I$2:$I$1567,MATCH($A53,'Catálogo'!$A$2:$A$1567,0)),"código no encontrado"))</f>
        <v/>
      </c>
      <c r="E53" s="15" t="n"/>
      <c r="F53" s="10">
        <f>IF($A53="","",IFERROR(INDEX('Catálogo'!$N$2:$N$1567,MATCH($A53,'Catálogo'!$A$2:$A$1567,0)),"código no encontrado"))</f>
        <v/>
      </c>
      <c r="G53" s="10">
        <f>IF(OR($E53="",$F53="",NOT(ISNUMBER($F53))),"",$E53*$F53)</f>
        <v/>
      </c>
      <c r="H53" s="4">
        <f>IF($A53="","",IFERROR(INDEX('Catálogo'!$Q$2:$Q$1567,MATCH($A53,'Catálogo'!$A$2:$A$1567,0)),"código no encontrado"))</f>
        <v/>
      </c>
      <c r="I53" s="10">
        <f>IF($G53="","",IF($H53="Sí",ROUND($G53/1.18,2),$G53))</f>
        <v/>
      </c>
      <c r="J53" s="14" t="n"/>
    </row>
    <row r="54">
      <c r="A54" s="14" t="n"/>
      <c r="B54" s="5">
        <f>IF($A54="","",IFERROR(INDEX('Catálogo'!$D$2:$D$1567,MATCH($A54,'Catálogo'!$A$2:$A$1567,0)),"código no encontrado"))</f>
        <v/>
      </c>
      <c r="C54" s="4">
        <f>IF($A54="","",IFERROR(INDEX('Catálogo'!$H$2:$H$1567,MATCH($A54,'Catálogo'!$A$2:$A$1567,0)),"código no encontrado"))</f>
        <v/>
      </c>
      <c r="D54" s="4">
        <f>IF($A54="","",IFERROR(INDEX('Catálogo'!$I$2:$I$1567,MATCH($A54,'Catálogo'!$A$2:$A$1567,0)),"código no encontrado"))</f>
        <v/>
      </c>
      <c r="E54" s="15" t="n"/>
      <c r="F54" s="10">
        <f>IF($A54="","",IFERROR(INDEX('Catálogo'!$N$2:$N$1567,MATCH($A54,'Catálogo'!$A$2:$A$1567,0)),"código no encontrado"))</f>
        <v/>
      </c>
      <c r="G54" s="10">
        <f>IF(OR($E54="",$F54="",NOT(ISNUMBER($F54))),"",$E54*$F54)</f>
        <v/>
      </c>
      <c r="H54" s="4">
        <f>IF($A54="","",IFERROR(INDEX('Catálogo'!$Q$2:$Q$1567,MATCH($A54,'Catálogo'!$A$2:$A$1567,0)),"código no encontrado"))</f>
        <v/>
      </c>
      <c r="I54" s="10">
        <f>IF($G54="","",IF($H54="Sí",ROUND($G54/1.18,2),$G54))</f>
        <v/>
      </c>
      <c r="J54" s="14" t="n"/>
    </row>
    <row r="55">
      <c r="A55" s="14" t="n"/>
      <c r="B55" s="5">
        <f>IF($A55="","",IFERROR(INDEX('Catálogo'!$D$2:$D$1567,MATCH($A55,'Catálogo'!$A$2:$A$1567,0)),"código no encontrado"))</f>
        <v/>
      </c>
      <c r="C55" s="4">
        <f>IF($A55="","",IFERROR(INDEX('Catálogo'!$H$2:$H$1567,MATCH($A55,'Catálogo'!$A$2:$A$1567,0)),"código no encontrado"))</f>
        <v/>
      </c>
      <c r="D55" s="4">
        <f>IF($A55="","",IFERROR(INDEX('Catálogo'!$I$2:$I$1567,MATCH($A55,'Catálogo'!$A$2:$A$1567,0)),"código no encontrado"))</f>
        <v/>
      </c>
      <c r="E55" s="15" t="n"/>
      <c r="F55" s="10">
        <f>IF($A55="","",IFERROR(INDEX('Catálogo'!$N$2:$N$1567,MATCH($A55,'Catálogo'!$A$2:$A$1567,0)),"código no encontrado"))</f>
        <v/>
      </c>
      <c r="G55" s="10">
        <f>IF(OR($E55="",$F55="",NOT(ISNUMBER($F55))),"",$E55*$F55)</f>
        <v/>
      </c>
      <c r="H55" s="4">
        <f>IF($A55="","",IFERROR(INDEX('Catálogo'!$Q$2:$Q$1567,MATCH($A55,'Catálogo'!$A$2:$A$1567,0)),"código no encontrado"))</f>
        <v/>
      </c>
      <c r="I55" s="10">
        <f>IF($G55="","",IF($H55="Sí",ROUND($G55/1.18,2),$G55))</f>
        <v/>
      </c>
      <c r="J55" s="14" t="n"/>
    </row>
    <row r="56">
      <c r="A56" s="14" t="n"/>
      <c r="B56" s="5">
        <f>IF($A56="","",IFERROR(INDEX('Catálogo'!$D$2:$D$1567,MATCH($A56,'Catálogo'!$A$2:$A$1567,0)),"código no encontrado"))</f>
        <v/>
      </c>
      <c r="C56" s="4">
        <f>IF($A56="","",IFERROR(INDEX('Catálogo'!$H$2:$H$1567,MATCH($A56,'Catálogo'!$A$2:$A$1567,0)),"código no encontrado"))</f>
        <v/>
      </c>
      <c r="D56" s="4">
        <f>IF($A56="","",IFERROR(INDEX('Catálogo'!$I$2:$I$1567,MATCH($A56,'Catálogo'!$A$2:$A$1567,0)),"código no encontrado"))</f>
        <v/>
      </c>
      <c r="E56" s="15" t="n"/>
      <c r="F56" s="10">
        <f>IF($A56="","",IFERROR(INDEX('Catálogo'!$N$2:$N$1567,MATCH($A56,'Catálogo'!$A$2:$A$1567,0)),"código no encontrado"))</f>
        <v/>
      </c>
      <c r="G56" s="10">
        <f>IF(OR($E56="",$F56="",NOT(ISNUMBER($F56))),"",$E56*$F56)</f>
        <v/>
      </c>
      <c r="H56" s="4">
        <f>IF($A56="","",IFERROR(INDEX('Catálogo'!$Q$2:$Q$1567,MATCH($A56,'Catálogo'!$A$2:$A$1567,0)),"código no encontrado"))</f>
        <v/>
      </c>
      <c r="I56" s="10">
        <f>IF($G56="","",IF($H56="Sí",ROUND($G56/1.18,2),$G56))</f>
        <v/>
      </c>
      <c r="J56" s="14" t="n"/>
    </row>
    <row r="57">
      <c r="A57" s="14" t="n"/>
      <c r="B57" s="5">
        <f>IF($A57="","",IFERROR(INDEX('Catálogo'!$D$2:$D$1567,MATCH($A57,'Catálogo'!$A$2:$A$1567,0)),"código no encontrado"))</f>
        <v/>
      </c>
      <c r="C57" s="4">
        <f>IF($A57="","",IFERROR(INDEX('Catálogo'!$H$2:$H$1567,MATCH($A57,'Catálogo'!$A$2:$A$1567,0)),"código no encontrado"))</f>
        <v/>
      </c>
      <c r="D57" s="4">
        <f>IF($A57="","",IFERROR(INDEX('Catálogo'!$I$2:$I$1567,MATCH($A57,'Catálogo'!$A$2:$A$1567,0)),"código no encontrado"))</f>
        <v/>
      </c>
      <c r="E57" s="15" t="n"/>
      <c r="F57" s="10">
        <f>IF($A57="","",IFERROR(INDEX('Catálogo'!$N$2:$N$1567,MATCH($A57,'Catálogo'!$A$2:$A$1567,0)),"código no encontrado"))</f>
        <v/>
      </c>
      <c r="G57" s="10">
        <f>IF(OR($E57="",$F57="",NOT(ISNUMBER($F57))),"",$E57*$F57)</f>
        <v/>
      </c>
      <c r="H57" s="4">
        <f>IF($A57="","",IFERROR(INDEX('Catálogo'!$Q$2:$Q$1567,MATCH($A57,'Catálogo'!$A$2:$A$1567,0)),"código no encontrado"))</f>
        <v/>
      </c>
      <c r="I57" s="10">
        <f>IF($G57="","",IF($H57="Sí",ROUND($G57/1.18,2),$G57))</f>
        <v/>
      </c>
      <c r="J57" s="14" t="n"/>
    </row>
    <row r="58">
      <c r="A58" s="14" t="n"/>
      <c r="B58" s="5">
        <f>IF($A58="","",IFERROR(INDEX('Catálogo'!$D$2:$D$1567,MATCH($A58,'Catálogo'!$A$2:$A$1567,0)),"código no encontrado"))</f>
        <v/>
      </c>
      <c r="C58" s="4">
        <f>IF($A58="","",IFERROR(INDEX('Catálogo'!$H$2:$H$1567,MATCH($A58,'Catálogo'!$A$2:$A$1567,0)),"código no encontrado"))</f>
        <v/>
      </c>
      <c r="D58" s="4">
        <f>IF($A58="","",IFERROR(INDEX('Catálogo'!$I$2:$I$1567,MATCH($A58,'Catálogo'!$A$2:$A$1567,0)),"código no encontrado"))</f>
        <v/>
      </c>
      <c r="E58" s="15" t="n"/>
      <c r="F58" s="10">
        <f>IF($A58="","",IFERROR(INDEX('Catálogo'!$N$2:$N$1567,MATCH($A58,'Catálogo'!$A$2:$A$1567,0)),"código no encontrado"))</f>
        <v/>
      </c>
      <c r="G58" s="10">
        <f>IF(OR($E58="",$F58="",NOT(ISNUMBER($F58))),"",$E58*$F58)</f>
        <v/>
      </c>
      <c r="H58" s="4">
        <f>IF($A58="","",IFERROR(INDEX('Catálogo'!$Q$2:$Q$1567,MATCH($A58,'Catálogo'!$A$2:$A$1567,0)),"código no encontrado"))</f>
        <v/>
      </c>
      <c r="I58" s="10">
        <f>IF($G58="","",IF($H58="Sí",ROUND($G58/1.18,2),$G58))</f>
        <v/>
      </c>
      <c r="J58" s="14" t="n"/>
    </row>
    <row r="59">
      <c r="A59" s="14" t="n"/>
      <c r="B59" s="5">
        <f>IF($A59="","",IFERROR(INDEX('Catálogo'!$D$2:$D$1567,MATCH($A59,'Catálogo'!$A$2:$A$1567,0)),"código no encontrado"))</f>
        <v/>
      </c>
      <c r="C59" s="4">
        <f>IF($A59="","",IFERROR(INDEX('Catálogo'!$H$2:$H$1567,MATCH($A59,'Catálogo'!$A$2:$A$1567,0)),"código no encontrado"))</f>
        <v/>
      </c>
      <c r="D59" s="4">
        <f>IF($A59="","",IFERROR(INDEX('Catálogo'!$I$2:$I$1567,MATCH($A59,'Catálogo'!$A$2:$A$1567,0)),"código no encontrado"))</f>
        <v/>
      </c>
      <c r="E59" s="15" t="n"/>
      <c r="F59" s="10">
        <f>IF($A59="","",IFERROR(INDEX('Catálogo'!$N$2:$N$1567,MATCH($A59,'Catálogo'!$A$2:$A$1567,0)),"código no encontrado"))</f>
        <v/>
      </c>
      <c r="G59" s="10">
        <f>IF(OR($E59="",$F59="",NOT(ISNUMBER($F59))),"",$E59*$F59)</f>
        <v/>
      </c>
      <c r="H59" s="4">
        <f>IF($A59="","",IFERROR(INDEX('Catálogo'!$Q$2:$Q$1567,MATCH($A59,'Catálogo'!$A$2:$A$1567,0)),"código no encontrado"))</f>
        <v/>
      </c>
      <c r="I59" s="10">
        <f>IF($G59="","",IF($H59="Sí",ROUND($G59/1.18,2),$G59))</f>
        <v/>
      </c>
      <c r="J59" s="14" t="n"/>
    </row>
    <row r="60">
      <c r="A60" s="14" t="n"/>
      <c r="B60" s="5">
        <f>IF($A60="","",IFERROR(INDEX('Catálogo'!$D$2:$D$1567,MATCH($A60,'Catálogo'!$A$2:$A$1567,0)),"código no encontrado"))</f>
        <v/>
      </c>
      <c r="C60" s="4">
        <f>IF($A60="","",IFERROR(INDEX('Catálogo'!$H$2:$H$1567,MATCH($A60,'Catálogo'!$A$2:$A$1567,0)),"código no encontrado"))</f>
        <v/>
      </c>
      <c r="D60" s="4">
        <f>IF($A60="","",IFERROR(INDEX('Catálogo'!$I$2:$I$1567,MATCH($A60,'Catálogo'!$A$2:$A$1567,0)),"código no encontrado"))</f>
        <v/>
      </c>
      <c r="E60" s="15" t="n"/>
      <c r="F60" s="10">
        <f>IF($A60="","",IFERROR(INDEX('Catálogo'!$N$2:$N$1567,MATCH($A60,'Catálogo'!$A$2:$A$1567,0)),"código no encontrado"))</f>
        <v/>
      </c>
      <c r="G60" s="10">
        <f>IF(OR($E60="",$F60="",NOT(ISNUMBER($F60))),"",$E60*$F60)</f>
        <v/>
      </c>
      <c r="H60" s="4">
        <f>IF($A60="","",IFERROR(INDEX('Catálogo'!$Q$2:$Q$1567,MATCH($A60,'Catálogo'!$A$2:$A$1567,0)),"código no encontrado"))</f>
        <v/>
      </c>
      <c r="I60" s="10">
        <f>IF($G60="","",IF($H60="Sí",ROUND($G60/1.18,2),$G60))</f>
        <v/>
      </c>
      <c r="J60" s="14" t="n"/>
    </row>
    <row r="61">
      <c r="A61" s="14" t="n"/>
      <c r="B61" s="5">
        <f>IF($A61="","",IFERROR(INDEX('Catálogo'!$D$2:$D$1567,MATCH($A61,'Catálogo'!$A$2:$A$1567,0)),"código no encontrado"))</f>
        <v/>
      </c>
      <c r="C61" s="4">
        <f>IF($A61="","",IFERROR(INDEX('Catálogo'!$H$2:$H$1567,MATCH($A61,'Catálogo'!$A$2:$A$1567,0)),"código no encontrado"))</f>
        <v/>
      </c>
      <c r="D61" s="4">
        <f>IF($A61="","",IFERROR(INDEX('Catálogo'!$I$2:$I$1567,MATCH($A61,'Catálogo'!$A$2:$A$1567,0)),"código no encontrado"))</f>
        <v/>
      </c>
      <c r="E61" s="15" t="n"/>
      <c r="F61" s="10">
        <f>IF($A61="","",IFERROR(INDEX('Catálogo'!$N$2:$N$1567,MATCH($A61,'Catálogo'!$A$2:$A$1567,0)),"código no encontrado"))</f>
        <v/>
      </c>
      <c r="G61" s="10">
        <f>IF(OR($E61="",$F61="",NOT(ISNUMBER($F61))),"",$E61*$F61)</f>
        <v/>
      </c>
      <c r="H61" s="4">
        <f>IF($A61="","",IFERROR(INDEX('Catálogo'!$Q$2:$Q$1567,MATCH($A61,'Catálogo'!$A$2:$A$1567,0)),"código no encontrado"))</f>
        <v/>
      </c>
      <c r="I61" s="10">
        <f>IF($G61="","",IF($H61="Sí",ROUND($G61/1.18,2),$G61))</f>
        <v/>
      </c>
      <c r="J61" s="14" t="n"/>
    </row>
    <row r="62">
      <c r="A62" s="14" t="n"/>
      <c r="B62" s="5">
        <f>IF($A62="","",IFERROR(INDEX('Catálogo'!$D$2:$D$1567,MATCH($A62,'Catálogo'!$A$2:$A$1567,0)),"código no encontrado"))</f>
        <v/>
      </c>
      <c r="C62" s="4">
        <f>IF($A62="","",IFERROR(INDEX('Catálogo'!$H$2:$H$1567,MATCH($A62,'Catálogo'!$A$2:$A$1567,0)),"código no encontrado"))</f>
        <v/>
      </c>
      <c r="D62" s="4">
        <f>IF($A62="","",IFERROR(INDEX('Catálogo'!$I$2:$I$1567,MATCH($A62,'Catálogo'!$A$2:$A$1567,0)),"código no encontrado"))</f>
        <v/>
      </c>
      <c r="E62" s="15" t="n"/>
      <c r="F62" s="10">
        <f>IF($A62="","",IFERROR(INDEX('Catálogo'!$N$2:$N$1567,MATCH($A62,'Catálogo'!$A$2:$A$1567,0)),"código no encontrado"))</f>
        <v/>
      </c>
      <c r="G62" s="10">
        <f>IF(OR($E62="",$F62="",NOT(ISNUMBER($F62))),"",$E62*$F62)</f>
        <v/>
      </c>
      <c r="H62" s="4">
        <f>IF($A62="","",IFERROR(INDEX('Catálogo'!$Q$2:$Q$1567,MATCH($A62,'Catálogo'!$A$2:$A$1567,0)),"código no encontrado"))</f>
        <v/>
      </c>
      <c r="I62" s="10">
        <f>IF($G62="","",IF($H62="Sí",ROUND($G62/1.18,2),$G62))</f>
        <v/>
      </c>
      <c r="J62" s="14" t="n"/>
    </row>
    <row r="63">
      <c r="A63" s="14" t="n"/>
      <c r="B63" s="5">
        <f>IF($A63="","",IFERROR(INDEX('Catálogo'!$D$2:$D$1567,MATCH($A63,'Catálogo'!$A$2:$A$1567,0)),"código no encontrado"))</f>
        <v/>
      </c>
      <c r="C63" s="4">
        <f>IF($A63="","",IFERROR(INDEX('Catálogo'!$H$2:$H$1567,MATCH($A63,'Catálogo'!$A$2:$A$1567,0)),"código no encontrado"))</f>
        <v/>
      </c>
      <c r="D63" s="4">
        <f>IF($A63="","",IFERROR(INDEX('Catálogo'!$I$2:$I$1567,MATCH($A63,'Catálogo'!$A$2:$A$1567,0)),"código no encontrado"))</f>
        <v/>
      </c>
      <c r="E63" s="15" t="n"/>
      <c r="F63" s="10">
        <f>IF($A63="","",IFERROR(INDEX('Catálogo'!$N$2:$N$1567,MATCH($A63,'Catálogo'!$A$2:$A$1567,0)),"código no encontrado"))</f>
        <v/>
      </c>
      <c r="G63" s="10">
        <f>IF(OR($E63="",$F63="",NOT(ISNUMBER($F63))),"",$E63*$F63)</f>
        <v/>
      </c>
      <c r="H63" s="4">
        <f>IF($A63="","",IFERROR(INDEX('Catálogo'!$Q$2:$Q$1567,MATCH($A63,'Catálogo'!$A$2:$A$1567,0)),"código no encontrado"))</f>
        <v/>
      </c>
      <c r="I63" s="10">
        <f>IF($G63="","",IF($H63="Sí",ROUND($G63/1.18,2),$G63))</f>
        <v/>
      </c>
      <c r="J63" s="14" t="n"/>
    </row>
    <row r="64">
      <c r="A64" s="14" t="n"/>
      <c r="B64" s="5">
        <f>IF($A64="","",IFERROR(INDEX('Catálogo'!$D$2:$D$1567,MATCH($A64,'Catálogo'!$A$2:$A$1567,0)),"código no encontrado"))</f>
        <v/>
      </c>
      <c r="C64" s="4">
        <f>IF($A64="","",IFERROR(INDEX('Catálogo'!$H$2:$H$1567,MATCH($A64,'Catálogo'!$A$2:$A$1567,0)),"código no encontrado"))</f>
        <v/>
      </c>
      <c r="D64" s="4">
        <f>IF($A64="","",IFERROR(INDEX('Catálogo'!$I$2:$I$1567,MATCH($A64,'Catálogo'!$A$2:$A$1567,0)),"código no encontrado"))</f>
        <v/>
      </c>
      <c r="E64" s="15" t="n"/>
      <c r="F64" s="10">
        <f>IF($A64="","",IFERROR(INDEX('Catálogo'!$N$2:$N$1567,MATCH($A64,'Catálogo'!$A$2:$A$1567,0)),"código no encontrado"))</f>
        <v/>
      </c>
      <c r="G64" s="10">
        <f>IF(OR($E64="",$F64="",NOT(ISNUMBER($F64))),"",$E64*$F64)</f>
        <v/>
      </c>
      <c r="H64" s="4">
        <f>IF($A64="","",IFERROR(INDEX('Catálogo'!$Q$2:$Q$1567,MATCH($A64,'Catálogo'!$A$2:$A$1567,0)),"código no encontrado"))</f>
        <v/>
      </c>
      <c r="I64" s="10">
        <f>IF($G64="","",IF($H64="Sí",ROUND($G64/1.18,2),$G64))</f>
        <v/>
      </c>
      <c r="J64" s="14" t="n"/>
    </row>
    <row r="65">
      <c r="A65" s="14" t="n"/>
      <c r="B65" s="5">
        <f>IF($A65="","",IFERROR(INDEX('Catálogo'!$D$2:$D$1567,MATCH($A65,'Catálogo'!$A$2:$A$1567,0)),"código no encontrado"))</f>
        <v/>
      </c>
      <c r="C65" s="4">
        <f>IF($A65="","",IFERROR(INDEX('Catálogo'!$H$2:$H$1567,MATCH($A65,'Catálogo'!$A$2:$A$1567,0)),"código no encontrado"))</f>
        <v/>
      </c>
      <c r="D65" s="4">
        <f>IF($A65="","",IFERROR(INDEX('Catálogo'!$I$2:$I$1567,MATCH($A65,'Catálogo'!$A$2:$A$1567,0)),"código no encontrado"))</f>
        <v/>
      </c>
      <c r="E65" s="15" t="n"/>
      <c r="F65" s="10">
        <f>IF($A65="","",IFERROR(INDEX('Catálogo'!$N$2:$N$1567,MATCH($A65,'Catálogo'!$A$2:$A$1567,0)),"código no encontrado"))</f>
        <v/>
      </c>
      <c r="G65" s="10">
        <f>IF(OR($E65="",$F65="",NOT(ISNUMBER($F65))),"",$E65*$F65)</f>
        <v/>
      </c>
      <c r="H65" s="4">
        <f>IF($A65="","",IFERROR(INDEX('Catálogo'!$Q$2:$Q$1567,MATCH($A65,'Catálogo'!$A$2:$A$1567,0)),"código no encontrado"))</f>
        <v/>
      </c>
      <c r="I65" s="10">
        <f>IF($G65="","",IF($H65="Sí",ROUND($G65/1.18,2),$G65))</f>
        <v/>
      </c>
      <c r="J65" s="14" t="n"/>
    </row>
    <row r="66">
      <c r="A66" s="14" t="n"/>
      <c r="B66" s="5">
        <f>IF($A66="","",IFERROR(INDEX('Catálogo'!$D$2:$D$1567,MATCH($A66,'Catálogo'!$A$2:$A$1567,0)),"código no encontrado"))</f>
        <v/>
      </c>
      <c r="C66" s="4">
        <f>IF($A66="","",IFERROR(INDEX('Catálogo'!$H$2:$H$1567,MATCH($A66,'Catálogo'!$A$2:$A$1567,0)),"código no encontrado"))</f>
        <v/>
      </c>
      <c r="D66" s="4">
        <f>IF($A66="","",IFERROR(INDEX('Catálogo'!$I$2:$I$1567,MATCH($A66,'Catálogo'!$A$2:$A$1567,0)),"código no encontrado"))</f>
        <v/>
      </c>
      <c r="E66" s="15" t="n"/>
      <c r="F66" s="10">
        <f>IF($A66="","",IFERROR(INDEX('Catálogo'!$N$2:$N$1567,MATCH($A66,'Catálogo'!$A$2:$A$1567,0)),"código no encontrado"))</f>
        <v/>
      </c>
      <c r="G66" s="10">
        <f>IF(OR($E66="",$F66="",NOT(ISNUMBER($F66))),"",$E66*$F66)</f>
        <v/>
      </c>
      <c r="H66" s="4">
        <f>IF($A66="","",IFERROR(INDEX('Catálogo'!$Q$2:$Q$1567,MATCH($A66,'Catálogo'!$A$2:$A$1567,0)),"código no encontrado"))</f>
        <v/>
      </c>
      <c r="I66" s="10">
        <f>IF($G66="","",IF($H66="Sí",ROUND($G66/1.18,2),$G66))</f>
        <v/>
      </c>
      <c r="J66" s="14" t="n"/>
    </row>
    <row r="67">
      <c r="A67" s="14" t="n"/>
      <c r="B67" s="5">
        <f>IF($A67="","",IFERROR(INDEX('Catálogo'!$D$2:$D$1567,MATCH($A67,'Catálogo'!$A$2:$A$1567,0)),"código no encontrado"))</f>
        <v/>
      </c>
      <c r="C67" s="4">
        <f>IF($A67="","",IFERROR(INDEX('Catálogo'!$H$2:$H$1567,MATCH($A67,'Catálogo'!$A$2:$A$1567,0)),"código no encontrado"))</f>
        <v/>
      </c>
      <c r="D67" s="4">
        <f>IF($A67="","",IFERROR(INDEX('Catálogo'!$I$2:$I$1567,MATCH($A67,'Catálogo'!$A$2:$A$1567,0)),"código no encontrado"))</f>
        <v/>
      </c>
      <c r="E67" s="15" t="n"/>
      <c r="F67" s="10">
        <f>IF($A67="","",IFERROR(INDEX('Catálogo'!$N$2:$N$1567,MATCH($A67,'Catálogo'!$A$2:$A$1567,0)),"código no encontrado"))</f>
        <v/>
      </c>
      <c r="G67" s="10">
        <f>IF(OR($E67="",$F67="",NOT(ISNUMBER($F67))),"",$E67*$F67)</f>
        <v/>
      </c>
      <c r="H67" s="4">
        <f>IF($A67="","",IFERROR(INDEX('Catálogo'!$Q$2:$Q$1567,MATCH($A67,'Catálogo'!$A$2:$A$1567,0)),"código no encontrado"))</f>
        <v/>
      </c>
      <c r="I67" s="10">
        <f>IF($G67="","",IF($H67="Sí",ROUND($G67/1.18,2),$G67))</f>
        <v/>
      </c>
      <c r="J67" s="14" t="n"/>
    </row>
    <row r="68">
      <c r="A68" s="14" t="n"/>
      <c r="B68" s="5">
        <f>IF($A68="","",IFERROR(INDEX('Catálogo'!$D$2:$D$1567,MATCH($A68,'Catálogo'!$A$2:$A$1567,0)),"código no encontrado"))</f>
        <v/>
      </c>
      <c r="C68" s="4">
        <f>IF($A68="","",IFERROR(INDEX('Catálogo'!$H$2:$H$1567,MATCH($A68,'Catálogo'!$A$2:$A$1567,0)),"código no encontrado"))</f>
        <v/>
      </c>
      <c r="D68" s="4">
        <f>IF($A68="","",IFERROR(INDEX('Catálogo'!$I$2:$I$1567,MATCH($A68,'Catálogo'!$A$2:$A$1567,0)),"código no encontrado"))</f>
        <v/>
      </c>
      <c r="E68" s="15" t="n"/>
      <c r="F68" s="10">
        <f>IF($A68="","",IFERROR(INDEX('Catálogo'!$N$2:$N$1567,MATCH($A68,'Catálogo'!$A$2:$A$1567,0)),"código no encontrado"))</f>
        <v/>
      </c>
      <c r="G68" s="10">
        <f>IF(OR($E68="",$F68="",NOT(ISNUMBER($F68))),"",$E68*$F68)</f>
        <v/>
      </c>
      <c r="H68" s="4">
        <f>IF($A68="","",IFERROR(INDEX('Catálogo'!$Q$2:$Q$1567,MATCH($A68,'Catálogo'!$A$2:$A$1567,0)),"código no encontrado"))</f>
        <v/>
      </c>
      <c r="I68" s="10">
        <f>IF($G68="","",IF($H68="Sí",ROUND($G68/1.18,2),$G68))</f>
        <v/>
      </c>
      <c r="J68" s="14" t="n"/>
    </row>
    <row r="69">
      <c r="A69" s="14" t="n"/>
      <c r="B69" s="5">
        <f>IF($A69="","",IFERROR(INDEX('Catálogo'!$D$2:$D$1567,MATCH($A69,'Catálogo'!$A$2:$A$1567,0)),"código no encontrado"))</f>
        <v/>
      </c>
      <c r="C69" s="4">
        <f>IF($A69="","",IFERROR(INDEX('Catálogo'!$H$2:$H$1567,MATCH($A69,'Catálogo'!$A$2:$A$1567,0)),"código no encontrado"))</f>
        <v/>
      </c>
      <c r="D69" s="4">
        <f>IF($A69="","",IFERROR(INDEX('Catálogo'!$I$2:$I$1567,MATCH($A69,'Catálogo'!$A$2:$A$1567,0)),"código no encontrado"))</f>
        <v/>
      </c>
      <c r="E69" s="15" t="n"/>
      <c r="F69" s="10">
        <f>IF($A69="","",IFERROR(INDEX('Catálogo'!$N$2:$N$1567,MATCH($A69,'Catálogo'!$A$2:$A$1567,0)),"código no encontrado"))</f>
        <v/>
      </c>
      <c r="G69" s="10">
        <f>IF(OR($E69="",$F69="",NOT(ISNUMBER($F69))),"",$E69*$F69)</f>
        <v/>
      </c>
      <c r="H69" s="4">
        <f>IF($A69="","",IFERROR(INDEX('Catálogo'!$Q$2:$Q$1567,MATCH($A69,'Catálogo'!$A$2:$A$1567,0)),"código no encontrado"))</f>
        <v/>
      </c>
      <c r="I69" s="10">
        <f>IF($G69="","",IF($H69="Sí",ROUND($G69/1.18,2),$G69))</f>
        <v/>
      </c>
      <c r="J69" s="14" t="n"/>
    </row>
    <row r="70">
      <c r="A70" s="14" t="n"/>
      <c r="B70" s="5">
        <f>IF($A70="","",IFERROR(INDEX('Catálogo'!$D$2:$D$1567,MATCH($A70,'Catálogo'!$A$2:$A$1567,0)),"código no encontrado"))</f>
        <v/>
      </c>
      <c r="C70" s="4">
        <f>IF($A70="","",IFERROR(INDEX('Catálogo'!$H$2:$H$1567,MATCH($A70,'Catálogo'!$A$2:$A$1567,0)),"código no encontrado"))</f>
        <v/>
      </c>
      <c r="D70" s="4">
        <f>IF($A70="","",IFERROR(INDEX('Catálogo'!$I$2:$I$1567,MATCH($A70,'Catálogo'!$A$2:$A$1567,0)),"código no encontrado"))</f>
        <v/>
      </c>
      <c r="E70" s="15" t="n"/>
      <c r="F70" s="10">
        <f>IF($A70="","",IFERROR(INDEX('Catálogo'!$N$2:$N$1567,MATCH($A70,'Catálogo'!$A$2:$A$1567,0)),"código no encontrado"))</f>
        <v/>
      </c>
      <c r="G70" s="10">
        <f>IF(OR($E70="",$F70="",NOT(ISNUMBER($F70))),"",$E70*$F70)</f>
        <v/>
      </c>
      <c r="H70" s="4">
        <f>IF($A70="","",IFERROR(INDEX('Catálogo'!$Q$2:$Q$1567,MATCH($A70,'Catálogo'!$A$2:$A$1567,0)),"código no encontrado"))</f>
        <v/>
      </c>
      <c r="I70" s="10">
        <f>IF($G70="","",IF($H70="Sí",ROUND($G70/1.18,2),$G70))</f>
        <v/>
      </c>
      <c r="J70" s="14" t="n"/>
    </row>
    <row r="71">
      <c r="A71" s="14" t="n"/>
      <c r="B71" s="5">
        <f>IF($A71="","",IFERROR(INDEX('Catálogo'!$D$2:$D$1567,MATCH($A71,'Catálogo'!$A$2:$A$1567,0)),"código no encontrado"))</f>
        <v/>
      </c>
      <c r="C71" s="4">
        <f>IF($A71="","",IFERROR(INDEX('Catálogo'!$H$2:$H$1567,MATCH($A71,'Catálogo'!$A$2:$A$1567,0)),"código no encontrado"))</f>
        <v/>
      </c>
      <c r="D71" s="4">
        <f>IF($A71="","",IFERROR(INDEX('Catálogo'!$I$2:$I$1567,MATCH($A71,'Catálogo'!$A$2:$A$1567,0)),"código no encontrado"))</f>
        <v/>
      </c>
      <c r="E71" s="15" t="n"/>
      <c r="F71" s="10">
        <f>IF($A71="","",IFERROR(INDEX('Catálogo'!$N$2:$N$1567,MATCH($A71,'Catálogo'!$A$2:$A$1567,0)),"código no encontrado"))</f>
        <v/>
      </c>
      <c r="G71" s="10">
        <f>IF(OR($E71="",$F71="",NOT(ISNUMBER($F71))),"",$E71*$F71)</f>
        <v/>
      </c>
      <c r="H71" s="4">
        <f>IF($A71="","",IFERROR(INDEX('Catálogo'!$Q$2:$Q$1567,MATCH($A71,'Catálogo'!$A$2:$A$1567,0)),"código no encontrado"))</f>
        <v/>
      </c>
      <c r="I71" s="10">
        <f>IF($G71="","",IF($H71="Sí",ROUND($G71/1.18,2),$G71))</f>
        <v/>
      </c>
      <c r="J71" s="14" t="n"/>
    </row>
    <row r="72">
      <c r="A72" s="14" t="n"/>
      <c r="B72" s="5">
        <f>IF($A72="","",IFERROR(INDEX('Catálogo'!$D$2:$D$1567,MATCH($A72,'Catálogo'!$A$2:$A$1567,0)),"código no encontrado"))</f>
        <v/>
      </c>
      <c r="C72" s="4">
        <f>IF($A72="","",IFERROR(INDEX('Catálogo'!$H$2:$H$1567,MATCH($A72,'Catálogo'!$A$2:$A$1567,0)),"código no encontrado"))</f>
        <v/>
      </c>
      <c r="D72" s="4">
        <f>IF($A72="","",IFERROR(INDEX('Catálogo'!$I$2:$I$1567,MATCH($A72,'Catálogo'!$A$2:$A$1567,0)),"código no encontrado"))</f>
        <v/>
      </c>
      <c r="E72" s="15" t="n"/>
      <c r="F72" s="10">
        <f>IF($A72="","",IFERROR(INDEX('Catálogo'!$N$2:$N$1567,MATCH($A72,'Catálogo'!$A$2:$A$1567,0)),"código no encontrado"))</f>
        <v/>
      </c>
      <c r="G72" s="10">
        <f>IF(OR($E72="",$F72="",NOT(ISNUMBER($F72))),"",$E72*$F72)</f>
        <v/>
      </c>
      <c r="H72" s="4">
        <f>IF($A72="","",IFERROR(INDEX('Catálogo'!$Q$2:$Q$1567,MATCH($A72,'Catálogo'!$A$2:$A$1567,0)),"código no encontrado"))</f>
        <v/>
      </c>
      <c r="I72" s="10">
        <f>IF($G72="","",IF($H72="Sí",ROUND($G72/1.18,2),$G72))</f>
        <v/>
      </c>
      <c r="J72" s="14" t="n"/>
    </row>
    <row r="73">
      <c r="A73" s="14" t="n"/>
      <c r="B73" s="5">
        <f>IF($A73="","",IFERROR(INDEX('Catálogo'!$D$2:$D$1567,MATCH($A73,'Catálogo'!$A$2:$A$1567,0)),"código no encontrado"))</f>
        <v/>
      </c>
      <c r="C73" s="4">
        <f>IF($A73="","",IFERROR(INDEX('Catálogo'!$H$2:$H$1567,MATCH($A73,'Catálogo'!$A$2:$A$1567,0)),"código no encontrado"))</f>
        <v/>
      </c>
      <c r="D73" s="4">
        <f>IF($A73="","",IFERROR(INDEX('Catálogo'!$I$2:$I$1567,MATCH($A73,'Catálogo'!$A$2:$A$1567,0)),"código no encontrado"))</f>
        <v/>
      </c>
      <c r="E73" s="15" t="n"/>
      <c r="F73" s="10">
        <f>IF($A73="","",IFERROR(INDEX('Catálogo'!$N$2:$N$1567,MATCH($A73,'Catálogo'!$A$2:$A$1567,0)),"código no encontrado"))</f>
        <v/>
      </c>
      <c r="G73" s="10">
        <f>IF(OR($E73="",$F73="",NOT(ISNUMBER($F73))),"",$E73*$F73)</f>
        <v/>
      </c>
      <c r="H73" s="4">
        <f>IF($A73="","",IFERROR(INDEX('Catálogo'!$Q$2:$Q$1567,MATCH($A73,'Catálogo'!$A$2:$A$1567,0)),"código no encontrado"))</f>
        <v/>
      </c>
      <c r="I73" s="10">
        <f>IF($G73="","",IF($H73="Sí",ROUND($G73/1.18,2),$G73))</f>
        <v/>
      </c>
      <c r="J73" s="14" t="n"/>
    </row>
    <row r="74">
      <c r="A74" s="14" t="n"/>
      <c r="B74" s="5">
        <f>IF($A74="","",IFERROR(INDEX('Catálogo'!$D$2:$D$1567,MATCH($A74,'Catálogo'!$A$2:$A$1567,0)),"código no encontrado"))</f>
        <v/>
      </c>
      <c r="C74" s="4">
        <f>IF($A74="","",IFERROR(INDEX('Catálogo'!$H$2:$H$1567,MATCH($A74,'Catálogo'!$A$2:$A$1567,0)),"código no encontrado"))</f>
        <v/>
      </c>
      <c r="D74" s="4">
        <f>IF($A74="","",IFERROR(INDEX('Catálogo'!$I$2:$I$1567,MATCH($A74,'Catálogo'!$A$2:$A$1567,0)),"código no encontrado"))</f>
        <v/>
      </c>
      <c r="E74" s="15" t="n"/>
      <c r="F74" s="10">
        <f>IF($A74="","",IFERROR(INDEX('Catálogo'!$N$2:$N$1567,MATCH($A74,'Catálogo'!$A$2:$A$1567,0)),"código no encontrado"))</f>
        <v/>
      </c>
      <c r="G74" s="10">
        <f>IF(OR($E74="",$F74="",NOT(ISNUMBER($F74))),"",$E74*$F74)</f>
        <v/>
      </c>
      <c r="H74" s="4">
        <f>IF($A74="","",IFERROR(INDEX('Catálogo'!$Q$2:$Q$1567,MATCH($A74,'Catálogo'!$A$2:$A$1567,0)),"código no encontrado"))</f>
        <v/>
      </c>
      <c r="I74" s="10">
        <f>IF($G74="","",IF($H74="Sí",ROUND($G74/1.18,2),$G74))</f>
        <v/>
      </c>
      <c r="J74" s="14" t="n"/>
    </row>
    <row r="75">
      <c r="A75" s="14" t="n"/>
      <c r="B75" s="5">
        <f>IF($A75="","",IFERROR(INDEX('Catálogo'!$D$2:$D$1567,MATCH($A75,'Catálogo'!$A$2:$A$1567,0)),"código no encontrado"))</f>
        <v/>
      </c>
      <c r="C75" s="4">
        <f>IF($A75="","",IFERROR(INDEX('Catálogo'!$H$2:$H$1567,MATCH($A75,'Catálogo'!$A$2:$A$1567,0)),"código no encontrado"))</f>
        <v/>
      </c>
      <c r="D75" s="4">
        <f>IF($A75="","",IFERROR(INDEX('Catálogo'!$I$2:$I$1567,MATCH($A75,'Catálogo'!$A$2:$A$1567,0)),"código no encontrado"))</f>
        <v/>
      </c>
      <c r="E75" s="15" t="n"/>
      <c r="F75" s="10">
        <f>IF($A75="","",IFERROR(INDEX('Catálogo'!$N$2:$N$1567,MATCH($A75,'Catálogo'!$A$2:$A$1567,0)),"código no encontrado"))</f>
        <v/>
      </c>
      <c r="G75" s="10">
        <f>IF(OR($E75="",$F75="",NOT(ISNUMBER($F75))),"",$E75*$F75)</f>
        <v/>
      </c>
      <c r="H75" s="4">
        <f>IF($A75="","",IFERROR(INDEX('Catálogo'!$Q$2:$Q$1567,MATCH($A75,'Catálogo'!$A$2:$A$1567,0)),"código no encontrado"))</f>
        <v/>
      </c>
      <c r="I75" s="10">
        <f>IF($G75="","",IF($H75="Sí",ROUND($G75/1.18,2),$G75))</f>
        <v/>
      </c>
      <c r="J75" s="14" t="n"/>
    </row>
    <row r="76">
      <c r="A76" s="14" t="n"/>
      <c r="B76" s="5">
        <f>IF($A76="","",IFERROR(INDEX('Catálogo'!$D$2:$D$1567,MATCH($A76,'Catálogo'!$A$2:$A$1567,0)),"código no encontrado"))</f>
        <v/>
      </c>
      <c r="C76" s="4">
        <f>IF($A76="","",IFERROR(INDEX('Catálogo'!$H$2:$H$1567,MATCH($A76,'Catálogo'!$A$2:$A$1567,0)),"código no encontrado"))</f>
        <v/>
      </c>
      <c r="D76" s="4">
        <f>IF($A76="","",IFERROR(INDEX('Catálogo'!$I$2:$I$1567,MATCH($A76,'Catálogo'!$A$2:$A$1567,0)),"código no encontrado"))</f>
        <v/>
      </c>
      <c r="E76" s="15" t="n"/>
      <c r="F76" s="10">
        <f>IF($A76="","",IFERROR(INDEX('Catálogo'!$N$2:$N$1567,MATCH($A76,'Catálogo'!$A$2:$A$1567,0)),"código no encontrado"))</f>
        <v/>
      </c>
      <c r="G76" s="10">
        <f>IF(OR($E76="",$F76="",NOT(ISNUMBER($F76))),"",$E76*$F76)</f>
        <v/>
      </c>
      <c r="H76" s="4">
        <f>IF($A76="","",IFERROR(INDEX('Catálogo'!$Q$2:$Q$1567,MATCH($A76,'Catálogo'!$A$2:$A$1567,0)),"código no encontrado"))</f>
        <v/>
      </c>
      <c r="I76" s="10">
        <f>IF($G76="","",IF($H76="Sí",ROUND($G76/1.18,2),$G76))</f>
        <v/>
      </c>
      <c r="J76" s="14" t="n"/>
    </row>
    <row r="77">
      <c r="A77" s="14" t="n"/>
      <c r="B77" s="5">
        <f>IF($A77="","",IFERROR(INDEX('Catálogo'!$D$2:$D$1567,MATCH($A77,'Catálogo'!$A$2:$A$1567,0)),"código no encontrado"))</f>
        <v/>
      </c>
      <c r="C77" s="4">
        <f>IF($A77="","",IFERROR(INDEX('Catálogo'!$H$2:$H$1567,MATCH($A77,'Catálogo'!$A$2:$A$1567,0)),"código no encontrado"))</f>
        <v/>
      </c>
      <c r="D77" s="4">
        <f>IF($A77="","",IFERROR(INDEX('Catálogo'!$I$2:$I$1567,MATCH($A77,'Catálogo'!$A$2:$A$1567,0)),"código no encontrado"))</f>
        <v/>
      </c>
      <c r="E77" s="15" t="n"/>
      <c r="F77" s="10">
        <f>IF($A77="","",IFERROR(INDEX('Catálogo'!$N$2:$N$1567,MATCH($A77,'Catálogo'!$A$2:$A$1567,0)),"código no encontrado"))</f>
        <v/>
      </c>
      <c r="G77" s="10">
        <f>IF(OR($E77="",$F77="",NOT(ISNUMBER($F77))),"",$E77*$F77)</f>
        <v/>
      </c>
      <c r="H77" s="4">
        <f>IF($A77="","",IFERROR(INDEX('Catálogo'!$Q$2:$Q$1567,MATCH($A77,'Catálogo'!$A$2:$A$1567,0)),"código no encontrado"))</f>
        <v/>
      </c>
      <c r="I77" s="10">
        <f>IF($G77="","",IF($H77="Sí",ROUND($G77/1.18,2),$G77))</f>
        <v/>
      </c>
      <c r="J77" s="14" t="n"/>
    </row>
    <row r="78">
      <c r="A78" s="14" t="n"/>
      <c r="B78" s="5">
        <f>IF($A78="","",IFERROR(INDEX('Catálogo'!$D$2:$D$1567,MATCH($A78,'Catálogo'!$A$2:$A$1567,0)),"código no encontrado"))</f>
        <v/>
      </c>
      <c r="C78" s="4">
        <f>IF($A78="","",IFERROR(INDEX('Catálogo'!$H$2:$H$1567,MATCH($A78,'Catálogo'!$A$2:$A$1567,0)),"código no encontrado"))</f>
        <v/>
      </c>
      <c r="D78" s="4">
        <f>IF($A78="","",IFERROR(INDEX('Catálogo'!$I$2:$I$1567,MATCH($A78,'Catálogo'!$A$2:$A$1567,0)),"código no encontrado"))</f>
        <v/>
      </c>
      <c r="E78" s="15" t="n"/>
      <c r="F78" s="10">
        <f>IF($A78="","",IFERROR(INDEX('Catálogo'!$N$2:$N$1567,MATCH($A78,'Catálogo'!$A$2:$A$1567,0)),"código no encontrado"))</f>
        <v/>
      </c>
      <c r="G78" s="10">
        <f>IF(OR($E78="",$F78="",NOT(ISNUMBER($F78))),"",$E78*$F78)</f>
        <v/>
      </c>
      <c r="H78" s="4">
        <f>IF($A78="","",IFERROR(INDEX('Catálogo'!$Q$2:$Q$1567,MATCH($A78,'Catálogo'!$A$2:$A$1567,0)),"código no encontrado"))</f>
        <v/>
      </c>
      <c r="I78" s="10">
        <f>IF($G78="","",IF($H78="Sí",ROUND($G78/1.18,2),$G78))</f>
        <v/>
      </c>
      <c r="J78" s="14" t="n"/>
    </row>
    <row r="79">
      <c r="A79" s="14" t="n"/>
      <c r="B79" s="5">
        <f>IF($A79="","",IFERROR(INDEX('Catálogo'!$D$2:$D$1567,MATCH($A79,'Catálogo'!$A$2:$A$1567,0)),"código no encontrado"))</f>
        <v/>
      </c>
      <c r="C79" s="4">
        <f>IF($A79="","",IFERROR(INDEX('Catálogo'!$H$2:$H$1567,MATCH($A79,'Catálogo'!$A$2:$A$1567,0)),"código no encontrado"))</f>
        <v/>
      </c>
      <c r="D79" s="4">
        <f>IF($A79="","",IFERROR(INDEX('Catálogo'!$I$2:$I$1567,MATCH($A79,'Catálogo'!$A$2:$A$1567,0)),"código no encontrado"))</f>
        <v/>
      </c>
      <c r="E79" s="15" t="n"/>
      <c r="F79" s="10">
        <f>IF($A79="","",IFERROR(INDEX('Catálogo'!$N$2:$N$1567,MATCH($A79,'Catálogo'!$A$2:$A$1567,0)),"código no encontrado"))</f>
        <v/>
      </c>
      <c r="G79" s="10">
        <f>IF(OR($E79="",$F79="",NOT(ISNUMBER($F79))),"",$E79*$F79)</f>
        <v/>
      </c>
      <c r="H79" s="4">
        <f>IF($A79="","",IFERROR(INDEX('Catálogo'!$Q$2:$Q$1567,MATCH($A79,'Catálogo'!$A$2:$A$1567,0)),"código no encontrado"))</f>
        <v/>
      </c>
      <c r="I79" s="10">
        <f>IF($G79="","",IF($H79="Sí",ROUND($G79/1.18,2),$G79))</f>
        <v/>
      </c>
      <c r="J79" s="14" t="n"/>
    </row>
    <row r="80">
      <c r="A80" s="14" t="n"/>
      <c r="B80" s="5">
        <f>IF($A80="","",IFERROR(INDEX('Catálogo'!$D$2:$D$1567,MATCH($A80,'Catálogo'!$A$2:$A$1567,0)),"código no encontrado"))</f>
        <v/>
      </c>
      <c r="C80" s="4">
        <f>IF($A80="","",IFERROR(INDEX('Catálogo'!$H$2:$H$1567,MATCH($A80,'Catálogo'!$A$2:$A$1567,0)),"código no encontrado"))</f>
        <v/>
      </c>
      <c r="D80" s="4">
        <f>IF($A80="","",IFERROR(INDEX('Catálogo'!$I$2:$I$1567,MATCH($A80,'Catálogo'!$A$2:$A$1567,0)),"código no encontrado"))</f>
        <v/>
      </c>
      <c r="E80" s="15" t="n"/>
      <c r="F80" s="10">
        <f>IF($A80="","",IFERROR(INDEX('Catálogo'!$N$2:$N$1567,MATCH($A80,'Catálogo'!$A$2:$A$1567,0)),"código no encontrado"))</f>
        <v/>
      </c>
      <c r="G80" s="10">
        <f>IF(OR($E80="",$F80="",NOT(ISNUMBER($F80))),"",$E80*$F80)</f>
        <v/>
      </c>
      <c r="H80" s="4">
        <f>IF($A80="","",IFERROR(INDEX('Catálogo'!$Q$2:$Q$1567,MATCH($A80,'Catálogo'!$A$2:$A$1567,0)),"código no encontrado"))</f>
        <v/>
      </c>
      <c r="I80" s="10">
        <f>IF($G80="","",IF($H80="Sí",ROUND($G80/1.18,2),$G80))</f>
        <v/>
      </c>
      <c r="J80" s="14" t="n"/>
    </row>
    <row r="81">
      <c r="A81" s="14" t="n"/>
      <c r="B81" s="5">
        <f>IF($A81="","",IFERROR(INDEX('Catálogo'!$D$2:$D$1567,MATCH($A81,'Catálogo'!$A$2:$A$1567,0)),"código no encontrado"))</f>
        <v/>
      </c>
      <c r="C81" s="4">
        <f>IF($A81="","",IFERROR(INDEX('Catálogo'!$H$2:$H$1567,MATCH($A81,'Catálogo'!$A$2:$A$1567,0)),"código no encontrado"))</f>
        <v/>
      </c>
      <c r="D81" s="4">
        <f>IF($A81="","",IFERROR(INDEX('Catálogo'!$I$2:$I$1567,MATCH($A81,'Catálogo'!$A$2:$A$1567,0)),"código no encontrado"))</f>
        <v/>
      </c>
      <c r="E81" s="15" t="n"/>
      <c r="F81" s="10">
        <f>IF($A81="","",IFERROR(INDEX('Catálogo'!$N$2:$N$1567,MATCH($A81,'Catálogo'!$A$2:$A$1567,0)),"código no encontrado"))</f>
        <v/>
      </c>
      <c r="G81" s="10">
        <f>IF(OR($E81="",$F81="",NOT(ISNUMBER($F81))),"",$E81*$F81)</f>
        <v/>
      </c>
      <c r="H81" s="4">
        <f>IF($A81="","",IFERROR(INDEX('Catálogo'!$Q$2:$Q$1567,MATCH($A81,'Catálogo'!$A$2:$A$1567,0)),"código no encontrado"))</f>
        <v/>
      </c>
      <c r="I81" s="10">
        <f>IF($G81="","",IF($H81="Sí",ROUND($G81/1.18,2),$G81))</f>
        <v/>
      </c>
      <c r="J81" s="14" t="n"/>
    </row>
    <row r="82">
      <c r="A82" s="14" t="n"/>
      <c r="B82" s="5">
        <f>IF($A82="","",IFERROR(INDEX('Catálogo'!$D$2:$D$1567,MATCH($A82,'Catálogo'!$A$2:$A$1567,0)),"código no encontrado"))</f>
        <v/>
      </c>
      <c r="C82" s="4">
        <f>IF($A82="","",IFERROR(INDEX('Catálogo'!$H$2:$H$1567,MATCH($A82,'Catálogo'!$A$2:$A$1567,0)),"código no encontrado"))</f>
        <v/>
      </c>
      <c r="D82" s="4">
        <f>IF($A82="","",IFERROR(INDEX('Catálogo'!$I$2:$I$1567,MATCH($A82,'Catálogo'!$A$2:$A$1567,0)),"código no encontrado"))</f>
        <v/>
      </c>
      <c r="E82" s="15" t="n"/>
      <c r="F82" s="10">
        <f>IF($A82="","",IFERROR(INDEX('Catálogo'!$N$2:$N$1567,MATCH($A82,'Catálogo'!$A$2:$A$1567,0)),"código no encontrado"))</f>
        <v/>
      </c>
      <c r="G82" s="10">
        <f>IF(OR($E82="",$F82="",NOT(ISNUMBER($F82))),"",$E82*$F82)</f>
        <v/>
      </c>
      <c r="H82" s="4">
        <f>IF($A82="","",IFERROR(INDEX('Catálogo'!$Q$2:$Q$1567,MATCH($A82,'Catálogo'!$A$2:$A$1567,0)),"código no encontrado"))</f>
        <v/>
      </c>
      <c r="I82" s="10">
        <f>IF($G82="","",IF($H82="Sí",ROUND($G82/1.18,2),$G82))</f>
        <v/>
      </c>
      <c r="J82" s="14" t="n"/>
    </row>
    <row r="83">
      <c r="A83" s="14" t="n"/>
      <c r="B83" s="5">
        <f>IF($A83="","",IFERROR(INDEX('Catálogo'!$D$2:$D$1567,MATCH($A83,'Catálogo'!$A$2:$A$1567,0)),"código no encontrado"))</f>
        <v/>
      </c>
      <c r="C83" s="4">
        <f>IF($A83="","",IFERROR(INDEX('Catálogo'!$H$2:$H$1567,MATCH($A83,'Catálogo'!$A$2:$A$1567,0)),"código no encontrado"))</f>
        <v/>
      </c>
      <c r="D83" s="4">
        <f>IF($A83="","",IFERROR(INDEX('Catálogo'!$I$2:$I$1567,MATCH($A83,'Catálogo'!$A$2:$A$1567,0)),"código no encontrado"))</f>
        <v/>
      </c>
      <c r="E83" s="15" t="n"/>
      <c r="F83" s="10">
        <f>IF($A83="","",IFERROR(INDEX('Catálogo'!$N$2:$N$1567,MATCH($A83,'Catálogo'!$A$2:$A$1567,0)),"código no encontrado"))</f>
        <v/>
      </c>
      <c r="G83" s="10">
        <f>IF(OR($E83="",$F83="",NOT(ISNUMBER($F83))),"",$E83*$F83)</f>
        <v/>
      </c>
      <c r="H83" s="4">
        <f>IF($A83="","",IFERROR(INDEX('Catálogo'!$Q$2:$Q$1567,MATCH($A83,'Catálogo'!$A$2:$A$1567,0)),"código no encontrado"))</f>
        <v/>
      </c>
      <c r="I83" s="10">
        <f>IF($G83="","",IF($H83="Sí",ROUND($G83/1.18,2),$G83))</f>
        <v/>
      </c>
      <c r="J83" s="14" t="n"/>
    </row>
    <row r="84">
      <c r="A84" s="14" t="n"/>
      <c r="B84" s="5">
        <f>IF($A84="","",IFERROR(INDEX('Catálogo'!$D$2:$D$1567,MATCH($A84,'Catálogo'!$A$2:$A$1567,0)),"código no encontrado"))</f>
        <v/>
      </c>
      <c r="C84" s="4">
        <f>IF($A84="","",IFERROR(INDEX('Catálogo'!$H$2:$H$1567,MATCH($A84,'Catálogo'!$A$2:$A$1567,0)),"código no encontrado"))</f>
        <v/>
      </c>
      <c r="D84" s="4">
        <f>IF($A84="","",IFERROR(INDEX('Catálogo'!$I$2:$I$1567,MATCH($A84,'Catálogo'!$A$2:$A$1567,0)),"código no encontrado"))</f>
        <v/>
      </c>
      <c r="E84" s="15" t="n"/>
      <c r="F84" s="10">
        <f>IF($A84="","",IFERROR(INDEX('Catálogo'!$N$2:$N$1567,MATCH($A84,'Catálogo'!$A$2:$A$1567,0)),"código no encontrado"))</f>
        <v/>
      </c>
      <c r="G84" s="10">
        <f>IF(OR($E84="",$F84="",NOT(ISNUMBER($F84))),"",$E84*$F84)</f>
        <v/>
      </c>
      <c r="H84" s="4">
        <f>IF($A84="","",IFERROR(INDEX('Catálogo'!$Q$2:$Q$1567,MATCH($A84,'Catálogo'!$A$2:$A$1567,0)),"código no encontrado"))</f>
        <v/>
      </c>
      <c r="I84" s="10">
        <f>IF($G84="","",IF($H84="Sí",ROUND($G84/1.18,2),$G84))</f>
        <v/>
      </c>
      <c r="J84" s="14" t="n"/>
    </row>
    <row r="85">
      <c r="A85" s="14" t="n"/>
      <c r="B85" s="5">
        <f>IF($A85="","",IFERROR(INDEX('Catálogo'!$D$2:$D$1567,MATCH($A85,'Catálogo'!$A$2:$A$1567,0)),"código no encontrado"))</f>
        <v/>
      </c>
      <c r="C85" s="4">
        <f>IF($A85="","",IFERROR(INDEX('Catálogo'!$H$2:$H$1567,MATCH($A85,'Catálogo'!$A$2:$A$1567,0)),"código no encontrado"))</f>
        <v/>
      </c>
      <c r="D85" s="4">
        <f>IF($A85="","",IFERROR(INDEX('Catálogo'!$I$2:$I$1567,MATCH($A85,'Catálogo'!$A$2:$A$1567,0)),"código no encontrado"))</f>
        <v/>
      </c>
      <c r="E85" s="15" t="n"/>
      <c r="F85" s="10">
        <f>IF($A85="","",IFERROR(INDEX('Catálogo'!$N$2:$N$1567,MATCH($A85,'Catálogo'!$A$2:$A$1567,0)),"código no encontrado"))</f>
        <v/>
      </c>
      <c r="G85" s="10">
        <f>IF(OR($E85="",$F85="",NOT(ISNUMBER($F85))),"",$E85*$F85)</f>
        <v/>
      </c>
      <c r="H85" s="4">
        <f>IF($A85="","",IFERROR(INDEX('Catálogo'!$Q$2:$Q$1567,MATCH($A85,'Catálogo'!$A$2:$A$1567,0)),"código no encontrado"))</f>
        <v/>
      </c>
      <c r="I85" s="10">
        <f>IF($G85="","",IF($H85="Sí",ROUND($G85/1.18,2),$G85))</f>
        <v/>
      </c>
      <c r="J85" s="14" t="n"/>
    </row>
    <row r="86">
      <c r="A86" s="14" t="n"/>
      <c r="B86" s="5">
        <f>IF($A86="","",IFERROR(INDEX('Catálogo'!$D$2:$D$1567,MATCH($A86,'Catálogo'!$A$2:$A$1567,0)),"código no encontrado"))</f>
        <v/>
      </c>
      <c r="C86" s="4">
        <f>IF($A86="","",IFERROR(INDEX('Catálogo'!$H$2:$H$1567,MATCH($A86,'Catálogo'!$A$2:$A$1567,0)),"código no encontrado"))</f>
        <v/>
      </c>
      <c r="D86" s="4">
        <f>IF($A86="","",IFERROR(INDEX('Catálogo'!$I$2:$I$1567,MATCH($A86,'Catálogo'!$A$2:$A$1567,0)),"código no encontrado"))</f>
        <v/>
      </c>
      <c r="E86" s="15" t="n"/>
      <c r="F86" s="10">
        <f>IF($A86="","",IFERROR(INDEX('Catálogo'!$N$2:$N$1567,MATCH($A86,'Catálogo'!$A$2:$A$1567,0)),"código no encontrado"))</f>
        <v/>
      </c>
      <c r="G86" s="10">
        <f>IF(OR($E86="",$F86="",NOT(ISNUMBER($F86))),"",$E86*$F86)</f>
        <v/>
      </c>
      <c r="H86" s="4">
        <f>IF($A86="","",IFERROR(INDEX('Catálogo'!$Q$2:$Q$1567,MATCH($A86,'Catálogo'!$A$2:$A$1567,0)),"código no encontrado"))</f>
        <v/>
      </c>
      <c r="I86" s="10">
        <f>IF($G86="","",IF($H86="Sí",ROUND($G86/1.18,2),$G86))</f>
        <v/>
      </c>
      <c r="J86" s="14" t="n"/>
    </row>
    <row r="87">
      <c r="A87" s="14" t="n"/>
      <c r="B87" s="5">
        <f>IF($A87="","",IFERROR(INDEX('Catálogo'!$D$2:$D$1567,MATCH($A87,'Catálogo'!$A$2:$A$1567,0)),"código no encontrado"))</f>
        <v/>
      </c>
      <c r="C87" s="4">
        <f>IF($A87="","",IFERROR(INDEX('Catálogo'!$H$2:$H$1567,MATCH($A87,'Catálogo'!$A$2:$A$1567,0)),"código no encontrado"))</f>
        <v/>
      </c>
      <c r="D87" s="4">
        <f>IF($A87="","",IFERROR(INDEX('Catálogo'!$I$2:$I$1567,MATCH($A87,'Catálogo'!$A$2:$A$1567,0)),"código no encontrado"))</f>
        <v/>
      </c>
      <c r="E87" s="15" t="n"/>
      <c r="F87" s="10">
        <f>IF($A87="","",IFERROR(INDEX('Catálogo'!$N$2:$N$1567,MATCH($A87,'Catálogo'!$A$2:$A$1567,0)),"código no encontrado"))</f>
        <v/>
      </c>
      <c r="G87" s="10">
        <f>IF(OR($E87="",$F87="",NOT(ISNUMBER($F87))),"",$E87*$F87)</f>
        <v/>
      </c>
      <c r="H87" s="4">
        <f>IF($A87="","",IFERROR(INDEX('Catálogo'!$Q$2:$Q$1567,MATCH($A87,'Catálogo'!$A$2:$A$1567,0)),"código no encontrado"))</f>
        <v/>
      </c>
      <c r="I87" s="10">
        <f>IF($G87="","",IF($H87="Sí",ROUND($G87/1.18,2),$G87))</f>
        <v/>
      </c>
      <c r="J87" s="14" t="n"/>
    </row>
    <row r="88">
      <c r="A88" s="14" t="n"/>
      <c r="B88" s="5">
        <f>IF($A88="","",IFERROR(INDEX('Catálogo'!$D$2:$D$1567,MATCH($A88,'Catálogo'!$A$2:$A$1567,0)),"código no encontrado"))</f>
        <v/>
      </c>
      <c r="C88" s="4">
        <f>IF($A88="","",IFERROR(INDEX('Catálogo'!$H$2:$H$1567,MATCH($A88,'Catálogo'!$A$2:$A$1567,0)),"código no encontrado"))</f>
        <v/>
      </c>
      <c r="D88" s="4">
        <f>IF($A88="","",IFERROR(INDEX('Catálogo'!$I$2:$I$1567,MATCH($A88,'Catálogo'!$A$2:$A$1567,0)),"código no encontrado"))</f>
        <v/>
      </c>
      <c r="E88" s="15" t="n"/>
      <c r="F88" s="10">
        <f>IF($A88="","",IFERROR(INDEX('Catálogo'!$N$2:$N$1567,MATCH($A88,'Catálogo'!$A$2:$A$1567,0)),"código no encontrado"))</f>
        <v/>
      </c>
      <c r="G88" s="10">
        <f>IF(OR($E88="",$F88="",NOT(ISNUMBER($F88))),"",$E88*$F88)</f>
        <v/>
      </c>
      <c r="H88" s="4">
        <f>IF($A88="","",IFERROR(INDEX('Catálogo'!$Q$2:$Q$1567,MATCH($A88,'Catálogo'!$A$2:$A$1567,0)),"código no encontrado"))</f>
        <v/>
      </c>
      <c r="I88" s="10">
        <f>IF($G88="","",IF($H88="Sí",ROUND($G88/1.18,2),$G88))</f>
        <v/>
      </c>
      <c r="J88" s="14" t="n"/>
    </row>
    <row r="89">
      <c r="A89" s="14" t="n"/>
      <c r="B89" s="5">
        <f>IF($A89="","",IFERROR(INDEX('Catálogo'!$D$2:$D$1567,MATCH($A89,'Catálogo'!$A$2:$A$1567,0)),"código no encontrado"))</f>
        <v/>
      </c>
      <c r="C89" s="4">
        <f>IF($A89="","",IFERROR(INDEX('Catálogo'!$H$2:$H$1567,MATCH($A89,'Catálogo'!$A$2:$A$1567,0)),"código no encontrado"))</f>
        <v/>
      </c>
      <c r="D89" s="4">
        <f>IF($A89="","",IFERROR(INDEX('Catálogo'!$I$2:$I$1567,MATCH($A89,'Catálogo'!$A$2:$A$1567,0)),"código no encontrado"))</f>
        <v/>
      </c>
      <c r="E89" s="15" t="n"/>
      <c r="F89" s="10">
        <f>IF($A89="","",IFERROR(INDEX('Catálogo'!$N$2:$N$1567,MATCH($A89,'Catálogo'!$A$2:$A$1567,0)),"código no encontrado"))</f>
        <v/>
      </c>
      <c r="G89" s="10">
        <f>IF(OR($E89="",$F89="",NOT(ISNUMBER($F89))),"",$E89*$F89)</f>
        <v/>
      </c>
      <c r="H89" s="4">
        <f>IF($A89="","",IFERROR(INDEX('Catálogo'!$Q$2:$Q$1567,MATCH($A89,'Catálogo'!$A$2:$A$1567,0)),"código no encontrado"))</f>
        <v/>
      </c>
      <c r="I89" s="10">
        <f>IF($G89="","",IF($H89="Sí",ROUND($G89/1.18,2),$G89))</f>
        <v/>
      </c>
      <c r="J89" s="14" t="n"/>
    </row>
    <row r="90">
      <c r="A90" s="14" t="n"/>
      <c r="B90" s="5">
        <f>IF($A90="","",IFERROR(INDEX('Catálogo'!$D$2:$D$1567,MATCH($A90,'Catálogo'!$A$2:$A$1567,0)),"código no encontrado"))</f>
        <v/>
      </c>
      <c r="C90" s="4">
        <f>IF($A90="","",IFERROR(INDEX('Catálogo'!$H$2:$H$1567,MATCH($A90,'Catálogo'!$A$2:$A$1567,0)),"código no encontrado"))</f>
        <v/>
      </c>
      <c r="D90" s="4">
        <f>IF($A90="","",IFERROR(INDEX('Catálogo'!$I$2:$I$1567,MATCH($A90,'Catálogo'!$A$2:$A$1567,0)),"código no encontrado"))</f>
        <v/>
      </c>
      <c r="E90" s="15" t="n"/>
      <c r="F90" s="10">
        <f>IF($A90="","",IFERROR(INDEX('Catálogo'!$N$2:$N$1567,MATCH($A90,'Catálogo'!$A$2:$A$1567,0)),"código no encontrado"))</f>
        <v/>
      </c>
      <c r="G90" s="10">
        <f>IF(OR($E90="",$F90="",NOT(ISNUMBER($F90))),"",$E90*$F90)</f>
        <v/>
      </c>
      <c r="H90" s="4">
        <f>IF($A90="","",IFERROR(INDEX('Catálogo'!$Q$2:$Q$1567,MATCH($A90,'Catálogo'!$A$2:$A$1567,0)),"código no encontrado"))</f>
        <v/>
      </c>
      <c r="I90" s="10">
        <f>IF($G90="","",IF($H90="Sí",ROUND($G90/1.18,2),$G90))</f>
        <v/>
      </c>
      <c r="J90" s="14" t="n"/>
    </row>
    <row r="91">
      <c r="A91" s="14" t="n"/>
      <c r="B91" s="5">
        <f>IF($A91="","",IFERROR(INDEX('Catálogo'!$D$2:$D$1567,MATCH($A91,'Catálogo'!$A$2:$A$1567,0)),"código no encontrado"))</f>
        <v/>
      </c>
      <c r="C91" s="4">
        <f>IF($A91="","",IFERROR(INDEX('Catálogo'!$H$2:$H$1567,MATCH($A91,'Catálogo'!$A$2:$A$1567,0)),"código no encontrado"))</f>
        <v/>
      </c>
      <c r="D91" s="4">
        <f>IF($A91="","",IFERROR(INDEX('Catálogo'!$I$2:$I$1567,MATCH($A91,'Catálogo'!$A$2:$A$1567,0)),"código no encontrado"))</f>
        <v/>
      </c>
      <c r="E91" s="15" t="n"/>
      <c r="F91" s="10">
        <f>IF($A91="","",IFERROR(INDEX('Catálogo'!$N$2:$N$1567,MATCH($A91,'Catálogo'!$A$2:$A$1567,0)),"código no encontrado"))</f>
        <v/>
      </c>
      <c r="G91" s="10">
        <f>IF(OR($E91="",$F91="",NOT(ISNUMBER($F91))),"",$E91*$F91)</f>
        <v/>
      </c>
      <c r="H91" s="4">
        <f>IF($A91="","",IFERROR(INDEX('Catálogo'!$Q$2:$Q$1567,MATCH($A91,'Catálogo'!$A$2:$A$1567,0)),"código no encontrado"))</f>
        <v/>
      </c>
      <c r="I91" s="10">
        <f>IF($G91="","",IF($H91="Sí",ROUND($G91/1.18,2),$G91))</f>
        <v/>
      </c>
      <c r="J91" s="14" t="n"/>
    </row>
    <row r="92">
      <c r="A92" s="14" t="n"/>
      <c r="B92" s="5">
        <f>IF($A92="","",IFERROR(INDEX('Catálogo'!$D$2:$D$1567,MATCH($A92,'Catálogo'!$A$2:$A$1567,0)),"código no encontrado"))</f>
        <v/>
      </c>
      <c r="C92" s="4">
        <f>IF($A92="","",IFERROR(INDEX('Catálogo'!$H$2:$H$1567,MATCH($A92,'Catálogo'!$A$2:$A$1567,0)),"código no encontrado"))</f>
        <v/>
      </c>
      <c r="D92" s="4">
        <f>IF($A92="","",IFERROR(INDEX('Catálogo'!$I$2:$I$1567,MATCH($A92,'Catálogo'!$A$2:$A$1567,0)),"código no encontrado"))</f>
        <v/>
      </c>
      <c r="E92" s="15" t="n"/>
      <c r="F92" s="10">
        <f>IF($A92="","",IFERROR(INDEX('Catálogo'!$N$2:$N$1567,MATCH($A92,'Catálogo'!$A$2:$A$1567,0)),"código no encontrado"))</f>
        <v/>
      </c>
      <c r="G92" s="10">
        <f>IF(OR($E92="",$F92="",NOT(ISNUMBER($F92))),"",$E92*$F92)</f>
        <v/>
      </c>
      <c r="H92" s="4">
        <f>IF($A92="","",IFERROR(INDEX('Catálogo'!$Q$2:$Q$1567,MATCH($A92,'Catálogo'!$A$2:$A$1567,0)),"código no encontrado"))</f>
        <v/>
      </c>
      <c r="I92" s="10">
        <f>IF($G92="","",IF($H92="Sí",ROUND($G92/1.18,2),$G92))</f>
        <v/>
      </c>
      <c r="J92" s="14" t="n"/>
    </row>
    <row r="93">
      <c r="A93" s="14" t="n"/>
      <c r="B93" s="5">
        <f>IF($A93="","",IFERROR(INDEX('Catálogo'!$D$2:$D$1567,MATCH($A93,'Catálogo'!$A$2:$A$1567,0)),"código no encontrado"))</f>
        <v/>
      </c>
      <c r="C93" s="4">
        <f>IF($A93="","",IFERROR(INDEX('Catálogo'!$H$2:$H$1567,MATCH($A93,'Catálogo'!$A$2:$A$1567,0)),"código no encontrado"))</f>
        <v/>
      </c>
      <c r="D93" s="4">
        <f>IF($A93="","",IFERROR(INDEX('Catálogo'!$I$2:$I$1567,MATCH($A93,'Catálogo'!$A$2:$A$1567,0)),"código no encontrado"))</f>
        <v/>
      </c>
      <c r="E93" s="15" t="n"/>
      <c r="F93" s="10">
        <f>IF($A93="","",IFERROR(INDEX('Catálogo'!$N$2:$N$1567,MATCH($A93,'Catálogo'!$A$2:$A$1567,0)),"código no encontrado"))</f>
        <v/>
      </c>
      <c r="G93" s="10">
        <f>IF(OR($E93="",$F93="",NOT(ISNUMBER($F93))),"",$E93*$F93)</f>
        <v/>
      </c>
      <c r="H93" s="4">
        <f>IF($A93="","",IFERROR(INDEX('Catálogo'!$Q$2:$Q$1567,MATCH($A93,'Catálogo'!$A$2:$A$1567,0)),"código no encontrado"))</f>
        <v/>
      </c>
      <c r="I93" s="10">
        <f>IF($G93="","",IF($H93="Sí",ROUND($G93/1.18,2),$G93))</f>
        <v/>
      </c>
      <c r="J93" s="14" t="n"/>
    </row>
    <row r="94">
      <c r="A94" s="14" t="n"/>
      <c r="B94" s="5">
        <f>IF($A94="","",IFERROR(INDEX('Catálogo'!$D$2:$D$1567,MATCH($A94,'Catálogo'!$A$2:$A$1567,0)),"código no encontrado"))</f>
        <v/>
      </c>
      <c r="C94" s="4">
        <f>IF($A94="","",IFERROR(INDEX('Catálogo'!$H$2:$H$1567,MATCH($A94,'Catálogo'!$A$2:$A$1567,0)),"código no encontrado"))</f>
        <v/>
      </c>
      <c r="D94" s="4">
        <f>IF($A94="","",IFERROR(INDEX('Catálogo'!$I$2:$I$1567,MATCH($A94,'Catálogo'!$A$2:$A$1567,0)),"código no encontrado"))</f>
        <v/>
      </c>
      <c r="E94" s="15" t="n"/>
      <c r="F94" s="10">
        <f>IF($A94="","",IFERROR(INDEX('Catálogo'!$N$2:$N$1567,MATCH($A94,'Catálogo'!$A$2:$A$1567,0)),"código no encontrado"))</f>
        <v/>
      </c>
      <c r="G94" s="10">
        <f>IF(OR($E94="",$F94="",NOT(ISNUMBER($F94))),"",$E94*$F94)</f>
        <v/>
      </c>
      <c r="H94" s="4">
        <f>IF($A94="","",IFERROR(INDEX('Catálogo'!$Q$2:$Q$1567,MATCH($A94,'Catálogo'!$A$2:$A$1567,0)),"código no encontrado"))</f>
        <v/>
      </c>
      <c r="I94" s="10">
        <f>IF($G94="","",IF($H94="Sí",ROUND($G94/1.18,2),$G94))</f>
        <v/>
      </c>
      <c r="J94" s="14" t="n"/>
    </row>
    <row r="95">
      <c r="A95" s="14" t="n"/>
      <c r="B95" s="5">
        <f>IF($A95="","",IFERROR(INDEX('Catálogo'!$D$2:$D$1567,MATCH($A95,'Catálogo'!$A$2:$A$1567,0)),"código no encontrado"))</f>
        <v/>
      </c>
      <c r="C95" s="4">
        <f>IF($A95="","",IFERROR(INDEX('Catálogo'!$H$2:$H$1567,MATCH($A95,'Catálogo'!$A$2:$A$1567,0)),"código no encontrado"))</f>
        <v/>
      </c>
      <c r="D95" s="4">
        <f>IF($A95="","",IFERROR(INDEX('Catálogo'!$I$2:$I$1567,MATCH($A95,'Catálogo'!$A$2:$A$1567,0)),"código no encontrado"))</f>
        <v/>
      </c>
      <c r="E95" s="15" t="n"/>
      <c r="F95" s="10">
        <f>IF($A95="","",IFERROR(INDEX('Catálogo'!$N$2:$N$1567,MATCH($A95,'Catálogo'!$A$2:$A$1567,0)),"código no encontrado"))</f>
        <v/>
      </c>
      <c r="G95" s="10">
        <f>IF(OR($E95="",$F95="",NOT(ISNUMBER($F95))),"",$E95*$F95)</f>
        <v/>
      </c>
      <c r="H95" s="4">
        <f>IF($A95="","",IFERROR(INDEX('Catálogo'!$Q$2:$Q$1567,MATCH($A95,'Catálogo'!$A$2:$A$1567,0)),"código no encontrado"))</f>
        <v/>
      </c>
      <c r="I95" s="10">
        <f>IF($G95="","",IF($H95="Sí",ROUND($G95/1.18,2),$G95))</f>
        <v/>
      </c>
      <c r="J95" s="14" t="n"/>
    </row>
    <row r="96">
      <c r="A96" s="14" t="n"/>
      <c r="B96" s="5">
        <f>IF($A96="","",IFERROR(INDEX('Catálogo'!$D$2:$D$1567,MATCH($A96,'Catálogo'!$A$2:$A$1567,0)),"código no encontrado"))</f>
        <v/>
      </c>
      <c r="C96" s="4">
        <f>IF($A96="","",IFERROR(INDEX('Catálogo'!$H$2:$H$1567,MATCH($A96,'Catálogo'!$A$2:$A$1567,0)),"código no encontrado"))</f>
        <v/>
      </c>
      <c r="D96" s="4">
        <f>IF($A96="","",IFERROR(INDEX('Catálogo'!$I$2:$I$1567,MATCH($A96,'Catálogo'!$A$2:$A$1567,0)),"código no encontrado"))</f>
        <v/>
      </c>
      <c r="E96" s="15" t="n"/>
      <c r="F96" s="10">
        <f>IF($A96="","",IFERROR(INDEX('Catálogo'!$N$2:$N$1567,MATCH($A96,'Catálogo'!$A$2:$A$1567,0)),"código no encontrado"))</f>
        <v/>
      </c>
      <c r="G96" s="10">
        <f>IF(OR($E96="",$F96="",NOT(ISNUMBER($F96))),"",$E96*$F96)</f>
        <v/>
      </c>
      <c r="H96" s="4">
        <f>IF($A96="","",IFERROR(INDEX('Catálogo'!$Q$2:$Q$1567,MATCH($A96,'Catálogo'!$A$2:$A$1567,0)),"código no encontrado"))</f>
        <v/>
      </c>
      <c r="I96" s="10">
        <f>IF($G96="","",IF($H96="Sí",ROUND($G96/1.18,2),$G96))</f>
        <v/>
      </c>
      <c r="J96" s="14" t="n"/>
    </row>
    <row r="97">
      <c r="A97" s="14" t="n"/>
      <c r="B97" s="5">
        <f>IF($A97="","",IFERROR(INDEX('Catálogo'!$D$2:$D$1567,MATCH($A97,'Catálogo'!$A$2:$A$1567,0)),"código no encontrado"))</f>
        <v/>
      </c>
      <c r="C97" s="4">
        <f>IF($A97="","",IFERROR(INDEX('Catálogo'!$H$2:$H$1567,MATCH($A97,'Catálogo'!$A$2:$A$1567,0)),"código no encontrado"))</f>
        <v/>
      </c>
      <c r="D97" s="4">
        <f>IF($A97="","",IFERROR(INDEX('Catálogo'!$I$2:$I$1567,MATCH($A97,'Catálogo'!$A$2:$A$1567,0)),"código no encontrado"))</f>
        <v/>
      </c>
      <c r="E97" s="15" t="n"/>
      <c r="F97" s="10">
        <f>IF($A97="","",IFERROR(INDEX('Catálogo'!$N$2:$N$1567,MATCH($A97,'Catálogo'!$A$2:$A$1567,0)),"código no encontrado"))</f>
        <v/>
      </c>
      <c r="G97" s="10">
        <f>IF(OR($E97="",$F97="",NOT(ISNUMBER($F97))),"",$E97*$F97)</f>
        <v/>
      </c>
      <c r="H97" s="4">
        <f>IF($A97="","",IFERROR(INDEX('Catálogo'!$Q$2:$Q$1567,MATCH($A97,'Catálogo'!$A$2:$A$1567,0)),"código no encontrado"))</f>
        <v/>
      </c>
      <c r="I97" s="10">
        <f>IF($G97="","",IF($H97="Sí",ROUND($G97/1.18,2),$G97))</f>
        <v/>
      </c>
      <c r="J97" s="14" t="n"/>
    </row>
    <row r="98">
      <c r="A98" s="14" t="n"/>
      <c r="B98" s="5">
        <f>IF($A98="","",IFERROR(INDEX('Catálogo'!$D$2:$D$1567,MATCH($A98,'Catálogo'!$A$2:$A$1567,0)),"código no encontrado"))</f>
        <v/>
      </c>
      <c r="C98" s="4">
        <f>IF($A98="","",IFERROR(INDEX('Catálogo'!$H$2:$H$1567,MATCH($A98,'Catálogo'!$A$2:$A$1567,0)),"código no encontrado"))</f>
        <v/>
      </c>
      <c r="D98" s="4">
        <f>IF($A98="","",IFERROR(INDEX('Catálogo'!$I$2:$I$1567,MATCH($A98,'Catálogo'!$A$2:$A$1567,0)),"código no encontrado"))</f>
        <v/>
      </c>
      <c r="E98" s="15" t="n"/>
      <c r="F98" s="10">
        <f>IF($A98="","",IFERROR(INDEX('Catálogo'!$N$2:$N$1567,MATCH($A98,'Catálogo'!$A$2:$A$1567,0)),"código no encontrado"))</f>
        <v/>
      </c>
      <c r="G98" s="10">
        <f>IF(OR($E98="",$F98="",NOT(ISNUMBER($F98))),"",$E98*$F98)</f>
        <v/>
      </c>
      <c r="H98" s="4">
        <f>IF($A98="","",IFERROR(INDEX('Catálogo'!$Q$2:$Q$1567,MATCH($A98,'Catálogo'!$A$2:$A$1567,0)),"código no encontrado"))</f>
        <v/>
      </c>
      <c r="I98" s="10">
        <f>IF($G98="","",IF($H98="Sí",ROUND($G98/1.18,2),$G98))</f>
        <v/>
      </c>
      <c r="J98" s="14" t="n"/>
    </row>
    <row r="99">
      <c r="A99" s="14" t="n"/>
      <c r="B99" s="5">
        <f>IF($A99="","",IFERROR(INDEX('Catálogo'!$D$2:$D$1567,MATCH($A99,'Catálogo'!$A$2:$A$1567,0)),"código no encontrado"))</f>
        <v/>
      </c>
      <c r="C99" s="4">
        <f>IF($A99="","",IFERROR(INDEX('Catálogo'!$H$2:$H$1567,MATCH($A99,'Catálogo'!$A$2:$A$1567,0)),"código no encontrado"))</f>
        <v/>
      </c>
      <c r="D99" s="4">
        <f>IF($A99="","",IFERROR(INDEX('Catálogo'!$I$2:$I$1567,MATCH($A99,'Catálogo'!$A$2:$A$1567,0)),"código no encontrado"))</f>
        <v/>
      </c>
      <c r="E99" s="15" t="n"/>
      <c r="F99" s="10">
        <f>IF($A99="","",IFERROR(INDEX('Catálogo'!$N$2:$N$1567,MATCH($A99,'Catálogo'!$A$2:$A$1567,0)),"código no encontrado"))</f>
        <v/>
      </c>
      <c r="G99" s="10">
        <f>IF(OR($E99="",$F99="",NOT(ISNUMBER($F99))),"",$E99*$F99)</f>
        <v/>
      </c>
      <c r="H99" s="4">
        <f>IF($A99="","",IFERROR(INDEX('Catálogo'!$Q$2:$Q$1567,MATCH($A99,'Catálogo'!$A$2:$A$1567,0)),"código no encontrado"))</f>
        <v/>
      </c>
      <c r="I99" s="10">
        <f>IF($G99="","",IF($H99="Sí",ROUND($G99/1.18,2),$G99))</f>
        <v/>
      </c>
      <c r="J99" s="14" t="n"/>
    </row>
    <row r="100">
      <c r="A100" s="14" t="n"/>
      <c r="B100" s="5">
        <f>IF($A100="","",IFERROR(INDEX('Catálogo'!$D$2:$D$1567,MATCH($A100,'Catálogo'!$A$2:$A$1567,0)),"código no encontrado"))</f>
        <v/>
      </c>
      <c r="C100" s="4">
        <f>IF($A100="","",IFERROR(INDEX('Catálogo'!$H$2:$H$1567,MATCH($A100,'Catálogo'!$A$2:$A$1567,0)),"código no encontrado"))</f>
        <v/>
      </c>
      <c r="D100" s="4">
        <f>IF($A100="","",IFERROR(INDEX('Catálogo'!$I$2:$I$1567,MATCH($A100,'Catálogo'!$A$2:$A$1567,0)),"código no encontrado"))</f>
        <v/>
      </c>
      <c r="E100" s="15" t="n"/>
      <c r="F100" s="10">
        <f>IF($A100="","",IFERROR(INDEX('Catálogo'!$N$2:$N$1567,MATCH($A100,'Catálogo'!$A$2:$A$1567,0)),"código no encontrado"))</f>
        <v/>
      </c>
      <c r="G100" s="10">
        <f>IF(OR($E100="",$F100="",NOT(ISNUMBER($F100))),"",$E100*$F100)</f>
        <v/>
      </c>
      <c r="H100" s="4">
        <f>IF($A100="","",IFERROR(INDEX('Catálogo'!$Q$2:$Q$1567,MATCH($A100,'Catálogo'!$A$2:$A$1567,0)),"código no encontrado"))</f>
        <v/>
      </c>
      <c r="I100" s="10">
        <f>IF($G100="","",IF($H100="Sí",ROUND($G100/1.18,2),$G100))</f>
        <v/>
      </c>
      <c r="J100" s="14" t="n"/>
    </row>
    <row r="101">
      <c r="A101" s="14" t="n"/>
      <c r="B101" s="5">
        <f>IF($A101="","",IFERROR(INDEX('Catálogo'!$D$2:$D$1567,MATCH($A101,'Catálogo'!$A$2:$A$1567,0)),"código no encontrado"))</f>
        <v/>
      </c>
      <c r="C101" s="4">
        <f>IF($A101="","",IFERROR(INDEX('Catálogo'!$H$2:$H$1567,MATCH($A101,'Catálogo'!$A$2:$A$1567,0)),"código no encontrado"))</f>
        <v/>
      </c>
      <c r="D101" s="4">
        <f>IF($A101="","",IFERROR(INDEX('Catálogo'!$I$2:$I$1567,MATCH($A101,'Catálogo'!$A$2:$A$1567,0)),"código no encontrado"))</f>
        <v/>
      </c>
      <c r="E101" s="15" t="n"/>
      <c r="F101" s="10">
        <f>IF($A101="","",IFERROR(INDEX('Catálogo'!$N$2:$N$1567,MATCH($A101,'Catálogo'!$A$2:$A$1567,0)),"código no encontrado"))</f>
        <v/>
      </c>
      <c r="G101" s="10">
        <f>IF(OR($E101="",$F101="",NOT(ISNUMBER($F101))),"",$E101*$F101)</f>
        <v/>
      </c>
      <c r="H101" s="4">
        <f>IF($A101="","",IFERROR(INDEX('Catálogo'!$Q$2:$Q$1567,MATCH($A101,'Catálogo'!$A$2:$A$1567,0)),"código no encontrado"))</f>
        <v/>
      </c>
      <c r="I101" s="10">
        <f>IF($G101="","",IF($H101="Sí",ROUND($G101/1.18,2),$G101))</f>
        <v/>
      </c>
      <c r="J101" s="14" t="n"/>
    </row>
    <row r="102">
      <c r="A102" s="14" t="n"/>
      <c r="B102" s="5">
        <f>IF($A102="","",IFERROR(INDEX('Catálogo'!$D$2:$D$1567,MATCH($A102,'Catálogo'!$A$2:$A$1567,0)),"código no encontrado"))</f>
        <v/>
      </c>
      <c r="C102" s="4">
        <f>IF($A102="","",IFERROR(INDEX('Catálogo'!$H$2:$H$1567,MATCH($A102,'Catálogo'!$A$2:$A$1567,0)),"código no encontrado"))</f>
        <v/>
      </c>
      <c r="D102" s="4">
        <f>IF($A102="","",IFERROR(INDEX('Catálogo'!$I$2:$I$1567,MATCH($A102,'Catálogo'!$A$2:$A$1567,0)),"código no encontrado"))</f>
        <v/>
      </c>
      <c r="E102" s="15" t="n"/>
      <c r="F102" s="10">
        <f>IF($A102="","",IFERROR(INDEX('Catálogo'!$N$2:$N$1567,MATCH($A102,'Catálogo'!$A$2:$A$1567,0)),"código no encontrado"))</f>
        <v/>
      </c>
      <c r="G102" s="10">
        <f>IF(OR($E102="",$F102="",NOT(ISNUMBER($F102))),"",$E102*$F102)</f>
        <v/>
      </c>
      <c r="H102" s="4">
        <f>IF($A102="","",IFERROR(INDEX('Catálogo'!$Q$2:$Q$1567,MATCH($A102,'Catálogo'!$A$2:$A$1567,0)),"código no encontrado"))</f>
        <v/>
      </c>
      <c r="I102" s="10">
        <f>IF($G102="","",IF($H102="Sí",ROUND($G102/1.18,2),$G102))</f>
        <v/>
      </c>
      <c r="J102" s="14" t="n"/>
    </row>
    <row r="103">
      <c r="A103" s="14" t="n"/>
      <c r="B103" s="5">
        <f>IF($A103="","",IFERROR(INDEX('Catálogo'!$D$2:$D$1567,MATCH($A103,'Catálogo'!$A$2:$A$1567,0)),"código no encontrado"))</f>
        <v/>
      </c>
      <c r="C103" s="4">
        <f>IF($A103="","",IFERROR(INDEX('Catálogo'!$H$2:$H$1567,MATCH($A103,'Catálogo'!$A$2:$A$1567,0)),"código no encontrado"))</f>
        <v/>
      </c>
      <c r="D103" s="4">
        <f>IF($A103="","",IFERROR(INDEX('Catálogo'!$I$2:$I$1567,MATCH($A103,'Catálogo'!$A$2:$A$1567,0)),"código no encontrado"))</f>
        <v/>
      </c>
      <c r="E103" s="15" t="n"/>
      <c r="F103" s="10">
        <f>IF($A103="","",IFERROR(INDEX('Catálogo'!$N$2:$N$1567,MATCH($A103,'Catálogo'!$A$2:$A$1567,0)),"código no encontrado"))</f>
        <v/>
      </c>
      <c r="G103" s="10">
        <f>IF(OR($E103="",$F103="",NOT(ISNUMBER($F103))),"",$E103*$F103)</f>
        <v/>
      </c>
      <c r="H103" s="4">
        <f>IF($A103="","",IFERROR(INDEX('Catálogo'!$Q$2:$Q$1567,MATCH($A103,'Catálogo'!$A$2:$A$1567,0)),"código no encontrado"))</f>
        <v/>
      </c>
      <c r="I103" s="10">
        <f>IF($G103="","",IF($H103="Sí",ROUND($G103/1.18,2),$G103))</f>
        <v/>
      </c>
      <c r="J103" s="14" t="n"/>
    </row>
    <row r="104">
      <c r="A104" s="14" t="n"/>
      <c r="B104" s="5">
        <f>IF($A104="","",IFERROR(INDEX('Catálogo'!$D$2:$D$1567,MATCH($A104,'Catálogo'!$A$2:$A$1567,0)),"código no encontrado"))</f>
        <v/>
      </c>
      <c r="C104" s="4">
        <f>IF($A104="","",IFERROR(INDEX('Catálogo'!$H$2:$H$1567,MATCH($A104,'Catálogo'!$A$2:$A$1567,0)),"código no encontrado"))</f>
        <v/>
      </c>
      <c r="D104" s="4">
        <f>IF($A104="","",IFERROR(INDEX('Catálogo'!$I$2:$I$1567,MATCH($A104,'Catálogo'!$A$2:$A$1567,0)),"código no encontrado"))</f>
        <v/>
      </c>
      <c r="E104" s="15" t="n"/>
      <c r="F104" s="10">
        <f>IF($A104="","",IFERROR(INDEX('Catálogo'!$N$2:$N$1567,MATCH($A104,'Catálogo'!$A$2:$A$1567,0)),"código no encontrado"))</f>
        <v/>
      </c>
      <c r="G104" s="10">
        <f>IF(OR($E104="",$F104="",NOT(ISNUMBER($F104))),"",$E104*$F104)</f>
        <v/>
      </c>
      <c r="H104" s="4">
        <f>IF($A104="","",IFERROR(INDEX('Catálogo'!$Q$2:$Q$1567,MATCH($A104,'Catálogo'!$A$2:$A$1567,0)),"código no encontrado"))</f>
        <v/>
      </c>
      <c r="I104" s="10">
        <f>IF($G104="","",IF($H104="Sí",ROUND($G104/1.18,2),$G104))</f>
        <v/>
      </c>
      <c r="J104" s="14" t="n"/>
    </row>
    <row r="105">
      <c r="A105" s="14" t="n"/>
      <c r="B105" s="5">
        <f>IF($A105="","",IFERROR(INDEX('Catálogo'!$D$2:$D$1567,MATCH($A105,'Catálogo'!$A$2:$A$1567,0)),"código no encontrado"))</f>
        <v/>
      </c>
      <c r="C105" s="4">
        <f>IF($A105="","",IFERROR(INDEX('Catálogo'!$H$2:$H$1567,MATCH($A105,'Catálogo'!$A$2:$A$1567,0)),"código no encontrado"))</f>
        <v/>
      </c>
      <c r="D105" s="4">
        <f>IF($A105="","",IFERROR(INDEX('Catálogo'!$I$2:$I$1567,MATCH($A105,'Catálogo'!$A$2:$A$1567,0)),"código no encontrado"))</f>
        <v/>
      </c>
      <c r="E105" s="15" t="n"/>
      <c r="F105" s="10">
        <f>IF($A105="","",IFERROR(INDEX('Catálogo'!$N$2:$N$1567,MATCH($A105,'Catálogo'!$A$2:$A$1567,0)),"código no encontrado"))</f>
        <v/>
      </c>
      <c r="G105" s="10">
        <f>IF(OR($E105="",$F105="",NOT(ISNUMBER($F105))),"",$E105*$F105)</f>
        <v/>
      </c>
      <c r="H105" s="4">
        <f>IF($A105="","",IFERROR(INDEX('Catálogo'!$Q$2:$Q$1567,MATCH($A105,'Catálogo'!$A$2:$A$1567,0)),"código no encontrado"))</f>
        <v/>
      </c>
      <c r="I105" s="10">
        <f>IF($G105="","",IF($H105="Sí",ROUND($G105/1.18,2),$G105))</f>
        <v/>
      </c>
      <c r="J105" s="14" t="n"/>
    </row>
    <row r="106">
      <c r="A106" s="14" t="n"/>
      <c r="B106" s="5">
        <f>IF($A106="","",IFERROR(INDEX('Catálogo'!$D$2:$D$1567,MATCH($A106,'Catálogo'!$A$2:$A$1567,0)),"código no encontrado"))</f>
        <v/>
      </c>
      <c r="C106" s="4">
        <f>IF($A106="","",IFERROR(INDEX('Catálogo'!$H$2:$H$1567,MATCH($A106,'Catálogo'!$A$2:$A$1567,0)),"código no encontrado"))</f>
        <v/>
      </c>
      <c r="D106" s="4">
        <f>IF($A106="","",IFERROR(INDEX('Catálogo'!$I$2:$I$1567,MATCH($A106,'Catálogo'!$A$2:$A$1567,0)),"código no encontrado"))</f>
        <v/>
      </c>
      <c r="E106" s="15" t="n"/>
      <c r="F106" s="10">
        <f>IF($A106="","",IFERROR(INDEX('Catálogo'!$N$2:$N$1567,MATCH($A106,'Catálogo'!$A$2:$A$1567,0)),"código no encontrado"))</f>
        <v/>
      </c>
      <c r="G106" s="10">
        <f>IF(OR($E106="",$F106="",NOT(ISNUMBER($F106))),"",$E106*$F106)</f>
        <v/>
      </c>
      <c r="H106" s="4">
        <f>IF($A106="","",IFERROR(INDEX('Catálogo'!$Q$2:$Q$1567,MATCH($A106,'Catálogo'!$A$2:$A$1567,0)),"código no encontrado"))</f>
        <v/>
      </c>
      <c r="I106" s="10">
        <f>IF($G106="","",IF($H106="Sí",ROUND($G106/1.18,2),$G106))</f>
        <v/>
      </c>
      <c r="J106" s="14" t="n"/>
    </row>
    <row r="107">
      <c r="A107" s="14" t="n"/>
      <c r="B107" s="5">
        <f>IF($A107="","",IFERROR(INDEX('Catálogo'!$D$2:$D$1567,MATCH($A107,'Catálogo'!$A$2:$A$1567,0)),"código no encontrado"))</f>
        <v/>
      </c>
      <c r="C107" s="4">
        <f>IF($A107="","",IFERROR(INDEX('Catálogo'!$H$2:$H$1567,MATCH($A107,'Catálogo'!$A$2:$A$1567,0)),"código no encontrado"))</f>
        <v/>
      </c>
      <c r="D107" s="4">
        <f>IF($A107="","",IFERROR(INDEX('Catálogo'!$I$2:$I$1567,MATCH($A107,'Catálogo'!$A$2:$A$1567,0)),"código no encontrado"))</f>
        <v/>
      </c>
      <c r="E107" s="15" t="n"/>
      <c r="F107" s="10">
        <f>IF($A107="","",IFERROR(INDEX('Catálogo'!$N$2:$N$1567,MATCH($A107,'Catálogo'!$A$2:$A$1567,0)),"código no encontrado"))</f>
        <v/>
      </c>
      <c r="G107" s="10">
        <f>IF(OR($E107="",$F107="",NOT(ISNUMBER($F107))),"",$E107*$F107)</f>
        <v/>
      </c>
      <c r="H107" s="4">
        <f>IF($A107="","",IFERROR(INDEX('Catálogo'!$Q$2:$Q$1567,MATCH($A107,'Catálogo'!$A$2:$A$1567,0)),"código no encontrado"))</f>
        <v/>
      </c>
      <c r="I107" s="10">
        <f>IF($G107="","",IF($H107="Sí",ROUND($G107/1.18,2),$G107))</f>
        <v/>
      </c>
      <c r="J107" s="14" t="n"/>
    </row>
    <row r="108">
      <c r="A108" s="14" t="n"/>
      <c r="B108" s="5">
        <f>IF($A108="","",IFERROR(INDEX('Catálogo'!$D$2:$D$1567,MATCH($A108,'Catálogo'!$A$2:$A$1567,0)),"código no encontrado"))</f>
        <v/>
      </c>
      <c r="C108" s="4">
        <f>IF($A108="","",IFERROR(INDEX('Catálogo'!$H$2:$H$1567,MATCH($A108,'Catálogo'!$A$2:$A$1567,0)),"código no encontrado"))</f>
        <v/>
      </c>
      <c r="D108" s="4">
        <f>IF($A108="","",IFERROR(INDEX('Catálogo'!$I$2:$I$1567,MATCH($A108,'Catálogo'!$A$2:$A$1567,0)),"código no encontrado"))</f>
        <v/>
      </c>
      <c r="E108" s="15" t="n"/>
      <c r="F108" s="10">
        <f>IF($A108="","",IFERROR(INDEX('Catálogo'!$N$2:$N$1567,MATCH($A108,'Catálogo'!$A$2:$A$1567,0)),"código no encontrado"))</f>
        <v/>
      </c>
      <c r="G108" s="10">
        <f>IF(OR($E108="",$F108="",NOT(ISNUMBER($F108))),"",$E108*$F108)</f>
        <v/>
      </c>
      <c r="H108" s="4">
        <f>IF($A108="","",IFERROR(INDEX('Catálogo'!$Q$2:$Q$1567,MATCH($A108,'Catálogo'!$A$2:$A$1567,0)),"código no encontrado"))</f>
        <v/>
      </c>
      <c r="I108" s="10">
        <f>IF($G108="","",IF($H108="Sí",ROUND($G108/1.18,2),$G108))</f>
        <v/>
      </c>
      <c r="J108" s="14" t="n"/>
    </row>
    <row r="109">
      <c r="A109" s="14" t="n"/>
      <c r="B109" s="5">
        <f>IF($A109="","",IFERROR(INDEX('Catálogo'!$D$2:$D$1567,MATCH($A109,'Catálogo'!$A$2:$A$1567,0)),"código no encontrado"))</f>
        <v/>
      </c>
      <c r="C109" s="4">
        <f>IF($A109="","",IFERROR(INDEX('Catálogo'!$H$2:$H$1567,MATCH($A109,'Catálogo'!$A$2:$A$1567,0)),"código no encontrado"))</f>
        <v/>
      </c>
      <c r="D109" s="4">
        <f>IF($A109="","",IFERROR(INDEX('Catálogo'!$I$2:$I$1567,MATCH($A109,'Catálogo'!$A$2:$A$1567,0)),"código no encontrado"))</f>
        <v/>
      </c>
      <c r="E109" s="15" t="n"/>
      <c r="F109" s="10">
        <f>IF($A109="","",IFERROR(INDEX('Catálogo'!$N$2:$N$1567,MATCH($A109,'Catálogo'!$A$2:$A$1567,0)),"código no encontrado"))</f>
        <v/>
      </c>
      <c r="G109" s="10">
        <f>IF(OR($E109="",$F109="",NOT(ISNUMBER($F109))),"",$E109*$F109)</f>
        <v/>
      </c>
      <c r="H109" s="4">
        <f>IF($A109="","",IFERROR(INDEX('Catálogo'!$Q$2:$Q$1567,MATCH($A109,'Catálogo'!$A$2:$A$1567,0)),"código no encontrado"))</f>
        <v/>
      </c>
      <c r="I109" s="10">
        <f>IF($G109="","",IF($H109="Sí",ROUND($G109/1.18,2),$G109))</f>
        <v/>
      </c>
      <c r="J109" s="14" t="n"/>
    </row>
    <row r="110">
      <c r="A110" s="14" t="n"/>
      <c r="B110" s="5">
        <f>IF($A110="","",IFERROR(INDEX('Catálogo'!$D$2:$D$1567,MATCH($A110,'Catálogo'!$A$2:$A$1567,0)),"código no encontrado"))</f>
        <v/>
      </c>
      <c r="C110" s="4">
        <f>IF($A110="","",IFERROR(INDEX('Catálogo'!$H$2:$H$1567,MATCH($A110,'Catálogo'!$A$2:$A$1567,0)),"código no encontrado"))</f>
        <v/>
      </c>
      <c r="D110" s="4">
        <f>IF($A110="","",IFERROR(INDEX('Catálogo'!$I$2:$I$1567,MATCH($A110,'Catálogo'!$A$2:$A$1567,0)),"código no encontrado"))</f>
        <v/>
      </c>
      <c r="E110" s="15" t="n"/>
      <c r="F110" s="10">
        <f>IF($A110="","",IFERROR(INDEX('Catálogo'!$N$2:$N$1567,MATCH($A110,'Catálogo'!$A$2:$A$1567,0)),"código no encontrado"))</f>
        <v/>
      </c>
      <c r="G110" s="10">
        <f>IF(OR($E110="",$F110="",NOT(ISNUMBER($F110))),"",$E110*$F110)</f>
        <v/>
      </c>
      <c r="H110" s="4">
        <f>IF($A110="","",IFERROR(INDEX('Catálogo'!$Q$2:$Q$1567,MATCH($A110,'Catálogo'!$A$2:$A$1567,0)),"código no encontrado"))</f>
        <v/>
      </c>
      <c r="I110" s="10">
        <f>IF($G110="","",IF($H110="Sí",ROUND($G110/1.18,2),$G110))</f>
        <v/>
      </c>
      <c r="J110" s="14" t="n"/>
    </row>
    <row r="111">
      <c r="A111" s="14" t="n"/>
      <c r="B111" s="5">
        <f>IF($A111="","",IFERROR(INDEX('Catálogo'!$D$2:$D$1567,MATCH($A111,'Catálogo'!$A$2:$A$1567,0)),"código no encontrado"))</f>
        <v/>
      </c>
      <c r="C111" s="4">
        <f>IF($A111="","",IFERROR(INDEX('Catálogo'!$H$2:$H$1567,MATCH($A111,'Catálogo'!$A$2:$A$1567,0)),"código no encontrado"))</f>
        <v/>
      </c>
      <c r="D111" s="4">
        <f>IF($A111="","",IFERROR(INDEX('Catálogo'!$I$2:$I$1567,MATCH($A111,'Catálogo'!$A$2:$A$1567,0)),"código no encontrado"))</f>
        <v/>
      </c>
      <c r="E111" s="15" t="n"/>
      <c r="F111" s="10">
        <f>IF($A111="","",IFERROR(INDEX('Catálogo'!$N$2:$N$1567,MATCH($A111,'Catálogo'!$A$2:$A$1567,0)),"código no encontrado"))</f>
        <v/>
      </c>
      <c r="G111" s="10">
        <f>IF(OR($E111="",$F111="",NOT(ISNUMBER($F111))),"",$E111*$F111)</f>
        <v/>
      </c>
      <c r="H111" s="4">
        <f>IF($A111="","",IFERROR(INDEX('Catálogo'!$Q$2:$Q$1567,MATCH($A111,'Catálogo'!$A$2:$A$1567,0)),"código no encontrado"))</f>
        <v/>
      </c>
      <c r="I111" s="10">
        <f>IF($G111="","",IF($H111="Sí",ROUND($G111/1.18,2),$G111))</f>
        <v/>
      </c>
      <c r="J111" s="14" t="n"/>
    </row>
    <row r="112">
      <c r="A112" s="14" t="n"/>
      <c r="B112" s="5">
        <f>IF($A112="","",IFERROR(INDEX('Catálogo'!$D$2:$D$1567,MATCH($A112,'Catálogo'!$A$2:$A$1567,0)),"código no encontrado"))</f>
        <v/>
      </c>
      <c r="C112" s="4">
        <f>IF($A112="","",IFERROR(INDEX('Catálogo'!$H$2:$H$1567,MATCH($A112,'Catálogo'!$A$2:$A$1567,0)),"código no encontrado"))</f>
        <v/>
      </c>
      <c r="D112" s="4">
        <f>IF($A112="","",IFERROR(INDEX('Catálogo'!$I$2:$I$1567,MATCH($A112,'Catálogo'!$A$2:$A$1567,0)),"código no encontrado"))</f>
        <v/>
      </c>
      <c r="E112" s="15" t="n"/>
      <c r="F112" s="10">
        <f>IF($A112="","",IFERROR(INDEX('Catálogo'!$N$2:$N$1567,MATCH($A112,'Catálogo'!$A$2:$A$1567,0)),"código no encontrado"))</f>
        <v/>
      </c>
      <c r="G112" s="10">
        <f>IF(OR($E112="",$F112="",NOT(ISNUMBER($F112))),"",$E112*$F112)</f>
        <v/>
      </c>
      <c r="H112" s="4">
        <f>IF($A112="","",IFERROR(INDEX('Catálogo'!$Q$2:$Q$1567,MATCH($A112,'Catálogo'!$A$2:$A$1567,0)),"código no encontrado"))</f>
        <v/>
      </c>
      <c r="I112" s="10">
        <f>IF($G112="","",IF($H112="Sí",ROUND($G112/1.18,2),$G112))</f>
        <v/>
      </c>
      <c r="J112" s="14" t="n"/>
    </row>
    <row r="113">
      <c r="A113" s="14" t="n"/>
      <c r="B113" s="5">
        <f>IF($A113="","",IFERROR(INDEX('Catálogo'!$D$2:$D$1567,MATCH($A113,'Catálogo'!$A$2:$A$1567,0)),"código no encontrado"))</f>
        <v/>
      </c>
      <c r="C113" s="4">
        <f>IF($A113="","",IFERROR(INDEX('Catálogo'!$H$2:$H$1567,MATCH($A113,'Catálogo'!$A$2:$A$1567,0)),"código no encontrado"))</f>
        <v/>
      </c>
      <c r="D113" s="4">
        <f>IF($A113="","",IFERROR(INDEX('Catálogo'!$I$2:$I$1567,MATCH($A113,'Catálogo'!$A$2:$A$1567,0)),"código no encontrado"))</f>
        <v/>
      </c>
      <c r="E113" s="15" t="n"/>
      <c r="F113" s="10">
        <f>IF($A113="","",IFERROR(INDEX('Catálogo'!$N$2:$N$1567,MATCH($A113,'Catálogo'!$A$2:$A$1567,0)),"código no encontrado"))</f>
        <v/>
      </c>
      <c r="G113" s="10">
        <f>IF(OR($E113="",$F113="",NOT(ISNUMBER($F113))),"",$E113*$F113)</f>
        <v/>
      </c>
      <c r="H113" s="4">
        <f>IF($A113="","",IFERROR(INDEX('Catálogo'!$Q$2:$Q$1567,MATCH($A113,'Catálogo'!$A$2:$A$1567,0)),"código no encontrado"))</f>
        <v/>
      </c>
      <c r="I113" s="10">
        <f>IF($G113="","",IF($H113="Sí",ROUND($G113/1.18,2),$G113))</f>
        <v/>
      </c>
      <c r="J113" s="14" t="n"/>
    </row>
    <row r="114">
      <c r="A114" s="14" t="n"/>
      <c r="B114" s="5">
        <f>IF($A114="","",IFERROR(INDEX('Catálogo'!$D$2:$D$1567,MATCH($A114,'Catálogo'!$A$2:$A$1567,0)),"código no encontrado"))</f>
        <v/>
      </c>
      <c r="C114" s="4">
        <f>IF($A114="","",IFERROR(INDEX('Catálogo'!$H$2:$H$1567,MATCH($A114,'Catálogo'!$A$2:$A$1567,0)),"código no encontrado"))</f>
        <v/>
      </c>
      <c r="D114" s="4">
        <f>IF($A114="","",IFERROR(INDEX('Catálogo'!$I$2:$I$1567,MATCH($A114,'Catálogo'!$A$2:$A$1567,0)),"código no encontrado"))</f>
        <v/>
      </c>
      <c r="E114" s="15" t="n"/>
      <c r="F114" s="10">
        <f>IF($A114="","",IFERROR(INDEX('Catálogo'!$N$2:$N$1567,MATCH($A114,'Catálogo'!$A$2:$A$1567,0)),"código no encontrado"))</f>
        <v/>
      </c>
      <c r="G114" s="10">
        <f>IF(OR($E114="",$F114="",NOT(ISNUMBER($F114))),"",$E114*$F114)</f>
        <v/>
      </c>
      <c r="H114" s="4">
        <f>IF($A114="","",IFERROR(INDEX('Catálogo'!$Q$2:$Q$1567,MATCH($A114,'Catálogo'!$A$2:$A$1567,0)),"código no encontrado"))</f>
        <v/>
      </c>
      <c r="I114" s="10">
        <f>IF($G114="","",IF($H114="Sí",ROUND($G114/1.18,2),$G114))</f>
        <v/>
      </c>
      <c r="J114" s="14" t="n"/>
    </row>
    <row r="115">
      <c r="A115" s="14" t="n"/>
      <c r="B115" s="5">
        <f>IF($A115="","",IFERROR(INDEX('Catálogo'!$D$2:$D$1567,MATCH($A115,'Catálogo'!$A$2:$A$1567,0)),"código no encontrado"))</f>
        <v/>
      </c>
      <c r="C115" s="4">
        <f>IF($A115="","",IFERROR(INDEX('Catálogo'!$H$2:$H$1567,MATCH($A115,'Catálogo'!$A$2:$A$1567,0)),"código no encontrado"))</f>
        <v/>
      </c>
      <c r="D115" s="4">
        <f>IF($A115="","",IFERROR(INDEX('Catálogo'!$I$2:$I$1567,MATCH($A115,'Catálogo'!$A$2:$A$1567,0)),"código no encontrado"))</f>
        <v/>
      </c>
      <c r="E115" s="15" t="n"/>
      <c r="F115" s="10">
        <f>IF($A115="","",IFERROR(INDEX('Catálogo'!$N$2:$N$1567,MATCH($A115,'Catálogo'!$A$2:$A$1567,0)),"código no encontrado"))</f>
        <v/>
      </c>
      <c r="G115" s="10">
        <f>IF(OR($E115="",$F115="",NOT(ISNUMBER($F115))),"",$E115*$F115)</f>
        <v/>
      </c>
      <c r="H115" s="4">
        <f>IF($A115="","",IFERROR(INDEX('Catálogo'!$Q$2:$Q$1567,MATCH($A115,'Catálogo'!$A$2:$A$1567,0)),"código no encontrado"))</f>
        <v/>
      </c>
      <c r="I115" s="10">
        <f>IF($G115="","",IF($H115="Sí",ROUND($G115/1.18,2),$G115))</f>
        <v/>
      </c>
      <c r="J115" s="14" t="n"/>
    </row>
    <row r="116">
      <c r="A116" s="14" t="n"/>
      <c r="B116" s="5">
        <f>IF($A116="","",IFERROR(INDEX('Catálogo'!$D$2:$D$1567,MATCH($A116,'Catálogo'!$A$2:$A$1567,0)),"código no encontrado"))</f>
        <v/>
      </c>
      <c r="C116" s="4">
        <f>IF($A116="","",IFERROR(INDEX('Catálogo'!$H$2:$H$1567,MATCH($A116,'Catálogo'!$A$2:$A$1567,0)),"código no encontrado"))</f>
        <v/>
      </c>
      <c r="D116" s="4">
        <f>IF($A116="","",IFERROR(INDEX('Catálogo'!$I$2:$I$1567,MATCH($A116,'Catálogo'!$A$2:$A$1567,0)),"código no encontrado"))</f>
        <v/>
      </c>
      <c r="E116" s="15" t="n"/>
      <c r="F116" s="10">
        <f>IF($A116="","",IFERROR(INDEX('Catálogo'!$N$2:$N$1567,MATCH($A116,'Catálogo'!$A$2:$A$1567,0)),"código no encontrado"))</f>
        <v/>
      </c>
      <c r="G116" s="10">
        <f>IF(OR($E116="",$F116="",NOT(ISNUMBER($F116))),"",$E116*$F116)</f>
        <v/>
      </c>
      <c r="H116" s="4">
        <f>IF($A116="","",IFERROR(INDEX('Catálogo'!$Q$2:$Q$1567,MATCH($A116,'Catálogo'!$A$2:$A$1567,0)),"código no encontrado"))</f>
        <v/>
      </c>
      <c r="I116" s="10">
        <f>IF($G116="","",IF($H116="Sí",ROUND($G116/1.18,2),$G116))</f>
        <v/>
      </c>
      <c r="J116" s="14" t="n"/>
    </row>
    <row r="117">
      <c r="A117" s="14" t="n"/>
      <c r="B117" s="5">
        <f>IF($A117="","",IFERROR(INDEX('Catálogo'!$D$2:$D$1567,MATCH($A117,'Catálogo'!$A$2:$A$1567,0)),"código no encontrado"))</f>
        <v/>
      </c>
      <c r="C117" s="4">
        <f>IF($A117="","",IFERROR(INDEX('Catálogo'!$H$2:$H$1567,MATCH($A117,'Catálogo'!$A$2:$A$1567,0)),"código no encontrado"))</f>
        <v/>
      </c>
      <c r="D117" s="4">
        <f>IF($A117="","",IFERROR(INDEX('Catálogo'!$I$2:$I$1567,MATCH($A117,'Catálogo'!$A$2:$A$1567,0)),"código no encontrado"))</f>
        <v/>
      </c>
      <c r="E117" s="15" t="n"/>
      <c r="F117" s="10">
        <f>IF($A117="","",IFERROR(INDEX('Catálogo'!$N$2:$N$1567,MATCH($A117,'Catálogo'!$A$2:$A$1567,0)),"código no encontrado"))</f>
        <v/>
      </c>
      <c r="G117" s="10">
        <f>IF(OR($E117="",$F117="",NOT(ISNUMBER($F117))),"",$E117*$F117)</f>
        <v/>
      </c>
      <c r="H117" s="4">
        <f>IF($A117="","",IFERROR(INDEX('Catálogo'!$Q$2:$Q$1567,MATCH($A117,'Catálogo'!$A$2:$A$1567,0)),"código no encontrado"))</f>
        <v/>
      </c>
      <c r="I117" s="10">
        <f>IF($G117="","",IF($H117="Sí",ROUND($G117/1.18,2),$G117))</f>
        <v/>
      </c>
      <c r="J117" s="14" t="n"/>
    </row>
    <row r="118">
      <c r="A118" s="14" t="n"/>
      <c r="B118" s="5">
        <f>IF($A118="","",IFERROR(INDEX('Catálogo'!$D$2:$D$1567,MATCH($A118,'Catálogo'!$A$2:$A$1567,0)),"código no encontrado"))</f>
        <v/>
      </c>
      <c r="C118" s="4">
        <f>IF($A118="","",IFERROR(INDEX('Catálogo'!$H$2:$H$1567,MATCH($A118,'Catálogo'!$A$2:$A$1567,0)),"código no encontrado"))</f>
        <v/>
      </c>
      <c r="D118" s="4">
        <f>IF($A118="","",IFERROR(INDEX('Catálogo'!$I$2:$I$1567,MATCH($A118,'Catálogo'!$A$2:$A$1567,0)),"código no encontrado"))</f>
        <v/>
      </c>
      <c r="E118" s="15" t="n"/>
      <c r="F118" s="10">
        <f>IF($A118="","",IFERROR(INDEX('Catálogo'!$N$2:$N$1567,MATCH($A118,'Catálogo'!$A$2:$A$1567,0)),"código no encontrado"))</f>
        <v/>
      </c>
      <c r="G118" s="10">
        <f>IF(OR($E118="",$F118="",NOT(ISNUMBER($F118))),"",$E118*$F118)</f>
        <v/>
      </c>
      <c r="H118" s="4">
        <f>IF($A118="","",IFERROR(INDEX('Catálogo'!$Q$2:$Q$1567,MATCH($A118,'Catálogo'!$A$2:$A$1567,0)),"código no encontrado"))</f>
        <v/>
      </c>
      <c r="I118" s="10">
        <f>IF($G118="","",IF($H118="Sí",ROUND($G118/1.18,2),$G118))</f>
        <v/>
      </c>
      <c r="J118" s="14" t="n"/>
    </row>
    <row r="119">
      <c r="A119" s="14" t="n"/>
      <c r="B119" s="5">
        <f>IF($A119="","",IFERROR(INDEX('Catálogo'!$D$2:$D$1567,MATCH($A119,'Catálogo'!$A$2:$A$1567,0)),"código no encontrado"))</f>
        <v/>
      </c>
      <c r="C119" s="4">
        <f>IF($A119="","",IFERROR(INDEX('Catálogo'!$H$2:$H$1567,MATCH($A119,'Catálogo'!$A$2:$A$1567,0)),"código no encontrado"))</f>
        <v/>
      </c>
      <c r="D119" s="4">
        <f>IF($A119="","",IFERROR(INDEX('Catálogo'!$I$2:$I$1567,MATCH($A119,'Catálogo'!$A$2:$A$1567,0)),"código no encontrado"))</f>
        <v/>
      </c>
      <c r="E119" s="15" t="n"/>
      <c r="F119" s="10">
        <f>IF($A119="","",IFERROR(INDEX('Catálogo'!$N$2:$N$1567,MATCH($A119,'Catálogo'!$A$2:$A$1567,0)),"código no encontrado"))</f>
        <v/>
      </c>
      <c r="G119" s="10">
        <f>IF(OR($E119="",$F119="",NOT(ISNUMBER($F119))),"",$E119*$F119)</f>
        <v/>
      </c>
      <c r="H119" s="4">
        <f>IF($A119="","",IFERROR(INDEX('Catálogo'!$Q$2:$Q$1567,MATCH($A119,'Catálogo'!$A$2:$A$1567,0)),"código no encontrado"))</f>
        <v/>
      </c>
      <c r="I119" s="10">
        <f>IF($G119="","",IF($H119="Sí",ROUND($G119/1.18,2),$G119))</f>
        <v/>
      </c>
      <c r="J119" s="14" t="n"/>
    </row>
    <row r="120">
      <c r="A120" s="14" t="n"/>
      <c r="B120" s="5">
        <f>IF($A120="","",IFERROR(INDEX('Catálogo'!$D$2:$D$1567,MATCH($A120,'Catálogo'!$A$2:$A$1567,0)),"código no encontrado"))</f>
        <v/>
      </c>
      <c r="C120" s="4">
        <f>IF($A120="","",IFERROR(INDEX('Catálogo'!$H$2:$H$1567,MATCH($A120,'Catálogo'!$A$2:$A$1567,0)),"código no encontrado"))</f>
        <v/>
      </c>
      <c r="D120" s="4">
        <f>IF($A120="","",IFERROR(INDEX('Catálogo'!$I$2:$I$1567,MATCH($A120,'Catálogo'!$A$2:$A$1567,0)),"código no encontrado"))</f>
        <v/>
      </c>
      <c r="E120" s="15" t="n"/>
      <c r="F120" s="10">
        <f>IF($A120="","",IFERROR(INDEX('Catálogo'!$N$2:$N$1567,MATCH($A120,'Catálogo'!$A$2:$A$1567,0)),"código no encontrado"))</f>
        <v/>
      </c>
      <c r="G120" s="10">
        <f>IF(OR($E120="",$F120="",NOT(ISNUMBER($F120))),"",$E120*$F120)</f>
        <v/>
      </c>
      <c r="H120" s="4">
        <f>IF($A120="","",IFERROR(INDEX('Catálogo'!$Q$2:$Q$1567,MATCH($A120,'Catálogo'!$A$2:$A$1567,0)),"código no encontrado"))</f>
        <v/>
      </c>
      <c r="I120" s="10">
        <f>IF($G120="","",IF($H120="Sí",ROUND($G120/1.18,2),$G120))</f>
        <v/>
      </c>
      <c r="J120" s="14" t="n"/>
    </row>
    <row r="121">
      <c r="A121" s="14" t="n"/>
      <c r="B121" s="5">
        <f>IF($A121="","",IFERROR(INDEX('Catálogo'!$D$2:$D$1567,MATCH($A121,'Catálogo'!$A$2:$A$1567,0)),"código no encontrado"))</f>
        <v/>
      </c>
      <c r="C121" s="4">
        <f>IF($A121="","",IFERROR(INDEX('Catálogo'!$H$2:$H$1567,MATCH($A121,'Catálogo'!$A$2:$A$1567,0)),"código no encontrado"))</f>
        <v/>
      </c>
      <c r="D121" s="4">
        <f>IF($A121="","",IFERROR(INDEX('Catálogo'!$I$2:$I$1567,MATCH($A121,'Catálogo'!$A$2:$A$1567,0)),"código no encontrado"))</f>
        <v/>
      </c>
      <c r="E121" s="15" t="n"/>
      <c r="F121" s="10">
        <f>IF($A121="","",IFERROR(INDEX('Catálogo'!$N$2:$N$1567,MATCH($A121,'Catálogo'!$A$2:$A$1567,0)),"código no encontrado"))</f>
        <v/>
      </c>
      <c r="G121" s="10">
        <f>IF(OR($E121="",$F121="",NOT(ISNUMBER($F121))),"",$E121*$F121)</f>
        <v/>
      </c>
      <c r="H121" s="4">
        <f>IF($A121="","",IFERROR(INDEX('Catálogo'!$Q$2:$Q$1567,MATCH($A121,'Catálogo'!$A$2:$A$1567,0)),"código no encontrado"))</f>
        <v/>
      </c>
      <c r="I121" s="10">
        <f>IF($G121="","",IF($H121="Sí",ROUND($G121/1.18,2),$G121))</f>
        <v/>
      </c>
      <c r="J121" s="14" t="n"/>
    </row>
    <row r="122">
      <c r="A122" s="14" t="n"/>
      <c r="B122" s="5">
        <f>IF($A122="","",IFERROR(INDEX('Catálogo'!$D$2:$D$1567,MATCH($A122,'Catálogo'!$A$2:$A$1567,0)),"código no encontrado"))</f>
        <v/>
      </c>
      <c r="C122" s="4">
        <f>IF($A122="","",IFERROR(INDEX('Catálogo'!$H$2:$H$1567,MATCH($A122,'Catálogo'!$A$2:$A$1567,0)),"código no encontrado"))</f>
        <v/>
      </c>
      <c r="D122" s="4">
        <f>IF($A122="","",IFERROR(INDEX('Catálogo'!$I$2:$I$1567,MATCH($A122,'Catálogo'!$A$2:$A$1567,0)),"código no encontrado"))</f>
        <v/>
      </c>
      <c r="E122" s="15" t="n"/>
      <c r="F122" s="10">
        <f>IF($A122="","",IFERROR(INDEX('Catálogo'!$N$2:$N$1567,MATCH($A122,'Catálogo'!$A$2:$A$1567,0)),"código no encontrado"))</f>
        <v/>
      </c>
      <c r="G122" s="10">
        <f>IF(OR($E122="",$F122="",NOT(ISNUMBER($F122))),"",$E122*$F122)</f>
        <v/>
      </c>
      <c r="H122" s="4">
        <f>IF($A122="","",IFERROR(INDEX('Catálogo'!$Q$2:$Q$1567,MATCH($A122,'Catálogo'!$A$2:$A$1567,0)),"código no encontrado"))</f>
        <v/>
      </c>
      <c r="I122" s="10">
        <f>IF($G122="","",IF($H122="Sí",ROUND($G122/1.18,2),$G122))</f>
        <v/>
      </c>
      <c r="J122" s="14" t="n"/>
    </row>
    <row r="123">
      <c r="A123" s="14" t="n"/>
      <c r="B123" s="5">
        <f>IF($A123="","",IFERROR(INDEX('Catálogo'!$D$2:$D$1567,MATCH($A123,'Catálogo'!$A$2:$A$1567,0)),"código no encontrado"))</f>
        <v/>
      </c>
      <c r="C123" s="4">
        <f>IF($A123="","",IFERROR(INDEX('Catálogo'!$H$2:$H$1567,MATCH($A123,'Catálogo'!$A$2:$A$1567,0)),"código no encontrado"))</f>
        <v/>
      </c>
      <c r="D123" s="4">
        <f>IF($A123="","",IFERROR(INDEX('Catálogo'!$I$2:$I$1567,MATCH($A123,'Catálogo'!$A$2:$A$1567,0)),"código no encontrado"))</f>
        <v/>
      </c>
      <c r="E123" s="15" t="n"/>
      <c r="F123" s="10">
        <f>IF($A123="","",IFERROR(INDEX('Catálogo'!$N$2:$N$1567,MATCH($A123,'Catálogo'!$A$2:$A$1567,0)),"código no encontrado"))</f>
        <v/>
      </c>
      <c r="G123" s="10">
        <f>IF(OR($E123="",$F123="",NOT(ISNUMBER($F123))),"",$E123*$F123)</f>
        <v/>
      </c>
      <c r="H123" s="4">
        <f>IF($A123="","",IFERROR(INDEX('Catálogo'!$Q$2:$Q$1567,MATCH($A123,'Catálogo'!$A$2:$A$1567,0)),"código no encontrado"))</f>
        <v/>
      </c>
      <c r="I123" s="10">
        <f>IF($G123="","",IF($H123="Sí",ROUND($G123/1.18,2),$G123))</f>
        <v/>
      </c>
      <c r="J123" s="14" t="n"/>
    </row>
    <row r="124">
      <c r="A124" s="14" t="n"/>
      <c r="B124" s="5">
        <f>IF($A124="","",IFERROR(INDEX('Catálogo'!$D$2:$D$1567,MATCH($A124,'Catálogo'!$A$2:$A$1567,0)),"código no encontrado"))</f>
        <v/>
      </c>
      <c r="C124" s="4">
        <f>IF($A124="","",IFERROR(INDEX('Catálogo'!$H$2:$H$1567,MATCH($A124,'Catálogo'!$A$2:$A$1567,0)),"código no encontrado"))</f>
        <v/>
      </c>
      <c r="D124" s="4">
        <f>IF($A124="","",IFERROR(INDEX('Catálogo'!$I$2:$I$1567,MATCH($A124,'Catálogo'!$A$2:$A$1567,0)),"código no encontrado"))</f>
        <v/>
      </c>
      <c r="E124" s="15" t="n"/>
      <c r="F124" s="10">
        <f>IF($A124="","",IFERROR(INDEX('Catálogo'!$N$2:$N$1567,MATCH($A124,'Catálogo'!$A$2:$A$1567,0)),"código no encontrado"))</f>
        <v/>
      </c>
      <c r="G124" s="10">
        <f>IF(OR($E124="",$F124="",NOT(ISNUMBER($F124))),"",$E124*$F124)</f>
        <v/>
      </c>
      <c r="H124" s="4">
        <f>IF($A124="","",IFERROR(INDEX('Catálogo'!$Q$2:$Q$1567,MATCH($A124,'Catálogo'!$A$2:$A$1567,0)),"código no encontrado"))</f>
        <v/>
      </c>
      <c r="I124" s="10">
        <f>IF($G124="","",IF($H124="Sí",ROUND($G124/1.18,2),$G124))</f>
        <v/>
      </c>
      <c r="J124" s="14" t="n"/>
    </row>
    <row r="125">
      <c r="A125" s="14" t="n"/>
      <c r="B125" s="5">
        <f>IF($A125="","",IFERROR(INDEX('Catálogo'!$D$2:$D$1567,MATCH($A125,'Catálogo'!$A$2:$A$1567,0)),"código no encontrado"))</f>
        <v/>
      </c>
      <c r="C125" s="4">
        <f>IF($A125="","",IFERROR(INDEX('Catálogo'!$H$2:$H$1567,MATCH($A125,'Catálogo'!$A$2:$A$1567,0)),"código no encontrado"))</f>
        <v/>
      </c>
      <c r="D125" s="4">
        <f>IF($A125="","",IFERROR(INDEX('Catálogo'!$I$2:$I$1567,MATCH($A125,'Catálogo'!$A$2:$A$1567,0)),"código no encontrado"))</f>
        <v/>
      </c>
      <c r="E125" s="15" t="n"/>
      <c r="F125" s="10">
        <f>IF($A125="","",IFERROR(INDEX('Catálogo'!$N$2:$N$1567,MATCH($A125,'Catálogo'!$A$2:$A$1567,0)),"código no encontrado"))</f>
        <v/>
      </c>
      <c r="G125" s="10">
        <f>IF(OR($E125="",$F125="",NOT(ISNUMBER($F125))),"",$E125*$F125)</f>
        <v/>
      </c>
      <c r="H125" s="4">
        <f>IF($A125="","",IFERROR(INDEX('Catálogo'!$Q$2:$Q$1567,MATCH($A125,'Catálogo'!$A$2:$A$1567,0)),"código no encontrado"))</f>
        <v/>
      </c>
      <c r="I125" s="10">
        <f>IF($G125="","",IF($H125="Sí",ROUND($G125/1.18,2),$G125))</f>
        <v/>
      </c>
      <c r="J125" s="14" t="n"/>
    </row>
    <row r="126">
      <c r="A126" s="14" t="n"/>
      <c r="B126" s="5">
        <f>IF($A126="","",IFERROR(INDEX('Catálogo'!$D$2:$D$1567,MATCH($A126,'Catálogo'!$A$2:$A$1567,0)),"código no encontrado"))</f>
        <v/>
      </c>
      <c r="C126" s="4">
        <f>IF($A126="","",IFERROR(INDEX('Catálogo'!$H$2:$H$1567,MATCH($A126,'Catálogo'!$A$2:$A$1567,0)),"código no encontrado"))</f>
        <v/>
      </c>
      <c r="D126" s="4">
        <f>IF($A126="","",IFERROR(INDEX('Catálogo'!$I$2:$I$1567,MATCH($A126,'Catálogo'!$A$2:$A$1567,0)),"código no encontrado"))</f>
        <v/>
      </c>
      <c r="E126" s="15" t="n"/>
      <c r="F126" s="10">
        <f>IF($A126="","",IFERROR(INDEX('Catálogo'!$N$2:$N$1567,MATCH($A126,'Catálogo'!$A$2:$A$1567,0)),"código no encontrado"))</f>
        <v/>
      </c>
      <c r="G126" s="10">
        <f>IF(OR($E126="",$F126="",NOT(ISNUMBER($F126))),"",$E126*$F126)</f>
        <v/>
      </c>
      <c r="H126" s="4">
        <f>IF($A126="","",IFERROR(INDEX('Catálogo'!$Q$2:$Q$1567,MATCH($A126,'Catálogo'!$A$2:$A$1567,0)),"código no encontrado"))</f>
        <v/>
      </c>
      <c r="I126" s="10">
        <f>IF($G126="","",IF($H126="Sí",ROUND($G126/1.18,2),$G126))</f>
        <v/>
      </c>
      <c r="J126" s="14" t="n"/>
    </row>
    <row r="127">
      <c r="A127" s="14" t="n"/>
      <c r="B127" s="5">
        <f>IF($A127="","",IFERROR(INDEX('Catálogo'!$D$2:$D$1567,MATCH($A127,'Catálogo'!$A$2:$A$1567,0)),"código no encontrado"))</f>
        <v/>
      </c>
      <c r="C127" s="4">
        <f>IF($A127="","",IFERROR(INDEX('Catálogo'!$H$2:$H$1567,MATCH($A127,'Catálogo'!$A$2:$A$1567,0)),"código no encontrado"))</f>
        <v/>
      </c>
      <c r="D127" s="4">
        <f>IF($A127="","",IFERROR(INDEX('Catálogo'!$I$2:$I$1567,MATCH($A127,'Catálogo'!$A$2:$A$1567,0)),"código no encontrado"))</f>
        <v/>
      </c>
      <c r="E127" s="15" t="n"/>
      <c r="F127" s="10">
        <f>IF($A127="","",IFERROR(INDEX('Catálogo'!$N$2:$N$1567,MATCH($A127,'Catálogo'!$A$2:$A$1567,0)),"código no encontrado"))</f>
        <v/>
      </c>
      <c r="G127" s="10">
        <f>IF(OR($E127="",$F127="",NOT(ISNUMBER($F127))),"",$E127*$F127)</f>
        <v/>
      </c>
      <c r="H127" s="4">
        <f>IF($A127="","",IFERROR(INDEX('Catálogo'!$Q$2:$Q$1567,MATCH($A127,'Catálogo'!$A$2:$A$1567,0)),"código no encontrado"))</f>
        <v/>
      </c>
      <c r="I127" s="10">
        <f>IF($G127="","",IF($H127="Sí",ROUND($G127/1.18,2),$G127))</f>
        <v/>
      </c>
      <c r="J127" s="14" t="n"/>
    </row>
    <row r="128">
      <c r="A128" s="14" t="n"/>
      <c r="B128" s="5">
        <f>IF($A128="","",IFERROR(INDEX('Catálogo'!$D$2:$D$1567,MATCH($A128,'Catálogo'!$A$2:$A$1567,0)),"código no encontrado"))</f>
        <v/>
      </c>
      <c r="C128" s="4">
        <f>IF($A128="","",IFERROR(INDEX('Catálogo'!$H$2:$H$1567,MATCH($A128,'Catálogo'!$A$2:$A$1567,0)),"código no encontrado"))</f>
        <v/>
      </c>
      <c r="D128" s="4">
        <f>IF($A128="","",IFERROR(INDEX('Catálogo'!$I$2:$I$1567,MATCH($A128,'Catálogo'!$A$2:$A$1567,0)),"código no encontrado"))</f>
        <v/>
      </c>
      <c r="E128" s="15" t="n"/>
      <c r="F128" s="10">
        <f>IF($A128="","",IFERROR(INDEX('Catálogo'!$N$2:$N$1567,MATCH($A128,'Catálogo'!$A$2:$A$1567,0)),"código no encontrado"))</f>
        <v/>
      </c>
      <c r="G128" s="10">
        <f>IF(OR($E128="",$F128="",NOT(ISNUMBER($F128))),"",$E128*$F128)</f>
        <v/>
      </c>
      <c r="H128" s="4">
        <f>IF($A128="","",IFERROR(INDEX('Catálogo'!$Q$2:$Q$1567,MATCH($A128,'Catálogo'!$A$2:$A$1567,0)),"código no encontrado"))</f>
        <v/>
      </c>
      <c r="I128" s="10">
        <f>IF($G128="","",IF($H128="Sí",ROUND($G128/1.18,2),$G128))</f>
        <v/>
      </c>
      <c r="J128" s="14" t="n"/>
    </row>
    <row r="129">
      <c r="A129" s="14" t="n"/>
      <c r="B129" s="5">
        <f>IF($A129="","",IFERROR(INDEX('Catálogo'!$D$2:$D$1567,MATCH($A129,'Catálogo'!$A$2:$A$1567,0)),"código no encontrado"))</f>
        <v/>
      </c>
      <c r="C129" s="4">
        <f>IF($A129="","",IFERROR(INDEX('Catálogo'!$H$2:$H$1567,MATCH($A129,'Catálogo'!$A$2:$A$1567,0)),"código no encontrado"))</f>
        <v/>
      </c>
      <c r="D129" s="4">
        <f>IF($A129="","",IFERROR(INDEX('Catálogo'!$I$2:$I$1567,MATCH($A129,'Catálogo'!$A$2:$A$1567,0)),"código no encontrado"))</f>
        <v/>
      </c>
      <c r="E129" s="15" t="n"/>
      <c r="F129" s="10">
        <f>IF($A129="","",IFERROR(INDEX('Catálogo'!$N$2:$N$1567,MATCH($A129,'Catálogo'!$A$2:$A$1567,0)),"código no encontrado"))</f>
        <v/>
      </c>
      <c r="G129" s="10">
        <f>IF(OR($E129="",$F129="",NOT(ISNUMBER($F129))),"",$E129*$F129)</f>
        <v/>
      </c>
      <c r="H129" s="4">
        <f>IF($A129="","",IFERROR(INDEX('Catálogo'!$Q$2:$Q$1567,MATCH($A129,'Catálogo'!$A$2:$A$1567,0)),"código no encontrado"))</f>
        <v/>
      </c>
      <c r="I129" s="10">
        <f>IF($G129="","",IF($H129="Sí",ROUND($G129/1.18,2),$G129))</f>
        <v/>
      </c>
      <c r="J129" s="14" t="n"/>
    </row>
    <row r="130">
      <c r="A130" s="14" t="n"/>
      <c r="B130" s="5">
        <f>IF($A130="","",IFERROR(INDEX('Catálogo'!$D$2:$D$1567,MATCH($A130,'Catálogo'!$A$2:$A$1567,0)),"código no encontrado"))</f>
        <v/>
      </c>
      <c r="C130" s="4">
        <f>IF($A130="","",IFERROR(INDEX('Catálogo'!$H$2:$H$1567,MATCH($A130,'Catálogo'!$A$2:$A$1567,0)),"código no encontrado"))</f>
        <v/>
      </c>
      <c r="D130" s="4">
        <f>IF($A130="","",IFERROR(INDEX('Catálogo'!$I$2:$I$1567,MATCH($A130,'Catálogo'!$A$2:$A$1567,0)),"código no encontrado"))</f>
        <v/>
      </c>
      <c r="E130" s="15" t="n"/>
      <c r="F130" s="10">
        <f>IF($A130="","",IFERROR(INDEX('Catálogo'!$N$2:$N$1567,MATCH($A130,'Catálogo'!$A$2:$A$1567,0)),"código no encontrado"))</f>
        <v/>
      </c>
      <c r="G130" s="10">
        <f>IF(OR($E130="",$F130="",NOT(ISNUMBER($F130))),"",$E130*$F130)</f>
        <v/>
      </c>
      <c r="H130" s="4">
        <f>IF($A130="","",IFERROR(INDEX('Catálogo'!$Q$2:$Q$1567,MATCH($A130,'Catálogo'!$A$2:$A$1567,0)),"código no encontrado"))</f>
        <v/>
      </c>
      <c r="I130" s="10">
        <f>IF($G130="","",IF($H130="Sí",ROUND($G130/1.18,2),$G130))</f>
        <v/>
      </c>
      <c r="J130" s="14" t="n"/>
    </row>
    <row r="131">
      <c r="A131" s="14" t="n"/>
      <c r="B131" s="5">
        <f>IF($A131="","",IFERROR(INDEX('Catálogo'!$D$2:$D$1567,MATCH($A131,'Catálogo'!$A$2:$A$1567,0)),"código no encontrado"))</f>
        <v/>
      </c>
      <c r="C131" s="4">
        <f>IF($A131="","",IFERROR(INDEX('Catálogo'!$H$2:$H$1567,MATCH($A131,'Catálogo'!$A$2:$A$1567,0)),"código no encontrado"))</f>
        <v/>
      </c>
      <c r="D131" s="4">
        <f>IF($A131="","",IFERROR(INDEX('Catálogo'!$I$2:$I$1567,MATCH($A131,'Catálogo'!$A$2:$A$1567,0)),"código no encontrado"))</f>
        <v/>
      </c>
      <c r="E131" s="15" t="n"/>
      <c r="F131" s="10">
        <f>IF($A131="","",IFERROR(INDEX('Catálogo'!$N$2:$N$1567,MATCH($A131,'Catálogo'!$A$2:$A$1567,0)),"código no encontrado"))</f>
        <v/>
      </c>
      <c r="G131" s="10">
        <f>IF(OR($E131="",$F131="",NOT(ISNUMBER($F131))),"",$E131*$F131)</f>
        <v/>
      </c>
      <c r="H131" s="4">
        <f>IF($A131="","",IFERROR(INDEX('Catálogo'!$Q$2:$Q$1567,MATCH($A131,'Catálogo'!$A$2:$A$1567,0)),"código no encontrado"))</f>
        <v/>
      </c>
      <c r="I131" s="10">
        <f>IF($G131="","",IF($H131="Sí",ROUND($G131/1.18,2),$G131))</f>
        <v/>
      </c>
      <c r="J131" s="14" t="n"/>
    </row>
    <row r="132">
      <c r="A132" s="14" t="n"/>
      <c r="B132" s="5">
        <f>IF($A132="","",IFERROR(INDEX('Catálogo'!$D$2:$D$1567,MATCH($A132,'Catálogo'!$A$2:$A$1567,0)),"código no encontrado"))</f>
        <v/>
      </c>
      <c r="C132" s="4">
        <f>IF($A132="","",IFERROR(INDEX('Catálogo'!$H$2:$H$1567,MATCH($A132,'Catálogo'!$A$2:$A$1567,0)),"código no encontrado"))</f>
        <v/>
      </c>
      <c r="D132" s="4">
        <f>IF($A132="","",IFERROR(INDEX('Catálogo'!$I$2:$I$1567,MATCH($A132,'Catálogo'!$A$2:$A$1567,0)),"código no encontrado"))</f>
        <v/>
      </c>
      <c r="E132" s="15" t="n"/>
      <c r="F132" s="10">
        <f>IF($A132="","",IFERROR(INDEX('Catálogo'!$N$2:$N$1567,MATCH($A132,'Catálogo'!$A$2:$A$1567,0)),"código no encontrado"))</f>
        <v/>
      </c>
      <c r="G132" s="10">
        <f>IF(OR($E132="",$F132="",NOT(ISNUMBER($F132))),"",$E132*$F132)</f>
        <v/>
      </c>
      <c r="H132" s="4">
        <f>IF($A132="","",IFERROR(INDEX('Catálogo'!$Q$2:$Q$1567,MATCH($A132,'Catálogo'!$A$2:$A$1567,0)),"código no encontrado"))</f>
        <v/>
      </c>
      <c r="I132" s="10">
        <f>IF($G132="","",IF($H132="Sí",ROUND($G132/1.18,2),$G132))</f>
        <v/>
      </c>
      <c r="J132" s="14" t="n"/>
    </row>
    <row r="133">
      <c r="A133" s="14" t="n"/>
      <c r="B133" s="5">
        <f>IF($A133="","",IFERROR(INDEX('Catálogo'!$D$2:$D$1567,MATCH($A133,'Catálogo'!$A$2:$A$1567,0)),"código no encontrado"))</f>
        <v/>
      </c>
      <c r="C133" s="4">
        <f>IF($A133="","",IFERROR(INDEX('Catálogo'!$H$2:$H$1567,MATCH($A133,'Catálogo'!$A$2:$A$1567,0)),"código no encontrado"))</f>
        <v/>
      </c>
      <c r="D133" s="4">
        <f>IF($A133="","",IFERROR(INDEX('Catálogo'!$I$2:$I$1567,MATCH($A133,'Catálogo'!$A$2:$A$1567,0)),"código no encontrado"))</f>
        <v/>
      </c>
      <c r="E133" s="15" t="n"/>
      <c r="F133" s="10">
        <f>IF($A133="","",IFERROR(INDEX('Catálogo'!$N$2:$N$1567,MATCH($A133,'Catálogo'!$A$2:$A$1567,0)),"código no encontrado"))</f>
        <v/>
      </c>
      <c r="G133" s="10">
        <f>IF(OR($E133="",$F133="",NOT(ISNUMBER($F133))),"",$E133*$F133)</f>
        <v/>
      </c>
      <c r="H133" s="4">
        <f>IF($A133="","",IFERROR(INDEX('Catálogo'!$Q$2:$Q$1567,MATCH($A133,'Catálogo'!$A$2:$A$1567,0)),"código no encontrado"))</f>
        <v/>
      </c>
      <c r="I133" s="10">
        <f>IF($G133="","",IF($H133="Sí",ROUND($G133/1.18,2),$G133))</f>
        <v/>
      </c>
      <c r="J133" s="14" t="n"/>
    </row>
    <row r="134">
      <c r="A134" s="14" t="n"/>
      <c r="B134" s="5">
        <f>IF($A134="","",IFERROR(INDEX('Catálogo'!$D$2:$D$1567,MATCH($A134,'Catálogo'!$A$2:$A$1567,0)),"código no encontrado"))</f>
        <v/>
      </c>
      <c r="C134" s="4">
        <f>IF($A134="","",IFERROR(INDEX('Catálogo'!$H$2:$H$1567,MATCH($A134,'Catálogo'!$A$2:$A$1567,0)),"código no encontrado"))</f>
        <v/>
      </c>
      <c r="D134" s="4">
        <f>IF($A134="","",IFERROR(INDEX('Catálogo'!$I$2:$I$1567,MATCH($A134,'Catálogo'!$A$2:$A$1567,0)),"código no encontrado"))</f>
        <v/>
      </c>
      <c r="E134" s="15" t="n"/>
      <c r="F134" s="10">
        <f>IF($A134="","",IFERROR(INDEX('Catálogo'!$N$2:$N$1567,MATCH($A134,'Catálogo'!$A$2:$A$1567,0)),"código no encontrado"))</f>
        <v/>
      </c>
      <c r="G134" s="10">
        <f>IF(OR($E134="",$F134="",NOT(ISNUMBER($F134))),"",$E134*$F134)</f>
        <v/>
      </c>
      <c r="H134" s="4">
        <f>IF($A134="","",IFERROR(INDEX('Catálogo'!$Q$2:$Q$1567,MATCH($A134,'Catálogo'!$A$2:$A$1567,0)),"código no encontrado"))</f>
        <v/>
      </c>
      <c r="I134" s="10">
        <f>IF($G134="","",IF($H134="Sí",ROUND($G134/1.18,2),$G134))</f>
        <v/>
      </c>
      <c r="J134" s="14" t="n"/>
    </row>
    <row r="135">
      <c r="A135" s="14" t="n"/>
      <c r="B135" s="5">
        <f>IF($A135="","",IFERROR(INDEX('Catálogo'!$D$2:$D$1567,MATCH($A135,'Catálogo'!$A$2:$A$1567,0)),"código no encontrado"))</f>
        <v/>
      </c>
      <c r="C135" s="4">
        <f>IF($A135="","",IFERROR(INDEX('Catálogo'!$H$2:$H$1567,MATCH($A135,'Catálogo'!$A$2:$A$1567,0)),"código no encontrado"))</f>
        <v/>
      </c>
      <c r="D135" s="4">
        <f>IF($A135="","",IFERROR(INDEX('Catálogo'!$I$2:$I$1567,MATCH($A135,'Catálogo'!$A$2:$A$1567,0)),"código no encontrado"))</f>
        <v/>
      </c>
      <c r="E135" s="15" t="n"/>
      <c r="F135" s="10">
        <f>IF($A135="","",IFERROR(INDEX('Catálogo'!$N$2:$N$1567,MATCH($A135,'Catálogo'!$A$2:$A$1567,0)),"código no encontrado"))</f>
        <v/>
      </c>
      <c r="G135" s="10">
        <f>IF(OR($E135="",$F135="",NOT(ISNUMBER($F135))),"",$E135*$F135)</f>
        <v/>
      </c>
      <c r="H135" s="4">
        <f>IF($A135="","",IFERROR(INDEX('Catálogo'!$Q$2:$Q$1567,MATCH($A135,'Catálogo'!$A$2:$A$1567,0)),"código no encontrado"))</f>
        <v/>
      </c>
      <c r="I135" s="10">
        <f>IF($G135="","",IF($H135="Sí",ROUND($G135/1.18,2),$G135))</f>
        <v/>
      </c>
      <c r="J135" s="14" t="n"/>
    </row>
    <row r="136">
      <c r="A136" s="14" t="n"/>
      <c r="B136" s="5">
        <f>IF($A136="","",IFERROR(INDEX('Catálogo'!$D$2:$D$1567,MATCH($A136,'Catálogo'!$A$2:$A$1567,0)),"código no encontrado"))</f>
        <v/>
      </c>
      <c r="C136" s="4">
        <f>IF($A136="","",IFERROR(INDEX('Catálogo'!$H$2:$H$1567,MATCH($A136,'Catálogo'!$A$2:$A$1567,0)),"código no encontrado"))</f>
        <v/>
      </c>
      <c r="D136" s="4">
        <f>IF($A136="","",IFERROR(INDEX('Catálogo'!$I$2:$I$1567,MATCH($A136,'Catálogo'!$A$2:$A$1567,0)),"código no encontrado"))</f>
        <v/>
      </c>
      <c r="E136" s="15" t="n"/>
      <c r="F136" s="10">
        <f>IF($A136="","",IFERROR(INDEX('Catálogo'!$N$2:$N$1567,MATCH($A136,'Catálogo'!$A$2:$A$1567,0)),"código no encontrado"))</f>
        <v/>
      </c>
      <c r="G136" s="10">
        <f>IF(OR($E136="",$F136="",NOT(ISNUMBER($F136))),"",$E136*$F136)</f>
        <v/>
      </c>
      <c r="H136" s="4">
        <f>IF($A136="","",IFERROR(INDEX('Catálogo'!$Q$2:$Q$1567,MATCH($A136,'Catálogo'!$A$2:$A$1567,0)),"código no encontrado"))</f>
        <v/>
      </c>
      <c r="I136" s="10">
        <f>IF($G136="","",IF($H136="Sí",ROUND($G136/1.18,2),$G136))</f>
        <v/>
      </c>
      <c r="J136" s="14" t="n"/>
    </row>
    <row r="137">
      <c r="A137" s="14" t="n"/>
      <c r="B137" s="5">
        <f>IF($A137="","",IFERROR(INDEX('Catálogo'!$D$2:$D$1567,MATCH($A137,'Catálogo'!$A$2:$A$1567,0)),"código no encontrado"))</f>
        <v/>
      </c>
      <c r="C137" s="4">
        <f>IF($A137="","",IFERROR(INDEX('Catálogo'!$H$2:$H$1567,MATCH($A137,'Catálogo'!$A$2:$A$1567,0)),"código no encontrado"))</f>
        <v/>
      </c>
      <c r="D137" s="4">
        <f>IF($A137="","",IFERROR(INDEX('Catálogo'!$I$2:$I$1567,MATCH($A137,'Catálogo'!$A$2:$A$1567,0)),"código no encontrado"))</f>
        <v/>
      </c>
      <c r="E137" s="15" t="n"/>
      <c r="F137" s="10">
        <f>IF($A137="","",IFERROR(INDEX('Catálogo'!$N$2:$N$1567,MATCH($A137,'Catálogo'!$A$2:$A$1567,0)),"código no encontrado"))</f>
        <v/>
      </c>
      <c r="G137" s="10">
        <f>IF(OR($E137="",$F137="",NOT(ISNUMBER($F137))),"",$E137*$F137)</f>
        <v/>
      </c>
      <c r="H137" s="4">
        <f>IF($A137="","",IFERROR(INDEX('Catálogo'!$Q$2:$Q$1567,MATCH($A137,'Catálogo'!$A$2:$A$1567,0)),"código no encontrado"))</f>
        <v/>
      </c>
      <c r="I137" s="10">
        <f>IF($G137="","",IF($H137="Sí",ROUND($G137/1.18,2),$G137))</f>
        <v/>
      </c>
      <c r="J137" s="14" t="n"/>
    </row>
    <row r="138">
      <c r="A138" s="14" t="n"/>
      <c r="B138" s="5">
        <f>IF($A138="","",IFERROR(INDEX('Catálogo'!$D$2:$D$1567,MATCH($A138,'Catálogo'!$A$2:$A$1567,0)),"código no encontrado"))</f>
        <v/>
      </c>
      <c r="C138" s="4">
        <f>IF($A138="","",IFERROR(INDEX('Catálogo'!$H$2:$H$1567,MATCH($A138,'Catálogo'!$A$2:$A$1567,0)),"código no encontrado"))</f>
        <v/>
      </c>
      <c r="D138" s="4">
        <f>IF($A138="","",IFERROR(INDEX('Catálogo'!$I$2:$I$1567,MATCH($A138,'Catálogo'!$A$2:$A$1567,0)),"código no encontrado"))</f>
        <v/>
      </c>
      <c r="E138" s="15" t="n"/>
      <c r="F138" s="10">
        <f>IF($A138="","",IFERROR(INDEX('Catálogo'!$N$2:$N$1567,MATCH($A138,'Catálogo'!$A$2:$A$1567,0)),"código no encontrado"))</f>
        <v/>
      </c>
      <c r="G138" s="10">
        <f>IF(OR($E138="",$F138="",NOT(ISNUMBER($F138))),"",$E138*$F138)</f>
        <v/>
      </c>
      <c r="H138" s="4">
        <f>IF($A138="","",IFERROR(INDEX('Catálogo'!$Q$2:$Q$1567,MATCH($A138,'Catálogo'!$A$2:$A$1567,0)),"código no encontrado"))</f>
        <v/>
      </c>
      <c r="I138" s="10">
        <f>IF($G138="","",IF($H138="Sí",ROUND($G138/1.18,2),$G138))</f>
        <v/>
      </c>
      <c r="J138" s="14" t="n"/>
    </row>
    <row r="139">
      <c r="A139" s="14" t="n"/>
      <c r="B139" s="5">
        <f>IF($A139="","",IFERROR(INDEX('Catálogo'!$D$2:$D$1567,MATCH($A139,'Catálogo'!$A$2:$A$1567,0)),"código no encontrado"))</f>
        <v/>
      </c>
      <c r="C139" s="4">
        <f>IF($A139="","",IFERROR(INDEX('Catálogo'!$H$2:$H$1567,MATCH($A139,'Catálogo'!$A$2:$A$1567,0)),"código no encontrado"))</f>
        <v/>
      </c>
      <c r="D139" s="4">
        <f>IF($A139="","",IFERROR(INDEX('Catálogo'!$I$2:$I$1567,MATCH($A139,'Catálogo'!$A$2:$A$1567,0)),"código no encontrado"))</f>
        <v/>
      </c>
      <c r="E139" s="15" t="n"/>
      <c r="F139" s="10">
        <f>IF($A139="","",IFERROR(INDEX('Catálogo'!$N$2:$N$1567,MATCH($A139,'Catálogo'!$A$2:$A$1567,0)),"código no encontrado"))</f>
        <v/>
      </c>
      <c r="G139" s="10">
        <f>IF(OR($E139="",$F139="",NOT(ISNUMBER($F139))),"",$E139*$F139)</f>
        <v/>
      </c>
      <c r="H139" s="4">
        <f>IF($A139="","",IFERROR(INDEX('Catálogo'!$Q$2:$Q$1567,MATCH($A139,'Catálogo'!$A$2:$A$1567,0)),"código no encontrado"))</f>
        <v/>
      </c>
      <c r="I139" s="10">
        <f>IF($G139="","",IF($H139="Sí",ROUND($G139/1.18,2),$G139))</f>
        <v/>
      </c>
      <c r="J139" s="14" t="n"/>
    </row>
    <row r="140">
      <c r="A140" s="14" t="n"/>
      <c r="B140" s="5">
        <f>IF($A140="","",IFERROR(INDEX('Catálogo'!$D$2:$D$1567,MATCH($A140,'Catálogo'!$A$2:$A$1567,0)),"código no encontrado"))</f>
        <v/>
      </c>
      <c r="C140" s="4">
        <f>IF($A140="","",IFERROR(INDEX('Catálogo'!$H$2:$H$1567,MATCH($A140,'Catálogo'!$A$2:$A$1567,0)),"código no encontrado"))</f>
        <v/>
      </c>
      <c r="D140" s="4">
        <f>IF($A140="","",IFERROR(INDEX('Catálogo'!$I$2:$I$1567,MATCH($A140,'Catálogo'!$A$2:$A$1567,0)),"código no encontrado"))</f>
        <v/>
      </c>
      <c r="E140" s="15" t="n"/>
      <c r="F140" s="10">
        <f>IF($A140="","",IFERROR(INDEX('Catálogo'!$N$2:$N$1567,MATCH($A140,'Catálogo'!$A$2:$A$1567,0)),"código no encontrado"))</f>
        <v/>
      </c>
      <c r="G140" s="10">
        <f>IF(OR($E140="",$F140="",NOT(ISNUMBER($F140))),"",$E140*$F140)</f>
        <v/>
      </c>
      <c r="H140" s="4">
        <f>IF($A140="","",IFERROR(INDEX('Catálogo'!$Q$2:$Q$1567,MATCH($A140,'Catálogo'!$A$2:$A$1567,0)),"código no encontrado"))</f>
        <v/>
      </c>
      <c r="I140" s="10">
        <f>IF($G140="","",IF($H140="Sí",ROUND($G140/1.18,2),$G140))</f>
        <v/>
      </c>
      <c r="J140" s="14" t="n"/>
    </row>
    <row r="141">
      <c r="A141" s="14" t="n"/>
      <c r="B141" s="5">
        <f>IF($A141="","",IFERROR(INDEX('Catálogo'!$D$2:$D$1567,MATCH($A141,'Catálogo'!$A$2:$A$1567,0)),"código no encontrado"))</f>
        <v/>
      </c>
      <c r="C141" s="4">
        <f>IF($A141="","",IFERROR(INDEX('Catálogo'!$H$2:$H$1567,MATCH($A141,'Catálogo'!$A$2:$A$1567,0)),"código no encontrado"))</f>
        <v/>
      </c>
      <c r="D141" s="4">
        <f>IF($A141="","",IFERROR(INDEX('Catálogo'!$I$2:$I$1567,MATCH($A141,'Catálogo'!$A$2:$A$1567,0)),"código no encontrado"))</f>
        <v/>
      </c>
      <c r="E141" s="15" t="n"/>
      <c r="F141" s="10">
        <f>IF($A141="","",IFERROR(INDEX('Catálogo'!$N$2:$N$1567,MATCH($A141,'Catálogo'!$A$2:$A$1567,0)),"código no encontrado"))</f>
        <v/>
      </c>
      <c r="G141" s="10">
        <f>IF(OR($E141="",$F141="",NOT(ISNUMBER($F141))),"",$E141*$F141)</f>
        <v/>
      </c>
      <c r="H141" s="4">
        <f>IF($A141="","",IFERROR(INDEX('Catálogo'!$Q$2:$Q$1567,MATCH($A141,'Catálogo'!$A$2:$A$1567,0)),"código no encontrado"))</f>
        <v/>
      </c>
      <c r="I141" s="10">
        <f>IF($G141="","",IF($H141="Sí",ROUND($G141/1.18,2),$G141))</f>
        <v/>
      </c>
      <c r="J141" s="14" t="n"/>
    </row>
    <row r="142">
      <c r="A142" s="14" t="n"/>
      <c r="B142" s="5">
        <f>IF($A142="","",IFERROR(INDEX('Catálogo'!$D$2:$D$1567,MATCH($A142,'Catálogo'!$A$2:$A$1567,0)),"código no encontrado"))</f>
        <v/>
      </c>
      <c r="C142" s="4">
        <f>IF($A142="","",IFERROR(INDEX('Catálogo'!$H$2:$H$1567,MATCH($A142,'Catálogo'!$A$2:$A$1567,0)),"código no encontrado"))</f>
        <v/>
      </c>
      <c r="D142" s="4">
        <f>IF($A142="","",IFERROR(INDEX('Catálogo'!$I$2:$I$1567,MATCH($A142,'Catálogo'!$A$2:$A$1567,0)),"código no encontrado"))</f>
        <v/>
      </c>
      <c r="E142" s="15" t="n"/>
      <c r="F142" s="10">
        <f>IF($A142="","",IFERROR(INDEX('Catálogo'!$N$2:$N$1567,MATCH($A142,'Catálogo'!$A$2:$A$1567,0)),"código no encontrado"))</f>
        <v/>
      </c>
      <c r="G142" s="10">
        <f>IF(OR($E142="",$F142="",NOT(ISNUMBER($F142))),"",$E142*$F142)</f>
        <v/>
      </c>
      <c r="H142" s="4">
        <f>IF($A142="","",IFERROR(INDEX('Catálogo'!$Q$2:$Q$1567,MATCH($A142,'Catálogo'!$A$2:$A$1567,0)),"código no encontrado"))</f>
        <v/>
      </c>
      <c r="I142" s="10">
        <f>IF($G142="","",IF($H142="Sí",ROUND($G142/1.18,2),$G142))</f>
        <v/>
      </c>
      <c r="J142" s="14" t="n"/>
    </row>
    <row r="143">
      <c r="A143" s="14" t="n"/>
      <c r="B143" s="5">
        <f>IF($A143="","",IFERROR(INDEX('Catálogo'!$D$2:$D$1567,MATCH($A143,'Catálogo'!$A$2:$A$1567,0)),"código no encontrado"))</f>
        <v/>
      </c>
      <c r="C143" s="4">
        <f>IF($A143="","",IFERROR(INDEX('Catálogo'!$H$2:$H$1567,MATCH($A143,'Catálogo'!$A$2:$A$1567,0)),"código no encontrado"))</f>
        <v/>
      </c>
      <c r="D143" s="4">
        <f>IF($A143="","",IFERROR(INDEX('Catálogo'!$I$2:$I$1567,MATCH($A143,'Catálogo'!$A$2:$A$1567,0)),"código no encontrado"))</f>
        <v/>
      </c>
      <c r="E143" s="15" t="n"/>
      <c r="F143" s="10">
        <f>IF($A143="","",IFERROR(INDEX('Catálogo'!$N$2:$N$1567,MATCH($A143,'Catálogo'!$A$2:$A$1567,0)),"código no encontrado"))</f>
        <v/>
      </c>
      <c r="G143" s="10">
        <f>IF(OR($E143="",$F143="",NOT(ISNUMBER($F143))),"",$E143*$F143)</f>
        <v/>
      </c>
      <c r="H143" s="4">
        <f>IF($A143="","",IFERROR(INDEX('Catálogo'!$Q$2:$Q$1567,MATCH($A143,'Catálogo'!$A$2:$A$1567,0)),"código no encontrado"))</f>
        <v/>
      </c>
      <c r="I143" s="10">
        <f>IF($G143="","",IF($H143="Sí",ROUND($G143/1.18,2),$G143))</f>
        <v/>
      </c>
      <c r="J143" s="14" t="n"/>
    </row>
    <row r="144">
      <c r="A144" s="14" t="n"/>
      <c r="B144" s="5">
        <f>IF($A144="","",IFERROR(INDEX('Catálogo'!$D$2:$D$1567,MATCH($A144,'Catálogo'!$A$2:$A$1567,0)),"código no encontrado"))</f>
        <v/>
      </c>
      <c r="C144" s="4">
        <f>IF($A144="","",IFERROR(INDEX('Catálogo'!$H$2:$H$1567,MATCH($A144,'Catálogo'!$A$2:$A$1567,0)),"código no encontrado"))</f>
        <v/>
      </c>
      <c r="D144" s="4">
        <f>IF($A144="","",IFERROR(INDEX('Catálogo'!$I$2:$I$1567,MATCH($A144,'Catálogo'!$A$2:$A$1567,0)),"código no encontrado"))</f>
        <v/>
      </c>
      <c r="E144" s="15" t="n"/>
      <c r="F144" s="10">
        <f>IF($A144="","",IFERROR(INDEX('Catálogo'!$N$2:$N$1567,MATCH($A144,'Catálogo'!$A$2:$A$1567,0)),"código no encontrado"))</f>
        <v/>
      </c>
      <c r="G144" s="10">
        <f>IF(OR($E144="",$F144="",NOT(ISNUMBER($F144))),"",$E144*$F144)</f>
        <v/>
      </c>
      <c r="H144" s="4">
        <f>IF($A144="","",IFERROR(INDEX('Catálogo'!$Q$2:$Q$1567,MATCH($A144,'Catálogo'!$A$2:$A$1567,0)),"código no encontrado"))</f>
        <v/>
      </c>
      <c r="I144" s="10">
        <f>IF($G144="","",IF($H144="Sí",ROUND($G144/1.18,2),$G144))</f>
        <v/>
      </c>
      <c r="J144" s="14" t="n"/>
    </row>
    <row r="145">
      <c r="A145" s="14" t="n"/>
      <c r="B145" s="5">
        <f>IF($A145="","",IFERROR(INDEX('Catálogo'!$D$2:$D$1567,MATCH($A145,'Catálogo'!$A$2:$A$1567,0)),"código no encontrado"))</f>
        <v/>
      </c>
      <c r="C145" s="4">
        <f>IF($A145="","",IFERROR(INDEX('Catálogo'!$H$2:$H$1567,MATCH($A145,'Catálogo'!$A$2:$A$1567,0)),"código no encontrado"))</f>
        <v/>
      </c>
      <c r="D145" s="4">
        <f>IF($A145="","",IFERROR(INDEX('Catálogo'!$I$2:$I$1567,MATCH($A145,'Catálogo'!$A$2:$A$1567,0)),"código no encontrado"))</f>
        <v/>
      </c>
      <c r="E145" s="15" t="n"/>
      <c r="F145" s="10">
        <f>IF($A145="","",IFERROR(INDEX('Catálogo'!$N$2:$N$1567,MATCH($A145,'Catálogo'!$A$2:$A$1567,0)),"código no encontrado"))</f>
        <v/>
      </c>
      <c r="G145" s="10">
        <f>IF(OR($E145="",$F145="",NOT(ISNUMBER($F145))),"",$E145*$F145)</f>
        <v/>
      </c>
      <c r="H145" s="4">
        <f>IF($A145="","",IFERROR(INDEX('Catálogo'!$Q$2:$Q$1567,MATCH($A145,'Catálogo'!$A$2:$A$1567,0)),"código no encontrado"))</f>
        <v/>
      </c>
      <c r="I145" s="10">
        <f>IF($G145="","",IF($H145="Sí",ROUND($G145/1.18,2),$G145))</f>
        <v/>
      </c>
      <c r="J145" s="14" t="n"/>
    </row>
    <row r="146">
      <c r="A146" s="14" t="n"/>
      <c r="B146" s="5">
        <f>IF($A146="","",IFERROR(INDEX('Catálogo'!$D$2:$D$1567,MATCH($A146,'Catálogo'!$A$2:$A$1567,0)),"código no encontrado"))</f>
        <v/>
      </c>
      <c r="C146" s="4">
        <f>IF($A146="","",IFERROR(INDEX('Catálogo'!$H$2:$H$1567,MATCH($A146,'Catálogo'!$A$2:$A$1567,0)),"código no encontrado"))</f>
        <v/>
      </c>
      <c r="D146" s="4">
        <f>IF($A146="","",IFERROR(INDEX('Catálogo'!$I$2:$I$1567,MATCH($A146,'Catálogo'!$A$2:$A$1567,0)),"código no encontrado"))</f>
        <v/>
      </c>
      <c r="E146" s="15" t="n"/>
      <c r="F146" s="10">
        <f>IF($A146="","",IFERROR(INDEX('Catálogo'!$N$2:$N$1567,MATCH($A146,'Catálogo'!$A$2:$A$1567,0)),"código no encontrado"))</f>
        <v/>
      </c>
      <c r="G146" s="10">
        <f>IF(OR($E146="",$F146="",NOT(ISNUMBER($F146))),"",$E146*$F146)</f>
        <v/>
      </c>
      <c r="H146" s="4">
        <f>IF($A146="","",IFERROR(INDEX('Catálogo'!$Q$2:$Q$1567,MATCH($A146,'Catálogo'!$A$2:$A$1567,0)),"código no encontrado"))</f>
        <v/>
      </c>
      <c r="I146" s="10">
        <f>IF($G146="","",IF($H146="Sí",ROUND($G146/1.18,2),$G146))</f>
        <v/>
      </c>
      <c r="J146" s="14" t="n"/>
    </row>
    <row r="147">
      <c r="A147" s="14" t="n"/>
      <c r="B147" s="5">
        <f>IF($A147="","",IFERROR(INDEX('Catálogo'!$D$2:$D$1567,MATCH($A147,'Catálogo'!$A$2:$A$1567,0)),"código no encontrado"))</f>
        <v/>
      </c>
      <c r="C147" s="4">
        <f>IF($A147="","",IFERROR(INDEX('Catálogo'!$H$2:$H$1567,MATCH($A147,'Catálogo'!$A$2:$A$1567,0)),"código no encontrado"))</f>
        <v/>
      </c>
      <c r="D147" s="4">
        <f>IF($A147="","",IFERROR(INDEX('Catálogo'!$I$2:$I$1567,MATCH($A147,'Catálogo'!$A$2:$A$1567,0)),"código no encontrado"))</f>
        <v/>
      </c>
      <c r="E147" s="15" t="n"/>
      <c r="F147" s="10">
        <f>IF($A147="","",IFERROR(INDEX('Catálogo'!$N$2:$N$1567,MATCH($A147,'Catálogo'!$A$2:$A$1567,0)),"código no encontrado"))</f>
        <v/>
      </c>
      <c r="G147" s="10">
        <f>IF(OR($E147="",$F147="",NOT(ISNUMBER($F147))),"",$E147*$F147)</f>
        <v/>
      </c>
      <c r="H147" s="4">
        <f>IF($A147="","",IFERROR(INDEX('Catálogo'!$Q$2:$Q$1567,MATCH($A147,'Catálogo'!$A$2:$A$1567,0)),"código no encontrado"))</f>
        <v/>
      </c>
      <c r="I147" s="10">
        <f>IF($G147="","",IF($H147="Sí",ROUND($G147/1.18,2),$G147))</f>
        <v/>
      </c>
      <c r="J147" s="14" t="n"/>
    </row>
    <row r="148">
      <c r="A148" s="14" t="n"/>
      <c r="B148" s="5">
        <f>IF($A148="","",IFERROR(INDEX('Catálogo'!$D$2:$D$1567,MATCH($A148,'Catálogo'!$A$2:$A$1567,0)),"código no encontrado"))</f>
        <v/>
      </c>
      <c r="C148" s="4">
        <f>IF($A148="","",IFERROR(INDEX('Catálogo'!$H$2:$H$1567,MATCH($A148,'Catálogo'!$A$2:$A$1567,0)),"código no encontrado"))</f>
        <v/>
      </c>
      <c r="D148" s="4">
        <f>IF($A148="","",IFERROR(INDEX('Catálogo'!$I$2:$I$1567,MATCH($A148,'Catálogo'!$A$2:$A$1567,0)),"código no encontrado"))</f>
        <v/>
      </c>
      <c r="E148" s="15" t="n"/>
      <c r="F148" s="10">
        <f>IF($A148="","",IFERROR(INDEX('Catálogo'!$N$2:$N$1567,MATCH($A148,'Catálogo'!$A$2:$A$1567,0)),"código no encontrado"))</f>
        <v/>
      </c>
      <c r="G148" s="10">
        <f>IF(OR($E148="",$F148="",NOT(ISNUMBER($F148))),"",$E148*$F148)</f>
        <v/>
      </c>
      <c r="H148" s="4">
        <f>IF($A148="","",IFERROR(INDEX('Catálogo'!$Q$2:$Q$1567,MATCH($A148,'Catálogo'!$A$2:$A$1567,0)),"código no encontrado"))</f>
        <v/>
      </c>
      <c r="I148" s="10">
        <f>IF($G148="","",IF($H148="Sí",ROUND($G148/1.18,2),$G148))</f>
        <v/>
      </c>
      <c r="J148" s="14" t="n"/>
    </row>
    <row r="149">
      <c r="A149" s="14" t="n"/>
      <c r="B149" s="5">
        <f>IF($A149="","",IFERROR(INDEX('Catálogo'!$D$2:$D$1567,MATCH($A149,'Catálogo'!$A$2:$A$1567,0)),"código no encontrado"))</f>
        <v/>
      </c>
      <c r="C149" s="4">
        <f>IF($A149="","",IFERROR(INDEX('Catálogo'!$H$2:$H$1567,MATCH($A149,'Catálogo'!$A$2:$A$1567,0)),"código no encontrado"))</f>
        <v/>
      </c>
      <c r="D149" s="4">
        <f>IF($A149="","",IFERROR(INDEX('Catálogo'!$I$2:$I$1567,MATCH($A149,'Catálogo'!$A$2:$A$1567,0)),"código no encontrado"))</f>
        <v/>
      </c>
      <c r="E149" s="15" t="n"/>
      <c r="F149" s="10">
        <f>IF($A149="","",IFERROR(INDEX('Catálogo'!$N$2:$N$1567,MATCH($A149,'Catálogo'!$A$2:$A$1567,0)),"código no encontrado"))</f>
        <v/>
      </c>
      <c r="G149" s="10">
        <f>IF(OR($E149="",$F149="",NOT(ISNUMBER($F149))),"",$E149*$F149)</f>
        <v/>
      </c>
      <c r="H149" s="4">
        <f>IF($A149="","",IFERROR(INDEX('Catálogo'!$Q$2:$Q$1567,MATCH($A149,'Catálogo'!$A$2:$A$1567,0)),"código no encontrado"))</f>
        <v/>
      </c>
      <c r="I149" s="10">
        <f>IF($G149="","",IF($H149="Sí",ROUND($G149/1.18,2),$G149))</f>
        <v/>
      </c>
      <c r="J149" s="14" t="n"/>
    </row>
    <row r="150">
      <c r="A150" s="14" t="n"/>
      <c r="B150" s="5">
        <f>IF($A150="","",IFERROR(INDEX('Catálogo'!$D$2:$D$1567,MATCH($A150,'Catálogo'!$A$2:$A$1567,0)),"código no encontrado"))</f>
        <v/>
      </c>
      <c r="C150" s="4">
        <f>IF($A150="","",IFERROR(INDEX('Catálogo'!$H$2:$H$1567,MATCH($A150,'Catálogo'!$A$2:$A$1567,0)),"código no encontrado"))</f>
        <v/>
      </c>
      <c r="D150" s="4">
        <f>IF($A150="","",IFERROR(INDEX('Catálogo'!$I$2:$I$1567,MATCH($A150,'Catálogo'!$A$2:$A$1567,0)),"código no encontrado"))</f>
        <v/>
      </c>
      <c r="E150" s="15" t="n"/>
      <c r="F150" s="10">
        <f>IF($A150="","",IFERROR(INDEX('Catálogo'!$N$2:$N$1567,MATCH($A150,'Catálogo'!$A$2:$A$1567,0)),"código no encontrado"))</f>
        <v/>
      </c>
      <c r="G150" s="10">
        <f>IF(OR($E150="",$F150="",NOT(ISNUMBER($F150))),"",$E150*$F150)</f>
        <v/>
      </c>
      <c r="H150" s="4">
        <f>IF($A150="","",IFERROR(INDEX('Catálogo'!$Q$2:$Q$1567,MATCH($A150,'Catálogo'!$A$2:$A$1567,0)),"código no encontrado"))</f>
        <v/>
      </c>
      <c r="I150" s="10">
        <f>IF($G150="","",IF($H150="Sí",ROUND($G150/1.18,2),$G150))</f>
        <v/>
      </c>
      <c r="J150" s="14" t="n"/>
    </row>
    <row r="151">
      <c r="A151" s="14" t="n"/>
      <c r="B151" s="5">
        <f>IF($A151="","",IFERROR(INDEX('Catálogo'!$D$2:$D$1567,MATCH($A151,'Catálogo'!$A$2:$A$1567,0)),"código no encontrado"))</f>
        <v/>
      </c>
      <c r="C151" s="4">
        <f>IF($A151="","",IFERROR(INDEX('Catálogo'!$H$2:$H$1567,MATCH($A151,'Catálogo'!$A$2:$A$1567,0)),"código no encontrado"))</f>
        <v/>
      </c>
      <c r="D151" s="4">
        <f>IF($A151="","",IFERROR(INDEX('Catálogo'!$I$2:$I$1567,MATCH($A151,'Catálogo'!$A$2:$A$1567,0)),"código no encontrado"))</f>
        <v/>
      </c>
      <c r="E151" s="15" t="n"/>
      <c r="F151" s="10">
        <f>IF($A151="","",IFERROR(INDEX('Catálogo'!$N$2:$N$1567,MATCH($A151,'Catálogo'!$A$2:$A$1567,0)),"código no encontrado"))</f>
        <v/>
      </c>
      <c r="G151" s="10">
        <f>IF(OR($E151="",$F151="",NOT(ISNUMBER($F151))),"",$E151*$F151)</f>
        <v/>
      </c>
      <c r="H151" s="4">
        <f>IF($A151="","",IFERROR(INDEX('Catálogo'!$Q$2:$Q$1567,MATCH($A151,'Catálogo'!$A$2:$A$1567,0)),"código no encontrado"))</f>
        <v/>
      </c>
      <c r="I151" s="10">
        <f>IF($G151="","",IF($H151="Sí",ROUND($G151/1.18,2),$G151))</f>
        <v/>
      </c>
      <c r="J151" s="14" t="n"/>
    </row>
    <row r="152">
      <c r="A152" s="14" t="n"/>
      <c r="B152" s="5">
        <f>IF($A152="","",IFERROR(INDEX('Catálogo'!$D$2:$D$1567,MATCH($A152,'Catálogo'!$A$2:$A$1567,0)),"código no encontrado"))</f>
        <v/>
      </c>
      <c r="C152" s="4">
        <f>IF($A152="","",IFERROR(INDEX('Catálogo'!$H$2:$H$1567,MATCH($A152,'Catálogo'!$A$2:$A$1567,0)),"código no encontrado"))</f>
        <v/>
      </c>
      <c r="D152" s="4">
        <f>IF($A152="","",IFERROR(INDEX('Catálogo'!$I$2:$I$1567,MATCH($A152,'Catálogo'!$A$2:$A$1567,0)),"código no encontrado"))</f>
        <v/>
      </c>
      <c r="E152" s="15" t="n"/>
      <c r="F152" s="10">
        <f>IF($A152="","",IFERROR(INDEX('Catálogo'!$N$2:$N$1567,MATCH($A152,'Catálogo'!$A$2:$A$1567,0)),"código no encontrado"))</f>
        <v/>
      </c>
      <c r="G152" s="10">
        <f>IF(OR($E152="",$F152="",NOT(ISNUMBER($F152))),"",$E152*$F152)</f>
        <v/>
      </c>
      <c r="H152" s="4">
        <f>IF($A152="","",IFERROR(INDEX('Catálogo'!$Q$2:$Q$1567,MATCH($A152,'Catálogo'!$A$2:$A$1567,0)),"código no encontrado"))</f>
        <v/>
      </c>
      <c r="I152" s="10">
        <f>IF($G152="","",IF($H152="Sí",ROUND($G152/1.18,2),$G152))</f>
        <v/>
      </c>
      <c r="J152" s="14" t="n"/>
    </row>
    <row r="153">
      <c r="A153" s="14" t="n"/>
      <c r="B153" s="5">
        <f>IF($A153="","",IFERROR(INDEX('Catálogo'!$D$2:$D$1567,MATCH($A153,'Catálogo'!$A$2:$A$1567,0)),"código no encontrado"))</f>
        <v/>
      </c>
      <c r="C153" s="4">
        <f>IF($A153="","",IFERROR(INDEX('Catálogo'!$H$2:$H$1567,MATCH($A153,'Catálogo'!$A$2:$A$1567,0)),"código no encontrado"))</f>
        <v/>
      </c>
      <c r="D153" s="4">
        <f>IF($A153="","",IFERROR(INDEX('Catálogo'!$I$2:$I$1567,MATCH($A153,'Catálogo'!$A$2:$A$1567,0)),"código no encontrado"))</f>
        <v/>
      </c>
      <c r="E153" s="15" t="n"/>
      <c r="F153" s="10">
        <f>IF($A153="","",IFERROR(INDEX('Catálogo'!$N$2:$N$1567,MATCH($A153,'Catálogo'!$A$2:$A$1567,0)),"código no encontrado"))</f>
        <v/>
      </c>
      <c r="G153" s="10">
        <f>IF(OR($E153="",$F153="",NOT(ISNUMBER($F153))),"",$E153*$F153)</f>
        <v/>
      </c>
      <c r="H153" s="4">
        <f>IF($A153="","",IFERROR(INDEX('Catálogo'!$Q$2:$Q$1567,MATCH($A153,'Catálogo'!$A$2:$A$1567,0)),"código no encontrado"))</f>
        <v/>
      </c>
      <c r="I153" s="10">
        <f>IF($G153="","",IF($H153="Sí",ROUND($G153/1.18,2),$G153))</f>
        <v/>
      </c>
      <c r="J153" s="14" t="n"/>
    </row>
    <row r="154">
      <c r="A154" s="14" t="n"/>
      <c r="B154" s="5">
        <f>IF($A154="","",IFERROR(INDEX('Catálogo'!$D$2:$D$1567,MATCH($A154,'Catálogo'!$A$2:$A$1567,0)),"código no encontrado"))</f>
        <v/>
      </c>
      <c r="C154" s="4">
        <f>IF($A154="","",IFERROR(INDEX('Catálogo'!$H$2:$H$1567,MATCH($A154,'Catálogo'!$A$2:$A$1567,0)),"código no encontrado"))</f>
        <v/>
      </c>
      <c r="D154" s="4">
        <f>IF($A154="","",IFERROR(INDEX('Catálogo'!$I$2:$I$1567,MATCH($A154,'Catálogo'!$A$2:$A$1567,0)),"código no encontrado"))</f>
        <v/>
      </c>
      <c r="E154" s="15" t="n"/>
      <c r="F154" s="10">
        <f>IF($A154="","",IFERROR(INDEX('Catálogo'!$N$2:$N$1567,MATCH($A154,'Catálogo'!$A$2:$A$1567,0)),"código no encontrado"))</f>
        <v/>
      </c>
      <c r="G154" s="10">
        <f>IF(OR($E154="",$F154="",NOT(ISNUMBER($F154))),"",$E154*$F154)</f>
        <v/>
      </c>
      <c r="H154" s="4">
        <f>IF($A154="","",IFERROR(INDEX('Catálogo'!$Q$2:$Q$1567,MATCH($A154,'Catálogo'!$A$2:$A$1567,0)),"código no encontrado"))</f>
        <v/>
      </c>
      <c r="I154" s="10">
        <f>IF($G154="","",IF($H154="Sí",ROUND($G154/1.18,2),$G154))</f>
        <v/>
      </c>
      <c r="J154" s="14" t="n"/>
    </row>
    <row r="155">
      <c r="A155" s="14" t="n"/>
      <c r="B155" s="5">
        <f>IF($A155="","",IFERROR(INDEX('Catálogo'!$D$2:$D$1567,MATCH($A155,'Catálogo'!$A$2:$A$1567,0)),"código no encontrado"))</f>
        <v/>
      </c>
      <c r="C155" s="4">
        <f>IF($A155="","",IFERROR(INDEX('Catálogo'!$H$2:$H$1567,MATCH($A155,'Catálogo'!$A$2:$A$1567,0)),"código no encontrado"))</f>
        <v/>
      </c>
      <c r="D155" s="4">
        <f>IF($A155="","",IFERROR(INDEX('Catálogo'!$I$2:$I$1567,MATCH($A155,'Catálogo'!$A$2:$A$1567,0)),"código no encontrado"))</f>
        <v/>
      </c>
      <c r="E155" s="15" t="n"/>
      <c r="F155" s="10">
        <f>IF($A155="","",IFERROR(INDEX('Catálogo'!$N$2:$N$1567,MATCH($A155,'Catálogo'!$A$2:$A$1567,0)),"código no encontrado"))</f>
        <v/>
      </c>
      <c r="G155" s="10">
        <f>IF(OR($E155="",$F155="",NOT(ISNUMBER($F155))),"",$E155*$F155)</f>
        <v/>
      </c>
      <c r="H155" s="4">
        <f>IF($A155="","",IFERROR(INDEX('Catálogo'!$Q$2:$Q$1567,MATCH($A155,'Catálogo'!$A$2:$A$1567,0)),"código no encontrado"))</f>
        <v/>
      </c>
      <c r="I155" s="10">
        <f>IF($G155="","",IF($H155="Sí",ROUND($G155/1.18,2),$G155))</f>
        <v/>
      </c>
      <c r="J155" s="14" t="n"/>
    </row>
    <row r="156">
      <c r="A156" s="14" t="n"/>
      <c r="B156" s="5">
        <f>IF($A156="","",IFERROR(INDEX('Catálogo'!$D$2:$D$1567,MATCH($A156,'Catálogo'!$A$2:$A$1567,0)),"código no encontrado"))</f>
        <v/>
      </c>
      <c r="C156" s="4">
        <f>IF($A156="","",IFERROR(INDEX('Catálogo'!$H$2:$H$1567,MATCH($A156,'Catálogo'!$A$2:$A$1567,0)),"código no encontrado"))</f>
        <v/>
      </c>
      <c r="D156" s="4">
        <f>IF($A156="","",IFERROR(INDEX('Catálogo'!$I$2:$I$1567,MATCH($A156,'Catálogo'!$A$2:$A$1567,0)),"código no encontrado"))</f>
        <v/>
      </c>
      <c r="E156" s="15" t="n"/>
      <c r="F156" s="10">
        <f>IF($A156="","",IFERROR(INDEX('Catálogo'!$N$2:$N$1567,MATCH($A156,'Catálogo'!$A$2:$A$1567,0)),"código no encontrado"))</f>
        <v/>
      </c>
      <c r="G156" s="10">
        <f>IF(OR($E156="",$F156="",NOT(ISNUMBER($F156))),"",$E156*$F156)</f>
        <v/>
      </c>
      <c r="H156" s="4">
        <f>IF($A156="","",IFERROR(INDEX('Catálogo'!$Q$2:$Q$1567,MATCH($A156,'Catálogo'!$A$2:$A$1567,0)),"código no encontrado"))</f>
        <v/>
      </c>
      <c r="I156" s="10">
        <f>IF($G156="","",IF($H156="Sí",ROUND($G156/1.18,2),$G156))</f>
        <v/>
      </c>
      <c r="J156" s="14" t="n"/>
    </row>
    <row r="157">
      <c r="A157" s="14" t="n"/>
      <c r="B157" s="5">
        <f>IF($A157="","",IFERROR(INDEX('Catálogo'!$D$2:$D$1567,MATCH($A157,'Catálogo'!$A$2:$A$1567,0)),"código no encontrado"))</f>
        <v/>
      </c>
      <c r="C157" s="4">
        <f>IF($A157="","",IFERROR(INDEX('Catálogo'!$H$2:$H$1567,MATCH($A157,'Catálogo'!$A$2:$A$1567,0)),"código no encontrado"))</f>
        <v/>
      </c>
      <c r="D157" s="4">
        <f>IF($A157="","",IFERROR(INDEX('Catálogo'!$I$2:$I$1567,MATCH($A157,'Catálogo'!$A$2:$A$1567,0)),"código no encontrado"))</f>
        <v/>
      </c>
      <c r="E157" s="15" t="n"/>
      <c r="F157" s="10">
        <f>IF($A157="","",IFERROR(INDEX('Catálogo'!$N$2:$N$1567,MATCH($A157,'Catálogo'!$A$2:$A$1567,0)),"código no encontrado"))</f>
        <v/>
      </c>
      <c r="G157" s="10">
        <f>IF(OR($E157="",$F157="",NOT(ISNUMBER($F157))),"",$E157*$F157)</f>
        <v/>
      </c>
      <c r="H157" s="4">
        <f>IF($A157="","",IFERROR(INDEX('Catálogo'!$Q$2:$Q$1567,MATCH($A157,'Catálogo'!$A$2:$A$1567,0)),"código no encontrado"))</f>
        <v/>
      </c>
      <c r="I157" s="10">
        <f>IF($G157="","",IF($H157="Sí",ROUND($G157/1.18,2),$G157))</f>
        <v/>
      </c>
      <c r="J157" s="14" t="n"/>
    </row>
    <row r="158">
      <c r="A158" s="14" t="n"/>
      <c r="B158" s="5">
        <f>IF($A158="","",IFERROR(INDEX('Catálogo'!$D$2:$D$1567,MATCH($A158,'Catálogo'!$A$2:$A$1567,0)),"código no encontrado"))</f>
        <v/>
      </c>
      <c r="C158" s="4">
        <f>IF($A158="","",IFERROR(INDEX('Catálogo'!$H$2:$H$1567,MATCH($A158,'Catálogo'!$A$2:$A$1567,0)),"código no encontrado"))</f>
        <v/>
      </c>
      <c r="D158" s="4">
        <f>IF($A158="","",IFERROR(INDEX('Catálogo'!$I$2:$I$1567,MATCH($A158,'Catálogo'!$A$2:$A$1567,0)),"código no encontrado"))</f>
        <v/>
      </c>
      <c r="E158" s="15" t="n"/>
      <c r="F158" s="10">
        <f>IF($A158="","",IFERROR(INDEX('Catálogo'!$N$2:$N$1567,MATCH($A158,'Catálogo'!$A$2:$A$1567,0)),"código no encontrado"))</f>
        <v/>
      </c>
      <c r="G158" s="10">
        <f>IF(OR($E158="",$F158="",NOT(ISNUMBER($F158))),"",$E158*$F158)</f>
        <v/>
      </c>
      <c r="H158" s="4">
        <f>IF($A158="","",IFERROR(INDEX('Catálogo'!$Q$2:$Q$1567,MATCH($A158,'Catálogo'!$A$2:$A$1567,0)),"código no encontrado"))</f>
        <v/>
      </c>
      <c r="I158" s="10">
        <f>IF($G158="","",IF($H158="Sí",ROUND($G158/1.18,2),$G158))</f>
        <v/>
      </c>
      <c r="J158" s="14" t="n"/>
    </row>
    <row r="159">
      <c r="A159" s="14" t="n"/>
      <c r="B159" s="5">
        <f>IF($A159="","",IFERROR(INDEX('Catálogo'!$D$2:$D$1567,MATCH($A159,'Catálogo'!$A$2:$A$1567,0)),"código no encontrado"))</f>
        <v/>
      </c>
      <c r="C159" s="4">
        <f>IF($A159="","",IFERROR(INDEX('Catálogo'!$H$2:$H$1567,MATCH($A159,'Catálogo'!$A$2:$A$1567,0)),"código no encontrado"))</f>
        <v/>
      </c>
      <c r="D159" s="4">
        <f>IF($A159="","",IFERROR(INDEX('Catálogo'!$I$2:$I$1567,MATCH($A159,'Catálogo'!$A$2:$A$1567,0)),"código no encontrado"))</f>
        <v/>
      </c>
      <c r="E159" s="15" t="n"/>
      <c r="F159" s="10">
        <f>IF($A159="","",IFERROR(INDEX('Catálogo'!$N$2:$N$1567,MATCH($A159,'Catálogo'!$A$2:$A$1567,0)),"código no encontrado"))</f>
        <v/>
      </c>
      <c r="G159" s="10">
        <f>IF(OR($E159="",$F159="",NOT(ISNUMBER($F159))),"",$E159*$F159)</f>
        <v/>
      </c>
      <c r="H159" s="4">
        <f>IF($A159="","",IFERROR(INDEX('Catálogo'!$Q$2:$Q$1567,MATCH($A159,'Catálogo'!$A$2:$A$1567,0)),"código no encontrado"))</f>
        <v/>
      </c>
      <c r="I159" s="10">
        <f>IF($G159="","",IF($H159="Sí",ROUND($G159/1.18,2),$G159))</f>
        <v/>
      </c>
      <c r="J159" s="14" t="n"/>
    </row>
    <row r="160">
      <c r="A160" s="14" t="n"/>
      <c r="B160" s="5">
        <f>IF($A160="","",IFERROR(INDEX('Catálogo'!$D$2:$D$1567,MATCH($A160,'Catálogo'!$A$2:$A$1567,0)),"código no encontrado"))</f>
        <v/>
      </c>
      <c r="C160" s="4">
        <f>IF($A160="","",IFERROR(INDEX('Catálogo'!$H$2:$H$1567,MATCH($A160,'Catálogo'!$A$2:$A$1567,0)),"código no encontrado"))</f>
        <v/>
      </c>
      <c r="D160" s="4">
        <f>IF($A160="","",IFERROR(INDEX('Catálogo'!$I$2:$I$1567,MATCH($A160,'Catálogo'!$A$2:$A$1567,0)),"código no encontrado"))</f>
        <v/>
      </c>
      <c r="E160" s="15" t="n"/>
      <c r="F160" s="10">
        <f>IF($A160="","",IFERROR(INDEX('Catálogo'!$N$2:$N$1567,MATCH($A160,'Catálogo'!$A$2:$A$1567,0)),"código no encontrado"))</f>
        <v/>
      </c>
      <c r="G160" s="10">
        <f>IF(OR($E160="",$F160="",NOT(ISNUMBER($F160))),"",$E160*$F160)</f>
        <v/>
      </c>
      <c r="H160" s="4">
        <f>IF($A160="","",IFERROR(INDEX('Catálogo'!$Q$2:$Q$1567,MATCH($A160,'Catálogo'!$A$2:$A$1567,0)),"código no encontrado"))</f>
        <v/>
      </c>
      <c r="I160" s="10">
        <f>IF($G160="","",IF($H160="Sí",ROUND($G160/1.18,2),$G160))</f>
        <v/>
      </c>
      <c r="J160" s="14" t="n"/>
    </row>
    <row r="161">
      <c r="A161" s="14" t="n"/>
      <c r="B161" s="5">
        <f>IF($A161="","",IFERROR(INDEX('Catálogo'!$D$2:$D$1567,MATCH($A161,'Catálogo'!$A$2:$A$1567,0)),"código no encontrado"))</f>
        <v/>
      </c>
      <c r="C161" s="4">
        <f>IF($A161="","",IFERROR(INDEX('Catálogo'!$H$2:$H$1567,MATCH($A161,'Catálogo'!$A$2:$A$1567,0)),"código no encontrado"))</f>
        <v/>
      </c>
      <c r="D161" s="4">
        <f>IF($A161="","",IFERROR(INDEX('Catálogo'!$I$2:$I$1567,MATCH($A161,'Catálogo'!$A$2:$A$1567,0)),"código no encontrado"))</f>
        <v/>
      </c>
      <c r="E161" s="15" t="n"/>
      <c r="F161" s="10">
        <f>IF($A161="","",IFERROR(INDEX('Catálogo'!$N$2:$N$1567,MATCH($A161,'Catálogo'!$A$2:$A$1567,0)),"código no encontrado"))</f>
        <v/>
      </c>
      <c r="G161" s="10">
        <f>IF(OR($E161="",$F161="",NOT(ISNUMBER($F161))),"",$E161*$F161)</f>
        <v/>
      </c>
      <c r="H161" s="4">
        <f>IF($A161="","",IFERROR(INDEX('Catálogo'!$Q$2:$Q$1567,MATCH($A161,'Catálogo'!$A$2:$A$1567,0)),"código no encontrado"))</f>
        <v/>
      </c>
      <c r="I161" s="10">
        <f>IF($G161="","",IF($H161="Sí",ROUND($G161/1.18,2),$G161))</f>
        <v/>
      </c>
      <c r="J161" s="14" t="n"/>
    </row>
    <row r="162">
      <c r="A162" s="14" t="n"/>
      <c r="B162" s="5">
        <f>IF($A162="","",IFERROR(INDEX('Catálogo'!$D$2:$D$1567,MATCH($A162,'Catálogo'!$A$2:$A$1567,0)),"código no encontrado"))</f>
        <v/>
      </c>
      <c r="C162" s="4">
        <f>IF($A162="","",IFERROR(INDEX('Catálogo'!$H$2:$H$1567,MATCH($A162,'Catálogo'!$A$2:$A$1567,0)),"código no encontrado"))</f>
        <v/>
      </c>
      <c r="D162" s="4">
        <f>IF($A162="","",IFERROR(INDEX('Catálogo'!$I$2:$I$1567,MATCH($A162,'Catálogo'!$A$2:$A$1567,0)),"código no encontrado"))</f>
        <v/>
      </c>
      <c r="E162" s="15" t="n"/>
      <c r="F162" s="10">
        <f>IF($A162="","",IFERROR(INDEX('Catálogo'!$N$2:$N$1567,MATCH($A162,'Catálogo'!$A$2:$A$1567,0)),"código no encontrado"))</f>
        <v/>
      </c>
      <c r="G162" s="10">
        <f>IF(OR($E162="",$F162="",NOT(ISNUMBER($F162))),"",$E162*$F162)</f>
        <v/>
      </c>
      <c r="H162" s="4">
        <f>IF($A162="","",IFERROR(INDEX('Catálogo'!$Q$2:$Q$1567,MATCH($A162,'Catálogo'!$A$2:$A$1567,0)),"código no encontrado"))</f>
        <v/>
      </c>
      <c r="I162" s="10">
        <f>IF($G162="","",IF($H162="Sí",ROUND($G162/1.18,2),$G162))</f>
        <v/>
      </c>
      <c r="J162" s="14" t="n"/>
    </row>
    <row r="163">
      <c r="A163" s="14" t="n"/>
      <c r="B163" s="5">
        <f>IF($A163="","",IFERROR(INDEX('Catálogo'!$D$2:$D$1567,MATCH($A163,'Catálogo'!$A$2:$A$1567,0)),"código no encontrado"))</f>
        <v/>
      </c>
      <c r="C163" s="4">
        <f>IF($A163="","",IFERROR(INDEX('Catálogo'!$H$2:$H$1567,MATCH($A163,'Catálogo'!$A$2:$A$1567,0)),"código no encontrado"))</f>
        <v/>
      </c>
      <c r="D163" s="4">
        <f>IF($A163="","",IFERROR(INDEX('Catálogo'!$I$2:$I$1567,MATCH($A163,'Catálogo'!$A$2:$A$1567,0)),"código no encontrado"))</f>
        <v/>
      </c>
      <c r="E163" s="15" t="n"/>
      <c r="F163" s="10">
        <f>IF($A163="","",IFERROR(INDEX('Catálogo'!$N$2:$N$1567,MATCH($A163,'Catálogo'!$A$2:$A$1567,0)),"código no encontrado"))</f>
        <v/>
      </c>
      <c r="G163" s="10">
        <f>IF(OR($E163="",$F163="",NOT(ISNUMBER($F163))),"",$E163*$F163)</f>
        <v/>
      </c>
      <c r="H163" s="4">
        <f>IF($A163="","",IFERROR(INDEX('Catálogo'!$Q$2:$Q$1567,MATCH($A163,'Catálogo'!$A$2:$A$1567,0)),"código no encontrado"))</f>
        <v/>
      </c>
      <c r="I163" s="10">
        <f>IF($G163="","",IF($H163="Sí",ROUND($G163/1.18,2),$G163))</f>
        <v/>
      </c>
      <c r="J163" s="14" t="n"/>
    </row>
    <row r="164">
      <c r="A164" s="14" t="n"/>
      <c r="B164" s="5">
        <f>IF($A164="","",IFERROR(INDEX('Catálogo'!$D$2:$D$1567,MATCH($A164,'Catálogo'!$A$2:$A$1567,0)),"código no encontrado"))</f>
        <v/>
      </c>
      <c r="C164" s="4">
        <f>IF($A164="","",IFERROR(INDEX('Catálogo'!$H$2:$H$1567,MATCH($A164,'Catálogo'!$A$2:$A$1567,0)),"código no encontrado"))</f>
        <v/>
      </c>
      <c r="D164" s="4">
        <f>IF($A164="","",IFERROR(INDEX('Catálogo'!$I$2:$I$1567,MATCH($A164,'Catálogo'!$A$2:$A$1567,0)),"código no encontrado"))</f>
        <v/>
      </c>
      <c r="E164" s="15" t="n"/>
      <c r="F164" s="10">
        <f>IF($A164="","",IFERROR(INDEX('Catálogo'!$N$2:$N$1567,MATCH($A164,'Catálogo'!$A$2:$A$1567,0)),"código no encontrado"))</f>
        <v/>
      </c>
      <c r="G164" s="10">
        <f>IF(OR($E164="",$F164="",NOT(ISNUMBER($F164))),"",$E164*$F164)</f>
        <v/>
      </c>
      <c r="H164" s="4">
        <f>IF($A164="","",IFERROR(INDEX('Catálogo'!$Q$2:$Q$1567,MATCH($A164,'Catálogo'!$A$2:$A$1567,0)),"código no encontrado"))</f>
        <v/>
      </c>
      <c r="I164" s="10">
        <f>IF($G164="","",IF($H164="Sí",ROUND($G164/1.18,2),$G164))</f>
        <v/>
      </c>
      <c r="J164" s="14" t="n"/>
    </row>
    <row r="165">
      <c r="A165" s="14" t="n"/>
      <c r="B165" s="5">
        <f>IF($A165="","",IFERROR(INDEX('Catálogo'!$D$2:$D$1567,MATCH($A165,'Catálogo'!$A$2:$A$1567,0)),"código no encontrado"))</f>
        <v/>
      </c>
      <c r="C165" s="4">
        <f>IF($A165="","",IFERROR(INDEX('Catálogo'!$H$2:$H$1567,MATCH($A165,'Catálogo'!$A$2:$A$1567,0)),"código no encontrado"))</f>
        <v/>
      </c>
      <c r="D165" s="4">
        <f>IF($A165="","",IFERROR(INDEX('Catálogo'!$I$2:$I$1567,MATCH($A165,'Catálogo'!$A$2:$A$1567,0)),"código no encontrado"))</f>
        <v/>
      </c>
      <c r="E165" s="15" t="n"/>
      <c r="F165" s="10">
        <f>IF($A165="","",IFERROR(INDEX('Catálogo'!$N$2:$N$1567,MATCH($A165,'Catálogo'!$A$2:$A$1567,0)),"código no encontrado"))</f>
        <v/>
      </c>
      <c r="G165" s="10">
        <f>IF(OR($E165="",$F165="",NOT(ISNUMBER($F165))),"",$E165*$F165)</f>
        <v/>
      </c>
      <c r="H165" s="4">
        <f>IF($A165="","",IFERROR(INDEX('Catálogo'!$Q$2:$Q$1567,MATCH($A165,'Catálogo'!$A$2:$A$1567,0)),"código no encontrado"))</f>
        <v/>
      </c>
      <c r="I165" s="10">
        <f>IF($G165="","",IF($H165="Sí",ROUND($G165/1.18,2),$G165))</f>
        <v/>
      </c>
      <c r="J165" s="14" t="n"/>
    </row>
    <row r="166">
      <c r="A166" s="14" t="n"/>
      <c r="B166" s="5">
        <f>IF($A166="","",IFERROR(INDEX('Catálogo'!$D$2:$D$1567,MATCH($A166,'Catálogo'!$A$2:$A$1567,0)),"código no encontrado"))</f>
        <v/>
      </c>
      <c r="C166" s="4">
        <f>IF($A166="","",IFERROR(INDEX('Catálogo'!$H$2:$H$1567,MATCH($A166,'Catálogo'!$A$2:$A$1567,0)),"código no encontrado"))</f>
        <v/>
      </c>
      <c r="D166" s="4">
        <f>IF($A166="","",IFERROR(INDEX('Catálogo'!$I$2:$I$1567,MATCH($A166,'Catálogo'!$A$2:$A$1567,0)),"código no encontrado"))</f>
        <v/>
      </c>
      <c r="E166" s="15" t="n"/>
      <c r="F166" s="10">
        <f>IF($A166="","",IFERROR(INDEX('Catálogo'!$N$2:$N$1567,MATCH($A166,'Catálogo'!$A$2:$A$1567,0)),"código no encontrado"))</f>
        <v/>
      </c>
      <c r="G166" s="10">
        <f>IF(OR($E166="",$F166="",NOT(ISNUMBER($F166))),"",$E166*$F166)</f>
        <v/>
      </c>
      <c r="H166" s="4">
        <f>IF($A166="","",IFERROR(INDEX('Catálogo'!$Q$2:$Q$1567,MATCH($A166,'Catálogo'!$A$2:$A$1567,0)),"código no encontrado"))</f>
        <v/>
      </c>
      <c r="I166" s="10">
        <f>IF($G166="","",IF($H166="Sí",ROUND($G166/1.18,2),$G166))</f>
        <v/>
      </c>
      <c r="J166" s="14" t="n"/>
    </row>
    <row r="167">
      <c r="A167" s="14" t="n"/>
      <c r="B167" s="5">
        <f>IF($A167="","",IFERROR(INDEX('Catálogo'!$D$2:$D$1567,MATCH($A167,'Catálogo'!$A$2:$A$1567,0)),"código no encontrado"))</f>
        <v/>
      </c>
      <c r="C167" s="4">
        <f>IF($A167="","",IFERROR(INDEX('Catálogo'!$H$2:$H$1567,MATCH($A167,'Catálogo'!$A$2:$A$1567,0)),"código no encontrado"))</f>
        <v/>
      </c>
      <c r="D167" s="4">
        <f>IF($A167="","",IFERROR(INDEX('Catálogo'!$I$2:$I$1567,MATCH($A167,'Catálogo'!$A$2:$A$1567,0)),"código no encontrado"))</f>
        <v/>
      </c>
      <c r="E167" s="15" t="n"/>
      <c r="F167" s="10">
        <f>IF($A167="","",IFERROR(INDEX('Catálogo'!$N$2:$N$1567,MATCH($A167,'Catálogo'!$A$2:$A$1567,0)),"código no encontrado"))</f>
        <v/>
      </c>
      <c r="G167" s="10">
        <f>IF(OR($E167="",$F167="",NOT(ISNUMBER($F167))),"",$E167*$F167)</f>
        <v/>
      </c>
      <c r="H167" s="4">
        <f>IF($A167="","",IFERROR(INDEX('Catálogo'!$Q$2:$Q$1567,MATCH($A167,'Catálogo'!$A$2:$A$1567,0)),"código no encontrado"))</f>
        <v/>
      </c>
      <c r="I167" s="10">
        <f>IF($G167="","",IF($H167="Sí",ROUND($G167/1.18,2),$G167))</f>
        <v/>
      </c>
      <c r="J167" s="14" t="n"/>
    </row>
    <row r="168">
      <c r="A168" s="14" t="n"/>
      <c r="B168" s="5">
        <f>IF($A168="","",IFERROR(INDEX('Catálogo'!$D$2:$D$1567,MATCH($A168,'Catálogo'!$A$2:$A$1567,0)),"código no encontrado"))</f>
        <v/>
      </c>
      <c r="C168" s="4">
        <f>IF($A168="","",IFERROR(INDEX('Catálogo'!$H$2:$H$1567,MATCH($A168,'Catálogo'!$A$2:$A$1567,0)),"código no encontrado"))</f>
        <v/>
      </c>
      <c r="D168" s="4">
        <f>IF($A168="","",IFERROR(INDEX('Catálogo'!$I$2:$I$1567,MATCH($A168,'Catálogo'!$A$2:$A$1567,0)),"código no encontrado"))</f>
        <v/>
      </c>
      <c r="E168" s="15" t="n"/>
      <c r="F168" s="10">
        <f>IF($A168="","",IFERROR(INDEX('Catálogo'!$N$2:$N$1567,MATCH($A168,'Catálogo'!$A$2:$A$1567,0)),"código no encontrado"))</f>
        <v/>
      </c>
      <c r="G168" s="10">
        <f>IF(OR($E168="",$F168="",NOT(ISNUMBER($F168))),"",$E168*$F168)</f>
        <v/>
      </c>
      <c r="H168" s="4">
        <f>IF($A168="","",IFERROR(INDEX('Catálogo'!$Q$2:$Q$1567,MATCH($A168,'Catálogo'!$A$2:$A$1567,0)),"código no encontrado"))</f>
        <v/>
      </c>
      <c r="I168" s="10">
        <f>IF($G168="","",IF($H168="Sí",ROUND($G168/1.18,2),$G168))</f>
        <v/>
      </c>
      <c r="J168" s="14" t="n"/>
    </row>
    <row r="169">
      <c r="A169" s="14" t="n"/>
      <c r="B169" s="5">
        <f>IF($A169="","",IFERROR(INDEX('Catálogo'!$D$2:$D$1567,MATCH($A169,'Catálogo'!$A$2:$A$1567,0)),"código no encontrado"))</f>
        <v/>
      </c>
      <c r="C169" s="4">
        <f>IF($A169="","",IFERROR(INDEX('Catálogo'!$H$2:$H$1567,MATCH($A169,'Catálogo'!$A$2:$A$1567,0)),"código no encontrado"))</f>
        <v/>
      </c>
      <c r="D169" s="4">
        <f>IF($A169="","",IFERROR(INDEX('Catálogo'!$I$2:$I$1567,MATCH($A169,'Catálogo'!$A$2:$A$1567,0)),"código no encontrado"))</f>
        <v/>
      </c>
      <c r="E169" s="15" t="n"/>
      <c r="F169" s="10">
        <f>IF($A169="","",IFERROR(INDEX('Catálogo'!$N$2:$N$1567,MATCH($A169,'Catálogo'!$A$2:$A$1567,0)),"código no encontrado"))</f>
        <v/>
      </c>
      <c r="G169" s="10">
        <f>IF(OR($E169="",$F169="",NOT(ISNUMBER($F169))),"",$E169*$F169)</f>
        <v/>
      </c>
      <c r="H169" s="4">
        <f>IF($A169="","",IFERROR(INDEX('Catálogo'!$Q$2:$Q$1567,MATCH($A169,'Catálogo'!$A$2:$A$1567,0)),"código no encontrado"))</f>
        <v/>
      </c>
      <c r="I169" s="10">
        <f>IF($G169="","",IF($H169="Sí",ROUND($G169/1.18,2),$G169))</f>
        <v/>
      </c>
      <c r="J169" s="14" t="n"/>
    </row>
    <row r="170">
      <c r="A170" s="14" t="n"/>
      <c r="B170" s="5">
        <f>IF($A170="","",IFERROR(INDEX('Catálogo'!$D$2:$D$1567,MATCH($A170,'Catálogo'!$A$2:$A$1567,0)),"código no encontrado"))</f>
        <v/>
      </c>
      <c r="C170" s="4">
        <f>IF($A170="","",IFERROR(INDEX('Catálogo'!$H$2:$H$1567,MATCH($A170,'Catálogo'!$A$2:$A$1567,0)),"código no encontrado"))</f>
        <v/>
      </c>
      <c r="D170" s="4">
        <f>IF($A170="","",IFERROR(INDEX('Catálogo'!$I$2:$I$1567,MATCH($A170,'Catálogo'!$A$2:$A$1567,0)),"código no encontrado"))</f>
        <v/>
      </c>
      <c r="E170" s="15" t="n"/>
      <c r="F170" s="10">
        <f>IF($A170="","",IFERROR(INDEX('Catálogo'!$N$2:$N$1567,MATCH($A170,'Catálogo'!$A$2:$A$1567,0)),"código no encontrado"))</f>
        <v/>
      </c>
      <c r="G170" s="10">
        <f>IF(OR($E170="",$F170="",NOT(ISNUMBER($F170))),"",$E170*$F170)</f>
        <v/>
      </c>
      <c r="H170" s="4">
        <f>IF($A170="","",IFERROR(INDEX('Catálogo'!$Q$2:$Q$1567,MATCH($A170,'Catálogo'!$A$2:$A$1567,0)),"código no encontrado"))</f>
        <v/>
      </c>
      <c r="I170" s="10">
        <f>IF($G170="","",IF($H170="Sí",ROUND($G170/1.18,2),$G170))</f>
        <v/>
      </c>
      <c r="J170" s="14" t="n"/>
    </row>
    <row r="171">
      <c r="A171" s="14" t="n"/>
      <c r="B171" s="5">
        <f>IF($A171="","",IFERROR(INDEX('Catálogo'!$D$2:$D$1567,MATCH($A171,'Catálogo'!$A$2:$A$1567,0)),"código no encontrado"))</f>
        <v/>
      </c>
      <c r="C171" s="4">
        <f>IF($A171="","",IFERROR(INDEX('Catálogo'!$H$2:$H$1567,MATCH($A171,'Catálogo'!$A$2:$A$1567,0)),"código no encontrado"))</f>
        <v/>
      </c>
      <c r="D171" s="4">
        <f>IF($A171="","",IFERROR(INDEX('Catálogo'!$I$2:$I$1567,MATCH($A171,'Catálogo'!$A$2:$A$1567,0)),"código no encontrado"))</f>
        <v/>
      </c>
      <c r="E171" s="15" t="n"/>
      <c r="F171" s="10">
        <f>IF($A171="","",IFERROR(INDEX('Catálogo'!$N$2:$N$1567,MATCH($A171,'Catálogo'!$A$2:$A$1567,0)),"código no encontrado"))</f>
        <v/>
      </c>
      <c r="G171" s="10">
        <f>IF(OR($E171="",$F171="",NOT(ISNUMBER($F171))),"",$E171*$F171)</f>
        <v/>
      </c>
      <c r="H171" s="4">
        <f>IF($A171="","",IFERROR(INDEX('Catálogo'!$Q$2:$Q$1567,MATCH($A171,'Catálogo'!$A$2:$A$1567,0)),"código no encontrado"))</f>
        <v/>
      </c>
      <c r="I171" s="10">
        <f>IF($G171="","",IF($H171="Sí",ROUND($G171/1.18,2),$G171))</f>
        <v/>
      </c>
      <c r="J171" s="14" t="n"/>
    </row>
    <row r="172">
      <c r="A172" s="14" t="n"/>
      <c r="B172" s="5">
        <f>IF($A172="","",IFERROR(INDEX('Catálogo'!$D$2:$D$1567,MATCH($A172,'Catálogo'!$A$2:$A$1567,0)),"código no encontrado"))</f>
        <v/>
      </c>
      <c r="C172" s="4">
        <f>IF($A172="","",IFERROR(INDEX('Catálogo'!$H$2:$H$1567,MATCH($A172,'Catálogo'!$A$2:$A$1567,0)),"código no encontrado"))</f>
        <v/>
      </c>
      <c r="D172" s="4">
        <f>IF($A172="","",IFERROR(INDEX('Catálogo'!$I$2:$I$1567,MATCH($A172,'Catálogo'!$A$2:$A$1567,0)),"código no encontrado"))</f>
        <v/>
      </c>
      <c r="E172" s="15" t="n"/>
      <c r="F172" s="10">
        <f>IF($A172="","",IFERROR(INDEX('Catálogo'!$N$2:$N$1567,MATCH($A172,'Catálogo'!$A$2:$A$1567,0)),"código no encontrado"))</f>
        <v/>
      </c>
      <c r="G172" s="10">
        <f>IF(OR($E172="",$F172="",NOT(ISNUMBER($F172))),"",$E172*$F172)</f>
        <v/>
      </c>
      <c r="H172" s="4">
        <f>IF($A172="","",IFERROR(INDEX('Catálogo'!$Q$2:$Q$1567,MATCH($A172,'Catálogo'!$A$2:$A$1567,0)),"código no encontrado"))</f>
        <v/>
      </c>
      <c r="I172" s="10">
        <f>IF($G172="","",IF($H172="Sí",ROUND($G172/1.18,2),$G172))</f>
        <v/>
      </c>
      <c r="J172" s="14" t="n"/>
    </row>
    <row r="173">
      <c r="A173" s="14" t="n"/>
      <c r="B173" s="5">
        <f>IF($A173="","",IFERROR(INDEX('Catálogo'!$D$2:$D$1567,MATCH($A173,'Catálogo'!$A$2:$A$1567,0)),"código no encontrado"))</f>
        <v/>
      </c>
      <c r="C173" s="4">
        <f>IF($A173="","",IFERROR(INDEX('Catálogo'!$H$2:$H$1567,MATCH($A173,'Catálogo'!$A$2:$A$1567,0)),"código no encontrado"))</f>
        <v/>
      </c>
      <c r="D173" s="4">
        <f>IF($A173="","",IFERROR(INDEX('Catálogo'!$I$2:$I$1567,MATCH($A173,'Catálogo'!$A$2:$A$1567,0)),"código no encontrado"))</f>
        <v/>
      </c>
      <c r="E173" s="15" t="n"/>
      <c r="F173" s="10">
        <f>IF($A173="","",IFERROR(INDEX('Catálogo'!$N$2:$N$1567,MATCH($A173,'Catálogo'!$A$2:$A$1567,0)),"código no encontrado"))</f>
        <v/>
      </c>
      <c r="G173" s="10">
        <f>IF(OR($E173="",$F173="",NOT(ISNUMBER($F173))),"",$E173*$F173)</f>
        <v/>
      </c>
      <c r="H173" s="4">
        <f>IF($A173="","",IFERROR(INDEX('Catálogo'!$Q$2:$Q$1567,MATCH($A173,'Catálogo'!$A$2:$A$1567,0)),"código no encontrado"))</f>
        <v/>
      </c>
      <c r="I173" s="10">
        <f>IF($G173="","",IF($H173="Sí",ROUND($G173/1.18,2),$G173))</f>
        <v/>
      </c>
      <c r="J173" s="14" t="n"/>
    </row>
    <row r="174">
      <c r="A174" s="14" t="n"/>
      <c r="B174" s="5">
        <f>IF($A174="","",IFERROR(INDEX('Catálogo'!$D$2:$D$1567,MATCH($A174,'Catálogo'!$A$2:$A$1567,0)),"código no encontrado"))</f>
        <v/>
      </c>
      <c r="C174" s="4">
        <f>IF($A174="","",IFERROR(INDEX('Catálogo'!$H$2:$H$1567,MATCH($A174,'Catálogo'!$A$2:$A$1567,0)),"código no encontrado"))</f>
        <v/>
      </c>
      <c r="D174" s="4">
        <f>IF($A174="","",IFERROR(INDEX('Catálogo'!$I$2:$I$1567,MATCH($A174,'Catálogo'!$A$2:$A$1567,0)),"código no encontrado"))</f>
        <v/>
      </c>
      <c r="E174" s="15" t="n"/>
      <c r="F174" s="10">
        <f>IF($A174="","",IFERROR(INDEX('Catálogo'!$N$2:$N$1567,MATCH($A174,'Catálogo'!$A$2:$A$1567,0)),"código no encontrado"))</f>
        <v/>
      </c>
      <c r="G174" s="10">
        <f>IF(OR($E174="",$F174="",NOT(ISNUMBER($F174))),"",$E174*$F174)</f>
        <v/>
      </c>
      <c r="H174" s="4">
        <f>IF($A174="","",IFERROR(INDEX('Catálogo'!$Q$2:$Q$1567,MATCH($A174,'Catálogo'!$A$2:$A$1567,0)),"código no encontrado"))</f>
        <v/>
      </c>
      <c r="I174" s="10">
        <f>IF($G174="","",IF($H174="Sí",ROUND($G174/1.18,2),$G174))</f>
        <v/>
      </c>
      <c r="J174" s="14" t="n"/>
    </row>
    <row r="175">
      <c r="A175" s="14" t="n"/>
      <c r="B175" s="5">
        <f>IF($A175="","",IFERROR(INDEX('Catálogo'!$D$2:$D$1567,MATCH($A175,'Catálogo'!$A$2:$A$1567,0)),"código no encontrado"))</f>
        <v/>
      </c>
      <c r="C175" s="4">
        <f>IF($A175="","",IFERROR(INDEX('Catálogo'!$H$2:$H$1567,MATCH($A175,'Catálogo'!$A$2:$A$1567,0)),"código no encontrado"))</f>
        <v/>
      </c>
      <c r="D175" s="4">
        <f>IF($A175="","",IFERROR(INDEX('Catálogo'!$I$2:$I$1567,MATCH($A175,'Catálogo'!$A$2:$A$1567,0)),"código no encontrado"))</f>
        <v/>
      </c>
      <c r="E175" s="15" t="n"/>
      <c r="F175" s="10">
        <f>IF($A175="","",IFERROR(INDEX('Catálogo'!$N$2:$N$1567,MATCH($A175,'Catálogo'!$A$2:$A$1567,0)),"código no encontrado"))</f>
        <v/>
      </c>
      <c r="G175" s="10">
        <f>IF(OR($E175="",$F175="",NOT(ISNUMBER($F175))),"",$E175*$F175)</f>
        <v/>
      </c>
      <c r="H175" s="4">
        <f>IF($A175="","",IFERROR(INDEX('Catálogo'!$Q$2:$Q$1567,MATCH($A175,'Catálogo'!$A$2:$A$1567,0)),"código no encontrado"))</f>
        <v/>
      </c>
      <c r="I175" s="10">
        <f>IF($G175="","",IF($H175="Sí",ROUND($G175/1.18,2),$G175))</f>
        <v/>
      </c>
      <c r="J175" s="14" t="n"/>
    </row>
    <row r="176">
      <c r="A176" s="14" t="n"/>
      <c r="B176" s="5">
        <f>IF($A176="","",IFERROR(INDEX('Catálogo'!$D$2:$D$1567,MATCH($A176,'Catálogo'!$A$2:$A$1567,0)),"código no encontrado"))</f>
        <v/>
      </c>
      <c r="C176" s="4">
        <f>IF($A176="","",IFERROR(INDEX('Catálogo'!$H$2:$H$1567,MATCH($A176,'Catálogo'!$A$2:$A$1567,0)),"código no encontrado"))</f>
        <v/>
      </c>
      <c r="D176" s="4">
        <f>IF($A176="","",IFERROR(INDEX('Catálogo'!$I$2:$I$1567,MATCH($A176,'Catálogo'!$A$2:$A$1567,0)),"código no encontrado"))</f>
        <v/>
      </c>
      <c r="E176" s="15" t="n"/>
      <c r="F176" s="10">
        <f>IF($A176="","",IFERROR(INDEX('Catálogo'!$N$2:$N$1567,MATCH($A176,'Catálogo'!$A$2:$A$1567,0)),"código no encontrado"))</f>
        <v/>
      </c>
      <c r="G176" s="10">
        <f>IF(OR($E176="",$F176="",NOT(ISNUMBER($F176))),"",$E176*$F176)</f>
        <v/>
      </c>
      <c r="H176" s="4">
        <f>IF($A176="","",IFERROR(INDEX('Catálogo'!$Q$2:$Q$1567,MATCH($A176,'Catálogo'!$A$2:$A$1567,0)),"código no encontrado"))</f>
        <v/>
      </c>
      <c r="I176" s="10">
        <f>IF($G176="","",IF($H176="Sí",ROUND($G176/1.18,2),$G176))</f>
        <v/>
      </c>
      <c r="J176" s="14" t="n"/>
    </row>
    <row r="177">
      <c r="A177" s="14" t="n"/>
      <c r="B177" s="5">
        <f>IF($A177="","",IFERROR(INDEX('Catálogo'!$D$2:$D$1567,MATCH($A177,'Catálogo'!$A$2:$A$1567,0)),"código no encontrado"))</f>
        <v/>
      </c>
      <c r="C177" s="4">
        <f>IF($A177="","",IFERROR(INDEX('Catálogo'!$H$2:$H$1567,MATCH($A177,'Catálogo'!$A$2:$A$1567,0)),"código no encontrado"))</f>
        <v/>
      </c>
      <c r="D177" s="4">
        <f>IF($A177="","",IFERROR(INDEX('Catálogo'!$I$2:$I$1567,MATCH($A177,'Catálogo'!$A$2:$A$1567,0)),"código no encontrado"))</f>
        <v/>
      </c>
      <c r="E177" s="15" t="n"/>
      <c r="F177" s="10">
        <f>IF($A177="","",IFERROR(INDEX('Catálogo'!$N$2:$N$1567,MATCH($A177,'Catálogo'!$A$2:$A$1567,0)),"código no encontrado"))</f>
        <v/>
      </c>
      <c r="G177" s="10">
        <f>IF(OR($E177="",$F177="",NOT(ISNUMBER($F177))),"",$E177*$F177)</f>
        <v/>
      </c>
      <c r="H177" s="4">
        <f>IF($A177="","",IFERROR(INDEX('Catálogo'!$Q$2:$Q$1567,MATCH($A177,'Catálogo'!$A$2:$A$1567,0)),"código no encontrado"))</f>
        <v/>
      </c>
      <c r="I177" s="10">
        <f>IF($G177="","",IF($H177="Sí",ROUND($G177/1.18,2),$G177))</f>
        <v/>
      </c>
      <c r="J177" s="14" t="n"/>
    </row>
    <row r="178">
      <c r="A178" s="14" t="n"/>
      <c r="B178" s="5">
        <f>IF($A178="","",IFERROR(INDEX('Catálogo'!$D$2:$D$1567,MATCH($A178,'Catálogo'!$A$2:$A$1567,0)),"código no encontrado"))</f>
        <v/>
      </c>
      <c r="C178" s="4">
        <f>IF($A178="","",IFERROR(INDEX('Catálogo'!$H$2:$H$1567,MATCH($A178,'Catálogo'!$A$2:$A$1567,0)),"código no encontrado"))</f>
        <v/>
      </c>
      <c r="D178" s="4">
        <f>IF($A178="","",IFERROR(INDEX('Catálogo'!$I$2:$I$1567,MATCH($A178,'Catálogo'!$A$2:$A$1567,0)),"código no encontrado"))</f>
        <v/>
      </c>
      <c r="E178" s="15" t="n"/>
      <c r="F178" s="10">
        <f>IF($A178="","",IFERROR(INDEX('Catálogo'!$N$2:$N$1567,MATCH($A178,'Catálogo'!$A$2:$A$1567,0)),"código no encontrado"))</f>
        <v/>
      </c>
      <c r="G178" s="10">
        <f>IF(OR($E178="",$F178="",NOT(ISNUMBER($F178))),"",$E178*$F178)</f>
        <v/>
      </c>
      <c r="H178" s="4">
        <f>IF($A178="","",IFERROR(INDEX('Catálogo'!$Q$2:$Q$1567,MATCH($A178,'Catálogo'!$A$2:$A$1567,0)),"código no encontrado"))</f>
        <v/>
      </c>
      <c r="I178" s="10">
        <f>IF($G178="","",IF($H178="Sí",ROUND($G178/1.18,2),$G178))</f>
        <v/>
      </c>
      <c r="J178" s="14" t="n"/>
    </row>
    <row r="179">
      <c r="A179" s="14" t="n"/>
      <c r="B179" s="5">
        <f>IF($A179="","",IFERROR(INDEX('Catálogo'!$D$2:$D$1567,MATCH($A179,'Catálogo'!$A$2:$A$1567,0)),"código no encontrado"))</f>
        <v/>
      </c>
      <c r="C179" s="4">
        <f>IF($A179="","",IFERROR(INDEX('Catálogo'!$H$2:$H$1567,MATCH($A179,'Catálogo'!$A$2:$A$1567,0)),"código no encontrado"))</f>
        <v/>
      </c>
      <c r="D179" s="4">
        <f>IF($A179="","",IFERROR(INDEX('Catálogo'!$I$2:$I$1567,MATCH($A179,'Catálogo'!$A$2:$A$1567,0)),"código no encontrado"))</f>
        <v/>
      </c>
      <c r="E179" s="15" t="n"/>
      <c r="F179" s="10">
        <f>IF($A179="","",IFERROR(INDEX('Catálogo'!$N$2:$N$1567,MATCH($A179,'Catálogo'!$A$2:$A$1567,0)),"código no encontrado"))</f>
        <v/>
      </c>
      <c r="G179" s="10">
        <f>IF(OR($E179="",$F179="",NOT(ISNUMBER($F179))),"",$E179*$F179)</f>
        <v/>
      </c>
      <c r="H179" s="4">
        <f>IF($A179="","",IFERROR(INDEX('Catálogo'!$Q$2:$Q$1567,MATCH($A179,'Catálogo'!$A$2:$A$1567,0)),"código no encontrado"))</f>
        <v/>
      </c>
      <c r="I179" s="10">
        <f>IF($G179="","",IF($H179="Sí",ROUND($G179/1.18,2),$G179))</f>
        <v/>
      </c>
      <c r="J179" s="14" t="n"/>
    </row>
    <row r="180">
      <c r="A180" s="14" t="n"/>
      <c r="B180" s="5">
        <f>IF($A180="","",IFERROR(INDEX('Catálogo'!$D$2:$D$1567,MATCH($A180,'Catálogo'!$A$2:$A$1567,0)),"código no encontrado"))</f>
        <v/>
      </c>
      <c r="C180" s="4">
        <f>IF($A180="","",IFERROR(INDEX('Catálogo'!$H$2:$H$1567,MATCH($A180,'Catálogo'!$A$2:$A$1567,0)),"código no encontrado"))</f>
        <v/>
      </c>
      <c r="D180" s="4">
        <f>IF($A180="","",IFERROR(INDEX('Catálogo'!$I$2:$I$1567,MATCH($A180,'Catálogo'!$A$2:$A$1567,0)),"código no encontrado"))</f>
        <v/>
      </c>
      <c r="E180" s="15" t="n"/>
      <c r="F180" s="10">
        <f>IF($A180="","",IFERROR(INDEX('Catálogo'!$N$2:$N$1567,MATCH($A180,'Catálogo'!$A$2:$A$1567,0)),"código no encontrado"))</f>
        <v/>
      </c>
      <c r="G180" s="10">
        <f>IF(OR($E180="",$F180="",NOT(ISNUMBER($F180))),"",$E180*$F180)</f>
        <v/>
      </c>
      <c r="H180" s="4">
        <f>IF($A180="","",IFERROR(INDEX('Catálogo'!$Q$2:$Q$1567,MATCH($A180,'Catálogo'!$A$2:$A$1567,0)),"código no encontrado"))</f>
        <v/>
      </c>
      <c r="I180" s="10">
        <f>IF($G180="","",IF($H180="Sí",ROUND($G180/1.18,2),$G180))</f>
        <v/>
      </c>
      <c r="J180" s="14" t="n"/>
    </row>
    <row r="181">
      <c r="A181" s="14" t="n"/>
      <c r="B181" s="5">
        <f>IF($A181="","",IFERROR(INDEX('Catálogo'!$D$2:$D$1567,MATCH($A181,'Catálogo'!$A$2:$A$1567,0)),"código no encontrado"))</f>
        <v/>
      </c>
      <c r="C181" s="4">
        <f>IF($A181="","",IFERROR(INDEX('Catálogo'!$H$2:$H$1567,MATCH($A181,'Catálogo'!$A$2:$A$1567,0)),"código no encontrado"))</f>
        <v/>
      </c>
      <c r="D181" s="4">
        <f>IF($A181="","",IFERROR(INDEX('Catálogo'!$I$2:$I$1567,MATCH($A181,'Catálogo'!$A$2:$A$1567,0)),"código no encontrado"))</f>
        <v/>
      </c>
      <c r="E181" s="15" t="n"/>
      <c r="F181" s="10">
        <f>IF($A181="","",IFERROR(INDEX('Catálogo'!$N$2:$N$1567,MATCH($A181,'Catálogo'!$A$2:$A$1567,0)),"código no encontrado"))</f>
        <v/>
      </c>
      <c r="G181" s="10">
        <f>IF(OR($E181="",$F181="",NOT(ISNUMBER($F181))),"",$E181*$F181)</f>
        <v/>
      </c>
      <c r="H181" s="4">
        <f>IF($A181="","",IFERROR(INDEX('Catálogo'!$Q$2:$Q$1567,MATCH($A181,'Catálogo'!$A$2:$A$1567,0)),"código no encontrado"))</f>
        <v/>
      </c>
      <c r="I181" s="10">
        <f>IF($G181="","",IF($H181="Sí",ROUND($G181/1.18,2),$G181))</f>
        <v/>
      </c>
      <c r="J181" s="14" t="n"/>
    </row>
    <row r="182">
      <c r="A182" s="14" t="n"/>
      <c r="B182" s="5">
        <f>IF($A182="","",IFERROR(INDEX('Catálogo'!$D$2:$D$1567,MATCH($A182,'Catálogo'!$A$2:$A$1567,0)),"código no encontrado"))</f>
        <v/>
      </c>
      <c r="C182" s="4">
        <f>IF($A182="","",IFERROR(INDEX('Catálogo'!$H$2:$H$1567,MATCH($A182,'Catálogo'!$A$2:$A$1567,0)),"código no encontrado"))</f>
        <v/>
      </c>
      <c r="D182" s="4">
        <f>IF($A182="","",IFERROR(INDEX('Catálogo'!$I$2:$I$1567,MATCH($A182,'Catálogo'!$A$2:$A$1567,0)),"código no encontrado"))</f>
        <v/>
      </c>
      <c r="E182" s="15" t="n"/>
      <c r="F182" s="10">
        <f>IF($A182="","",IFERROR(INDEX('Catálogo'!$N$2:$N$1567,MATCH($A182,'Catálogo'!$A$2:$A$1567,0)),"código no encontrado"))</f>
        <v/>
      </c>
      <c r="G182" s="10">
        <f>IF(OR($E182="",$F182="",NOT(ISNUMBER($F182))),"",$E182*$F182)</f>
        <v/>
      </c>
      <c r="H182" s="4">
        <f>IF($A182="","",IFERROR(INDEX('Catálogo'!$Q$2:$Q$1567,MATCH($A182,'Catálogo'!$A$2:$A$1567,0)),"código no encontrado"))</f>
        <v/>
      </c>
      <c r="I182" s="10">
        <f>IF($G182="","",IF($H182="Sí",ROUND($G182/1.18,2),$G182))</f>
        <v/>
      </c>
      <c r="J182" s="14" t="n"/>
    </row>
    <row r="183">
      <c r="A183" s="14" t="n"/>
      <c r="B183" s="5">
        <f>IF($A183="","",IFERROR(INDEX('Catálogo'!$D$2:$D$1567,MATCH($A183,'Catálogo'!$A$2:$A$1567,0)),"código no encontrado"))</f>
        <v/>
      </c>
      <c r="C183" s="4">
        <f>IF($A183="","",IFERROR(INDEX('Catálogo'!$H$2:$H$1567,MATCH($A183,'Catálogo'!$A$2:$A$1567,0)),"código no encontrado"))</f>
        <v/>
      </c>
      <c r="D183" s="4">
        <f>IF($A183="","",IFERROR(INDEX('Catálogo'!$I$2:$I$1567,MATCH($A183,'Catálogo'!$A$2:$A$1567,0)),"código no encontrado"))</f>
        <v/>
      </c>
      <c r="E183" s="15" t="n"/>
      <c r="F183" s="10">
        <f>IF($A183="","",IFERROR(INDEX('Catálogo'!$N$2:$N$1567,MATCH($A183,'Catálogo'!$A$2:$A$1567,0)),"código no encontrado"))</f>
        <v/>
      </c>
      <c r="G183" s="10">
        <f>IF(OR($E183="",$F183="",NOT(ISNUMBER($F183))),"",$E183*$F183)</f>
        <v/>
      </c>
      <c r="H183" s="4">
        <f>IF($A183="","",IFERROR(INDEX('Catálogo'!$Q$2:$Q$1567,MATCH($A183,'Catálogo'!$A$2:$A$1567,0)),"código no encontrado"))</f>
        <v/>
      </c>
      <c r="I183" s="10">
        <f>IF($G183="","",IF($H183="Sí",ROUND($G183/1.18,2),$G183))</f>
        <v/>
      </c>
      <c r="J183" s="14" t="n"/>
    </row>
    <row r="184">
      <c r="A184" s="14" t="n"/>
      <c r="B184" s="5">
        <f>IF($A184="","",IFERROR(INDEX('Catálogo'!$D$2:$D$1567,MATCH($A184,'Catálogo'!$A$2:$A$1567,0)),"código no encontrado"))</f>
        <v/>
      </c>
      <c r="C184" s="4">
        <f>IF($A184="","",IFERROR(INDEX('Catálogo'!$H$2:$H$1567,MATCH($A184,'Catálogo'!$A$2:$A$1567,0)),"código no encontrado"))</f>
        <v/>
      </c>
      <c r="D184" s="4">
        <f>IF($A184="","",IFERROR(INDEX('Catálogo'!$I$2:$I$1567,MATCH($A184,'Catálogo'!$A$2:$A$1567,0)),"código no encontrado"))</f>
        <v/>
      </c>
      <c r="E184" s="15" t="n"/>
      <c r="F184" s="10">
        <f>IF($A184="","",IFERROR(INDEX('Catálogo'!$N$2:$N$1567,MATCH($A184,'Catálogo'!$A$2:$A$1567,0)),"código no encontrado"))</f>
        <v/>
      </c>
      <c r="G184" s="10">
        <f>IF(OR($E184="",$F184="",NOT(ISNUMBER($F184))),"",$E184*$F184)</f>
        <v/>
      </c>
      <c r="H184" s="4">
        <f>IF($A184="","",IFERROR(INDEX('Catálogo'!$Q$2:$Q$1567,MATCH($A184,'Catálogo'!$A$2:$A$1567,0)),"código no encontrado"))</f>
        <v/>
      </c>
      <c r="I184" s="10">
        <f>IF($G184="","",IF($H184="Sí",ROUND($G184/1.18,2),$G184))</f>
        <v/>
      </c>
      <c r="J184" s="14" t="n"/>
    </row>
    <row r="185">
      <c r="A185" s="14" t="n"/>
      <c r="B185" s="5">
        <f>IF($A185="","",IFERROR(INDEX('Catálogo'!$D$2:$D$1567,MATCH($A185,'Catálogo'!$A$2:$A$1567,0)),"código no encontrado"))</f>
        <v/>
      </c>
      <c r="C185" s="4">
        <f>IF($A185="","",IFERROR(INDEX('Catálogo'!$H$2:$H$1567,MATCH($A185,'Catálogo'!$A$2:$A$1567,0)),"código no encontrado"))</f>
        <v/>
      </c>
      <c r="D185" s="4">
        <f>IF($A185="","",IFERROR(INDEX('Catálogo'!$I$2:$I$1567,MATCH($A185,'Catálogo'!$A$2:$A$1567,0)),"código no encontrado"))</f>
        <v/>
      </c>
      <c r="E185" s="15" t="n"/>
      <c r="F185" s="10">
        <f>IF($A185="","",IFERROR(INDEX('Catálogo'!$N$2:$N$1567,MATCH($A185,'Catálogo'!$A$2:$A$1567,0)),"código no encontrado"))</f>
        <v/>
      </c>
      <c r="G185" s="10">
        <f>IF(OR($E185="",$F185="",NOT(ISNUMBER($F185))),"",$E185*$F185)</f>
        <v/>
      </c>
      <c r="H185" s="4">
        <f>IF($A185="","",IFERROR(INDEX('Catálogo'!$Q$2:$Q$1567,MATCH($A185,'Catálogo'!$A$2:$A$1567,0)),"código no encontrado"))</f>
        <v/>
      </c>
      <c r="I185" s="10">
        <f>IF($G185="","",IF($H185="Sí",ROUND($G185/1.18,2),$G185))</f>
        <v/>
      </c>
      <c r="J185" s="14" t="n"/>
    </row>
    <row r="186">
      <c r="A186" s="14" t="n"/>
      <c r="B186" s="5">
        <f>IF($A186="","",IFERROR(INDEX('Catálogo'!$D$2:$D$1567,MATCH($A186,'Catálogo'!$A$2:$A$1567,0)),"código no encontrado"))</f>
        <v/>
      </c>
      <c r="C186" s="4">
        <f>IF($A186="","",IFERROR(INDEX('Catálogo'!$H$2:$H$1567,MATCH($A186,'Catálogo'!$A$2:$A$1567,0)),"código no encontrado"))</f>
        <v/>
      </c>
      <c r="D186" s="4">
        <f>IF($A186="","",IFERROR(INDEX('Catálogo'!$I$2:$I$1567,MATCH($A186,'Catálogo'!$A$2:$A$1567,0)),"código no encontrado"))</f>
        <v/>
      </c>
      <c r="E186" s="15" t="n"/>
      <c r="F186" s="10">
        <f>IF($A186="","",IFERROR(INDEX('Catálogo'!$N$2:$N$1567,MATCH($A186,'Catálogo'!$A$2:$A$1567,0)),"código no encontrado"))</f>
        <v/>
      </c>
      <c r="G186" s="10">
        <f>IF(OR($E186="",$F186="",NOT(ISNUMBER($F186))),"",$E186*$F186)</f>
        <v/>
      </c>
      <c r="H186" s="4">
        <f>IF($A186="","",IFERROR(INDEX('Catálogo'!$Q$2:$Q$1567,MATCH($A186,'Catálogo'!$A$2:$A$1567,0)),"código no encontrado"))</f>
        <v/>
      </c>
      <c r="I186" s="10">
        <f>IF($G186="","",IF($H186="Sí",ROUND($G186/1.18,2),$G186))</f>
        <v/>
      </c>
      <c r="J186" s="14" t="n"/>
    </row>
    <row r="187">
      <c r="A187" s="14" t="n"/>
      <c r="B187" s="5">
        <f>IF($A187="","",IFERROR(INDEX('Catálogo'!$D$2:$D$1567,MATCH($A187,'Catálogo'!$A$2:$A$1567,0)),"código no encontrado"))</f>
        <v/>
      </c>
      <c r="C187" s="4">
        <f>IF($A187="","",IFERROR(INDEX('Catálogo'!$H$2:$H$1567,MATCH($A187,'Catálogo'!$A$2:$A$1567,0)),"código no encontrado"))</f>
        <v/>
      </c>
      <c r="D187" s="4">
        <f>IF($A187="","",IFERROR(INDEX('Catálogo'!$I$2:$I$1567,MATCH($A187,'Catálogo'!$A$2:$A$1567,0)),"código no encontrado"))</f>
        <v/>
      </c>
      <c r="E187" s="15" t="n"/>
      <c r="F187" s="10">
        <f>IF($A187="","",IFERROR(INDEX('Catálogo'!$N$2:$N$1567,MATCH($A187,'Catálogo'!$A$2:$A$1567,0)),"código no encontrado"))</f>
        <v/>
      </c>
      <c r="G187" s="10">
        <f>IF(OR($E187="",$F187="",NOT(ISNUMBER($F187))),"",$E187*$F187)</f>
        <v/>
      </c>
      <c r="H187" s="4">
        <f>IF($A187="","",IFERROR(INDEX('Catálogo'!$Q$2:$Q$1567,MATCH($A187,'Catálogo'!$A$2:$A$1567,0)),"código no encontrado"))</f>
        <v/>
      </c>
      <c r="I187" s="10">
        <f>IF($G187="","",IF($H187="Sí",ROUND($G187/1.18,2),$G187))</f>
        <v/>
      </c>
      <c r="J187" s="14" t="n"/>
    </row>
    <row r="188">
      <c r="A188" s="14" t="n"/>
      <c r="B188" s="5">
        <f>IF($A188="","",IFERROR(INDEX('Catálogo'!$D$2:$D$1567,MATCH($A188,'Catálogo'!$A$2:$A$1567,0)),"código no encontrado"))</f>
        <v/>
      </c>
      <c r="C188" s="4">
        <f>IF($A188="","",IFERROR(INDEX('Catálogo'!$H$2:$H$1567,MATCH($A188,'Catálogo'!$A$2:$A$1567,0)),"código no encontrado"))</f>
        <v/>
      </c>
      <c r="D188" s="4">
        <f>IF($A188="","",IFERROR(INDEX('Catálogo'!$I$2:$I$1567,MATCH($A188,'Catálogo'!$A$2:$A$1567,0)),"código no encontrado"))</f>
        <v/>
      </c>
      <c r="E188" s="15" t="n"/>
      <c r="F188" s="10">
        <f>IF($A188="","",IFERROR(INDEX('Catálogo'!$N$2:$N$1567,MATCH($A188,'Catálogo'!$A$2:$A$1567,0)),"código no encontrado"))</f>
        <v/>
      </c>
      <c r="G188" s="10">
        <f>IF(OR($E188="",$F188="",NOT(ISNUMBER($F188))),"",$E188*$F188)</f>
        <v/>
      </c>
      <c r="H188" s="4">
        <f>IF($A188="","",IFERROR(INDEX('Catálogo'!$Q$2:$Q$1567,MATCH($A188,'Catálogo'!$A$2:$A$1567,0)),"código no encontrado"))</f>
        <v/>
      </c>
      <c r="I188" s="10">
        <f>IF($G188="","",IF($H188="Sí",ROUND($G188/1.18,2),$G188))</f>
        <v/>
      </c>
      <c r="J188" s="14" t="n"/>
    </row>
    <row r="189">
      <c r="A189" s="14" t="n"/>
      <c r="B189" s="5">
        <f>IF($A189="","",IFERROR(INDEX('Catálogo'!$D$2:$D$1567,MATCH($A189,'Catálogo'!$A$2:$A$1567,0)),"código no encontrado"))</f>
        <v/>
      </c>
      <c r="C189" s="4">
        <f>IF($A189="","",IFERROR(INDEX('Catálogo'!$H$2:$H$1567,MATCH($A189,'Catálogo'!$A$2:$A$1567,0)),"código no encontrado"))</f>
        <v/>
      </c>
      <c r="D189" s="4">
        <f>IF($A189="","",IFERROR(INDEX('Catálogo'!$I$2:$I$1567,MATCH($A189,'Catálogo'!$A$2:$A$1567,0)),"código no encontrado"))</f>
        <v/>
      </c>
      <c r="E189" s="15" t="n"/>
      <c r="F189" s="10">
        <f>IF($A189="","",IFERROR(INDEX('Catálogo'!$N$2:$N$1567,MATCH($A189,'Catálogo'!$A$2:$A$1567,0)),"código no encontrado"))</f>
        <v/>
      </c>
      <c r="G189" s="10">
        <f>IF(OR($E189="",$F189="",NOT(ISNUMBER($F189))),"",$E189*$F189)</f>
        <v/>
      </c>
      <c r="H189" s="4">
        <f>IF($A189="","",IFERROR(INDEX('Catálogo'!$Q$2:$Q$1567,MATCH($A189,'Catálogo'!$A$2:$A$1567,0)),"código no encontrado"))</f>
        <v/>
      </c>
      <c r="I189" s="10">
        <f>IF($G189="","",IF($H189="Sí",ROUND($G189/1.18,2),$G189))</f>
        <v/>
      </c>
      <c r="J189" s="14" t="n"/>
    </row>
    <row r="190">
      <c r="A190" s="14" t="n"/>
      <c r="B190" s="5">
        <f>IF($A190="","",IFERROR(INDEX('Catálogo'!$D$2:$D$1567,MATCH($A190,'Catálogo'!$A$2:$A$1567,0)),"código no encontrado"))</f>
        <v/>
      </c>
      <c r="C190" s="4">
        <f>IF($A190="","",IFERROR(INDEX('Catálogo'!$H$2:$H$1567,MATCH($A190,'Catálogo'!$A$2:$A$1567,0)),"código no encontrado"))</f>
        <v/>
      </c>
      <c r="D190" s="4">
        <f>IF($A190="","",IFERROR(INDEX('Catálogo'!$I$2:$I$1567,MATCH($A190,'Catálogo'!$A$2:$A$1567,0)),"código no encontrado"))</f>
        <v/>
      </c>
      <c r="E190" s="15" t="n"/>
      <c r="F190" s="10">
        <f>IF($A190="","",IFERROR(INDEX('Catálogo'!$N$2:$N$1567,MATCH($A190,'Catálogo'!$A$2:$A$1567,0)),"código no encontrado"))</f>
        <v/>
      </c>
      <c r="G190" s="10">
        <f>IF(OR($E190="",$F190="",NOT(ISNUMBER($F190))),"",$E190*$F190)</f>
        <v/>
      </c>
      <c r="H190" s="4">
        <f>IF($A190="","",IFERROR(INDEX('Catálogo'!$Q$2:$Q$1567,MATCH($A190,'Catálogo'!$A$2:$A$1567,0)),"código no encontrado"))</f>
        <v/>
      </c>
      <c r="I190" s="10">
        <f>IF($G190="","",IF($H190="Sí",ROUND($G190/1.18,2),$G190))</f>
        <v/>
      </c>
      <c r="J190" s="14" t="n"/>
    </row>
    <row r="191">
      <c r="A191" s="14" t="n"/>
      <c r="B191" s="5">
        <f>IF($A191="","",IFERROR(INDEX('Catálogo'!$D$2:$D$1567,MATCH($A191,'Catálogo'!$A$2:$A$1567,0)),"código no encontrado"))</f>
        <v/>
      </c>
      <c r="C191" s="4">
        <f>IF($A191="","",IFERROR(INDEX('Catálogo'!$H$2:$H$1567,MATCH($A191,'Catálogo'!$A$2:$A$1567,0)),"código no encontrado"))</f>
        <v/>
      </c>
      <c r="D191" s="4">
        <f>IF($A191="","",IFERROR(INDEX('Catálogo'!$I$2:$I$1567,MATCH($A191,'Catálogo'!$A$2:$A$1567,0)),"código no encontrado"))</f>
        <v/>
      </c>
      <c r="E191" s="15" t="n"/>
      <c r="F191" s="10">
        <f>IF($A191="","",IFERROR(INDEX('Catálogo'!$N$2:$N$1567,MATCH($A191,'Catálogo'!$A$2:$A$1567,0)),"código no encontrado"))</f>
        <v/>
      </c>
      <c r="G191" s="10">
        <f>IF(OR($E191="",$F191="",NOT(ISNUMBER($F191))),"",$E191*$F191)</f>
        <v/>
      </c>
      <c r="H191" s="4">
        <f>IF($A191="","",IFERROR(INDEX('Catálogo'!$Q$2:$Q$1567,MATCH($A191,'Catálogo'!$A$2:$A$1567,0)),"código no encontrado"))</f>
        <v/>
      </c>
      <c r="I191" s="10">
        <f>IF($G191="","",IF($H191="Sí",ROUND($G191/1.18,2),$G191))</f>
        <v/>
      </c>
      <c r="J191" s="14" t="n"/>
    </row>
    <row r="192">
      <c r="A192" s="14" t="n"/>
      <c r="B192" s="5">
        <f>IF($A192="","",IFERROR(INDEX('Catálogo'!$D$2:$D$1567,MATCH($A192,'Catálogo'!$A$2:$A$1567,0)),"código no encontrado"))</f>
        <v/>
      </c>
      <c r="C192" s="4">
        <f>IF($A192="","",IFERROR(INDEX('Catálogo'!$H$2:$H$1567,MATCH($A192,'Catálogo'!$A$2:$A$1567,0)),"código no encontrado"))</f>
        <v/>
      </c>
      <c r="D192" s="4">
        <f>IF($A192="","",IFERROR(INDEX('Catálogo'!$I$2:$I$1567,MATCH($A192,'Catálogo'!$A$2:$A$1567,0)),"código no encontrado"))</f>
        <v/>
      </c>
      <c r="E192" s="15" t="n"/>
      <c r="F192" s="10">
        <f>IF($A192="","",IFERROR(INDEX('Catálogo'!$N$2:$N$1567,MATCH($A192,'Catálogo'!$A$2:$A$1567,0)),"código no encontrado"))</f>
        <v/>
      </c>
      <c r="G192" s="10">
        <f>IF(OR($E192="",$F192="",NOT(ISNUMBER($F192))),"",$E192*$F192)</f>
        <v/>
      </c>
      <c r="H192" s="4">
        <f>IF($A192="","",IFERROR(INDEX('Catálogo'!$Q$2:$Q$1567,MATCH($A192,'Catálogo'!$A$2:$A$1567,0)),"código no encontrado"))</f>
        <v/>
      </c>
      <c r="I192" s="10">
        <f>IF($G192="","",IF($H192="Sí",ROUND($G192/1.18,2),$G192))</f>
        <v/>
      </c>
      <c r="J192" s="14" t="n"/>
    </row>
    <row r="193">
      <c r="A193" s="14" t="n"/>
      <c r="B193" s="5">
        <f>IF($A193="","",IFERROR(INDEX('Catálogo'!$D$2:$D$1567,MATCH($A193,'Catálogo'!$A$2:$A$1567,0)),"código no encontrado"))</f>
        <v/>
      </c>
      <c r="C193" s="4">
        <f>IF($A193="","",IFERROR(INDEX('Catálogo'!$H$2:$H$1567,MATCH($A193,'Catálogo'!$A$2:$A$1567,0)),"código no encontrado"))</f>
        <v/>
      </c>
      <c r="D193" s="4">
        <f>IF($A193="","",IFERROR(INDEX('Catálogo'!$I$2:$I$1567,MATCH($A193,'Catálogo'!$A$2:$A$1567,0)),"código no encontrado"))</f>
        <v/>
      </c>
      <c r="E193" s="15" t="n"/>
      <c r="F193" s="10">
        <f>IF($A193="","",IFERROR(INDEX('Catálogo'!$N$2:$N$1567,MATCH($A193,'Catálogo'!$A$2:$A$1567,0)),"código no encontrado"))</f>
        <v/>
      </c>
      <c r="G193" s="10">
        <f>IF(OR($E193="",$F193="",NOT(ISNUMBER($F193))),"",$E193*$F193)</f>
        <v/>
      </c>
      <c r="H193" s="4">
        <f>IF($A193="","",IFERROR(INDEX('Catálogo'!$Q$2:$Q$1567,MATCH($A193,'Catálogo'!$A$2:$A$1567,0)),"código no encontrado"))</f>
        <v/>
      </c>
      <c r="I193" s="10">
        <f>IF($G193="","",IF($H193="Sí",ROUND($G193/1.18,2),$G193))</f>
        <v/>
      </c>
      <c r="J193" s="14" t="n"/>
    </row>
    <row r="194">
      <c r="A194" s="14" t="n"/>
      <c r="B194" s="5">
        <f>IF($A194="","",IFERROR(INDEX('Catálogo'!$D$2:$D$1567,MATCH($A194,'Catálogo'!$A$2:$A$1567,0)),"código no encontrado"))</f>
        <v/>
      </c>
      <c r="C194" s="4">
        <f>IF($A194="","",IFERROR(INDEX('Catálogo'!$H$2:$H$1567,MATCH($A194,'Catálogo'!$A$2:$A$1567,0)),"código no encontrado"))</f>
        <v/>
      </c>
      <c r="D194" s="4">
        <f>IF($A194="","",IFERROR(INDEX('Catálogo'!$I$2:$I$1567,MATCH($A194,'Catálogo'!$A$2:$A$1567,0)),"código no encontrado"))</f>
        <v/>
      </c>
      <c r="E194" s="15" t="n"/>
      <c r="F194" s="10">
        <f>IF($A194="","",IFERROR(INDEX('Catálogo'!$N$2:$N$1567,MATCH($A194,'Catálogo'!$A$2:$A$1567,0)),"código no encontrado"))</f>
        <v/>
      </c>
      <c r="G194" s="10">
        <f>IF(OR($E194="",$F194="",NOT(ISNUMBER($F194))),"",$E194*$F194)</f>
        <v/>
      </c>
      <c r="H194" s="4">
        <f>IF($A194="","",IFERROR(INDEX('Catálogo'!$Q$2:$Q$1567,MATCH($A194,'Catálogo'!$A$2:$A$1567,0)),"código no encontrado"))</f>
        <v/>
      </c>
      <c r="I194" s="10">
        <f>IF($G194="","",IF($H194="Sí",ROUND($G194/1.18,2),$G194))</f>
        <v/>
      </c>
      <c r="J194" s="14" t="n"/>
    </row>
    <row r="195">
      <c r="A195" s="14" t="n"/>
      <c r="B195" s="5">
        <f>IF($A195="","",IFERROR(INDEX('Catálogo'!$D$2:$D$1567,MATCH($A195,'Catálogo'!$A$2:$A$1567,0)),"código no encontrado"))</f>
        <v/>
      </c>
      <c r="C195" s="4">
        <f>IF($A195="","",IFERROR(INDEX('Catálogo'!$H$2:$H$1567,MATCH($A195,'Catálogo'!$A$2:$A$1567,0)),"código no encontrado"))</f>
        <v/>
      </c>
      <c r="D195" s="4">
        <f>IF($A195="","",IFERROR(INDEX('Catálogo'!$I$2:$I$1567,MATCH($A195,'Catálogo'!$A$2:$A$1567,0)),"código no encontrado"))</f>
        <v/>
      </c>
      <c r="E195" s="15" t="n"/>
      <c r="F195" s="10">
        <f>IF($A195="","",IFERROR(INDEX('Catálogo'!$N$2:$N$1567,MATCH($A195,'Catálogo'!$A$2:$A$1567,0)),"código no encontrado"))</f>
        <v/>
      </c>
      <c r="G195" s="10">
        <f>IF(OR($E195="",$F195="",NOT(ISNUMBER($F195))),"",$E195*$F195)</f>
        <v/>
      </c>
      <c r="H195" s="4">
        <f>IF($A195="","",IFERROR(INDEX('Catálogo'!$Q$2:$Q$1567,MATCH($A195,'Catálogo'!$A$2:$A$1567,0)),"código no encontrado"))</f>
        <v/>
      </c>
      <c r="I195" s="10">
        <f>IF($G195="","",IF($H195="Sí",ROUND($G195/1.18,2),$G195))</f>
        <v/>
      </c>
      <c r="J195" s="14" t="n"/>
    </row>
    <row r="196">
      <c r="A196" s="14" t="n"/>
      <c r="B196" s="5">
        <f>IF($A196="","",IFERROR(INDEX('Catálogo'!$D$2:$D$1567,MATCH($A196,'Catálogo'!$A$2:$A$1567,0)),"código no encontrado"))</f>
        <v/>
      </c>
      <c r="C196" s="4">
        <f>IF($A196="","",IFERROR(INDEX('Catálogo'!$H$2:$H$1567,MATCH($A196,'Catálogo'!$A$2:$A$1567,0)),"código no encontrado"))</f>
        <v/>
      </c>
      <c r="D196" s="4">
        <f>IF($A196="","",IFERROR(INDEX('Catálogo'!$I$2:$I$1567,MATCH($A196,'Catálogo'!$A$2:$A$1567,0)),"código no encontrado"))</f>
        <v/>
      </c>
      <c r="E196" s="15" t="n"/>
      <c r="F196" s="10">
        <f>IF($A196="","",IFERROR(INDEX('Catálogo'!$N$2:$N$1567,MATCH($A196,'Catálogo'!$A$2:$A$1567,0)),"código no encontrado"))</f>
        <v/>
      </c>
      <c r="G196" s="10">
        <f>IF(OR($E196="",$F196="",NOT(ISNUMBER($F196))),"",$E196*$F196)</f>
        <v/>
      </c>
      <c r="H196" s="4">
        <f>IF($A196="","",IFERROR(INDEX('Catálogo'!$Q$2:$Q$1567,MATCH($A196,'Catálogo'!$A$2:$A$1567,0)),"código no encontrado"))</f>
        <v/>
      </c>
      <c r="I196" s="10">
        <f>IF($G196="","",IF($H196="Sí",ROUND($G196/1.18,2),$G196))</f>
        <v/>
      </c>
      <c r="J196" s="14" t="n"/>
    </row>
    <row r="197">
      <c r="A197" s="14" t="n"/>
      <c r="B197" s="5">
        <f>IF($A197="","",IFERROR(INDEX('Catálogo'!$D$2:$D$1567,MATCH($A197,'Catálogo'!$A$2:$A$1567,0)),"código no encontrado"))</f>
        <v/>
      </c>
      <c r="C197" s="4">
        <f>IF($A197="","",IFERROR(INDEX('Catálogo'!$H$2:$H$1567,MATCH($A197,'Catálogo'!$A$2:$A$1567,0)),"código no encontrado"))</f>
        <v/>
      </c>
      <c r="D197" s="4">
        <f>IF($A197="","",IFERROR(INDEX('Catálogo'!$I$2:$I$1567,MATCH($A197,'Catálogo'!$A$2:$A$1567,0)),"código no encontrado"))</f>
        <v/>
      </c>
      <c r="E197" s="15" t="n"/>
      <c r="F197" s="10">
        <f>IF($A197="","",IFERROR(INDEX('Catálogo'!$N$2:$N$1567,MATCH($A197,'Catálogo'!$A$2:$A$1567,0)),"código no encontrado"))</f>
        <v/>
      </c>
      <c r="G197" s="10">
        <f>IF(OR($E197="",$F197="",NOT(ISNUMBER($F197))),"",$E197*$F197)</f>
        <v/>
      </c>
      <c r="H197" s="4">
        <f>IF($A197="","",IFERROR(INDEX('Catálogo'!$Q$2:$Q$1567,MATCH($A197,'Catálogo'!$A$2:$A$1567,0)),"código no encontrado"))</f>
        <v/>
      </c>
      <c r="I197" s="10">
        <f>IF($G197="","",IF($H197="Sí",ROUND($G197/1.18,2),$G197))</f>
        <v/>
      </c>
      <c r="J197" s="14" t="n"/>
    </row>
    <row r="198">
      <c r="A198" s="14" t="n"/>
      <c r="B198" s="5">
        <f>IF($A198="","",IFERROR(INDEX('Catálogo'!$D$2:$D$1567,MATCH($A198,'Catálogo'!$A$2:$A$1567,0)),"código no encontrado"))</f>
        <v/>
      </c>
      <c r="C198" s="4">
        <f>IF($A198="","",IFERROR(INDEX('Catálogo'!$H$2:$H$1567,MATCH($A198,'Catálogo'!$A$2:$A$1567,0)),"código no encontrado"))</f>
        <v/>
      </c>
      <c r="D198" s="4">
        <f>IF($A198="","",IFERROR(INDEX('Catálogo'!$I$2:$I$1567,MATCH($A198,'Catálogo'!$A$2:$A$1567,0)),"código no encontrado"))</f>
        <v/>
      </c>
      <c r="E198" s="15" t="n"/>
      <c r="F198" s="10">
        <f>IF($A198="","",IFERROR(INDEX('Catálogo'!$N$2:$N$1567,MATCH($A198,'Catálogo'!$A$2:$A$1567,0)),"código no encontrado"))</f>
        <v/>
      </c>
      <c r="G198" s="10">
        <f>IF(OR($E198="",$F198="",NOT(ISNUMBER($F198))),"",$E198*$F198)</f>
        <v/>
      </c>
      <c r="H198" s="4">
        <f>IF($A198="","",IFERROR(INDEX('Catálogo'!$Q$2:$Q$1567,MATCH($A198,'Catálogo'!$A$2:$A$1567,0)),"código no encontrado"))</f>
        <v/>
      </c>
      <c r="I198" s="10">
        <f>IF($G198="","",IF($H198="Sí",ROUND($G198/1.18,2),$G198))</f>
        <v/>
      </c>
      <c r="J198" s="14" t="n"/>
    </row>
    <row r="199">
      <c r="A199" s="14" t="n"/>
      <c r="B199" s="5">
        <f>IF($A199="","",IFERROR(INDEX('Catálogo'!$D$2:$D$1567,MATCH($A199,'Catálogo'!$A$2:$A$1567,0)),"código no encontrado"))</f>
        <v/>
      </c>
      <c r="C199" s="4">
        <f>IF($A199="","",IFERROR(INDEX('Catálogo'!$H$2:$H$1567,MATCH($A199,'Catálogo'!$A$2:$A$1567,0)),"código no encontrado"))</f>
        <v/>
      </c>
      <c r="D199" s="4">
        <f>IF($A199="","",IFERROR(INDEX('Catálogo'!$I$2:$I$1567,MATCH($A199,'Catálogo'!$A$2:$A$1567,0)),"código no encontrado"))</f>
        <v/>
      </c>
      <c r="E199" s="15" t="n"/>
      <c r="F199" s="10">
        <f>IF($A199="","",IFERROR(INDEX('Catálogo'!$N$2:$N$1567,MATCH($A199,'Catálogo'!$A$2:$A$1567,0)),"código no encontrado"))</f>
        <v/>
      </c>
      <c r="G199" s="10">
        <f>IF(OR($E199="",$F199="",NOT(ISNUMBER($F199))),"",$E199*$F199)</f>
        <v/>
      </c>
      <c r="H199" s="4">
        <f>IF($A199="","",IFERROR(INDEX('Catálogo'!$Q$2:$Q$1567,MATCH($A199,'Catálogo'!$A$2:$A$1567,0)),"código no encontrado"))</f>
        <v/>
      </c>
      <c r="I199" s="10">
        <f>IF($G199="","",IF($H199="Sí",ROUND($G199/1.18,2),$G199))</f>
        <v/>
      </c>
      <c r="J199" s="14" t="n"/>
    </row>
    <row r="200">
      <c r="A200" s="14" t="n"/>
      <c r="B200" s="5">
        <f>IF($A200="","",IFERROR(INDEX('Catálogo'!$D$2:$D$1567,MATCH($A200,'Catálogo'!$A$2:$A$1567,0)),"código no encontrado"))</f>
        <v/>
      </c>
      <c r="C200" s="4">
        <f>IF($A200="","",IFERROR(INDEX('Catálogo'!$H$2:$H$1567,MATCH($A200,'Catálogo'!$A$2:$A$1567,0)),"código no encontrado"))</f>
        <v/>
      </c>
      <c r="D200" s="4">
        <f>IF($A200="","",IFERROR(INDEX('Catálogo'!$I$2:$I$1567,MATCH($A200,'Catálogo'!$A$2:$A$1567,0)),"código no encontrado"))</f>
        <v/>
      </c>
      <c r="E200" s="15" t="n"/>
      <c r="F200" s="10">
        <f>IF($A200="","",IFERROR(INDEX('Catálogo'!$N$2:$N$1567,MATCH($A200,'Catálogo'!$A$2:$A$1567,0)),"código no encontrado"))</f>
        <v/>
      </c>
      <c r="G200" s="10">
        <f>IF(OR($E200="",$F200="",NOT(ISNUMBER($F200))),"",$E200*$F200)</f>
        <v/>
      </c>
      <c r="H200" s="4">
        <f>IF($A200="","",IFERROR(INDEX('Catálogo'!$Q$2:$Q$1567,MATCH($A200,'Catálogo'!$A$2:$A$1567,0)),"código no encontrado"))</f>
        <v/>
      </c>
      <c r="I200" s="10">
        <f>IF($G200="","",IF($H200="Sí",ROUND($G200/1.18,2),$G200))</f>
        <v/>
      </c>
      <c r="J200" s="14" t="n"/>
    </row>
    <row r="201">
      <c r="A201" s="14" t="n"/>
      <c r="B201" s="5">
        <f>IF($A201="","",IFERROR(INDEX('Catálogo'!$D$2:$D$1567,MATCH($A201,'Catálogo'!$A$2:$A$1567,0)),"código no encontrado"))</f>
        <v/>
      </c>
      <c r="C201" s="4">
        <f>IF($A201="","",IFERROR(INDEX('Catálogo'!$H$2:$H$1567,MATCH($A201,'Catálogo'!$A$2:$A$1567,0)),"código no encontrado"))</f>
        <v/>
      </c>
      <c r="D201" s="4">
        <f>IF($A201="","",IFERROR(INDEX('Catálogo'!$I$2:$I$1567,MATCH($A201,'Catálogo'!$A$2:$A$1567,0)),"código no encontrado"))</f>
        <v/>
      </c>
      <c r="E201" s="15" t="n"/>
      <c r="F201" s="10">
        <f>IF($A201="","",IFERROR(INDEX('Catálogo'!$N$2:$N$1567,MATCH($A201,'Catálogo'!$A$2:$A$1567,0)),"código no encontrado"))</f>
        <v/>
      </c>
      <c r="G201" s="10">
        <f>IF(OR($E201="",$F201="",NOT(ISNUMBER($F201))),"",$E201*$F201)</f>
        <v/>
      </c>
      <c r="H201" s="4">
        <f>IF($A201="","",IFERROR(INDEX('Catálogo'!$Q$2:$Q$1567,MATCH($A201,'Catálogo'!$A$2:$A$1567,0)),"código no encontrado"))</f>
        <v/>
      </c>
      <c r="I201" s="10">
        <f>IF($G201="","",IF($H201="Sí",ROUND($G201/1.18,2),$G201))</f>
        <v/>
      </c>
      <c r="J201" s="14" t="n"/>
    </row>
    <row r="202">
      <c r="A202" s="14" t="n"/>
      <c r="B202" s="5">
        <f>IF($A202="","",IFERROR(INDEX('Catálogo'!$D$2:$D$1567,MATCH($A202,'Catálogo'!$A$2:$A$1567,0)),"código no encontrado"))</f>
        <v/>
      </c>
      <c r="C202" s="4">
        <f>IF($A202="","",IFERROR(INDEX('Catálogo'!$H$2:$H$1567,MATCH($A202,'Catálogo'!$A$2:$A$1567,0)),"código no encontrado"))</f>
        <v/>
      </c>
      <c r="D202" s="4">
        <f>IF($A202="","",IFERROR(INDEX('Catálogo'!$I$2:$I$1567,MATCH($A202,'Catálogo'!$A$2:$A$1567,0)),"código no encontrado"))</f>
        <v/>
      </c>
      <c r="E202" s="15" t="n"/>
      <c r="F202" s="10">
        <f>IF($A202="","",IFERROR(INDEX('Catálogo'!$N$2:$N$1567,MATCH($A202,'Catálogo'!$A$2:$A$1567,0)),"código no encontrado"))</f>
        <v/>
      </c>
      <c r="G202" s="10">
        <f>IF(OR($E202="",$F202="",NOT(ISNUMBER($F202))),"",$E202*$F202)</f>
        <v/>
      </c>
      <c r="H202" s="4">
        <f>IF($A202="","",IFERROR(INDEX('Catálogo'!$Q$2:$Q$1567,MATCH($A202,'Catálogo'!$A$2:$A$1567,0)),"código no encontrado"))</f>
        <v/>
      </c>
      <c r="I202" s="10">
        <f>IF($G202="","",IF($H202="Sí",ROUND($G202/1.18,2),$G202))</f>
        <v/>
      </c>
      <c r="J202" s="14" t="n"/>
    </row>
    <row r="203">
      <c r="A203" s="14" t="n"/>
      <c r="B203" s="5">
        <f>IF($A203="","",IFERROR(INDEX('Catálogo'!$D$2:$D$1567,MATCH($A203,'Catálogo'!$A$2:$A$1567,0)),"código no encontrado"))</f>
        <v/>
      </c>
      <c r="C203" s="4">
        <f>IF($A203="","",IFERROR(INDEX('Catálogo'!$H$2:$H$1567,MATCH($A203,'Catálogo'!$A$2:$A$1567,0)),"código no encontrado"))</f>
        <v/>
      </c>
      <c r="D203" s="4">
        <f>IF($A203="","",IFERROR(INDEX('Catálogo'!$I$2:$I$1567,MATCH($A203,'Catálogo'!$A$2:$A$1567,0)),"código no encontrado"))</f>
        <v/>
      </c>
      <c r="E203" s="15" t="n"/>
      <c r="F203" s="10">
        <f>IF($A203="","",IFERROR(INDEX('Catálogo'!$N$2:$N$1567,MATCH($A203,'Catálogo'!$A$2:$A$1567,0)),"código no encontrado"))</f>
        <v/>
      </c>
      <c r="G203" s="10">
        <f>IF(OR($E203="",$F203="",NOT(ISNUMBER($F203))),"",$E203*$F203)</f>
        <v/>
      </c>
      <c r="H203" s="4">
        <f>IF($A203="","",IFERROR(INDEX('Catálogo'!$Q$2:$Q$1567,MATCH($A203,'Catálogo'!$A$2:$A$1567,0)),"código no encontrado"))</f>
        <v/>
      </c>
      <c r="I203" s="10">
        <f>IF($G203="","",IF($H203="Sí",ROUND($G203/1.18,2),$G203))</f>
        <v/>
      </c>
      <c r="J203" s="14" t="n"/>
    </row>
    <row r="204">
      <c r="A204" s="14" t="n"/>
      <c r="B204" s="5">
        <f>IF($A204="","",IFERROR(INDEX('Catálogo'!$D$2:$D$1567,MATCH($A204,'Catálogo'!$A$2:$A$1567,0)),"código no encontrado"))</f>
        <v/>
      </c>
      <c r="C204" s="4">
        <f>IF($A204="","",IFERROR(INDEX('Catálogo'!$H$2:$H$1567,MATCH($A204,'Catálogo'!$A$2:$A$1567,0)),"código no encontrado"))</f>
        <v/>
      </c>
      <c r="D204" s="4">
        <f>IF($A204="","",IFERROR(INDEX('Catálogo'!$I$2:$I$1567,MATCH($A204,'Catálogo'!$A$2:$A$1567,0)),"código no encontrado"))</f>
        <v/>
      </c>
      <c r="E204" s="15" t="n"/>
      <c r="F204" s="10">
        <f>IF($A204="","",IFERROR(INDEX('Catálogo'!$N$2:$N$1567,MATCH($A204,'Catálogo'!$A$2:$A$1567,0)),"código no encontrado"))</f>
        <v/>
      </c>
      <c r="G204" s="10">
        <f>IF(OR($E204="",$F204="",NOT(ISNUMBER($F204))),"",$E204*$F204)</f>
        <v/>
      </c>
      <c r="H204" s="4">
        <f>IF($A204="","",IFERROR(INDEX('Catálogo'!$Q$2:$Q$1567,MATCH($A204,'Catálogo'!$A$2:$A$1567,0)),"código no encontrado"))</f>
        <v/>
      </c>
      <c r="I204" s="10">
        <f>IF($G204="","",IF($H204="Sí",ROUND($G204/1.18,2),$G204))</f>
        <v/>
      </c>
      <c r="J204" s="14" t="n"/>
    </row>
    <row r="205">
      <c r="A205" s="14" t="n"/>
      <c r="B205" s="5">
        <f>IF($A205="","",IFERROR(INDEX('Catálogo'!$D$2:$D$1567,MATCH($A205,'Catálogo'!$A$2:$A$1567,0)),"código no encontrado"))</f>
        <v/>
      </c>
      <c r="C205" s="4">
        <f>IF($A205="","",IFERROR(INDEX('Catálogo'!$H$2:$H$1567,MATCH($A205,'Catálogo'!$A$2:$A$1567,0)),"código no encontrado"))</f>
        <v/>
      </c>
      <c r="D205" s="4">
        <f>IF($A205="","",IFERROR(INDEX('Catálogo'!$I$2:$I$1567,MATCH($A205,'Catálogo'!$A$2:$A$1567,0)),"código no encontrado"))</f>
        <v/>
      </c>
      <c r="E205" s="15" t="n"/>
      <c r="F205" s="10">
        <f>IF($A205="","",IFERROR(INDEX('Catálogo'!$N$2:$N$1567,MATCH($A205,'Catálogo'!$A$2:$A$1567,0)),"código no encontrado"))</f>
        <v/>
      </c>
      <c r="G205" s="10">
        <f>IF(OR($E205="",$F205="",NOT(ISNUMBER($F205))),"",$E205*$F205)</f>
        <v/>
      </c>
      <c r="H205" s="4">
        <f>IF($A205="","",IFERROR(INDEX('Catálogo'!$Q$2:$Q$1567,MATCH($A205,'Catálogo'!$A$2:$A$1567,0)),"código no encontrado"))</f>
        <v/>
      </c>
      <c r="I205" s="10">
        <f>IF($G205="","",IF($H205="Sí",ROUND($G205/1.18,2),$G205))</f>
        <v/>
      </c>
      <c r="J205" s="14" t="n"/>
    </row>
    <row r="206">
      <c r="A206" s="14" t="n"/>
      <c r="B206" s="5">
        <f>IF($A206="","",IFERROR(INDEX('Catálogo'!$D$2:$D$1567,MATCH($A206,'Catálogo'!$A$2:$A$1567,0)),"código no encontrado"))</f>
        <v/>
      </c>
      <c r="C206" s="4">
        <f>IF($A206="","",IFERROR(INDEX('Catálogo'!$H$2:$H$1567,MATCH($A206,'Catálogo'!$A$2:$A$1567,0)),"código no encontrado"))</f>
        <v/>
      </c>
      <c r="D206" s="4">
        <f>IF($A206="","",IFERROR(INDEX('Catálogo'!$I$2:$I$1567,MATCH($A206,'Catálogo'!$A$2:$A$1567,0)),"código no encontrado"))</f>
        <v/>
      </c>
      <c r="E206" s="15" t="n"/>
      <c r="F206" s="10">
        <f>IF($A206="","",IFERROR(INDEX('Catálogo'!$N$2:$N$1567,MATCH($A206,'Catálogo'!$A$2:$A$1567,0)),"código no encontrado"))</f>
        <v/>
      </c>
      <c r="G206" s="10">
        <f>IF(OR($E206="",$F206="",NOT(ISNUMBER($F206))),"",$E206*$F206)</f>
        <v/>
      </c>
      <c r="H206" s="4">
        <f>IF($A206="","",IFERROR(INDEX('Catálogo'!$Q$2:$Q$1567,MATCH($A206,'Catálogo'!$A$2:$A$1567,0)),"código no encontrado"))</f>
        <v/>
      </c>
      <c r="I206" s="10">
        <f>IF($G206="","",IF($H206="Sí",ROUND($G206/1.18,2),$G206))</f>
        <v/>
      </c>
      <c r="J206" s="14" t="n"/>
    </row>
    <row r="207">
      <c r="A207" s="14" t="n"/>
      <c r="B207" s="5">
        <f>IF($A207="","",IFERROR(INDEX('Catálogo'!$D$2:$D$1567,MATCH($A207,'Catálogo'!$A$2:$A$1567,0)),"código no encontrado"))</f>
        <v/>
      </c>
      <c r="C207" s="4">
        <f>IF($A207="","",IFERROR(INDEX('Catálogo'!$H$2:$H$1567,MATCH($A207,'Catálogo'!$A$2:$A$1567,0)),"código no encontrado"))</f>
        <v/>
      </c>
      <c r="D207" s="4">
        <f>IF($A207="","",IFERROR(INDEX('Catálogo'!$I$2:$I$1567,MATCH($A207,'Catálogo'!$A$2:$A$1567,0)),"código no encontrado"))</f>
        <v/>
      </c>
      <c r="E207" s="15" t="n"/>
      <c r="F207" s="10">
        <f>IF($A207="","",IFERROR(INDEX('Catálogo'!$N$2:$N$1567,MATCH($A207,'Catálogo'!$A$2:$A$1567,0)),"código no encontrado"))</f>
        <v/>
      </c>
      <c r="G207" s="10">
        <f>IF(OR($E207="",$F207="",NOT(ISNUMBER($F207))),"",$E207*$F207)</f>
        <v/>
      </c>
      <c r="H207" s="4">
        <f>IF($A207="","",IFERROR(INDEX('Catálogo'!$Q$2:$Q$1567,MATCH($A207,'Catálogo'!$A$2:$A$1567,0)),"código no encontrado"))</f>
        <v/>
      </c>
      <c r="I207" s="10">
        <f>IF($G207="","",IF($H207="Sí",ROUND($G207/1.18,2),$G207))</f>
        <v/>
      </c>
      <c r="J207" s="14" t="n"/>
    </row>
    <row r="208">
      <c r="A208" s="14" t="n"/>
      <c r="B208" s="5">
        <f>IF($A208="","",IFERROR(INDEX('Catálogo'!$D$2:$D$1567,MATCH($A208,'Catálogo'!$A$2:$A$1567,0)),"código no encontrado"))</f>
        <v/>
      </c>
      <c r="C208" s="4">
        <f>IF($A208="","",IFERROR(INDEX('Catálogo'!$H$2:$H$1567,MATCH($A208,'Catálogo'!$A$2:$A$1567,0)),"código no encontrado"))</f>
        <v/>
      </c>
      <c r="D208" s="4">
        <f>IF($A208="","",IFERROR(INDEX('Catálogo'!$I$2:$I$1567,MATCH($A208,'Catálogo'!$A$2:$A$1567,0)),"código no encontrado"))</f>
        <v/>
      </c>
      <c r="E208" s="15" t="n"/>
      <c r="F208" s="10">
        <f>IF($A208="","",IFERROR(INDEX('Catálogo'!$N$2:$N$1567,MATCH($A208,'Catálogo'!$A$2:$A$1567,0)),"código no encontrado"))</f>
        <v/>
      </c>
      <c r="G208" s="10">
        <f>IF(OR($E208="",$F208="",NOT(ISNUMBER($F208))),"",$E208*$F208)</f>
        <v/>
      </c>
      <c r="H208" s="4">
        <f>IF($A208="","",IFERROR(INDEX('Catálogo'!$Q$2:$Q$1567,MATCH($A208,'Catálogo'!$A$2:$A$1567,0)),"código no encontrado"))</f>
        <v/>
      </c>
      <c r="I208" s="10">
        <f>IF($G208="","",IF($H208="Sí",ROUND($G208/1.18,2),$G208))</f>
        <v/>
      </c>
      <c r="J208" s="14" t="n"/>
    </row>
    <row r="209">
      <c r="A209" s="14" t="n"/>
      <c r="B209" s="5">
        <f>IF($A209="","",IFERROR(INDEX('Catálogo'!$D$2:$D$1567,MATCH($A209,'Catálogo'!$A$2:$A$1567,0)),"código no encontrado"))</f>
        <v/>
      </c>
      <c r="C209" s="4">
        <f>IF($A209="","",IFERROR(INDEX('Catálogo'!$H$2:$H$1567,MATCH($A209,'Catálogo'!$A$2:$A$1567,0)),"código no encontrado"))</f>
        <v/>
      </c>
      <c r="D209" s="4">
        <f>IF($A209="","",IFERROR(INDEX('Catálogo'!$I$2:$I$1567,MATCH($A209,'Catálogo'!$A$2:$A$1567,0)),"código no encontrado"))</f>
        <v/>
      </c>
      <c r="E209" s="15" t="n"/>
      <c r="F209" s="10">
        <f>IF($A209="","",IFERROR(INDEX('Catálogo'!$N$2:$N$1567,MATCH($A209,'Catálogo'!$A$2:$A$1567,0)),"código no encontrado"))</f>
        <v/>
      </c>
      <c r="G209" s="10">
        <f>IF(OR($E209="",$F209="",NOT(ISNUMBER($F209))),"",$E209*$F209)</f>
        <v/>
      </c>
      <c r="H209" s="4">
        <f>IF($A209="","",IFERROR(INDEX('Catálogo'!$Q$2:$Q$1567,MATCH($A209,'Catálogo'!$A$2:$A$1567,0)),"código no encontrado"))</f>
        <v/>
      </c>
      <c r="I209" s="10">
        <f>IF($G209="","",IF($H209="Sí",ROUND($G209/1.18,2),$G209))</f>
        <v/>
      </c>
      <c r="J209" s="14" t="n"/>
    </row>
    <row r="210">
      <c r="A210" s="14" t="n"/>
      <c r="B210" s="5">
        <f>IF($A210="","",IFERROR(INDEX('Catálogo'!$D$2:$D$1567,MATCH($A210,'Catálogo'!$A$2:$A$1567,0)),"código no encontrado"))</f>
        <v/>
      </c>
      <c r="C210" s="4">
        <f>IF($A210="","",IFERROR(INDEX('Catálogo'!$H$2:$H$1567,MATCH($A210,'Catálogo'!$A$2:$A$1567,0)),"código no encontrado"))</f>
        <v/>
      </c>
      <c r="D210" s="4">
        <f>IF($A210="","",IFERROR(INDEX('Catálogo'!$I$2:$I$1567,MATCH($A210,'Catálogo'!$A$2:$A$1567,0)),"código no encontrado"))</f>
        <v/>
      </c>
      <c r="E210" s="15" t="n"/>
      <c r="F210" s="10">
        <f>IF($A210="","",IFERROR(INDEX('Catálogo'!$N$2:$N$1567,MATCH($A210,'Catálogo'!$A$2:$A$1567,0)),"código no encontrado"))</f>
        <v/>
      </c>
      <c r="G210" s="10">
        <f>IF(OR($E210="",$F210="",NOT(ISNUMBER($F210))),"",$E210*$F210)</f>
        <v/>
      </c>
      <c r="H210" s="4">
        <f>IF($A210="","",IFERROR(INDEX('Catálogo'!$Q$2:$Q$1567,MATCH($A210,'Catálogo'!$A$2:$A$1567,0)),"código no encontrado"))</f>
        <v/>
      </c>
      <c r="I210" s="10">
        <f>IF($G210="","",IF($H210="Sí",ROUND($G210/1.18,2),$G210))</f>
        <v/>
      </c>
      <c r="J210" s="14" t="n"/>
    </row>
    <row r="211">
      <c r="A211" s="14" t="n"/>
      <c r="B211" s="5">
        <f>IF($A211="","",IFERROR(INDEX('Catálogo'!$D$2:$D$1567,MATCH($A211,'Catálogo'!$A$2:$A$1567,0)),"código no encontrado"))</f>
        <v/>
      </c>
      <c r="C211" s="4">
        <f>IF($A211="","",IFERROR(INDEX('Catálogo'!$H$2:$H$1567,MATCH($A211,'Catálogo'!$A$2:$A$1567,0)),"código no encontrado"))</f>
        <v/>
      </c>
      <c r="D211" s="4">
        <f>IF($A211="","",IFERROR(INDEX('Catálogo'!$I$2:$I$1567,MATCH($A211,'Catálogo'!$A$2:$A$1567,0)),"código no encontrado"))</f>
        <v/>
      </c>
      <c r="E211" s="15" t="n"/>
      <c r="F211" s="10">
        <f>IF($A211="","",IFERROR(INDEX('Catálogo'!$N$2:$N$1567,MATCH($A211,'Catálogo'!$A$2:$A$1567,0)),"código no encontrado"))</f>
        <v/>
      </c>
      <c r="G211" s="10">
        <f>IF(OR($E211="",$F211="",NOT(ISNUMBER($F211))),"",$E211*$F211)</f>
        <v/>
      </c>
      <c r="H211" s="4">
        <f>IF($A211="","",IFERROR(INDEX('Catálogo'!$Q$2:$Q$1567,MATCH($A211,'Catálogo'!$A$2:$A$1567,0)),"código no encontrado"))</f>
        <v/>
      </c>
      <c r="I211" s="10">
        <f>IF($G211="","",IF($H211="Sí",ROUND($G211/1.18,2),$G211))</f>
        <v/>
      </c>
      <c r="J211" s="14" t="n"/>
    </row>
    <row r="212">
      <c r="A212" s="14" t="n"/>
      <c r="B212" s="5">
        <f>IF($A212="","",IFERROR(INDEX('Catálogo'!$D$2:$D$1567,MATCH($A212,'Catálogo'!$A$2:$A$1567,0)),"código no encontrado"))</f>
        <v/>
      </c>
      <c r="C212" s="4">
        <f>IF($A212="","",IFERROR(INDEX('Catálogo'!$H$2:$H$1567,MATCH($A212,'Catálogo'!$A$2:$A$1567,0)),"código no encontrado"))</f>
        <v/>
      </c>
      <c r="D212" s="4">
        <f>IF($A212="","",IFERROR(INDEX('Catálogo'!$I$2:$I$1567,MATCH($A212,'Catálogo'!$A$2:$A$1567,0)),"código no encontrado"))</f>
        <v/>
      </c>
      <c r="E212" s="15" t="n"/>
      <c r="F212" s="10">
        <f>IF($A212="","",IFERROR(INDEX('Catálogo'!$N$2:$N$1567,MATCH($A212,'Catálogo'!$A$2:$A$1567,0)),"código no encontrado"))</f>
        <v/>
      </c>
      <c r="G212" s="10">
        <f>IF(OR($E212="",$F212="",NOT(ISNUMBER($F212))),"",$E212*$F212)</f>
        <v/>
      </c>
      <c r="H212" s="4">
        <f>IF($A212="","",IFERROR(INDEX('Catálogo'!$Q$2:$Q$1567,MATCH($A212,'Catálogo'!$A$2:$A$1567,0)),"código no encontrado"))</f>
        <v/>
      </c>
      <c r="I212" s="10">
        <f>IF($G212="","",IF($H212="Sí",ROUND($G212/1.18,2),$G212))</f>
        <v/>
      </c>
      <c r="J212" s="14" t="n"/>
    </row>
    <row r="213">
      <c r="A213" s="14" t="n"/>
      <c r="B213" s="5">
        <f>IF($A213="","",IFERROR(INDEX('Catálogo'!$D$2:$D$1567,MATCH($A213,'Catálogo'!$A$2:$A$1567,0)),"código no encontrado"))</f>
        <v/>
      </c>
      <c r="C213" s="4">
        <f>IF($A213="","",IFERROR(INDEX('Catálogo'!$H$2:$H$1567,MATCH($A213,'Catálogo'!$A$2:$A$1567,0)),"código no encontrado"))</f>
        <v/>
      </c>
      <c r="D213" s="4">
        <f>IF($A213="","",IFERROR(INDEX('Catálogo'!$I$2:$I$1567,MATCH($A213,'Catálogo'!$A$2:$A$1567,0)),"código no encontrado"))</f>
        <v/>
      </c>
      <c r="E213" s="15" t="n"/>
      <c r="F213" s="10">
        <f>IF($A213="","",IFERROR(INDEX('Catálogo'!$N$2:$N$1567,MATCH($A213,'Catálogo'!$A$2:$A$1567,0)),"código no encontrado"))</f>
        <v/>
      </c>
      <c r="G213" s="10">
        <f>IF(OR($E213="",$F213="",NOT(ISNUMBER($F213))),"",$E213*$F213)</f>
        <v/>
      </c>
      <c r="H213" s="4">
        <f>IF($A213="","",IFERROR(INDEX('Catálogo'!$Q$2:$Q$1567,MATCH($A213,'Catálogo'!$A$2:$A$1567,0)),"código no encontrado"))</f>
        <v/>
      </c>
      <c r="I213" s="10">
        <f>IF($G213="","",IF($H213="Sí",ROUND($G213/1.18,2),$G213))</f>
        <v/>
      </c>
      <c r="J213" s="14" t="n"/>
    </row>
    <row r="214">
      <c r="A214" s="14" t="n"/>
      <c r="B214" s="5">
        <f>IF($A214="","",IFERROR(INDEX('Catálogo'!$D$2:$D$1567,MATCH($A214,'Catálogo'!$A$2:$A$1567,0)),"código no encontrado"))</f>
        <v/>
      </c>
      <c r="C214" s="4">
        <f>IF($A214="","",IFERROR(INDEX('Catálogo'!$H$2:$H$1567,MATCH($A214,'Catálogo'!$A$2:$A$1567,0)),"código no encontrado"))</f>
        <v/>
      </c>
      <c r="D214" s="4">
        <f>IF($A214="","",IFERROR(INDEX('Catálogo'!$I$2:$I$1567,MATCH($A214,'Catálogo'!$A$2:$A$1567,0)),"código no encontrado"))</f>
        <v/>
      </c>
      <c r="E214" s="15" t="n"/>
      <c r="F214" s="10">
        <f>IF($A214="","",IFERROR(INDEX('Catálogo'!$N$2:$N$1567,MATCH($A214,'Catálogo'!$A$2:$A$1567,0)),"código no encontrado"))</f>
        <v/>
      </c>
      <c r="G214" s="10">
        <f>IF(OR($E214="",$F214="",NOT(ISNUMBER($F214))),"",$E214*$F214)</f>
        <v/>
      </c>
      <c r="H214" s="4">
        <f>IF($A214="","",IFERROR(INDEX('Catálogo'!$Q$2:$Q$1567,MATCH($A214,'Catálogo'!$A$2:$A$1567,0)),"código no encontrado"))</f>
        <v/>
      </c>
      <c r="I214" s="10">
        <f>IF($G214="","",IF($H214="Sí",ROUND($G214/1.18,2),$G214))</f>
        <v/>
      </c>
      <c r="J214" s="14" t="n"/>
    </row>
    <row r="215">
      <c r="A215" s="14" t="n"/>
      <c r="B215" s="5">
        <f>IF($A215="","",IFERROR(INDEX('Catálogo'!$D$2:$D$1567,MATCH($A215,'Catálogo'!$A$2:$A$1567,0)),"código no encontrado"))</f>
        <v/>
      </c>
      <c r="C215" s="4">
        <f>IF($A215="","",IFERROR(INDEX('Catálogo'!$H$2:$H$1567,MATCH($A215,'Catálogo'!$A$2:$A$1567,0)),"código no encontrado"))</f>
        <v/>
      </c>
      <c r="D215" s="4">
        <f>IF($A215="","",IFERROR(INDEX('Catálogo'!$I$2:$I$1567,MATCH($A215,'Catálogo'!$A$2:$A$1567,0)),"código no encontrado"))</f>
        <v/>
      </c>
      <c r="E215" s="15" t="n"/>
      <c r="F215" s="10">
        <f>IF($A215="","",IFERROR(INDEX('Catálogo'!$N$2:$N$1567,MATCH($A215,'Catálogo'!$A$2:$A$1567,0)),"código no encontrado"))</f>
        <v/>
      </c>
      <c r="G215" s="10">
        <f>IF(OR($E215="",$F215="",NOT(ISNUMBER($F215))),"",$E215*$F215)</f>
        <v/>
      </c>
      <c r="H215" s="4">
        <f>IF($A215="","",IFERROR(INDEX('Catálogo'!$Q$2:$Q$1567,MATCH($A215,'Catálogo'!$A$2:$A$1567,0)),"código no encontrado"))</f>
        <v/>
      </c>
      <c r="I215" s="10">
        <f>IF($G215="","",IF($H215="Sí",ROUND($G215/1.18,2),$G215))</f>
        <v/>
      </c>
      <c r="J215" s="14" t="n"/>
    </row>
    <row r="216">
      <c r="A216" s="14" t="n"/>
      <c r="B216" s="5">
        <f>IF($A216="","",IFERROR(INDEX('Catálogo'!$D$2:$D$1567,MATCH($A216,'Catálogo'!$A$2:$A$1567,0)),"código no encontrado"))</f>
        <v/>
      </c>
      <c r="C216" s="4">
        <f>IF($A216="","",IFERROR(INDEX('Catálogo'!$H$2:$H$1567,MATCH($A216,'Catálogo'!$A$2:$A$1567,0)),"código no encontrado"))</f>
        <v/>
      </c>
      <c r="D216" s="4">
        <f>IF($A216="","",IFERROR(INDEX('Catálogo'!$I$2:$I$1567,MATCH($A216,'Catálogo'!$A$2:$A$1567,0)),"código no encontrado"))</f>
        <v/>
      </c>
      <c r="E216" s="15" t="n"/>
      <c r="F216" s="10">
        <f>IF($A216="","",IFERROR(INDEX('Catálogo'!$N$2:$N$1567,MATCH($A216,'Catálogo'!$A$2:$A$1567,0)),"código no encontrado"))</f>
        <v/>
      </c>
      <c r="G216" s="10">
        <f>IF(OR($E216="",$F216="",NOT(ISNUMBER($F216))),"",$E216*$F216)</f>
        <v/>
      </c>
      <c r="H216" s="4">
        <f>IF($A216="","",IFERROR(INDEX('Catálogo'!$Q$2:$Q$1567,MATCH($A216,'Catálogo'!$A$2:$A$1567,0)),"código no encontrado"))</f>
        <v/>
      </c>
      <c r="I216" s="10">
        <f>IF($G216="","",IF($H216="Sí",ROUND($G216/1.18,2),$G216))</f>
        <v/>
      </c>
      <c r="J216" s="14" t="n"/>
    </row>
    <row r="217">
      <c r="A217" s="14" t="n"/>
      <c r="B217" s="5">
        <f>IF($A217="","",IFERROR(INDEX('Catálogo'!$D$2:$D$1567,MATCH($A217,'Catálogo'!$A$2:$A$1567,0)),"código no encontrado"))</f>
        <v/>
      </c>
      <c r="C217" s="4">
        <f>IF($A217="","",IFERROR(INDEX('Catálogo'!$H$2:$H$1567,MATCH($A217,'Catálogo'!$A$2:$A$1567,0)),"código no encontrado"))</f>
        <v/>
      </c>
      <c r="D217" s="4">
        <f>IF($A217="","",IFERROR(INDEX('Catálogo'!$I$2:$I$1567,MATCH($A217,'Catálogo'!$A$2:$A$1567,0)),"código no encontrado"))</f>
        <v/>
      </c>
      <c r="E217" s="15" t="n"/>
      <c r="F217" s="10">
        <f>IF($A217="","",IFERROR(INDEX('Catálogo'!$N$2:$N$1567,MATCH($A217,'Catálogo'!$A$2:$A$1567,0)),"código no encontrado"))</f>
        <v/>
      </c>
      <c r="G217" s="10">
        <f>IF(OR($E217="",$F217="",NOT(ISNUMBER($F217))),"",$E217*$F217)</f>
        <v/>
      </c>
      <c r="H217" s="4">
        <f>IF($A217="","",IFERROR(INDEX('Catálogo'!$Q$2:$Q$1567,MATCH($A217,'Catálogo'!$A$2:$A$1567,0)),"código no encontrado"))</f>
        <v/>
      </c>
      <c r="I217" s="10">
        <f>IF($G217="","",IF($H217="Sí",ROUND($G217/1.18,2),$G217))</f>
        <v/>
      </c>
      <c r="J217" s="14" t="n"/>
    </row>
    <row r="218">
      <c r="A218" s="14" t="n"/>
      <c r="B218" s="5">
        <f>IF($A218="","",IFERROR(INDEX('Catálogo'!$D$2:$D$1567,MATCH($A218,'Catálogo'!$A$2:$A$1567,0)),"código no encontrado"))</f>
        <v/>
      </c>
      <c r="C218" s="4">
        <f>IF($A218="","",IFERROR(INDEX('Catálogo'!$H$2:$H$1567,MATCH($A218,'Catálogo'!$A$2:$A$1567,0)),"código no encontrado"))</f>
        <v/>
      </c>
      <c r="D218" s="4">
        <f>IF($A218="","",IFERROR(INDEX('Catálogo'!$I$2:$I$1567,MATCH($A218,'Catálogo'!$A$2:$A$1567,0)),"código no encontrado"))</f>
        <v/>
      </c>
      <c r="E218" s="15" t="n"/>
      <c r="F218" s="10">
        <f>IF($A218="","",IFERROR(INDEX('Catálogo'!$N$2:$N$1567,MATCH($A218,'Catálogo'!$A$2:$A$1567,0)),"código no encontrado"))</f>
        <v/>
      </c>
      <c r="G218" s="10">
        <f>IF(OR($E218="",$F218="",NOT(ISNUMBER($F218))),"",$E218*$F218)</f>
        <v/>
      </c>
      <c r="H218" s="4">
        <f>IF($A218="","",IFERROR(INDEX('Catálogo'!$Q$2:$Q$1567,MATCH($A218,'Catálogo'!$A$2:$A$1567,0)),"código no encontrado"))</f>
        <v/>
      </c>
      <c r="I218" s="10">
        <f>IF($G218="","",IF($H218="Sí",ROUND($G218/1.18,2),$G218))</f>
        <v/>
      </c>
      <c r="J218" s="14" t="n"/>
    </row>
    <row r="219">
      <c r="A219" s="14" t="n"/>
      <c r="B219" s="5">
        <f>IF($A219="","",IFERROR(INDEX('Catálogo'!$D$2:$D$1567,MATCH($A219,'Catálogo'!$A$2:$A$1567,0)),"código no encontrado"))</f>
        <v/>
      </c>
      <c r="C219" s="4">
        <f>IF($A219="","",IFERROR(INDEX('Catálogo'!$H$2:$H$1567,MATCH($A219,'Catálogo'!$A$2:$A$1567,0)),"código no encontrado"))</f>
        <v/>
      </c>
      <c r="D219" s="4">
        <f>IF($A219="","",IFERROR(INDEX('Catálogo'!$I$2:$I$1567,MATCH($A219,'Catálogo'!$A$2:$A$1567,0)),"código no encontrado"))</f>
        <v/>
      </c>
      <c r="E219" s="15" t="n"/>
      <c r="F219" s="10">
        <f>IF($A219="","",IFERROR(INDEX('Catálogo'!$N$2:$N$1567,MATCH($A219,'Catálogo'!$A$2:$A$1567,0)),"código no encontrado"))</f>
        <v/>
      </c>
      <c r="G219" s="10">
        <f>IF(OR($E219="",$F219="",NOT(ISNUMBER($F219))),"",$E219*$F219)</f>
        <v/>
      </c>
      <c r="H219" s="4">
        <f>IF($A219="","",IFERROR(INDEX('Catálogo'!$Q$2:$Q$1567,MATCH($A219,'Catálogo'!$A$2:$A$1567,0)),"código no encontrado"))</f>
        <v/>
      </c>
      <c r="I219" s="10">
        <f>IF($G219="","",IF($H219="Sí",ROUND($G219/1.18,2),$G219))</f>
        <v/>
      </c>
      <c r="J219" s="14" t="n"/>
    </row>
    <row r="220">
      <c r="A220" s="14" t="n"/>
      <c r="B220" s="5">
        <f>IF($A220="","",IFERROR(INDEX('Catálogo'!$D$2:$D$1567,MATCH($A220,'Catálogo'!$A$2:$A$1567,0)),"código no encontrado"))</f>
        <v/>
      </c>
      <c r="C220" s="4">
        <f>IF($A220="","",IFERROR(INDEX('Catálogo'!$H$2:$H$1567,MATCH($A220,'Catálogo'!$A$2:$A$1567,0)),"código no encontrado"))</f>
        <v/>
      </c>
      <c r="D220" s="4">
        <f>IF($A220="","",IFERROR(INDEX('Catálogo'!$I$2:$I$1567,MATCH($A220,'Catálogo'!$A$2:$A$1567,0)),"código no encontrado"))</f>
        <v/>
      </c>
      <c r="E220" s="15" t="n"/>
      <c r="F220" s="10">
        <f>IF($A220="","",IFERROR(INDEX('Catálogo'!$N$2:$N$1567,MATCH($A220,'Catálogo'!$A$2:$A$1567,0)),"código no encontrado"))</f>
        <v/>
      </c>
      <c r="G220" s="10">
        <f>IF(OR($E220="",$F220="",NOT(ISNUMBER($F220))),"",$E220*$F220)</f>
        <v/>
      </c>
      <c r="H220" s="4">
        <f>IF($A220="","",IFERROR(INDEX('Catálogo'!$Q$2:$Q$1567,MATCH($A220,'Catálogo'!$A$2:$A$1567,0)),"código no encontrado"))</f>
        <v/>
      </c>
      <c r="I220" s="10">
        <f>IF($G220="","",IF($H220="Sí",ROUND($G220/1.18,2),$G220))</f>
        <v/>
      </c>
      <c r="J220" s="14" t="n"/>
    </row>
    <row r="221">
      <c r="A221" s="14" t="n"/>
      <c r="B221" s="5">
        <f>IF($A221="","",IFERROR(INDEX('Catálogo'!$D$2:$D$1567,MATCH($A221,'Catálogo'!$A$2:$A$1567,0)),"código no encontrado"))</f>
        <v/>
      </c>
      <c r="C221" s="4">
        <f>IF($A221="","",IFERROR(INDEX('Catálogo'!$H$2:$H$1567,MATCH($A221,'Catálogo'!$A$2:$A$1567,0)),"código no encontrado"))</f>
        <v/>
      </c>
      <c r="D221" s="4">
        <f>IF($A221="","",IFERROR(INDEX('Catálogo'!$I$2:$I$1567,MATCH($A221,'Catálogo'!$A$2:$A$1567,0)),"código no encontrado"))</f>
        <v/>
      </c>
      <c r="E221" s="15" t="n"/>
      <c r="F221" s="10">
        <f>IF($A221="","",IFERROR(INDEX('Catálogo'!$N$2:$N$1567,MATCH($A221,'Catálogo'!$A$2:$A$1567,0)),"código no encontrado"))</f>
        <v/>
      </c>
      <c r="G221" s="10">
        <f>IF(OR($E221="",$F221="",NOT(ISNUMBER($F221))),"",$E221*$F221)</f>
        <v/>
      </c>
      <c r="H221" s="4">
        <f>IF($A221="","",IFERROR(INDEX('Catálogo'!$Q$2:$Q$1567,MATCH($A221,'Catálogo'!$A$2:$A$1567,0)),"código no encontrado"))</f>
        <v/>
      </c>
      <c r="I221" s="10">
        <f>IF($G221="","",IF($H221="Sí",ROUND($G221/1.18,2),$G221))</f>
        <v/>
      </c>
      <c r="J221" s="14" t="n"/>
    </row>
    <row r="222">
      <c r="A222" s="14" t="n"/>
      <c r="B222" s="5">
        <f>IF($A222="","",IFERROR(INDEX('Catálogo'!$D$2:$D$1567,MATCH($A222,'Catálogo'!$A$2:$A$1567,0)),"código no encontrado"))</f>
        <v/>
      </c>
      <c r="C222" s="4">
        <f>IF($A222="","",IFERROR(INDEX('Catálogo'!$H$2:$H$1567,MATCH($A222,'Catálogo'!$A$2:$A$1567,0)),"código no encontrado"))</f>
        <v/>
      </c>
      <c r="D222" s="4">
        <f>IF($A222="","",IFERROR(INDEX('Catálogo'!$I$2:$I$1567,MATCH($A222,'Catálogo'!$A$2:$A$1567,0)),"código no encontrado"))</f>
        <v/>
      </c>
      <c r="E222" s="15" t="n"/>
      <c r="F222" s="10">
        <f>IF($A222="","",IFERROR(INDEX('Catálogo'!$N$2:$N$1567,MATCH($A222,'Catálogo'!$A$2:$A$1567,0)),"código no encontrado"))</f>
        <v/>
      </c>
      <c r="G222" s="10">
        <f>IF(OR($E222="",$F222="",NOT(ISNUMBER($F222))),"",$E222*$F222)</f>
        <v/>
      </c>
      <c r="H222" s="4">
        <f>IF($A222="","",IFERROR(INDEX('Catálogo'!$Q$2:$Q$1567,MATCH($A222,'Catálogo'!$A$2:$A$1567,0)),"código no encontrado"))</f>
        <v/>
      </c>
      <c r="I222" s="10">
        <f>IF($G222="","",IF($H222="Sí",ROUND($G222/1.18,2),$G222))</f>
        <v/>
      </c>
      <c r="J222" s="14" t="n"/>
    </row>
    <row r="223">
      <c r="A223" s="14" t="n"/>
      <c r="B223" s="5">
        <f>IF($A223="","",IFERROR(INDEX('Catálogo'!$D$2:$D$1567,MATCH($A223,'Catálogo'!$A$2:$A$1567,0)),"código no encontrado"))</f>
        <v/>
      </c>
      <c r="C223" s="4">
        <f>IF($A223="","",IFERROR(INDEX('Catálogo'!$H$2:$H$1567,MATCH($A223,'Catálogo'!$A$2:$A$1567,0)),"código no encontrado"))</f>
        <v/>
      </c>
      <c r="D223" s="4">
        <f>IF($A223="","",IFERROR(INDEX('Catálogo'!$I$2:$I$1567,MATCH($A223,'Catálogo'!$A$2:$A$1567,0)),"código no encontrado"))</f>
        <v/>
      </c>
      <c r="E223" s="15" t="n"/>
      <c r="F223" s="10">
        <f>IF($A223="","",IFERROR(INDEX('Catálogo'!$N$2:$N$1567,MATCH($A223,'Catálogo'!$A$2:$A$1567,0)),"código no encontrado"))</f>
        <v/>
      </c>
      <c r="G223" s="10">
        <f>IF(OR($E223="",$F223="",NOT(ISNUMBER($F223))),"",$E223*$F223)</f>
        <v/>
      </c>
      <c r="H223" s="4">
        <f>IF($A223="","",IFERROR(INDEX('Catálogo'!$Q$2:$Q$1567,MATCH($A223,'Catálogo'!$A$2:$A$1567,0)),"código no encontrado"))</f>
        <v/>
      </c>
      <c r="I223" s="10">
        <f>IF($G223="","",IF($H223="Sí",ROUND($G223/1.18,2),$G223))</f>
        <v/>
      </c>
      <c r="J223" s="14" t="n"/>
    </row>
    <row r="224">
      <c r="A224" s="14" t="n"/>
      <c r="B224" s="5">
        <f>IF($A224="","",IFERROR(INDEX('Catálogo'!$D$2:$D$1567,MATCH($A224,'Catálogo'!$A$2:$A$1567,0)),"código no encontrado"))</f>
        <v/>
      </c>
      <c r="C224" s="4">
        <f>IF($A224="","",IFERROR(INDEX('Catálogo'!$H$2:$H$1567,MATCH($A224,'Catálogo'!$A$2:$A$1567,0)),"código no encontrado"))</f>
        <v/>
      </c>
      <c r="D224" s="4">
        <f>IF($A224="","",IFERROR(INDEX('Catálogo'!$I$2:$I$1567,MATCH($A224,'Catálogo'!$A$2:$A$1567,0)),"código no encontrado"))</f>
        <v/>
      </c>
      <c r="E224" s="15" t="n"/>
      <c r="F224" s="10">
        <f>IF($A224="","",IFERROR(INDEX('Catálogo'!$N$2:$N$1567,MATCH($A224,'Catálogo'!$A$2:$A$1567,0)),"código no encontrado"))</f>
        <v/>
      </c>
      <c r="G224" s="10">
        <f>IF(OR($E224="",$F224="",NOT(ISNUMBER($F224))),"",$E224*$F224)</f>
        <v/>
      </c>
      <c r="H224" s="4">
        <f>IF($A224="","",IFERROR(INDEX('Catálogo'!$Q$2:$Q$1567,MATCH($A224,'Catálogo'!$A$2:$A$1567,0)),"código no encontrado"))</f>
        <v/>
      </c>
      <c r="I224" s="10">
        <f>IF($G224="","",IF($H224="Sí",ROUND($G224/1.18,2),$G224))</f>
        <v/>
      </c>
      <c r="J224" s="14" t="n"/>
    </row>
    <row r="225">
      <c r="A225" s="14" t="n"/>
      <c r="B225" s="5">
        <f>IF($A225="","",IFERROR(INDEX('Catálogo'!$D$2:$D$1567,MATCH($A225,'Catálogo'!$A$2:$A$1567,0)),"código no encontrado"))</f>
        <v/>
      </c>
      <c r="C225" s="4">
        <f>IF($A225="","",IFERROR(INDEX('Catálogo'!$H$2:$H$1567,MATCH($A225,'Catálogo'!$A$2:$A$1567,0)),"código no encontrado"))</f>
        <v/>
      </c>
      <c r="D225" s="4">
        <f>IF($A225="","",IFERROR(INDEX('Catálogo'!$I$2:$I$1567,MATCH($A225,'Catálogo'!$A$2:$A$1567,0)),"código no encontrado"))</f>
        <v/>
      </c>
      <c r="E225" s="15" t="n"/>
      <c r="F225" s="10">
        <f>IF($A225="","",IFERROR(INDEX('Catálogo'!$N$2:$N$1567,MATCH($A225,'Catálogo'!$A$2:$A$1567,0)),"código no encontrado"))</f>
        <v/>
      </c>
      <c r="G225" s="10">
        <f>IF(OR($E225="",$F225="",NOT(ISNUMBER($F225))),"",$E225*$F225)</f>
        <v/>
      </c>
      <c r="H225" s="4">
        <f>IF($A225="","",IFERROR(INDEX('Catálogo'!$Q$2:$Q$1567,MATCH($A225,'Catálogo'!$A$2:$A$1567,0)),"código no encontrado"))</f>
        <v/>
      </c>
      <c r="I225" s="10">
        <f>IF($G225="","",IF($H225="Sí",ROUND($G225/1.18,2),$G225))</f>
        <v/>
      </c>
      <c r="J225" s="14" t="n"/>
    </row>
    <row r="226">
      <c r="A226" s="14" t="n"/>
      <c r="B226" s="5">
        <f>IF($A226="","",IFERROR(INDEX('Catálogo'!$D$2:$D$1567,MATCH($A226,'Catálogo'!$A$2:$A$1567,0)),"código no encontrado"))</f>
        <v/>
      </c>
      <c r="C226" s="4">
        <f>IF($A226="","",IFERROR(INDEX('Catálogo'!$H$2:$H$1567,MATCH($A226,'Catálogo'!$A$2:$A$1567,0)),"código no encontrado"))</f>
        <v/>
      </c>
      <c r="D226" s="4">
        <f>IF($A226="","",IFERROR(INDEX('Catálogo'!$I$2:$I$1567,MATCH($A226,'Catálogo'!$A$2:$A$1567,0)),"código no encontrado"))</f>
        <v/>
      </c>
      <c r="E226" s="15" t="n"/>
      <c r="F226" s="10">
        <f>IF($A226="","",IFERROR(INDEX('Catálogo'!$N$2:$N$1567,MATCH($A226,'Catálogo'!$A$2:$A$1567,0)),"código no encontrado"))</f>
        <v/>
      </c>
      <c r="G226" s="10">
        <f>IF(OR($E226="",$F226="",NOT(ISNUMBER($F226))),"",$E226*$F226)</f>
        <v/>
      </c>
      <c r="H226" s="4">
        <f>IF($A226="","",IFERROR(INDEX('Catálogo'!$Q$2:$Q$1567,MATCH($A226,'Catálogo'!$A$2:$A$1567,0)),"código no encontrado"))</f>
        <v/>
      </c>
      <c r="I226" s="10">
        <f>IF($G226="","",IF($H226="Sí",ROUND($G226/1.18,2),$G226))</f>
        <v/>
      </c>
      <c r="J226" s="14" t="n"/>
    </row>
    <row r="227">
      <c r="A227" s="14" t="n"/>
      <c r="B227" s="5">
        <f>IF($A227="","",IFERROR(INDEX('Catálogo'!$D$2:$D$1567,MATCH($A227,'Catálogo'!$A$2:$A$1567,0)),"código no encontrado"))</f>
        <v/>
      </c>
      <c r="C227" s="4">
        <f>IF($A227="","",IFERROR(INDEX('Catálogo'!$H$2:$H$1567,MATCH($A227,'Catálogo'!$A$2:$A$1567,0)),"código no encontrado"))</f>
        <v/>
      </c>
      <c r="D227" s="4">
        <f>IF($A227="","",IFERROR(INDEX('Catálogo'!$I$2:$I$1567,MATCH($A227,'Catálogo'!$A$2:$A$1567,0)),"código no encontrado"))</f>
        <v/>
      </c>
      <c r="E227" s="15" t="n"/>
      <c r="F227" s="10">
        <f>IF($A227="","",IFERROR(INDEX('Catálogo'!$N$2:$N$1567,MATCH($A227,'Catálogo'!$A$2:$A$1567,0)),"código no encontrado"))</f>
        <v/>
      </c>
      <c r="G227" s="10">
        <f>IF(OR($E227="",$F227="",NOT(ISNUMBER($F227))),"",$E227*$F227)</f>
        <v/>
      </c>
      <c r="H227" s="4">
        <f>IF($A227="","",IFERROR(INDEX('Catálogo'!$Q$2:$Q$1567,MATCH($A227,'Catálogo'!$A$2:$A$1567,0)),"código no encontrado"))</f>
        <v/>
      </c>
      <c r="I227" s="10">
        <f>IF($G227="","",IF($H227="Sí",ROUND($G227/1.18,2),$G227))</f>
        <v/>
      </c>
      <c r="J227" s="14" t="n"/>
    </row>
    <row r="228">
      <c r="A228" s="14" t="n"/>
      <c r="B228" s="5">
        <f>IF($A228="","",IFERROR(INDEX('Catálogo'!$D$2:$D$1567,MATCH($A228,'Catálogo'!$A$2:$A$1567,0)),"código no encontrado"))</f>
        <v/>
      </c>
      <c r="C228" s="4">
        <f>IF($A228="","",IFERROR(INDEX('Catálogo'!$H$2:$H$1567,MATCH($A228,'Catálogo'!$A$2:$A$1567,0)),"código no encontrado"))</f>
        <v/>
      </c>
      <c r="D228" s="4">
        <f>IF($A228="","",IFERROR(INDEX('Catálogo'!$I$2:$I$1567,MATCH($A228,'Catálogo'!$A$2:$A$1567,0)),"código no encontrado"))</f>
        <v/>
      </c>
      <c r="E228" s="15" t="n"/>
      <c r="F228" s="10">
        <f>IF($A228="","",IFERROR(INDEX('Catálogo'!$N$2:$N$1567,MATCH($A228,'Catálogo'!$A$2:$A$1567,0)),"código no encontrado"))</f>
        <v/>
      </c>
      <c r="G228" s="10">
        <f>IF(OR($E228="",$F228="",NOT(ISNUMBER($F228))),"",$E228*$F228)</f>
        <v/>
      </c>
      <c r="H228" s="4">
        <f>IF($A228="","",IFERROR(INDEX('Catálogo'!$Q$2:$Q$1567,MATCH($A228,'Catálogo'!$A$2:$A$1567,0)),"código no encontrado"))</f>
        <v/>
      </c>
      <c r="I228" s="10">
        <f>IF($G228="","",IF($H228="Sí",ROUND($G228/1.18,2),$G228))</f>
        <v/>
      </c>
      <c r="J228" s="14" t="n"/>
    </row>
    <row r="229">
      <c r="A229" s="14" t="n"/>
      <c r="B229" s="5">
        <f>IF($A229="","",IFERROR(INDEX('Catálogo'!$D$2:$D$1567,MATCH($A229,'Catálogo'!$A$2:$A$1567,0)),"código no encontrado"))</f>
        <v/>
      </c>
      <c r="C229" s="4">
        <f>IF($A229="","",IFERROR(INDEX('Catálogo'!$H$2:$H$1567,MATCH($A229,'Catálogo'!$A$2:$A$1567,0)),"código no encontrado"))</f>
        <v/>
      </c>
      <c r="D229" s="4">
        <f>IF($A229="","",IFERROR(INDEX('Catálogo'!$I$2:$I$1567,MATCH($A229,'Catálogo'!$A$2:$A$1567,0)),"código no encontrado"))</f>
        <v/>
      </c>
      <c r="E229" s="15" t="n"/>
      <c r="F229" s="10">
        <f>IF($A229="","",IFERROR(INDEX('Catálogo'!$N$2:$N$1567,MATCH($A229,'Catálogo'!$A$2:$A$1567,0)),"código no encontrado"))</f>
        <v/>
      </c>
      <c r="G229" s="10">
        <f>IF(OR($E229="",$F229="",NOT(ISNUMBER($F229))),"",$E229*$F229)</f>
        <v/>
      </c>
      <c r="H229" s="4">
        <f>IF($A229="","",IFERROR(INDEX('Catálogo'!$Q$2:$Q$1567,MATCH($A229,'Catálogo'!$A$2:$A$1567,0)),"código no encontrado"))</f>
        <v/>
      </c>
      <c r="I229" s="10">
        <f>IF($G229="","",IF($H229="Sí",ROUND($G229/1.18,2),$G229))</f>
        <v/>
      </c>
      <c r="J229" s="14" t="n"/>
    </row>
    <row r="230">
      <c r="A230" s="14" t="n"/>
      <c r="B230" s="5">
        <f>IF($A230="","",IFERROR(INDEX('Catálogo'!$D$2:$D$1567,MATCH($A230,'Catálogo'!$A$2:$A$1567,0)),"código no encontrado"))</f>
        <v/>
      </c>
      <c r="C230" s="4">
        <f>IF($A230="","",IFERROR(INDEX('Catálogo'!$H$2:$H$1567,MATCH($A230,'Catálogo'!$A$2:$A$1567,0)),"código no encontrado"))</f>
        <v/>
      </c>
      <c r="D230" s="4">
        <f>IF($A230="","",IFERROR(INDEX('Catálogo'!$I$2:$I$1567,MATCH($A230,'Catálogo'!$A$2:$A$1567,0)),"código no encontrado"))</f>
        <v/>
      </c>
      <c r="E230" s="15" t="n"/>
      <c r="F230" s="10">
        <f>IF($A230="","",IFERROR(INDEX('Catálogo'!$N$2:$N$1567,MATCH($A230,'Catálogo'!$A$2:$A$1567,0)),"código no encontrado"))</f>
        <v/>
      </c>
      <c r="G230" s="10">
        <f>IF(OR($E230="",$F230="",NOT(ISNUMBER($F230))),"",$E230*$F230)</f>
        <v/>
      </c>
      <c r="H230" s="4">
        <f>IF($A230="","",IFERROR(INDEX('Catálogo'!$Q$2:$Q$1567,MATCH($A230,'Catálogo'!$A$2:$A$1567,0)),"código no encontrado"))</f>
        <v/>
      </c>
      <c r="I230" s="10">
        <f>IF($G230="","",IF($H230="Sí",ROUND($G230/1.18,2),$G230))</f>
        <v/>
      </c>
      <c r="J230" s="14" t="n"/>
    </row>
    <row r="231">
      <c r="A231" s="14" t="n"/>
      <c r="B231" s="5">
        <f>IF($A231="","",IFERROR(INDEX('Catálogo'!$D$2:$D$1567,MATCH($A231,'Catálogo'!$A$2:$A$1567,0)),"código no encontrado"))</f>
        <v/>
      </c>
      <c r="C231" s="4">
        <f>IF($A231="","",IFERROR(INDEX('Catálogo'!$H$2:$H$1567,MATCH($A231,'Catálogo'!$A$2:$A$1567,0)),"código no encontrado"))</f>
        <v/>
      </c>
      <c r="D231" s="4">
        <f>IF($A231="","",IFERROR(INDEX('Catálogo'!$I$2:$I$1567,MATCH($A231,'Catálogo'!$A$2:$A$1567,0)),"código no encontrado"))</f>
        <v/>
      </c>
      <c r="E231" s="15" t="n"/>
      <c r="F231" s="10">
        <f>IF($A231="","",IFERROR(INDEX('Catálogo'!$N$2:$N$1567,MATCH($A231,'Catálogo'!$A$2:$A$1567,0)),"código no encontrado"))</f>
        <v/>
      </c>
      <c r="G231" s="10">
        <f>IF(OR($E231="",$F231="",NOT(ISNUMBER($F231))),"",$E231*$F231)</f>
        <v/>
      </c>
      <c r="H231" s="4">
        <f>IF($A231="","",IFERROR(INDEX('Catálogo'!$Q$2:$Q$1567,MATCH($A231,'Catálogo'!$A$2:$A$1567,0)),"código no encontrado"))</f>
        <v/>
      </c>
      <c r="I231" s="10">
        <f>IF($G231="","",IF($H231="Sí",ROUND($G231/1.18,2),$G231))</f>
        <v/>
      </c>
      <c r="J231" s="14" t="n"/>
    </row>
    <row r="232">
      <c r="A232" s="14" t="n"/>
      <c r="B232" s="5">
        <f>IF($A232="","",IFERROR(INDEX('Catálogo'!$D$2:$D$1567,MATCH($A232,'Catálogo'!$A$2:$A$1567,0)),"código no encontrado"))</f>
        <v/>
      </c>
      <c r="C232" s="4">
        <f>IF($A232="","",IFERROR(INDEX('Catálogo'!$H$2:$H$1567,MATCH($A232,'Catálogo'!$A$2:$A$1567,0)),"código no encontrado"))</f>
        <v/>
      </c>
      <c r="D232" s="4">
        <f>IF($A232="","",IFERROR(INDEX('Catálogo'!$I$2:$I$1567,MATCH($A232,'Catálogo'!$A$2:$A$1567,0)),"código no encontrado"))</f>
        <v/>
      </c>
      <c r="E232" s="15" t="n"/>
      <c r="F232" s="10">
        <f>IF($A232="","",IFERROR(INDEX('Catálogo'!$N$2:$N$1567,MATCH($A232,'Catálogo'!$A$2:$A$1567,0)),"código no encontrado"))</f>
        <v/>
      </c>
      <c r="G232" s="10">
        <f>IF(OR($E232="",$F232="",NOT(ISNUMBER($F232))),"",$E232*$F232)</f>
        <v/>
      </c>
      <c r="H232" s="4">
        <f>IF($A232="","",IFERROR(INDEX('Catálogo'!$Q$2:$Q$1567,MATCH($A232,'Catálogo'!$A$2:$A$1567,0)),"código no encontrado"))</f>
        <v/>
      </c>
      <c r="I232" s="10">
        <f>IF($G232="","",IF($H232="Sí",ROUND($G232/1.18,2),$G232))</f>
        <v/>
      </c>
      <c r="J232" s="14" t="n"/>
    </row>
    <row r="233">
      <c r="A233" s="14" t="n"/>
      <c r="B233" s="5">
        <f>IF($A233="","",IFERROR(INDEX('Catálogo'!$D$2:$D$1567,MATCH($A233,'Catálogo'!$A$2:$A$1567,0)),"código no encontrado"))</f>
        <v/>
      </c>
      <c r="C233" s="4">
        <f>IF($A233="","",IFERROR(INDEX('Catálogo'!$H$2:$H$1567,MATCH($A233,'Catálogo'!$A$2:$A$1567,0)),"código no encontrado"))</f>
        <v/>
      </c>
      <c r="D233" s="4">
        <f>IF($A233="","",IFERROR(INDEX('Catálogo'!$I$2:$I$1567,MATCH($A233,'Catálogo'!$A$2:$A$1567,0)),"código no encontrado"))</f>
        <v/>
      </c>
      <c r="E233" s="15" t="n"/>
      <c r="F233" s="10">
        <f>IF($A233="","",IFERROR(INDEX('Catálogo'!$N$2:$N$1567,MATCH($A233,'Catálogo'!$A$2:$A$1567,0)),"código no encontrado"))</f>
        <v/>
      </c>
      <c r="G233" s="10">
        <f>IF(OR($E233="",$F233="",NOT(ISNUMBER($F233))),"",$E233*$F233)</f>
        <v/>
      </c>
      <c r="H233" s="4">
        <f>IF($A233="","",IFERROR(INDEX('Catálogo'!$Q$2:$Q$1567,MATCH($A233,'Catálogo'!$A$2:$A$1567,0)),"código no encontrado"))</f>
        <v/>
      </c>
      <c r="I233" s="10">
        <f>IF($G233="","",IF($H233="Sí",ROUND($G233/1.18,2),$G233))</f>
        <v/>
      </c>
      <c r="J233" s="14" t="n"/>
    </row>
    <row r="234">
      <c r="A234" s="14" t="n"/>
      <c r="B234" s="5">
        <f>IF($A234="","",IFERROR(INDEX('Catálogo'!$D$2:$D$1567,MATCH($A234,'Catálogo'!$A$2:$A$1567,0)),"código no encontrado"))</f>
        <v/>
      </c>
      <c r="C234" s="4">
        <f>IF($A234="","",IFERROR(INDEX('Catálogo'!$H$2:$H$1567,MATCH($A234,'Catálogo'!$A$2:$A$1567,0)),"código no encontrado"))</f>
        <v/>
      </c>
      <c r="D234" s="4">
        <f>IF($A234="","",IFERROR(INDEX('Catálogo'!$I$2:$I$1567,MATCH($A234,'Catálogo'!$A$2:$A$1567,0)),"código no encontrado"))</f>
        <v/>
      </c>
      <c r="E234" s="15" t="n"/>
      <c r="F234" s="10">
        <f>IF($A234="","",IFERROR(INDEX('Catálogo'!$N$2:$N$1567,MATCH($A234,'Catálogo'!$A$2:$A$1567,0)),"código no encontrado"))</f>
        <v/>
      </c>
      <c r="G234" s="10">
        <f>IF(OR($E234="",$F234="",NOT(ISNUMBER($F234))),"",$E234*$F234)</f>
        <v/>
      </c>
      <c r="H234" s="4">
        <f>IF($A234="","",IFERROR(INDEX('Catálogo'!$Q$2:$Q$1567,MATCH($A234,'Catálogo'!$A$2:$A$1567,0)),"código no encontrado"))</f>
        <v/>
      </c>
      <c r="I234" s="10">
        <f>IF($G234="","",IF($H234="Sí",ROUND($G234/1.18,2),$G234))</f>
        <v/>
      </c>
      <c r="J234" s="14" t="n"/>
    </row>
    <row r="235">
      <c r="A235" s="14" t="n"/>
      <c r="B235" s="5">
        <f>IF($A235="","",IFERROR(INDEX('Catálogo'!$D$2:$D$1567,MATCH($A235,'Catálogo'!$A$2:$A$1567,0)),"código no encontrado"))</f>
        <v/>
      </c>
      <c r="C235" s="4">
        <f>IF($A235="","",IFERROR(INDEX('Catálogo'!$H$2:$H$1567,MATCH($A235,'Catálogo'!$A$2:$A$1567,0)),"código no encontrado"))</f>
        <v/>
      </c>
      <c r="D235" s="4">
        <f>IF($A235="","",IFERROR(INDEX('Catálogo'!$I$2:$I$1567,MATCH($A235,'Catálogo'!$A$2:$A$1567,0)),"código no encontrado"))</f>
        <v/>
      </c>
      <c r="E235" s="15" t="n"/>
      <c r="F235" s="10">
        <f>IF($A235="","",IFERROR(INDEX('Catálogo'!$N$2:$N$1567,MATCH($A235,'Catálogo'!$A$2:$A$1567,0)),"código no encontrado"))</f>
        <v/>
      </c>
      <c r="G235" s="10">
        <f>IF(OR($E235="",$F235="",NOT(ISNUMBER($F235))),"",$E235*$F235)</f>
        <v/>
      </c>
      <c r="H235" s="4">
        <f>IF($A235="","",IFERROR(INDEX('Catálogo'!$Q$2:$Q$1567,MATCH($A235,'Catálogo'!$A$2:$A$1567,0)),"código no encontrado"))</f>
        <v/>
      </c>
      <c r="I235" s="10">
        <f>IF($G235="","",IF($H235="Sí",ROUND($G235/1.18,2),$G235))</f>
        <v/>
      </c>
      <c r="J235" s="14" t="n"/>
    </row>
    <row r="236">
      <c r="A236" s="14" t="n"/>
      <c r="B236" s="5">
        <f>IF($A236="","",IFERROR(INDEX('Catálogo'!$D$2:$D$1567,MATCH($A236,'Catálogo'!$A$2:$A$1567,0)),"código no encontrado"))</f>
        <v/>
      </c>
      <c r="C236" s="4">
        <f>IF($A236="","",IFERROR(INDEX('Catálogo'!$H$2:$H$1567,MATCH($A236,'Catálogo'!$A$2:$A$1567,0)),"código no encontrado"))</f>
        <v/>
      </c>
      <c r="D236" s="4">
        <f>IF($A236="","",IFERROR(INDEX('Catálogo'!$I$2:$I$1567,MATCH($A236,'Catálogo'!$A$2:$A$1567,0)),"código no encontrado"))</f>
        <v/>
      </c>
      <c r="E236" s="15" t="n"/>
      <c r="F236" s="10">
        <f>IF($A236="","",IFERROR(INDEX('Catálogo'!$N$2:$N$1567,MATCH($A236,'Catálogo'!$A$2:$A$1567,0)),"código no encontrado"))</f>
        <v/>
      </c>
      <c r="G236" s="10">
        <f>IF(OR($E236="",$F236="",NOT(ISNUMBER($F236))),"",$E236*$F236)</f>
        <v/>
      </c>
      <c r="H236" s="4">
        <f>IF($A236="","",IFERROR(INDEX('Catálogo'!$Q$2:$Q$1567,MATCH($A236,'Catálogo'!$A$2:$A$1567,0)),"código no encontrado"))</f>
        <v/>
      </c>
      <c r="I236" s="10">
        <f>IF($G236="","",IF($H236="Sí",ROUND($G236/1.18,2),$G236))</f>
        <v/>
      </c>
      <c r="J236" s="14" t="n"/>
    </row>
    <row r="237">
      <c r="A237" s="14" t="n"/>
      <c r="B237" s="5">
        <f>IF($A237="","",IFERROR(INDEX('Catálogo'!$D$2:$D$1567,MATCH($A237,'Catálogo'!$A$2:$A$1567,0)),"código no encontrado"))</f>
        <v/>
      </c>
      <c r="C237" s="4">
        <f>IF($A237="","",IFERROR(INDEX('Catálogo'!$H$2:$H$1567,MATCH($A237,'Catálogo'!$A$2:$A$1567,0)),"código no encontrado"))</f>
        <v/>
      </c>
      <c r="D237" s="4">
        <f>IF($A237="","",IFERROR(INDEX('Catálogo'!$I$2:$I$1567,MATCH($A237,'Catálogo'!$A$2:$A$1567,0)),"código no encontrado"))</f>
        <v/>
      </c>
      <c r="E237" s="15" t="n"/>
      <c r="F237" s="10">
        <f>IF($A237="","",IFERROR(INDEX('Catálogo'!$N$2:$N$1567,MATCH($A237,'Catálogo'!$A$2:$A$1567,0)),"código no encontrado"))</f>
        <v/>
      </c>
      <c r="G237" s="10">
        <f>IF(OR($E237="",$F237="",NOT(ISNUMBER($F237))),"",$E237*$F237)</f>
        <v/>
      </c>
      <c r="H237" s="4">
        <f>IF($A237="","",IFERROR(INDEX('Catálogo'!$Q$2:$Q$1567,MATCH($A237,'Catálogo'!$A$2:$A$1567,0)),"código no encontrado"))</f>
        <v/>
      </c>
      <c r="I237" s="10">
        <f>IF($G237="","",IF($H237="Sí",ROUND($G237/1.18,2),$G237))</f>
        <v/>
      </c>
      <c r="J237" s="14" t="n"/>
    </row>
    <row r="238">
      <c r="A238" s="14" t="n"/>
      <c r="B238" s="5">
        <f>IF($A238="","",IFERROR(INDEX('Catálogo'!$D$2:$D$1567,MATCH($A238,'Catálogo'!$A$2:$A$1567,0)),"código no encontrado"))</f>
        <v/>
      </c>
      <c r="C238" s="4">
        <f>IF($A238="","",IFERROR(INDEX('Catálogo'!$H$2:$H$1567,MATCH($A238,'Catálogo'!$A$2:$A$1567,0)),"código no encontrado"))</f>
        <v/>
      </c>
      <c r="D238" s="4">
        <f>IF($A238="","",IFERROR(INDEX('Catálogo'!$I$2:$I$1567,MATCH($A238,'Catálogo'!$A$2:$A$1567,0)),"código no encontrado"))</f>
        <v/>
      </c>
      <c r="E238" s="15" t="n"/>
      <c r="F238" s="10">
        <f>IF($A238="","",IFERROR(INDEX('Catálogo'!$N$2:$N$1567,MATCH($A238,'Catálogo'!$A$2:$A$1567,0)),"código no encontrado"))</f>
        <v/>
      </c>
      <c r="G238" s="10">
        <f>IF(OR($E238="",$F238="",NOT(ISNUMBER($F238))),"",$E238*$F238)</f>
        <v/>
      </c>
      <c r="H238" s="4">
        <f>IF($A238="","",IFERROR(INDEX('Catálogo'!$Q$2:$Q$1567,MATCH($A238,'Catálogo'!$A$2:$A$1567,0)),"código no encontrado"))</f>
        <v/>
      </c>
      <c r="I238" s="10">
        <f>IF($G238="","",IF($H238="Sí",ROUND($G238/1.18,2),$G238))</f>
        <v/>
      </c>
      <c r="J238" s="14" t="n"/>
    </row>
    <row r="239">
      <c r="A239" s="14" t="n"/>
      <c r="B239" s="5">
        <f>IF($A239="","",IFERROR(INDEX('Catálogo'!$D$2:$D$1567,MATCH($A239,'Catálogo'!$A$2:$A$1567,0)),"código no encontrado"))</f>
        <v/>
      </c>
      <c r="C239" s="4">
        <f>IF($A239="","",IFERROR(INDEX('Catálogo'!$H$2:$H$1567,MATCH($A239,'Catálogo'!$A$2:$A$1567,0)),"código no encontrado"))</f>
        <v/>
      </c>
      <c r="D239" s="4">
        <f>IF($A239="","",IFERROR(INDEX('Catálogo'!$I$2:$I$1567,MATCH($A239,'Catálogo'!$A$2:$A$1567,0)),"código no encontrado"))</f>
        <v/>
      </c>
      <c r="E239" s="15" t="n"/>
      <c r="F239" s="10">
        <f>IF($A239="","",IFERROR(INDEX('Catálogo'!$N$2:$N$1567,MATCH($A239,'Catálogo'!$A$2:$A$1567,0)),"código no encontrado"))</f>
        <v/>
      </c>
      <c r="G239" s="10">
        <f>IF(OR($E239="",$F239="",NOT(ISNUMBER($F239))),"",$E239*$F239)</f>
        <v/>
      </c>
      <c r="H239" s="4">
        <f>IF($A239="","",IFERROR(INDEX('Catálogo'!$Q$2:$Q$1567,MATCH($A239,'Catálogo'!$A$2:$A$1567,0)),"código no encontrado"))</f>
        <v/>
      </c>
      <c r="I239" s="10">
        <f>IF($G239="","",IF($H239="Sí",ROUND($G239/1.18,2),$G239))</f>
        <v/>
      </c>
      <c r="J239" s="14" t="n"/>
    </row>
    <row r="240">
      <c r="A240" s="14" t="n"/>
      <c r="B240" s="5">
        <f>IF($A240="","",IFERROR(INDEX('Catálogo'!$D$2:$D$1567,MATCH($A240,'Catálogo'!$A$2:$A$1567,0)),"código no encontrado"))</f>
        <v/>
      </c>
      <c r="C240" s="4">
        <f>IF($A240="","",IFERROR(INDEX('Catálogo'!$H$2:$H$1567,MATCH($A240,'Catálogo'!$A$2:$A$1567,0)),"código no encontrado"))</f>
        <v/>
      </c>
      <c r="D240" s="4">
        <f>IF($A240="","",IFERROR(INDEX('Catálogo'!$I$2:$I$1567,MATCH($A240,'Catálogo'!$A$2:$A$1567,0)),"código no encontrado"))</f>
        <v/>
      </c>
      <c r="E240" s="15" t="n"/>
      <c r="F240" s="10">
        <f>IF($A240="","",IFERROR(INDEX('Catálogo'!$N$2:$N$1567,MATCH($A240,'Catálogo'!$A$2:$A$1567,0)),"código no encontrado"))</f>
        <v/>
      </c>
      <c r="G240" s="10">
        <f>IF(OR($E240="",$F240="",NOT(ISNUMBER($F240))),"",$E240*$F240)</f>
        <v/>
      </c>
      <c r="H240" s="4">
        <f>IF($A240="","",IFERROR(INDEX('Catálogo'!$Q$2:$Q$1567,MATCH($A240,'Catálogo'!$A$2:$A$1567,0)),"código no encontrado"))</f>
        <v/>
      </c>
      <c r="I240" s="10">
        <f>IF($G240="","",IF($H240="Sí",ROUND($G240/1.18,2),$G240))</f>
        <v/>
      </c>
      <c r="J240" s="14" t="n"/>
    </row>
    <row r="241">
      <c r="A241" s="14" t="n"/>
      <c r="B241" s="5">
        <f>IF($A241="","",IFERROR(INDEX('Catálogo'!$D$2:$D$1567,MATCH($A241,'Catálogo'!$A$2:$A$1567,0)),"código no encontrado"))</f>
        <v/>
      </c>
      <c r="C241" s="4">
        <f>IF($A241="","",IFERROR(INDEX('Catálogo'!$H$2:$H$1567,MATCH($A241,'Catálogo'!$A$2:$A$1567,0)),"código no encontrado"))</f>
        <v/>
      </c>
      <c r="D241" s="4">
        <f>IF($A241="","",IFERROR(INDEX('Catálogo'!$I$2:$I$1567,MATCH($A241,'Catálogo'!$A$2:$A$1567,0)),"código no encontrado"))</f>
        <v/>
      </c>
      <c r="E241" s="15" t="n"/>
      <c r="F241" s="10">
        <f>IF($A241="","",IFERROR(INDEX('Catálogo'!$N$2:$N$1567,MATCH($A241,'Catálogo'!$A$2:$A$1567,0)),"código no encontrado"))</f>
        <v/>
      </c>
      <c r="G241" s="10">
        <f>IF(OR($E241="",$F241="",NOT(ISNUMBER($F241))),"",$E241*$F241)</f>
        <v/>
      </c>
      <c r="H241" s="4">
        <f>IF($A241="","",IFERROR(INDEX('Catálogo'!$Q$2:$Q$1567,MATCH($A241,'Catálogo'!$A$2:$A$1567,0)),"código no encontrado"))</f>
        <v/>
      </c>
      <c r="I241" s="10">
        <f>IF($G241="","",IF($H241="Sí",ROUND($G241/1.18,2),$G241))</f>
        <v/>
      </c>
      <c r="J241" s="14" t="n"/>
    </row>
    <row r="242">
      <c r="A242" s="14" t="n"/>
      <c r="B242" s="5">
        <f>IF($A242="","",IFERROR(INDEX('Catálogo'!$D$2:$D$1567,MATCH($A242,'Catálogo'!$A$2:$A$1567,0)),"código no encontrado"))</f>
        <v/>
      </c>
      <c r="C242" s="4">
        <f>IF($A242="","",IFERROR(INDEX('Catálogo'!$H$2:$H$1567,MATCH($A242,'Catálogo'!$A$2:$A$1567,0)),"código no encontrado"))</f>
        <v/>
      </c>
      <c r="D242" s="4">
        <f>IF($A242="","",IFERROR(INDEX('Catálogo'!$I$2:$I$1567,MATCH($A242,'Catálogo'!$A$2:$A$1567,0)),"código no encontrado"))</f>
        <v/>
      </c>
      <c r="E242" s="15" t="n"/>
      <c r="F242" s="10">
        <f>IF($A242="","",IFERROR(INDEX('Catálogo'!$N$2:$N$1567,MATCH($A242,'Catálogo'!$A$2:$A$1567,0)),"código no encontrado"))</f>
        <v/>
      </c>
      <c r="G242" s="10">
        <f>IF(OR($E242="",$F242="",NOT(ISNUMBER($F242))),"",$E242*$F242)</f>
        <v/>
      </c>
      <c r="H242" s="4">
        <f>IF($A242="","",IFERROR(INDEX('Catálogo'!$Q$2:$Q$1567,MATCH($A242,'Catálogo'!$A$2:$A$1567,0)),"código no encontrado"))</f>
        <v/>
      </c>
      <c r="I242" s="10">
        <f>IF($G242="","",IF($H242="Sí",ROUND($G242/1.18,2),$G242))</f>
        <v/>
      </c>
      <c r="J242" s="14" t="n"/>
    </row>
    <row r="243">
      <c r="A243" s="14" t="n"/>
      <c r="B243" s="5">
        <f>IF($A243="","",IFERROR(INDEX('Catálogo'!$D$2:$D$1567,MATCH($A243,'Catálogo'!$A$2:$A$1567,0)),"código no encontrado"))</f>
        <v/>
      </c>
      <c r="C243" s="4">
        <f>IF($A243="","",IFERROR(INDEX('Catálogo'!$H$2:$H$1567,MATCH($A243,'Catálogo'!$A$2:$A$1567,0)),"código no encontrado"))</f>
        <v/>
      </c>
      <c r="D243" s="4">
        <f>IF($A243="","",IFERROR(INDEX('Catálogo'!$I$2:$I$1567,MATCH($A243,'Catálogo'!$A$2:$A$1567,0)),"código no encontrado"))</f>
        <v/>
      </c>
      <c r="E243" s="15" t="n"/>
      <c r="F243" s="10">
        <f>IF($A243="","",IFERROR(INDEX('Catálogo'!$N$2:$N$1567,MATCH($A243,'Catálogo'!$A$2:$A$1567,0)),"código no encontrado"))</f>
        <v/>
      </c>
      <c r="G243" s="10">
        <f>IF(OR($E243="",$F243="",NOT(ISNUMBER($F243))),"",$E243*$F243)</f>
        <v/>
      </c>
      <c r="H243" s="4">
        <f>IF($A243="","",IFERROR(INDEX('Catálogo'!$Q$2:$Q$1567,MATCH($A243,'Catálogo'!$A$2:$A$1567,0)),"código no encontrado"))</f>
        <v/>
      </c>
      <c r="I243" s="10">
        <f>IF($G243="","",IF($H243="Sí",ROUND($G243/1.18,2),$G243))</f>
        <v/>
      </c>
      <c r="J243" s="14" t="n"/>
    </row>
    <row r="244">
      <c r="A244" s="14" t="n"/>
      <c r="B244" s="5">
        <f>IF($A244="","",IFERROR(INDEX('Catálogo'!$D$2:$D$1567,MATCH($A244,'Catálogo'!$A$2:$A$1567,0)),"código no encontrado"))</f>
        <v/>
      </c>
      <c r="C244" s="4">
        <f>IF($A244="","",IFERROR(INDEX('Catálogo'!$H$2:$H$1567,MATCH($A244,'Catálogo'!$A$2:$A$1567,0)),"código no encontrado"))</f>
        <v/>
      </c>
      <c r="D244" s="4">
        <f>IF($A244="","",IFERROR(INDEX('Catálogo'!$I$2:$I$1567,MATCH($A244,'Catálogo'!$A$2:$A$1567,0)),"código no encontrado"))</f>
        <v/>
      </c>
      <c r="E244" s="15" t="n"/>
      <c r="F244" s="10">
        <f>IF($A244="","",IFERROR(INDEX('Catálogo'!$N$2:$N$1567,MATCH($A244,'Catálogo'!$A$2:$A$1567,0)),"código no encontrado"))</f>
        <v/>
      </c>
      <c r="G244" s="10">
        <f>IF(OR($E244="",$F244="",NOT(ISNUMBER($F244))),"",$E244*$F244)</f>
        <v/>
      </c>
      <c r="H244" s="4">
        <f>IF($A244="","",IFERROR(INDEX('Catálogo'!$Q$2:$Q$1567,MATCH($A244,'Catálogo'!$A$2:$A$1567,0)),"código no encontrado"))</f>
        <v/>
      </c>
      <c r="I244" s="10">
        <f>IF($G244="","",IF($H244="Sí",ROUND($G244/1.18,2),$G244))</f>
        <v/>
      </c>
      <c r="J244" s="14" t="n"/>
    </row>
    <row r="245">
      <c r="A245" s="14" t="n"/>
      <c r="B245" s="5">
        <f>IF($A245="","",IFERROR(INDEX('Catálogo'!$D$2:$D$1567,MATCH($A245,'Catálogo'!$A$2:$A$1567,0)),"código no encontrado"))</f>
        <v/>
      </c>
      <c r="C245" s="4">
        <f>IF($A245="","",IFERROR(INDEX('Catálogo'!$H$2:$H$1567,MATCH($A245,'Catálogo'!$A$2:$A$1567,0)),"código no encontrado"))</f>
        <v/>
      </c>
      <c r="D245" s="4">
        <f>IF($A245="","",IFERROR(INDEX('Catálogo'!$I$2:$I$1567,MATCH($A245,'Catálogo'!$A$2:$A$1567,0)),"código no encontrado"))</f>
        <v/>
      </c>
      <c r="E245" s="15" t="n"/>
      <c r="F245" s="10">
        <f>IF($A245="","",IFERROR(INDEX('Catálogo'!$N$2:$N$1567,MATCH($A245,'Catálogo'!$A$2:$A$1567,0)),"código no encontrado"))</f>
        <v/>
      </c>
      <c r="G245" s="10">
        <f>IF(OR($E245="",$F245="",NOT(ISNUMBER($F245))),"",$E245*$F245)</f>
        <v/>
      </c>
      <c r="H245" s="4">
        <f>IF($A245="","",IFERROR(INDEX('Catálogo'!$Q$2:$Q$1567,MATCH($A245,'Catálogo'!$A$2:$A$1567,0)),"código no encontrado"))</f>
        <v/>
      </c>
      <c r="I245" s="10">
        <f>IF($G245="","",IF($H245="Sí",ROUND($G245/1.18,2),$G245))</f>
        <v/>
      </c>
      <c r="J245" s="14" t="n"/>
    </row>
    <row r="246">
      <c r="A246" s="14" t="n"/>
      <c r="B246" s="5">
        <f>IF($A246="","",IFERROR(INDEX('Catálogo'!$D$2:$D$1567,MATCH($A246,'Catálogo'!$A$2:$A$1567,0)),"código no encontrado"))</f>
        <v/>
      </c>
      <c r="C246" s="4">
        <f>IF($A246="","",IFERROR(INDEX('Catálogo'!$H$2:$H$1567,MATCH($A246,'Catálogo'!$A$2:$A$1567,0)),"código no encontrado"))</f>
        <v/>
      </c>
      <c r="D246" s="4">
        <f>IF($A246="","",IFERROR(INDEX('Catálogo'!$I$2:$I$1567,MATCH($A246,'Catálogo'!$A$2:$A$1567,0)),"código no encontrado"))</f>
        <v/>
      </c>
      <c r="E246" s="15" t="n"/>
      <c r="F246" s="10">
        <f>IF($A246="","",IFERROR(INDEX('Catálogo'!$N$2:$N$1567,MATCH($A246,'Catálogo'!$A$2:$A$1567,0)),"código no encontrado"))</f>
        <v/>
      </c>
      <c r="G246" s="10">
        <f>IF(OR($E246="",$F246="",NOT(ISNUMBER($F246))),"",$E246*$F246)</f>
        <v/>
      </c>
      <c r="H246" s="4">
        <f>IF($A246="","",IFERROR(INDEX('Catálogo'!$Q$2:$Q$1567,MATCH($A246,'Catálogo'!$A$2:$A$1567,0)),"código no encontrado"))</f>
        <v/>
      </c>
      <c r="I246" s="10">
        <f>IF($G246="","",IF($H246="Sí",ROUND($G246/1.18,2),$G246))</f>
        <v/>
      </c>
      <c r="J246" s="14" t="n"/>
    </row>
    <row r="247">
      <c r="A247" s="14" t="n"/>
      <c r="B247" s="5">
        <f>IF($A247="","",IFERROR(INDEX('Catálogo'!$D$2:$D$1567,MATCH($A247,'Catálogo'!$A$2:$A$1567,0)),"código no encontrado"))</f>
        <v/>
      </c>
      <c r="C247" s="4">
        <f>IF($A247="","",IFERROR(INDEX('Catálogo'!$H$2:$H$1567,MATCH($A247,'Catálogo'!$A$2:$A$1567,0)),"código no encontrado"))</f>
        <v/>
      </c>
      <c r="D247" s="4">
        <f>IF($A247="","",IFERROR(INDEX('Catálogo'!$I$2:$I$1567,MATCH($A247,'Catálogo'!$A$2:$A$1567,0)),"código no encontrado"))</f>
        <v/>
      </c>
      <c r="E247" s="15" t="n"/>
      <c r="F247" s="10">
        <f>IF($A247="","",IFERROR(INDEX('Catálogo'!$N$2:$N$1567,MATCH($A247,'Catálogo'!$A$2:$A$1567,0)),"código no encontrado"))</f>
        <v/>
      </c>
      <c r="G247" s="10">
        <f>IF(OR($E247="",$F247="",NOT(ISNUMBER($F247))),"",$E247*$F247)</f>
        <v/>
      </c>
      <c r="H247" s="4">
        <f>IF($A247="","",IFERROR(INDEX('Catálogo'!$Q$2:$Q$1567,MATCH($A247,'Catálogo'!$A$2:$A$1567,0)),"código no encontrado"))</f>
        <v/>
      </c>
      <c r="I247" s="10">
        <f>IF($G247="","",IF($H247="Sí",ROUND($G247/1.18,2),$G247))</f>
        <v/>
      </c>
      <c r="J247" s="14" t="n"/>
    </row>
    <row r="248">
      <c r="A248" s="14" t="n"/>
      <c r="B248" s="5">
        <f>IF($A248="","",IFERROR(INDEX('Catálogo'!$D$2:$D$1567,MATCH($A248,'Catálogo'!$A$2:$A$1567,0)),"código no encontrado"))</f>
        <v/>
      </c>
      <c r="C248" s="4">
        <f>IF($A248="","",IFERROR(INDEX('Catálogo'!$H$2:$H$1567,MATCH($A248,'Catálogo'!$A$2:$A$1567,0)),"código no encontrado"))</f>
        <v/>
      </c>
      <c r="D248" s="4">
        <f>IF($A248="","",IFERROR(INDEX('Catálogo'!$I$2:$I$1567,MATCH($A248,'Catálogo'!$A$2:$A$1567,0)),"código no encontrado"))</f>
        <v/>
      </c>
      <c r="E248" s="15" t="n"/>
      <c r="F248" s="10">
        <f>IF($A248="","",IFERROR(INDEX('Catálogo'!$N$2:$N$1567,MATCH($A248,'Catálogo'!$A$2:$A$1567,0)),"código no encontrado"))</f>
        <v/>
      </c>
      <c r="G248" s="10">
        <f>IF(OR($E248="",$F248="",NOT(ISNUMBER($F248))),"",$E248*$F248)</f>
        <v/>
      </c>
      <c r="H248" s="4">
        <f>IF($A248="","",IFERROR(INDEX('Catálogo'!$Q$2:$Q$1567,MATCH($A248,'Catálogo'!$A$2:$A$1567,0)),"código no encontrado"))</f>
        <v/>
      </c>
      <c r="I248" s="10">
        <f>IF($G248="","",IF($H248="Sí",ROUND($G248/1.18,2),$G248))</f>
        <v/>
      </c>
      <c r="J248" s="14" t="n"/>
    </row>
    <row r="249">
      <c r="A249" s="14" t="n"/>
      <c r="B249" s="5">
        <f>IF($A249="","",IFERROR(INDEX('Catálogo'!$D$2:$D$1567,MATCH($A249,'Catálogo'!$A$2:$A$1567,0)),"código no encontrado"))</f>
        <v/>
      </c>
      <c r="C249" s="4">
        <f>IF($A249="","",IFERROR(INDEX('Catálogo'!$H$2:$H$1567,MATCH($A249,'Catálogo'!$A$2:$A$1567,0)),"código no encontrado"))</f>
        <v/>
      </c>
      <c r="D249" s="4">
        <f>IF($A249="","",IFERROR(INDEX('Catálogo'!$I$2:$I$1567,MATCH($A249,'Catálogo'!$A$2:$A$1567,0)),"código no encontrado"))</f>
        <v/>
      </c>
      <c r="E249" s="15" t="n"/>
      <c r="F249" s="10">
        <f>IF($A249="","",IFERROR(INDEX('Catálogo'!$N$2:$N$1567,MATCH($A249,'Catálogo'!$A$2:$A$1567,0)),"código no encontrado"))</f>
        <v/>
      </c>
      <c r="G249" s="10">
        <f>IF(OR($E249="",$F249="",NOT(ISNUMBER($F249))),"",$E249*$F249)</f>
        <v/>
      </c>
      <c r="H249" s="4">
        <f>IF($A249="","",IFERROR(INDEX('Catálogo'!$Q$2:$Q$1567,MATCH($A249,'Catálogo'!$A$2:$A$1567,0)),"código no encontrado"))</f>
        <v/>
      </c>
      <c r="I249" s="10">
        <f>IF($G249="","",IF($H249="Sí",ROUND($G249/1.18,2),$G249))</f>
        <v/>
      </c>
      <c r="J249" s="14" t="n"/>
    </row>
    <row r="250">
      <c r="A250" s="14" t="n"/>
      <c r="B250" s="5">
        <f>IF($A250="","",IFERROR(INDEX('Catálogo'!$D$2:$D$1567,MATCH($A250,'Catálogo'!$A$2:$A$1567,0)),"código no encontrado"))</f>
        <v/>
      </c>
      <c r="C250" s="4">
        <f>IF($A250="","",IFERROR(INDEX('Catálogo'!$H$2:$H$1567,MATCH($A250,'Catálogo'!$A$2:$A$1567,0)),"código no encontrado"))</f>
        <v/>
      </c>
      <c r="D250" s="4">
        <f>IF($A250="","",IFERROR(INDEX('Catálogo'!$I$2:$I$1567,MATCH($A250,'Catálogo'!$A$2:$A$1567,0)),"código no encontrado"))</f>
        <v/>
      </c>
      <c r="E250" s="15" t="n"/>
      <c r="F250" s="10">
        <f>IF($A250="","",IFERROR(INDEX('Catálogo'!$N$2:$N$1567,MATCH($A250,'Catálogo'!$A$2:$A$1567,0)),"código no encontrado"))</f>
        <v/>
      </c>
      <c r="G250" s="10">
        <f>IF(OR($E250="",$F250="",NOT(ISNUMBER($F250))),"",$E250*$F250)</f>
        <v/>
      </c>
      <c r="H250" s="4">
        <f>IF($A250="","",IFERROR(INDEX('Catálogo'!$Q$2:$Q$1567,MATCH($A250,'Catálogo'!$A$2:$A$1567,0)),"código no encontrado"))</f>
        <v/>
      </c>
      <c r="I250" s="10">
        <f>IF($G250="","",IF($H250="Sí",ROUND($G250/1.18,2),$G250))</f>
        <v/>
      </c>
      <c r="J250" s="14" t="n"/>
    </row>
    <row r="251">
      <c r="A251" s="14" t="n"/>
      <c r="B251" s="5">
        <f>IF($A251="","",IFERROR(INDEX('Catálogo'!$D$2:$D$1567,MATCH($A251,'Catálogo'!$A$2:$A$1567,0)),"código no encontrado"))</f>
        <v/>
      </c>
      <c r="C251" s="4">
        <f>IF($A251="","",IFERROR(INDEX('Catálogo'!$H$2:$H$1567,MATCH($A251,'Catálogo'!$A$2:$A$1567,0)),"código no encontrado"))</f>
        <v/>
      </c>
      <c r="D251" s="4">
        <f>IF($A251="","",IFERROR(INDEX('Catálogo'!$I$2:$I$1567,MATCH($A251,'Catálogo'!$A$2:$A$1567,0)),"código no encontrado"))</f>
        <v/>
      </c>
      <c r="E251" s="15" t="n"/>
      <c r="F251" s="10">
        <f>IF($A251="","",IFERROR(INDEX('Catálogo'!$N$2:$N$1567,MATCH($A251,'Catálogo'!$A$2:$A$1567,0)),"código no encontrado"))</f>
        <v/>
      </c>
      <c r="G251" s="10">
        <f>IF(OR($E251="",$F251="",NOT(ISNUMBER($F251))),"",$E251*$F251)</f>
        <v/>
      </c>
      <c r="H251" s="4">
        <f>IF($A251="","",IFERROR(INDEX('Catálogo'!$Q$2:$Q$1567,MATCH($A251,'Catálogo'!$A$2:$A$1567,0)),"código no encontrado"))</f>
        <v/>
      </c>
      <c r="I251" s="10">
        <f>IF($G251="","",IF($H251="Sí",ROUND($G251/1.18,2),$G251))</f>
        <v/>
      </c>
      <c r="J251" s="14" t="n"/>
    </row>
    <row r="252">
      <c r="A252" s="14" t="n"/>
      <c r="B252" s="5">
        <f>IF($A252="","",IFERROR(INDEX('Catálogo'!$D$2:$D$1567,MATCH($A252,'Catálogo'!$A$2:$A$1567,0)),"código no encontrado"))</f>
        <v/>
      </c>
      <c r="C252" s="4">
        <f>IF($A252="","",IFERROR(INDEX('Catálogo'!$H$2:$H$1567,MATCH($A252,'Catálogo'!$A$2:$A$1567,0)),"código no encontrado"))</f>
        <v/>
      </c>
      <c r="D252" s="4">
        <f>IF($A252="","",IFERROR(INDEX('Catálogo'!$I$2:$I$1567,MATCH($A252,'Catálogo'!$A$2:$A$1567,0)),"código no encontrado"))</f>
        <v/>
      </c>
      <c r="E252" s="15" t="n"/>
      <c r="F252" s="10">
        <f>IF($A252="","",IFERROR(INDEX('Catálogo'!$N$2:$N$1567,MATCH($A252,'Catálogo'!$A$2:$A$1567,0)),"código no encontrado"))</f>
        <v/>
      </c>
      <c r="G252" s="10">
        <f>IF(OR($E252="",$F252="",NOT(ISNUMBER($F252))),"",$E252*$F252)</f>
        <v/>
      </c>
      <c r="H252" s="4">
        <f>IF($A252="","",IFERROR(INDEX('Catálogo'!$Q$2:$Q$1567,MATCH($A252,'Catálogo'!$A$2:$A$1567,0)),"código no encontrado"))</f>
        <v/>
      </c>
      <c r="I252" s="10">
        <f>IF($G252="","",IF($H252="Sí",ROUND($G252/1.18,2),$G252))</f>
        <v/>
      </c>
      <c r="J252" s="14" t="n"/>
    </row>
    <row r="253">
      <c r="A253" s="14" t="n"/>
      <c r="B253" s="5">
        <f>IF($A253="","",IFERROR(INDEX('Catálogo'!$D$2:$D$1567,MATCH($A253,'Catálogo'!$A$2:$A$1567,0)),"código no encontrado"))</f>
        <v/>
      </c>
      <c r="C253" s="4">
        <f>IF($A253="","",IFERROR(INDEX('Catálogo'!$H$2:$H$1567,MATCH($A253,'Catálogo'!$A$2:$A$1567,0)),"código no encontrado"))</f>
        <v/>
      </c>
      <c r="D253" s="4">
        <f>IF($A253="","",IFERROR(INDEX('Catálogo'!$I$2:$I$1567,MATCH($A253,'Catálogo'!$A$2:$A$1567,0)),"código no encontrado"))</f>
        <v/>
      </c>
      <c r="E253" s="15" t="n"/>
      <c r="F253" s="10">
        <f>IF($A253="","",IFERROR(INDEX('Catálogo'!$N$2:$N$1567,MATCH($A253,'Catálogo'!$A$2:$A$1567,0)),"código no encontrado"))</f>
        <v/>
      </c>
      <c r="G253" s="10">
        <f>IF(OR($E253="",$F253="",NOT(ISNUMBER($F253))),"",$E253*$F253)</f>
        <v/>
      </c>
      <c r="H253" s="4">
        <f>IF($A253="","",IFERROR(INDEX('Catálogo'!$Q$2:$Q$1567,MATCH($A253,'Catálogo'!$A$2:$A$1567,0)),"código no encontrado"))</f>
        <v/>
      </c>
      <c r="I253" s="10">
        <f>IF($G253="","",IF($H253="Sí",ROUND($G253/1.18,2),$G253))</f>
        <v/>
      </c>
      <c r="J253" s="14" t="n"/>
    </row>
    <row r="254">
      <c r="A254" s="14" t="n"/>
      <c r="B254" s="5">
        <f>IF($A254="","",IFERROR(INDEX('Catálogo'!$D$2:$D$1567,MATCH($A254,'Catálogo'!$A$2:$A$1567,0)),"código no encontrado"))</f>
        <v/>
      </c>
      <c r="C254" s="4">
        <f>IF($A254="","",IFERROR(INDEX('Catálogo'!$H$2:$H$1567,MATCH($A254,'Catálogo'!$A$2:$A$1567,0)),"código no encontrado"))</f>
        <v/>
      </c>
      <c r="D254" s="4">
        <f>IF($A254="","",IFERROR(INDEX('Catálogo'!$I$2:$I$1567,MATCH($A254,'Catálogo'!$A$2:$A$1567,0)),"código no encontrado"))</f>
        <v/>
      </c>
      <c r="E254" s="15" t="n"/>
      <c r="F254" s="10">
        <f>IF($A254="","",IFERROR(INDEX('Catálogo'!$N$2:$N$1567,MATCH($A254,'Catálogo'!$A$2:$A$1567,0)),"código no encontrado"))</f>
        <v/>
      </c>
      <c r="G254" s="10">
        <f>IF(OR($E254="",$F254="",NOT(ISNUMBER($F254))),"",$E254*$F254)</f>
        <v/>
      </c>
      <c r="H254" s="4">
        <f>IF($A254="","",IFERROR(INDEX('Catálogo'!$Q$2:$Q$1567,MATCH($A254,'Catálogo'!$A$2:$A$1567,0)),"código no encontrado"))</f>
        <v/>
      </c>
      <c r="I254" s="10">
        <f>IF($G254="","",IF($H254="Sí",ROUND($G254/1.18,2),$G254))</f>
        <v/>
      </c>
      <c r="J254" s="14" t="n"/>
    </row>
    <row r="255">
      <c r="A255" s="14" t="n"/>
      <c r="B255" s="5">
        <f>IF($A255="","",IFERROR(INDEX('Catálogo'!$D$2:$D$1567,MATCH($A255,'Catálogo'!$A$2:$A$1567,0)),"código no encontrado"))</f>
        <v/>
      </c>
      <c r="C255" s="4">
        <f>IF($A255="","",IFERROR(INDEX('Catálogo'!$H$2:$H$1567,MATCH($A255,'Catálogo'!$A$2:$A$1567,0)),"código no encontrado"))</f>
        <v/>
      </c>
      <c r="D255" s="4">
        <f>IF($A255="","",IFERROR(INDEX('Catálogo'!$I$2:$I$1567,MATCH($A255,'Catálogo'!$A$2:$A$1567,0)),"código no encontrado"))</f>
        <v/>
      </c>
      <c r="E255" s="15" t="n"/>
      <c r="F255" s="10">
        <f>IF($A255="","",IFERROR(INDEX('Catálogo'!$N$2:$N$1567,MATCH($A255,'Catálogo'!$A$2:$A$1567,0)),"código no encontrado"))</f>
        <v/>
      </c>
      <c r="G255" s="10">
        <f>IF(OR($E255="",$F255="",NOT(ISNUMBER($F255))),"",$E255*$F255)</f>
        <v/>
      </c>
      <c r="H255" s="4">
        <f>IF($A255="","",IFERROR(INDEX('Catálogo'!$Q$2:$Q$1567,MATCH($A255,'Catálogo'!$A$2:$A$1567,0)),"código no encontrado"))</f>
        <v/>
      </c>
      <c r="I255" s="10">
        <f>IF($G255="","",IF($H255="Sí",ROUND($G255/1.18,2),$G255))</f>
        <v/>
      </c>
      <c r="J255" s="14" t="n"/>
    </row>
    <row r="256">
      <c r="A256" s="14" t="n"/>
      <c r="B256" s="5">
        <f>IF($A256="","",IFERROR(INDEX('Catálogo'!$D$2:$D$1567,MATCH($A256,'Catálogo'!$A$2:$A$1567,0)),"código no encontrado"))</f>
        <v/>
      </c>
      <c r="C256" s="4">
        <f>IF($A256="","",IFERROR(INDEX('Catálogo'!$H$2:$H$1567,MATCH($A256,'Catálogo'!$A$2:$A$1567,0)),"código no encontrado"))</f>
        <v/>
      </c>
      <c r="D256" s="4">
        <f>IF($A256="","",IFERROR(INDEX('Catálogo'!$I$2:$I$1567,MATCH($A256,'Catálogo'!$A$2:$A$1567,0)),"código no encontrado"))</f>
        <v/>
      </c>
      <c r="E256" s="15" t="n"/>
      <c r="F256" s="10">
        <f>IF($A256="","",IFERROR(INDEX('Catálogo'!$N$2:$N$1567,MATCH($A256,'Catálogo'!$A$2:$A$1567,0)),"código no encontrado"))</f>
        <v/>
      </c>
      <c r="G256" s="10">
        <f>IF(OR($E256="",$F256="",NOT(ISNUMBER($F256))),"",$E256*$F256)</f>
        <v/>
      </c>
      <c r="H256" s="4">
        <f>IF($A256="","",IFERROR(INDEX('Catálogo'!$Q$2:$Q$1567,MATCH($A256,'Catálogo'!$A$2:$A$1567,0)),"código no encontrado"))</f>
        <v/>
      </c>
      <c r="I256" s="10">
        <f>IF($G256="","",IF($H256="Sí",ROUND($G256/1.18,2),$G256))</f>
        <v/>
      </c>
      <c r="J256" s="14" t="n"/>
    </row>
    <row r="257">
      <c r="A257" s="14" t="n"/>
      <c r="B257" s="5">
        <f>IF($A257="","",IFERROR(INDEX('Catálogo'!$D$2:$D$1567,MATCH($A257,'Catálogo'!$A$2:$A$1567,0)),"código no encontrado"))</f>
        <v/>
      </c>
      <c r="C257" s="4">
        <f>IF($A257="","",IFERROR(INDEX('Catálogo'!$H$2:$H$1567,MATCH($A257,'Catálogo'!$A$2:$A$1567,0)),"código no encontrado"))</f>
        <v/>
      </c>
      <c r="D257" s="4">
        <f>IF($A257="","",IFERROR(INDEX('Catálogo'!$I$2:$I$1567,MATCH($A257,'Catálogo'!$A$2:$A$1567,0)),"código no encontrado"))</f>
        <v/>
      </c>
      <c r="E257" s="15" t="n"/>
      <c r="F257" s="10">
        <f>IF($A257="","",IFERROR(INDEX('Catálogo'!$N$2:$N$1567,MATCH($A257,'Catálogo'!$A$2:$A$1567,0)),"código no encontrado"))</f>
        <v/>
      </c>
      <c r="G257" s="10">
        <f>IF(OR($E257="",$F257="",NOT(ISNUMBER($F257))),"",$E257*$F257)</f>
        <v/>
      </c>
      <c r="H257" s="4">
        <f>IF($A257="","",IFERROR(INDEX('Catálogo'!$Q$2:$Q$1567,MATCH($A257,'Catálogo'!$A$2:$A$1567,0)),"código no encontrado"))</f>
        <v/>
      </c>
      <c r="I257" s="10">
        <f>IF($G257="","",IF($H257="Sí",ROUND($G257/1.18,2),$G257))</f>
        <v/>
      </c>
      <c r="J257" s="14" t="n"/>
    </row>
    <row r="258">
      <c r="A258" s="14" t="n"/>
      <c r="B258" s="5">
        <f>IF($A258="","",IFERROR(INDEX('Catálogo'!$D$2:$D$1567,MATCH($A258,'Catálogo'!$A$2:$A$1567,0)),"código no encontrado"))</f>
        <v/>
      </c>
      <c r="C258" s="4">
        <f>IF($A258="","",IFERROR(INDEX('Catálogo'!$H$2:$H$1567,MATCH($A258,'Catálogo'!$A$2:$A$1567,0)),"código no encontrado"))</f>
        <v/>
      </c>
      <c r="D258" s="4">
        <f>IF($A258="","",IFERROR(INDEX('Catálogo'!$I$2:$I$1567,MATCH($A258,'Catálogo'!$A$2:$A$1567,0)),"código no encontrado"))</f>
        <v/>
      </c>
      <c r="E258" s="15" t="n"/>
      <c r="F258" s="10">
        <f>IF($A258="","",IFERROR(INDEX('Catálogo'!$N$2:$N$1567,MATCH($A258,'Catálogo'!$A$2:$A$1567,0)),"código no encontrado"))</f>
        <v/>
      </c>
      <c r="G258" s="10">
        <f>IF(OR($E258="",$F258="",NOT(ISNUMBER($F258))),"",$E258*$F258)</f>
        <v/>
      </c>
      <c r="H258" s="4">
        <f>IF($A258="","",IFERROR(INDEX('Catálogo'!$Q$2:$Q$1567,MATCH($A258,'Catálogo'!$A$2:$A$1567,0)),"código no encontrado"))</f>
        <v/>
      </c>
      <c r="I258" s="10">
        <f>IF($G258="","",IF($H258="Sí",ROUND($G258/1.18,2),$G258))</f>
        <v/>
      </c>
      <c r="J258" s="14" t="n"/>
    </row>
    <row r="259">
      <c r="A259" s="14" t="n"/>
      <c r="B259" s="5">
        <f>IF($A259="","",IFERROR(INDEX('Catálogo'!$D$2:$D$1567,MATCH($A259,'Catálogo'!$A$2:$A$1567,0)),"código no encontrado"))</f>
        <v/>
      </c>
      <c r="C259" s="4">
        <f>IF($A259="","",IFERROR(INDEX('Catálogo'!$H$2:$H$1567,MATCH($A259,'Catálogo'!$A$2:$A$1567,0)),"código no encontrado"))</f>
        <v/>
      </c>
      <c r="D259" s="4">
        <f>IF($A259="","",IFERROR(INDEX('Catálogo'!$I$2:$I$1567,MATCH($A259,'Catálogo'!$A$2:$A$1567,0)),"código no encontrado"))</f>
        <v/>
      </c>
      <c r="E259" s="15" t="n"/>
      <c r="F259" s="10">
        <f>IF($A259="","",IFERROR(INDEX('Catálogo'!$N$2:$N$1567,MATCH($A259,'Catálogo'!$A$2:$A$1567,0)),"código no encontrado"))</f>
        <v/>
      </c>
      <c r="G259" s="10">
        <f>IF(OR($E259="",$F259="",NOT(ISNUMBER($F259))),"",$E259*$F259)</f>
        <v/>
      </c>
      <c r="H259" s="4">
        <f>IF($A259="","",IFERROR(INDEX('Catálogo'!$Q$2:$Q$1567,MATCH($A259,'Catálogo'!$A$2:$A$1567,0)),"código no encontrado"))</f>
        <v/>
      </c>
      <c r="I259" s="10">
        <f>IF($G259="","",IF($H259="Sí",ROUND($G259/1.18,2),$G259))</f>
        <v/>
      </c>
      <c r="J259" s="14" t="n"/>
    </row>
    <row r="260">
      <c r="A260" s="14" t="n"/>
      <c r="B260" s="5">
        <f>IF($A260="","",IFERROR(INDEX('Catálogo'!$D$2:$D$1567,MATCH($A260,'Catálogo'!$A$2:$A$1567,0)),"código no encontrado"))</f>
        <v/>
      </c>
      <c r="C260" s="4">
        <f>IF($A260="","",IFERROR(INDEX('Catálogo'!$H$2:$H$1567,MATCH($A260,'Catálogo'!$A$2:$A$1567,0)),"código no encontrado"))</f>
        <v/>
      </c>
      <c r="D260" s="4">
        <f>IF($A260="","",IFERROR(INDEX('Catálogo'!$I$2:$I$1567,MATCH($A260,'Catálogo'!$A$2:$A$1567,0)),"código no encontrado"))</f>
        <v/>
      </c>
      <c r="E260" s="15" t="n"/>
      <c r="F260" s="10">
        <f>IF($A260="","",IFERROR(INDEX('Catálogo'!$N$2:$N$1567,MATCH($A260,'Catálogo'!$A$2:$A$1567,0)),"código no encontrado"))</f>
        <v/>
      </c>
      <c r="G260" s="10">
        <f>IF(OR($E260="",$F260="",NOT(ISNUMBER($F260))),"",$E260*$F260)</f>
        <v/>
      </c>
      <c r="H260" s="4">
        <f>IF($A260="","",IFERROR(INDEX('Catálogo'!$Q$2:$Q$1567,MATCH($A260,'Catálogo'!$A$2:$A$1567,0)),"código no encontrado"))</f>
        <v/>
      </c>
      <c r="I260" s="10">
        <f>IF($G260="","",IF($H260="Sí",ROUND($G260/1.18,2),$G260))</f>
        <v/>
      </c>
      <c r="J260" s="14" t="n"/>
    </row>
    <row r="261">
      <c r="A261" s="14" t="n"/>
      <c r="B261" s="5">
        <f>IF($A261="","",IFERROR(INDEX('Catálogo'!$D$2:$D$1567,MATCH($A261,'Catálogo'!$A$2:$A$1567,0)),"código no encontrado"))</f>
        <v/>
      </c>
      <c r="C261" s="4">
        <f>IF($A261="","",IFERROR(INDEX('Catálogo'!$H$2:$H$1567,MATCH($A261,'Catálogo'!$A$2:$A$1567,0)),"código no encontrado"))</f>
        <v/>
      </c>
      <c r="D261" s="4">
        <f>IF($A261="","",IFERROR(INDEX('Catálogo'!$I$2:$I$1567,MATCH($A261,'Catálogo'!$A$2:$A$1567,0)),"código no encontrado"))</f>
        <v/>
      </c>
      <c r="E261" s="15" t="n"/>
      <c r="F261" s="10">
        <f>IF($A261="","",IFERROR(INDEX('Catálogo'!$N$2:$N$1567,MATCH($A261,'Catálogo'!$A$2:$A$1567,0)),"código no encontrado"))</f>
        <v/>
      </c>
      <c r="G261" s="10">
        <f>IF(OR($E261="",$F261="",NOT(ISNUMBER($F261))),"",$E261*$F261)</f>
        <v/>
      </c>
      <c r="H261" s="4">
        <f>IF($A261="","",IFERROR(INDEX('Catálogo'!$Q$2:$Q$1567,MATCH($A261,'Catálogo'!$A$2:$A$1567,0)),"código no encontrado"))</f>
        <v/>
      </c>
      <c r="I261" s="10">
        <f>IF($G261="","",IF($H261="Sí",ROUND($G261/1.18,2),$G261))</f>
        <v/>
      </c>
      <c r="J261" s="14" t="n"/>
    </row>
    <row r="262">
      <c r="A262" s="14" t="n"/>
      <c r="B262" s="5">
        <f>IF($A262="","",IFERROR(INDEX('Catálogo'!$D$2:$D$1567,MATCH($A262,'Catálogo'!$A$2:$A$1567,0)),"código no encontrado"))</f>
        <v/>
      </c>
      <c r="C262" s="4">
        <f>IF($A262="","",IFERROR(INDEX('Catálogo'!$H$2:$H$1567,MATCH($A262,'Catálogo'!$A$2:$A$1567,0)),"código no encontrado"))</f>
        <v/>
      </c>
      <c r="D262" s="4">
        <f>IF($A262="","",IFERROR(INDEX('Catálogo'!$I$2:$I$1567,MATCH($A262,'Catálogo'!$A$2:$A$1567,0)),"código no encontrado"))</f>
        <v/>
      </c>
      <c r="E262" s="15" t="n"/>
      <c r="F262" s="10">
        <f>IF($A262="","",IFERROR(INDEX('Catálogo'!$N$2:$N$1567,MATCH($A262,'Catálogo'!$A$2:$A$1567,0)),"código no encontrado"))</f>
        <v/>
      </c>
      <c r="G262" s="10">
        <f>IF(OR($E262="",$F262="",NOT(ISNUMBER($F262))),"",$E262*$F262)</f>
        <v/>
      </c>
      <c r="H262" s="4">
        <f>IF($A262="","",IFERROR(INDEX('Catálogo'!$Q$2:$Q$1567,MATCH($A262,'Catálogo'!$A$2:$A$1567,0)),"código no encontrado"))</f>
        <v/>
      </c>
      <c r="I262" s="10">
        <f>IF($G262="","",IF($H262="Sí",ROUND($G262/1.18,2),$G262))</f>
        <v/>
      </c>
      <c r="J262" s="14" t="n"/>
    </row>
    <row r="263">
      <c r="A263" s="14" t="n"/>
      <c r="B263" s="5">
        <f>IF($A263="","",IFERROR(INDEX('Catálogo'!$D$2:$D$1567,MATCH($A263,'Catálogo'!$A$2:$A$1567,0)),"código no encontrado"))</f>
        <v/>
      </c>
      <c r="C263" s="4">
        <f>IF($A263="","",IFERROR(INDEX('Catálogo'!$H$2:$H$1567,MATCH($A263,'Catálogo'!$A$2:$A$1567,0)),"código no encontrado"))</f>
        <v/>
      </c>
      <c r="D263" s="4">
        <f>IF($A263="","",IFERROR(INDEX('Catálogo'!$I$2:$I$1567,MATCH($A263,'Catálogo'!$A$2:$A$1567,0)),"código no encontrado"))</f>
        <v/>
      </c>
      <c r="E263" s="15" t="n"/>
      <c r="F263" s="10">
        <f>IF($A263="","",IFERROR(INDEX('Catálogo'!$N$2:$N$1567,MATCH($A263,'Catálogo'!$A$2:$A$1567,0)),"código no encontrado"))</f>
        <v/>
      </c>
      <c r="G263" s="10">
        <f>IF(OR($E263="",$F263="",NOT(ISNUMBER($F263))),"",$E263*$F263)</f>
        <v/>
      </c>
      <c r="H263" s="4">
        <f>IF($A263="","",IFERROR(INDEX('Catálogo'!$Q$2:$Q$1567,MATCH($A263,'Catálogo'!$A$2:$A$1567,0)),"código no encontrado"))</f>
        <v/>
      </c>
      <c r="I263" s="10">
        <f>IF($G263="","",IF($H263="Sí",ROUND($G263/1.18,2),$G263))</f>
        <v/>
      </c>
      <c r="J263" s="14" t="n"/>
    </row>
    <row r="264">
      <c r="A264" s="14" t="n"/>
      <c r="B264" s="5">
        <f>IF($A264="","",IFERROR(INDEX('Catálogo'!$D$2:$D$1567,MATCH($A264,'Catálogo'!$A$2:$A$1567,0)),"código no encontrado"))</f>
        <v/>
      </c>
      <c r="C264" s="4">
        <f>IF($A264="","",IFERROR(INDEX('Catálogo'!$H$2:$H$1567,MATCH($A264,'Catálogo'!$A$2:$A$1567,0)),"código no encontrado"))</f>
        <v/>
      </c>
      <c r="D264" s="4">
        <f>IF($A264="","",IFERROR(INDEX('Catálogo'!$I$2:$I$1567,MATCH($A264,'Catálogo'!$A$2:$A$1567,0)),"código no encontrado"))</f>
        <v/>
      </c>
      <c r="E264" s="15" t="n"/>
      <c r="F264" s="10">
        <f>IF($A264="","",IFERROR(INDEX('Catálogo'!$N$2:$N$1567,MATCH($A264,'Catálogo'!$A$2:$A$1567,0)),"código no encontrado"))</f>
        <v/>
      </c>
      <c r="G264" s="10">
        <f>IF(OR($E264="",$F264="",NOT(ISNUMBER($F264))),"",$E264*$F264)</f>
        <v/>
      </c>
      <c r="H264" s="4">
        <f>IF($A264="","",IFERROR(INDEX('Catálogo'!$Q$2:$Q$1567,MATCH($A264,'Catálogo'!$A$2:$A$1567,0)),"código no encontrado"))</f>
        <v/>
      </c>
      <c r="I264" s="10">
        <f>IF($G264="","",IF($H264="Sí",ROUND($G264/1.18,2),$G264))</f>
        <v/>
      </c>
      <c r="J264" s="14" t="n"/>
    </row>
    <row r="265">
      <c r="A265" s="14" t="n"/>
      <c r="B265" s="5">
        <f>IF($A265="","",IFERROR(INDEX('Catálogo'!$D$2:$D$1567,MATCH($A265,'Catálogo'!$A$2:$A$1567,0)),"código no encontrado"))</f>
        <v/>
      </c>
      <c r="C265" s="4">
        <f>IF($A265="","",IFERROR(INDEX('Catálogo'!$H$2:$H$1567,MATCH($A265,'Catálogo'!$A$2:$A$1567,0)),"código no encontrado"))</f>
        <v/>
      </c>
      <c r="D265" s="4">
        <f>IF($A265="","",IFERROR(INDEX('Catálogo'!$I$2:$I$1567,MATCH($A265,'Catálogo'!$A$2:$A$1567,0)),"código no encontrado"))</f>
        <v/>
      </c>
      <c r="E265" s="15" t="n"/>
      <c r="F265" s="10">
        <f>IF($A265="","",IFERROR(INDEX('Catálogo'!$N$2:$N$1567,MATCH($A265,'Catálogo'!$A$2:$A$1567,0)),"código no encontrado"))</f>
        <v/>
      </c>
      <c r="G265" s="10">
        <f>IF(OR($E265="",$F265="",NOT(ISNUMBER($F265))),"",$E265*$F265)</f>
        <v/>
      </c>
      <c r="H265" s="4">
        <f>IF($A265="","",IFERROR(INDEX('Catálogo'!$Q$2:$Q$1567,MATCH($A265,'Catálogo'!$A$2:$A$1567,0)),"código no encontrado"))</f>
        <v/>
      </c>
      <c r="I265" s="10">
        <f>IF($G265="","",IF($H265="Sí",ROUND($G265/1.18,2),$G265))</f>
        <v/>
      </c>
      <c r="J265" s="14" t="n"/>
    </row>
    <row r="266">
      <c r="A266" s="14" t="n"/>
      <c r="B266" s="5">
        <f>IF($A266="","",IFERROR(INDEX('Catálogo'!$D$2:$D$1567,MATCH($A266,'Catálogo'!$A$2:$A$1567,0)),"código no encontrado"))</f>
        <v/>
      </c>
      <c r="C266" s="4">
        <f>IF($A266="","",IFERROR(INDEX('Catálogo'!$H$2:$H$1567,MATCH($A266,'Catálogo'!$A$2:$A$1567,0)),"código no encontrado"))</f>
        <v/>
      </c>
      <c r="D266" s="4">
        <f>IF($A266="","",IFERROR(INDEX('Catálogo'!$I$2:$I$1567,MATCH($A266,'Catálogo'!$A$2:$A$1567,0)),"código no encontrado"))</f>
        <v/>
      </c>
      <c r="E266" s="15" t="n"/>
      <c r="F266" s="10">
        <f>IF($A266="","",IFERROR(INDEX('Catálogo'!$N$2:$N$1567,MATCH($A266,'Catálogo'!$A$2:$A$1567,0)),"código no encontrado"))</f>
        <v/>
      </c>
      <c r="G266" s="10">
        <f>IF(OR($E266="",$F266="",NOT(ISNUMBER($F266))),"",$E266*$F266)</f>
        <v/>
      </c>
      <c r="H266" s="4">
        <f>IF($A266="","",IFERROR(INDEX('Catálogo'!$Q$2:$Q$1567,MATCH($A266,'Catálogo'!$A$2:$A$1567,0)),"código no encontrado"))</f>
        <v/>
      </c>
      <c r="I266" s="10">
        <f>IF($G266="","",IF($H266="Sí",ROUND($G266/1.18,2),$G266))</f>
        <v/>
      </c>
      <c r="J266" s="14" t="n"/>
    </row>
    <row r="267">
      <c r="A267" s="14" t="n"/>
      <c r="B267" s="5">
        <f>IF($A267="","",IFERROR(INDEX('Catálogo'!$D$2:$D$1567,MATCH($A267,'Catálogo'!$A$2:$A$1567,0)),"código no encontrado"))</f>
        <v/>
      </c>
      <c r="C267" s="4">
        <f>IF($A267="","",IFERROR(INDEX('Catálogo'!$H$2:$H$1567,MATCH($A267,'Catálogo'!$A$2:$A$1567,0)),"código no encontrado"))</f>
        <v/>
      </c>
      <c r="D267" s="4">
        <f>IF($A267="","",IFERROR(INDEX('Catálogo'!$I$2:$I$1567,MATCH($A267,'Catálogo'!$A$2:$A$1567,0)),"código no encontrado"))</f>
        <v/>
      </c>
      <c r="E267" s="15" t="n"/>
      <c r="F267" s="10">
        <f>IF($A267="","",IFERROR(INDEX('Catálogo'!$N$2:$N$1567,MATCH($A267,'Catálogo'!$A$2:$A$1567,0)),"código no encontrado"))</f>
        <v/>
      </c>
      <c r="G267" s="10">
        <f>IF(OR($E267="",$F267="",NOT(ISNUMBER($F267))),"",$E267*$F267)</f>
        <v/>
      </c>
      <c r="H267" s="4">
        <f>IF($A267="","",IFERROR(INDEX('Catálogo'!$Q$2:$Q$1567,MATCH($A267,'Catálogo'!$A$2:$A$1567,0)),"código no encontrado"))</f>
        <v/>
      </c>
      <c r="I267" s="10">
        <f>IF($G267="","",IF($H267="Sí",ROUND($G267/1.18,2),$G267))</f>
        <v/>
      </c>
      <c r="J267" s="14" t="n"/>
    </row>
    <row r="268">
      <c r="A268" s="14" t="n"/>
      <c r="B268" s="5">
        <f>IF($A268="","",IFERROR(INDEX('Catálogo'!$D$2:$D$1567,MATCH($A268,'Catálogo'!$A$2:$A$1567,0)),"código no encontrado"))</f>
        <v/>
      </c>
      <c r="C268" s="4">
        <f>IF($A268="","",IFERROR(INDEX('Catálogo'!$H$2:$H$1567,MATCH($A268,'Catálogo'!$A$2:$A$1567,0)),"código no encontrado"))</f>
        <v/>
      </c>
      <c r="D268" s="4">
        <f>IF($A268="","",IFERROR(INDEX('Catálogo'!$I$2:$I$1567,MATCH($A268,'Catálogo'!$A$2:$A$1567,0)),"código no encontrado"))</f>
        <v/>
      </c>
      <c r="E268" s="15" t="n"/>
      <c r="F268" s="10">
        <f>IF($A268="","",IFERROR(INDEX('Catálogo'!$N$2:$N$1567,MATCH($A268,'Catálogo'!$A$2:$A$1567,0)),"código no encontrado"))</f>
        <v/>
      </c>
      <c r="G268" s="10">
        <f>IF(OR($E268="",$F268="",NOT(ISNUMBER($F268))),"",$E268*$F268)</f>
        <v/>
      </c>
      <c r="H268" s="4">
        <f>IF($A268="","",IFERROR(INDEX('Catálogo'!$Q$2:$Q$1567,MATCH($A268,'Catálogo'!$A$2:$A$1567,0)),"código no encontrado"))</f>
        <v/>
      </c>
      <c r="I268" s="10">
        <f>IF($G268="","",IF($H268="Sí",ROUND($G268/1.18,2),$G268))</f>
        <v/>
      </c>
      <c r="J268" s="14" t="n"/>
    </row>
    <row r="269">
      <c r="A269" s="14" t="n"/>
      <c r="B269" s="5">
        <f>IF($A269="","",IFERROR(INDEX('Catálogo'!$D$2:$D$1567,MATCH($A269,'Catálogo'!$A$2:$A$1567,0)),"código no encontrado"))</f>
        <v/>
      </c>
      <c r="C269" s="4">
        <f>IF($A269="","",IFERROR(INDEX('Catálogo'!$H$2:$H$1567,MATCH($A269,'Catálogo'!$A$2:$A$1567,0)),"código no encontrado"))</f>
        <v/>
      </c>
      <c r="D269" s="4">
        <f>IF($A269="","",IFERROR(INDEX('Catálogo'!$I$2:$I$1567,MATCH($A269,'Catálogo'!$A$2:$A$1567,0)),"código no encontrado"))</f>
        <v/>
      </c>
      <c r="E269" s="15" t="n"/>
      <c r="F269" s="10">
        <f>IF($A269="","",IFERROR(INDEX('Catálogo'!$N$2:$N$1567,MATCH($A269,'Catálogo'!$A$2:$A$1567,0)),"código no encontrado"))</f>
        <v/>
      </c>
      <c r="G269" s="10">
        <f>IF(OR($E269="",$F269="",NOT(ISNUMBER($F269))),"",$E269*$F269)</f>
        <v/>
      </c>
      <c r="H269" s="4">
        <f>IF($A269="","",IFERROR(INDEX('Catálogo'!$Q$2:$Q$1567,MATCH($A269,'Catálogo'!$A$2:$A$1567,0)),"código no encontrado"))</f>
        <v/>
      </c>
      <c r="I269" s="10">
        <f>IF($G269="","",IF($H269="Sí",ROUND($G269/1.18,2),$G269))</f>
        <v/>
      </c>
      <c r="J269" s="14" t="n"/>
    </row>
    <row r="270">
      <c r="A270" s="14" t="n"/>
      <c r="B270" s="5">
        <f>IF($A270="","",IFERROR(INDEX('Catálogo'!$D$2:$D$1567,MATCH($A270,'Catálogo'!$A$2:$A$1567,0)),"código no encontrado"))</f>
        <v/>
      </c>
      <c r="C270" s="4">
        <f>IF($A270="","",IFERROR(INDEX('Catálogo'!$H$2:$H$1567,MATCH($A270,'Catálogo'!$A$2:$A$1567,0)),"código no encontrado"))</f>
        <v/>
      </c>
      <c r="D270" s="4">
        <f>IF($A270="","",IFERROR(INDEX('Catálogo'!$I$2:$I$1567,MATCH($A270,'Catálogo'!$A$2:$A$1567,0)),"código no encontrado"))</f>
        <v/>
      </c>
      <c r="E270" s="15" t="n"/>
      <c r="F270" s="10">
        <f>IF($A270="","",IFERROR(INDEX('Catálogo'!$N$2:$N$1567,MATCH($A270,'Catálogo'!$A$2:$A$1567,0)),"código no encontrado"))</f>
        <v/>
      </c>
      <c r="G270" s="10">
        <f>IF(OR($E270="",$F270="",NOT(ISNUMBER($F270))),"",$E270*$F270)</f>
        <v/>
      </c>
      <c r="H270" s="4">
        <f>IF($A270="","",IFERROR(INDEX('Catálogo'!$Q$2:$Q$1567,MATCH($A270,'Catálogo'!$A$2:$A$1567,0)),"código no encontrado"))</f>
        <v/>
      </c>
      <c r="I270" s="10">
        <f>IF($G270="","",IF($H270="Sí",ROUND($G270/1.18,2),$G270))</f>
        <v/>
      </c>
      <c r="J270" s="14" t="n"/>
    </row>
    <row r="271">
      <c r="A271" s="14" t="n"/>
      <c r="B271" s="5">
        <f>IF($A271="","",IFERROR(INDEX('Catálogo'!$D$2:$D$1567,MATCH($A271,'Catálogo'!$A$2:$A$1567,0)),"código no encontrado"))</f>
        <v/>
      </c>
      <c r="C271" s="4">
        <f>IF($A271="","",IFERROR(INDEX('Catálogo'!$H$2:$H$1567,MATCH($A271,'Catálogo'!$A$2:$A$1567,0)),"código no encontrado"))</f>
        <v/>
      </c>
      <c r="D271" s="4">
        <f>IF($A271="","",IFERROR(INDEX('Catálogo'!$I$2:$I$1567,MATCH($A271,'Catálogo'!$A$2:$A$1567,0)),"código no encontrado"))</f>
        <v/>
      </c>
      <c r="E271" s="15" t="n"/>
      <c r="F271" s="10">
        <f>IF($A271="","",IFERROR(INDEX('Catálogo'!$N$2:$N$1567,MATCH($A271,'Catálogo'!$A$2:$A$1567,0)),"código no encontrado"))</f>
        <v/>
      </c>
      <c r="G271" s="10">
        <f>IF(OR($E271="",$F271="",NOT(ISNUMBER($F271))),"",$E271*$F271)</f>
        <v/>
      </c>
      <c r="H271" s="4">
        <f>IF($A271="","",IFERROR(INDEX('Catálogo'!$Q$2:$Q$1567,MATCH($A271,'Catálogo'!$A$2:$A$1567,0)),"código no encontrado"))</f>
        <v/>
      </c>
      <c r="I271" s="10">
        <f>IF($G271="","",IF($H271="Sí",ROUND($G271/1.18,2),$G271))</f>
        <v/>
      </c>
      <c r="J271" s="14" t="n"/>
    </row>
    <row r="272">
      <c r="A272" s="14" t="n"/>
      <c r="B272" s="5">
        <f>IF($A272="","",IFERROR(INDEX('Catálogo'!$D$2:$D$1567,MATCH($A272,'Catálogo'!$A$2:$A$1567,0)),"código no encontrado"))</f>
        <v/>
      </c>
      <c r="C272" s="4">
        <f>IF($A272="","",IFERROR(INDEX('Catálogo'!$H$2:$H$1567,MATCH($A272,'Catálogo'!$A$2:$A$1567,0)),"código no encontrado"))</f>
        <v/>
      </c>
      <c r="D272" s="4">
        <f>IF($A272="","",IFERROR(INDEX('Catálogo'!$I$2:$I$1567,MATCH($A272,'Catálogo'!$A$2:$A$1567,0)),"código no encontrado"))</f>
        <v/>
      </c>
      <c r="E272" s="15" t="n"/>
      <c r="F272" s="10">
        <f>IF($A272="","",IFERROR(INDEX('Catálogo'!$N$2:$N$1567,MATCH($A272,'Catálogo'!$A$2:$A$1567,0)),"código no encontrado"))</f>
        <v/>
      </c>
      <c r="G272" s="10">
        <f>IF(OR($E272="",$F272="",NOT(ISNUMBER($F272))),"",$E272*$F272)</f>
        <v/>
      </c>
      <c r="H272" s="4">
        <f>IF($A272="","",IFERROR(INDEX('Catálogo'!$Q$2:$Q$1567,MATCH($A272,'Catálogo'!$A$2:$A$1567,0)),"código no encontrado"))</f>
        <v/>
      </c>
      <c r="I272" s="10">
        <f>IF($G272="","",IF($H272="Sí",ROUND($G272/1.18,2),$G272))</f>
        <v/>
      </c>
      <c r="J272" s="14" t="n"/>
    </row>
    <row r="273">
      <c r="A273" s="14" t="n"/>
      <c r="B273" s="5">
        <f>IF($A273="","",IFERROR(INDEX('Catálogo'!$D$2:$D$1567,MATCH($A273,'Catálogo'!$A$2:$A$1567,0)),"código no encontrado"))</f>
        <v/>
      </c>
      <c r="C273" s="4">
        <f>IF($A273="","",IFERROR(INDEX('Catálogo'!$H$2:$H$1567,MATCH($A273,'Catálogo'!$A$2:$A$1567,0)),"código no encontrado"))</f>
        <v/>
      </c>
      <c r="D273" s="4">
        <f>IF($A273="","",IFERROR(INDEX('Catálogo'!$I$2:$I$1567,MATCH($A273,'Catálogo'!$A$2:$A$1567,0)),"código no encontrado"))</f>
        <v/>
      </c>
      <c r="E273" s="15" t="n"/>
      <c r="F273" s="10">
        <f>IF($A273="","",IFERROR(INDEX('Catálogo'!$N$2:$N$1567,MATCH($A273,'Catálogo'!$A$2:$A$1567,0)),"código no encontrado"))</f>
        <v/>
      </c>
      <c r="G273" s="10">
        <f>IF(OR($E273="",$F273="",NOT(ISNUMBER($F273))),"",$E273*$F273)</f>
        <v/>
      </c>
      <c r="H273" s="4">
        <f>IF($A273="","",IFERROR(INDEX('Catálogo'!$Q$2:$Q$1567,MATCH($A273,'Catálogo'!$A$2:$A$1567,0)),"código no encontrado"))</f>
        <v/>
      </c>
      <c r="I273" s="10">
        <f>IF($G273="","",IF($H273="Sí",ROUND($G273/1.18,2),$G273))</f>
        <v/>
      </c>
      <c r="J273" s="14" t="n"/>
    </row>
    <row r="274">
      <c r="A274" s="14" t="n"/>
      <c r="B274" s="5">
        <f>IF($A274="","",IFERROR(INDEX('Catálogo'!$D$2:$D$1567,MATCH($A274,'Catálogo'!$A$2:$A$1567,0)),"código no encontrado"))</f>
        <v/>
      </c>
      <c r="C274" s="4">
        <f>IF($A274="","",IFERROR(INDEX('Catálogo'!$H$2:$H$1567,MATCH($A274,'Catálogo'!$A$2:$A$1567,0)),"código no encontrado"))</f>
        <v/>
      </c>
      <c r="D274" s="4">
        <f>IF($A274="","",IFERROR(INDEX('Catálogo'!$I$2:$I$1567,MATCH($A274,'Catálogo'!$A$2:$A$1567,0)),"código no encontrado"))</f>
        <v/>
      </c>
      <c r="E274" s="15" t="n"/>
      <c r="F274" s="10">
        <f>IF($A274="","",IFERROR(INDEX('Catálogo'!$N$2:$N$1567,MATCH($A274,'Catálogo'!$A$2:$A$1567,0)),"código no encontrado"))</f>
        <v/>
      </c>
      <c r="G274" s="10">
        <f>IF(OR($E274="",$F274="",NOT(ISNUMBER($F274))),"",$E274*$F274)</f>
        <v/>
      </c>
      <c r="H274" s="4">
        <f>IF($A274="","",IFERROR(INDEX('Catálogo'!$Q$2:$Q$1567,MATCH($A274,'Catálogo'!$A$2:$A$1567,0)),"código no encontrado"))</f>
        <v/>
      </c>
      <c r="I274" s="10">
        <f>IF($G274="","",IF($H274="Sí",ROUND($G274/1.18,2),$G274))</f>
        <v/>
      </c>
      <c r="J274" s="14" t="n"/>
    </row>
    <row r="275">
      <c r="A275" s="14" t="n"/>
      <c r="B275" s="5">
        <f>IF($A275="","",IFERROR(INDEX('Catálogo'!$D$2:$D$1567,MATCH($A275,'Catálogo'!$A$2:$A$1567,0)),"código no encontrado"))</f>
        <v/>
      </c>
      <c r="C275" s="4">
        <f>IF($A275="","",IFERROR(INDEX('Catálogo'!$H$2:$H$1567,MATCH($A275,'Catálogo'!$A$2:$A$1567,0)),"código no encontrado"))</f>
        <v/>
      </c>
      <c r="D275" s="4">
        <f>IF($A275="","",IFERROR(INDEX('Catálogo'!$I$2:$I$1567,MATCH($A275,'Catálogo'!$A$2:$A$1567,0)),"código no encontrado"))</f>
        <v/>
      </c>
      <c r="E275" s="15" t="n"/>
      <c r="F275" s="10">
        <f>IF($A275="","",IFERROR(INDEX('Catálogo'!$N$2:$N$1567,MATCH($A275,'Catálogo'!$A$2:$A$1567,0)),"código no encontrado"))</f>
        <v/>
      </c>
      <c r="G275" s="10">
        <f>IF(OR($E275="",$F275="",NOT(ISNUMBER($F275))),"",$E275*$F275)</f>
        <v/>
      </c>
      <c r="H275" s="4">
        <f>IF($A275="","",IFERROR(INDEX('Catálogo'!$Q$2:$Q$1567,MATCH($A275,'Catálogo'!$A$2:$A$1567,0)),"código no encontrado"))</f>
        <v/>
      </c>
      <c r="I275" s="10">
        <f>IF($G275="","",IF($H275="Sí",ROUND($G275/1.18,2),$G275))</f>
        <v/>
      </c>
      <c r="J275" s="14" t="n"/>
    </row>
    <row r="276">
      <c r="A276" s="14" t="n"/>
      <c r="B276" s="5">
        <f>IF($A276="","",IFERROR(INDEX('Catálogo'!$D$2:$D$1567,MATCH($A276,'Catálogo'!$A$2:$A$1567,0)),"código no encontrado"))</f>
        <v/>
      </c>
      <c r="C276" s="4">
        <f>IF($A276="","",IFERROR(INDEX('Catálogo'!$H$2:$H$1567,MATCH($A276,'Catálogo'!$A$2:$A$1567,0)),"código no encontrado"))</f>
        <v/>
      </c>
      <c r="D276" s="4">
        <f>IF($A276="","",IFERROR(INDEX('Catálogo'!$I$2:$I$1567,MATCH($A276,'Catálogo'!$A$2:$A$1567,0)),"código no encontrado"))</f>
        <v/>
      </c>
      <c r="E276" s="15" t="n"/>
      <c r="F276" s="10">
        <f>IF($A276="","",IFERROR(INDEX('Catálogo'!$N$2:$N$1567,MATCH($A276,'Catálogo'!$A$2:$A$1567,0)),"código no encontrado"))</f>
        <v/>
      </c>
      <c r="G276" s="10">
        <f>IF(OR($E276="",$F276="",NOT(ISNUMBER($F276))),"",$E276*$F276)</f>
        <v/>
      </c>
      <c r="H276" s="4">
        <f>IF($A276="","",IFERROR(INDEX('Catálogo'!$Q$2:$Q$1567,MATCH($A276,'Catálogo'!$A$2:$A$1567,0)),"código no encontrado"))</f>
        <v/>
      </c>
      <c r="I276" s="10">
        <f>IF($G276="","",IF($H276="Sí",ROUND($G276/1.18,2),$G276))</f>
        <v/>
      </c>
      <c r="J276" s="14" t="n"/>
    </row>
    <row r="277">
      <c r="A277" s="14" t="n"/>
      <c r="B277" s="5">
        <f>IF($A277="","",IFERROR(INDEX('Catálogo'!$D$2:$D$1567,MATCH($A277,'Catálogo'!$A$2:$A$1567,0)),"código no encontrado"))</f>
        <v/>
      </c>
      <c r="C277" s="4">
        <f>IF($A277="","",IFERROR(INDEX('Catálogo'!$H$2:$H$1567,MATCH($A277,'Catálogo'!$A$2:$A$1567,0)),"código no encontrado"))</f>
        <v/>
      </c>
      <c r="D277" s="4">
        <f>IF($A277="","",IFERROR(INDEX('Catálogo'!$I$2:$I$1567,MATCH($A277,'Catálogo'!$A$2:$A$1567,0)),"código no encontrado"))</f>
        <v/>
      </c>
      <c r="E277" s="15" t="n"/>
      <c r="F277" s="10">
        <f>IF($A277="","",IFERROR(INDEX('Catálogo'!$N$2:$N$1567,MATCH($A277,'Catálogo'!$A$2:$A$1567,0)),"código no encontrado"))</f>
        <v/>
      </c>
      <c r="G277" s="10">
        <f>IF(OR($E277="",$F277="",NOT(ISNUMBER($F277))),"",$E277*$F277)</f>
        <v/>
      </c>
      <c r="H277" s="4">
        <f>IF($A277="","",IFERROR(INDEX('Catálogo'!$Q$2:$Q$1567,MATCH($A277,'Catálogo'!$A$2:$A$1567,0)),"código no encontrado"))</f>
        <v/>
      </c>
      <c r="I277" s="10">
        <f>IF($G277="","",IF($H277="Sí",ROUND($G277/1.18,2),$G277))</f>
        <v/>
      </c>
      <c r="J277" s="14" t="n"/>
    </row>
    <row r="278">
      <c r="A278" s="14" t="n"/>
      <c r="B278" s="5">
        <f>IF($A278="","",IFERROR(INDEX('Catálogo'!$D$2:$D$1567,MATCH($A278,'Catálogo'!$A$2:$A$1567,0)),"código no encontrado"))</f>
        <v/>
      </c>
      <c r="C278" s="4">
        <f>IF($A278="","",IFERROR(INDEX('Catálogo'!$H$2:$H$1567,MATCH($A278,'Catálogo'!$A$2:$A$1567,0)),"código no encontrado"))</f>
        <v/>
      </c>
      <c r="D278" s="4">
        <f>IF($A278="","",IFERROR(INDEX('Catálogo'!$I$2:$I$1567,MATCH($A278,'Catálogo'!$A$2:$A$1567,0)),"código no encontrado"))</f>
        <v/>
      </c>
      <c r="E278" s="15" t="n"/>
      <c r="F278" s="10">
        <f>IF($A278="","",IFERROR(INDEX('Catálogo'!$N$2:$N$1567,MATCH($A278,'Catálogo'!$A$2:$A$1567,0)),"código no encontrado"))</f>
        <v/>
      </c>
      <c r="G278" s="10">
        <f>IF(OR($E278="",$F278="",NOT(ISNUMBER($F278))),"",$E278*$F278)</f>
        <v/>
      </c>
      <c r="H278" s="4">
        <f>IF($A278="","",IFERROR(INDEX('Catálogo'!$Q$2:$Q$1567,MATCH($A278,'Catálogo'!$A$2:$A$1567,0)),"código no encontrado"))</f>
        <v/>
      </c>
      <c r="I278" s="10">
        <f>IF($G278="","",IF($H278="Sí",ROUND($G278/1.18,2),$G278))</f>
        <v/>
      </c>
      <c r="J278" s="14" t="n"/>
    </row>
    <row r="279">
      <c r="A279" s="14" t="n"/>
      <c r="B279" s="5">
        <f>IF($A279="","",IFERROR(INDEX('Catálogo'!$D$2:$D$1567,MATCH($A279,'Catálogo'!$A$2:$A$1567,0)),"código no encontrado"))</f>
        <v/>
      </c>
      <c r="C279" s="4">
        <f>IF($A279="","",IFERROR(INDEX('Catálogo'!$H$2:$H$1567,MATCH($A279,'Catálogo'!$A$2:$A$1567,0)),"código no encontrado"))</f>
        <v/>
      </c>
      <c r="D279" s="4">
        <f>IF($A279="","",IFERROR(INDEX('Catálogo'!$I$2:$I$1567,MATCH($A279,'Catálogo'!$A$2:$A$1567,0)),"código no encontrado"))</f>
        <v/>
      </c>
      <c r="E279" s="15" t="n"/>
      <c r="F279" s="10">
        <f>IF($A279="","",IFERROR(INDEX('Catálogo'!$N$2:$N$1567,MATCH($A279,'Catálogo'!$A$2:$A$1567,0)),"código no encontrado"))</f>
        <v/>
      </c>
      <c r="G279" s="10">
        <f>IF(OR($E279="",$F279="",NOT(ISNUMBER($F279))),"",$E279*$F279)</f>
        <v/>
      </c>
      <c r="H279" s="4">
        <f>IF($A279="","",IFERROR(INDEX('Catálogo'!$Q$2:$Q$1567,MATCH($A279,'Catálogo'!$A$2:$A$1567,0)),"código no encontrado"))</f>
        <v/>
      </c>
      <c r="I279" s="10">
        <f>IF($G279="","",IF($H279="Sí",ROUND($G279/1.18,2),$G279))</f>
        <v/>
      </c>
      <c r="J279" s="14" t="n"/>
    </row>
    <row r="280">
      <c r="A280" s="14" t="n"/>
      <c r="B280" s="5">
        <f>IF($A280="","",IFERROR(INDEX('Catálogo'!$D$2:$D$1567,MATCH($A280,'Catálogo'!$A$2:$A$1567,0)),"código no encontrado"))</f>
        <v/>
      </c>
      <c r="C280" s="4">
        <f>IF($A280="","",IFERROR(INDEX('Catálogo'!$H$2:$H$1567,MATCH($A280,'Catálogo'!$A$2:$A$1567,0)),"código no encontrado"))</f>
        <v/>
      </c>
      <c r="D280" s="4">
        <f>IF($A280="","",IFERROR(INDEX('Catálogo'!$I$2:$I$1567,MATCH($A280,'Catálogo'!$A$2:$A$1567,0)),"código no encontrado"))</f>
        <v/>
      </c>
      <c r="E280" s="15" t="n"/>
      <c r="F280" s="10">
        <f>IF($A280="","",IFERROR(INDEX('Catálogo'!$N$2:$N$1567,MATCH($A280,'Catálogo'!$A$2:$A$1567,0)),"código no encontrado"))</f>
        <v/>
      </c>
      <c r="G280" s="10">
        <f>IF(OR($E280="",$F280="",NOT(ISNUMBER($F280))),"",$E280*$F280)</f>
        <v/>
      </c>
      <c r="H280" s="4">
        <f>IF($A280="","",IFERROR(INDEX('Catálogo'!$Q$2:$Q$1567,MATCH($A280,'Catálogo'!$A$2:$A$1567,0)),"código no encontrado"))</f>
        <v/>
      </c>
      <c r="I280" s="10">
        <f>IF($G280="","",IF($H280="Sí",ROUND($G280/1.18,2),$G280))</f>
        <v/>
      </c>
      <c r="J280" s="14" t="n"/>
    </row>
    <row r="281">
      <c r="A281" s="14" t="n"/>
      <c r="B281" s="5">
        <f>IF($A281="","",IFERROR(INDEX('Catálogo'!$D$2:$D$1567,MATCH($A281,'Catálogo'!$A$2:$A$1567,0)),"código no encontrado"))</f>
        <v/>
      </c>
      <c r="C281" s="4">
        <f>IF($A281="","",IFERROR(INDEX('Catálogo'!$H$2:$H$1567,MATCH($A281,'Catálogo'!$A$2:$A$1567,0)),"código no encontrado"))</f>
        <v/>
      </c>
      <c r="D281" s="4">
        <f>IF($A281="","",IFERROR(INDEX('Catálogo'!$I$2:$I$1567,MATCH($A281,'Catálogo'!$A$2:$A$1567,0)),"código no encontrado"))</f>
        <v/>
      </c>
      <c r="E281" s="15" t="n"/>
      <c r="F281" s="10">
        <f>IF($A281="","",IFERROR(INDEX('Catálogo'!$N$2:$N$1567,MATCH($A281,'Catálogo'!$A$2:$A$1567,0)),"código no encontrado"))</f>
        <v/>
      </c>
      <c r="G281" s="10">
        <f>IF(OR($E281="",$F281="",NOT(ISNUMBER($F281))),"",$E281*$F281)</f>
        <v/>
      </c>
      <c r="H281" s="4">
        <f>IF($A281="","",IFERROR(INDEX('Catálogo'!$Q$2:$Q$1567,MATCH($A281,'Catálogo'!$A$2:$A$1567,0)),"código no encontrado"))</f>
        <v/>
      </c>
      <c r="I281" s="10">
        <f>IF($G281="","",IF($H281="Sí",ROUND($G281/1.18,2),$G281))</f>
        <v/>
      </c>
      <c r="J281" s="14" t="n"/>
    </row>
    <row r="282">
      <c r="A282" s="14" t="n"/>
      <c r="B282" s="5">
        <f>IF($A282="","",IFERROR(INDEX('Catálogo'!$D$2:$D$1567,MATCH($A282,'Catálogo'!$A$2:$A$1567,0)),"código no encontrado"))</f>
        <v/>
      </c>
      <c r="C282" s="4">
        <f>IF($A282="","",IFERROR(INDEX('Catálogo'!$H$2:$H$1567,MATCH($A282,'Catálogo'!$A$2:$A$1567,0)),"código no encontrado"))</f>
        <v/>
      </c>
      <c r="D282" s="4">
        <f>IF($A282="","",IFERROR(INDEX('Catálogo'!$I$2:$I$1567,MATCH($A282,'Catálogo'!$A$2:$A$1567,0)),"código no encontrado"))</f>
        <v/>
      </c>
      <c r="E282" s="15" t="n"/>
      <c r="F282" s="10">
        <f>IF($A282="","",IFERROR(INDEX('Catálogo'!$N$2:$N$1567,MATCH($A282,'Catálogo'!$A$2:$A$1567,0)),"código no encontrado"))</f>
        <v/>
      </c>
      <c r="G282" s="10">
        <f>IF(OR($E282="",$F282="",NOT(ISNUMBER($F282))),"",$E282*$F282)</f>
        <v/>
      </c>
      <c r="H282" s="4">
        <f>IF($A282="","",IFERROR(INDEX('Catálogo'!$Q$2:$Q$1567,MATCH($A282,'Catálogo'!$A$2:$A$1567,0)),"código no encontrado"))</f>
        <v/>
      </c>
      <c r="I282" s="10">
        <f>IF($G282="","",IF($H282="Sí",ROUND($G282/1.18,2),$G282))</f>
        <v/>
      </c>
      <c r="J282" s="14" t="n"/>
    </row>
    <row r="283">
      <c r="A283" s="14" t="n"/>
      <c r="B283" s="5">
        <f>IF($A283="","",IFERROR(INDEX('Catálogo'!$D$2:$D$1567,MATCH($A283,'Catálogo'!$A$2:$A$1567,0)),"código no encontrado"))</f>
        <v/>
      </c>
      <c r="C283" s="4">
        <f>IF($A283="","",IFERROR(INDEX('Catálogo'!$H$2:$H$1567,MATCH($A283,'Catálogo'!$A$2:$A$1567,0)),"código no encontrado"))</f>
        <v/>
      </c>
      <c r="D283" s="4">
        <f>IF($A283="","",IFERROR(INDEX('Catálogo'!$I$2:$I$1567,MATCH($A283,'Catálogo'!$A$2:$A$1567,0)),"código no encontrado"))</f>
        <v/>
      </c>
      <c r="E283" s="15" t="n"/>
      <c r="F283" s="10">
        <f>IF($A283="","",IFERROR(INDEX('Catálogo'!$N$2:$N$1567,MATCH($A283,'Catálogo'!$A$2:$A$1567,0)),"código no encontrado"))</f>
        <v/>
      </c>
      <c r="G283" s="10">
        <f>IF(OR($E283="",$F283="",NOT(ISNUMBER($F283))),"",$E283*$F283)</f>
        <v/>
      </c>
      <c r="H283" s="4">
        <f>IF($A283="","",IFERROR(INDEX('Catálogo'!$Q$2:$Q$1567,MATCH($A283,'Catálogo'!$A$2:$A$1567,0)),"código no encontrado"))</f>
        <v/>
      </c>
      <c r="I283" s="10">
        <f>IF($G283="","",IF($H283="Sí",ROUND($G283/1.18,2),$G283))</f>
        <v/>
      </c>
      <c r="J283" s="14" t="n"/>
    </row>
    <row r="284">
      <c r="A284" s="14" t="n"/>
      <c r="B284" s="5">
        <f>IF($A284="","",IFERROR(INDEX('Catálogo'!$D$2:$D$1567,MATCH($A284,'Catálogo'!$A$2:$A$1567,0)),"código no encontrado"))</f>
        <v/>
      </c>
      <c r="C284" s="4">
        <f>IF($A284="","",IFERROR(INDEX('Catálogo'!$H$2:$H$1567,MATCH($A284,'Catálogo'!$A$2:$A$1567,0)),"código no encontrado"))</f>
        <v/>
      </c>
      <c r="D284" s="4">
        <f>IF($A284="","",IFERROR(INDEX('Catálogo'!$I$2:$I$1567,MATCH($A284,'Catálogo'!$A$2:$A$1567,0)),"código no encontrado"))</f>
        <v/>
      </c>
      <c r="E284" s="15" t="n"/>
      <c r="F284" s="10">
        <f>IF($A284="","",IFERROR(INDEX('Catálogo'!$N$2:$N$1567,MATCH($A284,'Catálogo'!$A$2:$A$1567,0)),"código no encontrado"))</f>
        <v/>
      </c>
      <c r="G284" s="10">
        <f>IF(OR($E284="",$F284="",NOT(ISNUMBER($F284))),"",$E284*$F284)</f>
        <v/>
      </c>
      <c r="H284" s="4">
        <f>IF($A284="","",IFERROR(INDEX('Catálogo'!$Q$2:$Q$1567,MATCH($A284,'Catálogo'!$A$2:$A$1567,0)),"código no encontrado"))</f>
        <v/>
      </c>
      <c r="I284" s="10">
        <f>IF($G284="","",IF($H284="Sí",ROUND($G284/1.18,2),$G284))</f>
        <v/>
      </c>
      <c r="J284" s="14" t="n"/>
    </row>
    <row r="285">
      <c r="A285" s="14" t="n"/>
      <c r="B285" s="5">
        <f>IF($A285="","",IFERROR(INDEX('Catálogo'!$D$2:$D$1567,MATCH($A285,'Catálogo'!$A$2:$A$1567,0)),"código no encontrado"))</f>
        <v/>
      </c>
      <c r="C285" s="4">
        <f>IF($A285="","",IFERROR(INDEX('Catálogo'!$H$2:$H$1567,MATCH($A285,'Catálogo'!$A$2:$A$1567,0)),"código no encontrado"))</f>
        <v/>
      </c>
      <c r="D285" s="4">
        <f>IF($A285="","",IFERROR(INDEX('Catálogo'!$I$2:$I$1567,MATCH($A285,'Catálogo'!$A$2:$A$1567,0)),"código no encontrado"))</f>
        <v/>
      </c>
      <c r="E285" s="15" t="n"/>
      <c r="F285" s="10">
        <f>IF($A285="","",IFERROR(INDEX('Catálogo'!$N$2:$N$1567,MATCH($A285,'Catálogo'!$A$2:$A$1567,0)),"código no encontrado"))</f>
        <v/>
      </c>
      <c r="G285" s="10">
        <f>IF(OR($E285="",$F285="",NOT(ISNUMBER($F285))),"",$E285*$F285)</f>
        <v/>
      </c>
      <c r="H285" s="4">
        <f>IF($A285="","",IFERROR(INDEX('Catálogo'!$Q$2:$Q$1567,MATCH($A285,'Catálogo'!$A$2:$A$1567,0)),"código no encontrado"))</f>
        <v/>
      </c>
      <c r="I285" s="10">
        <f>IF($G285="","",IF($H285="Sí",ROUND($G285/1.18,2),$G285))</f>
        <v/>
      </c>
      <c r="J285" s="14" t="n"/>
    </row>
    <row r="286">
      <c r="A286" s="14" t="n"/>
      <c r="B286" s="5">
        <f>IF($A286="","",IFERROR(INDEX('Catálogo'!$D$2:$D$1567,MATCH($A286,'Catálogo'!$A$2:$A$1567,0)),"código no encontrado"))</f>
        <v/>
      </c>
      <c r="C286" s="4">
        <f>IF($A286="","",IFERROR(INDEX('Catálogo'!$H$2:$H$1567,MATCH($A286,'Catálogo'!$A$2:$A$1567,0)),"código no encontrado"))</f>
        <v/>
      </c>
      <c r="D286" s="4">
        <f>IF($A286="","",IFERROR(INDEX('Catálogo'!$I$2:$I$1567,MATCH($A286,'Catálogo'!$A$2:$A$1567,0)),"código no encontrado"))</f>
        <v/>
      </c>
      <c r="E286" s="15" t="n"/>
      <c r="F286" s="10">
        <f>IF($A286="","",IFERROR(INDEX('Catálogo'!$N$2:$N$1567,MATCH($A286,'Catálogo'!$A$2:$A$1567,0)),"código no encontrado"))</f>
        <v/>
      </c>
      <c r="G286" s="10">
        <f>IF(OR($E286="",$F286="",NOT(ISNUMBER($F286))),"",$E286*$F286)</f>
        <v/>
      </c>
      <c r="H286" s="4">
        <f>IF($A286="","",IFERROR(INDEX('Catálogo'!$Q$2:$Q$1567,MATCH($A286,'Catálogo'!$A$2:$A$1567,0)),"código no encontrado"))</f>
        <v/>
      </c>
      <c r="I286" s="10">
        <f>IF($G286="","",IF($H286="Sí",ROUND($G286/1.18,2),$G286))</f>
        <v/>
      </c>
      <c r="J286" s="14" t="n"/>
    </row>
    <row r="287">
      <c r="A287" s="14" t="n"/>
      <c r="B287" s="5">
        <f>IF($A287="","",IFERROR(INDEX('Catálogo'!$D$2:$D$1567,MATCH($A287,'Catálogo'!$A$2:$A$1567,0)),"código no encontrado"))</f>
        <v/>
      </c>
      <c r="C287" s="4">
        <f>IF($A287="","",IFERROR(INDEX('Catálogo'!$H$2:$H$1567,MATCH($A287,'Catálogo'!$A$2:$A$1567,0)),"código no encontrado"))</f>
        <v/>
      </c>
      <c r="D287" s="4">
        <f>IF($A287="","",IFERROR(INDEX('Catálogo'!$I$2:$I$1567,MATCH($A287,'Catálogo'!$A$2:$A$1567,0)),"código no encontrado"))</f>
        <v/>
      </c>
      <c r="E287" s="15" t="n"/>
      <c r="F287" s="10">
        <f>IF($A287="","",IFERROR(INDEX('Catálogo'!$N$2:$N$1567,MATCH($A287,'Catálogo'!$A$2:$A$1567,0)),"código no encontrado"))</f>
        <v/>
      </c>
      <c r="G287" s="10">
        <f>IF(OR($E287="",$F287="",NOT(ISNUMBER($F287))),"",$E287*$F287)</f>
        <v/>
      </c>
      <c r="H287" s="4">
        <f>IF($A287="","",IFERROR(INDEX('Catálogo'!$Q$2:$Q$1567,MATCH($A287,'Catálogo'!$A$2:$A$1567,0)),"código no encontrado"))</f>
        <v/>
      </c>
      <c r="I287" s="10">
        <f>IF($G287="","",IF($H287="Sí",ROUND($G287/1.18,2),$G287))</f>
        <v/>
      </c>
      <c r="J287" s="14" t="n"/>
    </row>
    <row r="288">
      <c r="A288" s="14" t="n"/>
      <c r="B288" s="5">
        <f>IF($A288="","",IFERROR(INDEX('Catálogo'!$D$2:$D$1567,MATCH($A288,'Catálogo'!$A$2:$A$1567,0)),"código no encontrado"))</f>
        <v/>
      </c>
      <c r="C288" s="4">
        <f>IF($A288="","",IFERROR(INDEX('Catálogo'!$H$2:$H$1567,MATCH($A288,'Catálogo'!$A$2:$A$1567,0)),"código no encontrado"))</f>
        <v/>
      </c>
      <c r="D288" s="4">
        <f>IF($A288="","",IFERROR(INDEX('Catálogo'!$I$2:$I$1567,MATCH($A288,'Catálogo'!$A$2:$A$1567,0)),"código no encontrado"))</f>
        <v/>
      </c>
      <c r="E288" s="15" t="n"/>
      <c r="F288" s="10">
        <f>IF($A288="","",IFERROR(INDEX('Catálogo'!$N$2:$N$1567,MATCH($A288,'Catálogo'!$A$2:$A$1567,0)),"código no encontrado"))</f>
        <v/>
      </c>
      <c r="G288" s="10">
        <f>IF(OR($E288="",$F288="",NOT(ISNUMBER($F288))),"",$E288*$F288)</f>
        <v/>
      </c>
      <c r="H288" s="4">
        <f>IF($A288="","",IFERROR(INDEX('Catálogo'!$Q$2:$Q$1567,MATCH($A288,'Catálogo'!$A$2:$A$1567,0)),"código no encontrado"))</f>
        <v/>
      </c>
      <c r="I288" s="10">
        <f>IF($G288="","",IF($H288="Sí",ROUND($G288/1.18,2),$G288))</f>
        <v/>
      </c>
      <c r="J288" s="14" t="n"/>
    </row>
    <row r="289">
      <c r="A289" s="14" t="n"/>
      <c r="B289" s="5">
        <f>IF($A289="","",IFERROR(INDEX('Catálogo'!$D$2:$D$1567,MATCH($A289,'Catálogo'!$A$2:$A$1567,0)),"código no encontrado"))</f>
        <v/>
      </c>
      <c r="C289" s="4">
        <f>IF($A289="","",IFERROR(INDEX('Catálogo'!$H$2:$H$1567,MATCH($A289,'Catálogo'!$A$2:$A$1567,0)),"código no encontrado"))</f>
        <v/>
      </c>
      <c r="D289" s="4">
        <f>IF($A289="","",IFERROR(INDEX('Catálogo'!$I$2:$I$1567,MATCH($A289,'Catálogo'!$A$2:$A$1567,0)),"código no encontrado"))</f>
        <v/>
      </c>
      <c r="E289" s="15" t="n"/>
      <c r="F289" s="10">
        <f>IF($A289="","",IFERROR(INDEX('Catálogo'!$N$2:$N$1567,MATCH($A289,'Catálogo'!$A$2:$A$1567,0)),"código no encontrado"))</f>
        <v/>
      </c>
      <c r="G289" s="10">
        <f>IF(OR($E289="",$F289="",NOT(ISNUMBER($F289))),"",$E289*$F289)</f>
        <v/>
      </c>
      <c r="H289" s="4">
        <f>IF($A289="","",IFERROR(INDEX('Catálogo'!$Q$2:$Q$1567,MATCH($A289,'Catálogo'!$A$2:$A$1567,0)),"código no encontrado"))</f>
        <v/>
      </c>
      <c r="I289" s="10">
        <f>IF($G289="","",IF($H289="Sí",ROUND($G289/1.18,2),$G289))</f>
        <v/>
      </c>
      <c r="J289" s="14" t="n"/>
    </row>
    <row r="290">
      <c r="A290" s="14" t="n"/>
      <c r="B290" s="5">
        <f>IF($A290="","",IFERROR(INDEX('Catálogo'!$D$2:$D$1567,MATCH($A290,'Catálogo'!$A$2:$A$1567,0)),"código no encontrado"))</f>
        <v/>
      </c>
      <c r="C290" s="4">
        <f>IF($A290="","",IFERROR(INDEX('Catálogo'!$H$2:$H$1567,MATCH($A290,'Catálogo'!$A$2:$A$1567,0)),"código no encontrado"))</f>
        <v/>
      </c>
      <c r="D290" s="4">
        <f>IF($A290="","",IFERROR(INDEX('Catálogo'!$I$2:$I$1567,MATCH($A290,'Catálogo'!$A$2:$A$1567,0)),"código no encontrado"))</f>
        <v/>
      </c>
      <c r="E290" s="15" t="n"/>
      <c r="F290" s="10">
        <f>IF($A290="","",IFERROR(INDEX('Catálogo'!$N$2:$N$1567,MATCH($A290,'Catálogo'!$A$2:$A$1567,0)),"código no encontrado"))</f>
        <v/>
      </c>
      <c r="G290" s="10">
        <f>IF(OR($E290="",$F290="",NOT(ISNUMBER($F290))),"",$E290*$F290)</f>
        <v/>
      </c>
      <c r="H290" s="4">
        <f>IF($A290="","",IFERROR(INDEX('Catálogo'!$Q$2:$Q$1567,MATCH($A290,'Catálogo'!$A$2:$A$1567,0)),"código no encontrado"))</f>
        <v/>
      </c>
      <c r="I290" s="10">
        <f>IF($G290="","",IF($H290="Sí",ROUND($G290/1.18,2),$G290))</f>
        <v/>
      </c>
      <c r="J290" s="14" t="n"/>
    </row>
    <row r="291">
      <c r="A291" s="14" t="n"/>
      <c r="B291" s="5">
        <f>IF($A291="","",IFERROR(INDEX('Catálogo'!$D$2:$D$1567,MATCH($A291,'Catálogo'!$A$2:$A$1567,0)),"código no encontrado"))</f>
        <v/>
      </c>
      <c r="C291" s="4">
        <f>IF($A291="","",IFERROR(INDEX('Catálogo'!$H$2:$H$1567,MATCH($A291,'Catálogo'!$A$2:$A$1567,0)),"código no encontrado"))</f>
        <v/>
      </c>
      <c r="D291" s="4">
        <f>IF($A291="","",IFERROR(INDEX('Catálogo'!$I$2:$I$1567,MATCH($A291,'Catálogo'!$A$2:$A$1567,0)),"código no encontrado"))</f>
        <v/>
      </c>
      <c r="E291" s="15" t="n"/>
      <c r="F291" s="10">
        <f>IF($A291="","",IFERROR(INDEX('Catálogo'!$N$2:$N$1567,MATCH($A291,'Catálogo'!$A$2:$A$1567,0)),"código no encontrado"))</f>
        <v/>
      </c>
      <c r="G291" s="10">
        <f>IF(OR($E291="",$F291="",NOT(ISNUMBER($F291))),"",$E291*$F291)</f>
        <v/>
      </c>
      <c r="H291" s="4">
        <f>IF($A291="","",IFERROR(INDEX('Catálogo'!$Q$2:$Q$1567,MATCH($A291,'Catálogo'!$A$2:$A$1567,0)),"código no encontrado"))</f>
        <v/>
      </c>
      <c r="I291" s="10">
        <f>IF($G291="","",IF($H291="Sí",ROUND($G291/1.18,2),$G291))</f>
        <v/>
      </c>
      <c r="J291" s="14" t="n"/>
    </row>
    <row r="292">
      <c r="A292" s="14" t="n"/>
      <c r="B292" s="5">
        <f>IF($A292="","",IFERROR(INDEX('Catálogo'!$D$2:$D$1567,MATCH($A292,'Catálogo'!$A$2:$A$1567,0)),"código no encontrado"))</f>
        <v/>
      </c>
      <c r="C292" s="4">
        <f>IF($A292="","",IFERROR(INDEX('Catálogo'!$H$2:$H$1567,MATCH($A292,'Catálogo'!$A$2:$A$1567,0)),"código no encontrado"))</f>
        <v/>
      </c>
      <c r="D292" s="4">
        <f>IF($A292="","",IFERROR(INDEX('Catálogo'!$I$2:$I$1567,MATCH($A292,'Catálogo'!$A$2:$A$1567,0)),"código no encontrado"))</f>
        <v/>
      </c>
      <c r="E292" s="15" t="n"/>
      <c r="F292" s="10">
        <f>IF($A292="","",IFERROR(INDEX('Catálogo'!$N$2:$N$1567,MATCH($A292,'Catálogo'!$A$2:$A$1567,0)),"código no encontrado"))</f>
        <v/>
      </c>
      <c r="G292" s="10">
        <f>IF(OR($E292="",$F292="",NOT(ISNUMBER($F292))),"",$E292*$F292)</f>
        <v/>
      </c>
      <c r="H292" s="4">
        <f>IF($A292="","",IFERROR(INDEX('Catálogo'!$Q$2:$Q$1567,MATCH($A292,'Catálogo'!$A$2:$A$1567,0)),"código no encontrado"))</f>
        <v/>
      </c>
      <c r="I292" s="10">
        <f>IF($G292="","",IF($H292="Sí",ROUND($G292/1.18,2),$G292))</f>
        <v/>
      </c>
      <c r="J292" s="14" t="n"/>
    </row>
    <row r="293">
      <c r="A293" s="14" t="n"/>
      <c r="B293" s="5">
        <f>IF($A293="","",IFERROR(INDEX('Catálogo'!$D$2:$D$1567,MATCH($A293,'Catálogo'!$A$2:$A$1567,0)),"código no encontrado"))</f>
        <v/>
      </c>
      <c r="C293" s="4">
        <f>IF($A293="","",IFERROR(INDEX('Catálogo'!$H$2:$H$1567,MATCH($A293,'Catálogo'!$A$2:$A$1567,0)),"código no encontrado"))</f>
        <v/>
      </c>
      <c r="D293" s="4">
        <f>IF($A293="","",IFERROR(INDEX('Catálogo'!$I$2:$I$1567,MATCH($A293,'Catálogo'!$A$2:$A$1567,0)),"código no encontrado"))</f>
        <v/>
      </c>
      <c r="E293" s="15" t="n"/>
      <c r="F293" s="10">
        <f>IF($A293="","",IFERROR(INDEX('Catálogo'!$N$2:$N$1567,MATCH($A293,'Catálogo'!$A$2:$A$1567,0)),"código no encontrado"))</f>
        <v/>
      </c>
      <c r="G293" s="10">
        <f>IF(OR($E293="",$F293="",NOT(ISNUMBER($F293))),"",$E293*$F293)</f>
        <v/>
      </c>
      <c r="H293" s="4">
        <f>IF($A293="","",IFERROR(INDEX('Catálogo'!$Q$2:$Q$1567,MATCH($A293,'Catálogo'!$A$2:$A$1567,0)),"código no encontrado"))</f>
        <v/>
      </c>
      <c r="I293" s="10">
        <f>IF($G293="","",IF($H293="Sí",ROUND($G293/1.18,2),$G293))</f>
        <v/>
      </c>
      <c r="J293" s="14" t="n"/>
    </row>
    <row r="294">
      <c r="A294" s="14" t="n"/>
      <c r="B294" s="5">
        <f>IF($A294="","",IFERROR(INDEX('Catálogo'!$D$2:$D$1567,MATCH($A294,'Catálogo'!$A$2:$A$1567,0)),"código no encontrado"))</f>
        <v/>
      </c>
      <c r="C294" s="4">
        <f>IF($A294="","",IFERROR(INDEX('Catálogo'!$H$2:$H$1567,MATCH($A294,'Catálogo'!$A$2:$A$1567,0)),"código no encontrado"))</f>
        <v/>
      </c>
      <c r="D294" s="4">
        <f>IF($A294="","",IFERROR(INDEX('Catálogo'!$I$2:$I$1567,MATCH($A294,'Catálogo'!$A$2:$A$1567,0)),"código no encontrado"))</f>
        <v/>
      </c>
      <c r="E294" s="15" t="n"/>
      <c r="F294" s="10">
        <f>IF($A294="","",IFERROR(INDEX('Catálogo'!$N$2:$N$1567,MATCH($A294,'Catálogo'!$A$2:$A$1567,0)),"código no encontrado"))</f>
        <v/>
      </c>
      <c r="G294" s="10">
        <f>IF(OR($E294="",$F294="",NOT(ISNUMBER($F294))),"",$E294*$F294)</f>
        <v/>
      </c>
      <c r="H294" s="4">
        <f>IF($A294="","",IFERROR(INDEX('Catálogo'!$Q$2:$Q$1567,MATCH($A294,'Catálogo'!$A$2:$A$1567,0)),"código no encontrado"))</f>
        <v/>
      </c>
      <c r="I294" s="10">
        <f>IF($G294="","",IF($H294="Sí",ROUND($G294/1.18,2),$G294))</f>
        <v/>
      </c>
      <c r="J294" s="14" t="n"/>
    </row>
    <row r="295">
      <c r="A295" s="14" t="n"/>
      <c r="B295" s="5">
        <f>IF($A295="","",IFERROR(INDEX('Catálogo'!$D$2:$D$1567,MATCH($A295,'Catálogo'!$A$2:$A$1567,0)),"código no encontrado"))</f>
        <v/>
      </c>
      <c r="C295" s="4">
        <f>IF($A295="","",IFERROR(INDEX('Catálogo'!$H$2:$H$1567,MATCH($A295,'Catálogo'!$A$2:$A$1567,0)),"código no encontrado"))</f>
        <v/>
      </c>
      <c r="D295" s="4">
        <f>IF($A295="","",IFERROR(INDEX('Catálogo'!$I$2:$I$1567,MATCH($A295,'Catálogo'!$A$2:$A$1567,0)),"código no encontrado"))</f>
        <v/>
      </c>
      <c r="E295" s="15" t="n"/>
      <c r="F295" s="10">
        <f>IF($A295="","",IFERROR(INDEX('Catálogo'!$N$2:$N$1567,MATCH($A295,'Catálogo'!$A$2:$A$1567,0)),"código no encontrado"))</f>
        <v/>
      </c>
      <c r="G295" s="10">
        <f>IF(OR($E295="",$F295="",NOT(ISNUMBER($F295))),"",$E295*$F295)</f>
        <v/>
      </c>
      <c r="H295" s="4">
        <f>IF($A295="","",IFERROR(INDEX('Catálogo'!$Q$2:$Q$1567,MATCH($A295,'Catálogo'!$A$2:$A$1567,0)),"código no encontrado"))</f>
        <v/>
      </c>
      <c r="I295" s="10">
        <f>IF($G295="","",IF($H295="Sí",ROUND($G295/1.18,2),$G295))</f>
        <v/>
      </c>
      <c r="J295" s="14" t="n"/>
    </row>
    <row r="296">
      <c r="A296" s="14" t="n"/>
      <c r="B296" s="5">
        <f>IF($A296="","",IFERROR(INDEX('Catálogo'!$D$2:$D$1567,MATCH($A296,'Catálogo'!$A$2:$A$1567,0)),"código no encontrado"))</f>
        <v/>
      </c>
      <c r="C296" s="4">
        <f>IF($A296="","",IFERROR(INDEX('Catálogo'!$H$2:$H$1567,MATCH($A296,'Catálogo'!$A$2:$A$1567,0)),"código no encontrado"))</f>
        <v/>
      </c>
      <c r="D296" s="4">
        <f>IF($A296="","",IFERROR(INDEX('Catálogo'!$I$2:$I$1567,MATCH($A296,'Catálogo'!$A$2:$A$1567,0)),"código no encontrado"))</f>
        <v/>
      </c>
      <c r="E296" s="15" t="n"/>
      <c r="F296" s="10">
        <f>IF($A296="","",IFERROR(INDEX('Catálogo'!$N$2:$N$1567,MATCH($A296,'Catálogo'!$A$2:$A$1567,0)),"código no encontrado"))</f>
        <v/>
      </c>
      <c r="G296" s="10">
        <f>IF(OR($E296="",$F296="",NOT(ISNUMBER($F296))),"",$E296*$F296)</f>
        <v/>
      </c>
      <c r="H296" s="4">
        <f>IF($A296="","",IFERROR(INDEX('Catálogo'!$Q$2:$Q$1567,MATCH($A296,'Catálogo'!$A$2:$A$1567,0)),"código no encontrado"))</f>
        <v/>
      </c>
      <c r="I296" s="10">
        <f>IF($G296="","",IF($H296="Sí",ROUND($G296/1.18,2),$G296))</f>
        <v/>
      </c>
      <c r="J296" s="14" t="n"/>
    </row>
    <row r="297">
      <c r="A297" s="14" t="n"/>
      <c r="B297" s="5">
        <f>IF($A297="","",IFERROR(INDEX('Catálogo'!$D$2:$D$1567,MATCH($A297,'Catálogo'!$A$2:$A$1567,0)),"código no encontrado"))</f>
        <v/>
      </c>
      <c r="C297" s="4">
        <f>IF($A297="","",IFERROR(INDEX('Catálogo'!$H$2:$H$1567,MATCH($A297,'Catálogo'!$A$2:$A$1567,0)),"código no encontrado"))</f>
        <v/>
      </c>
      <c r="D297" s="4">
        <f>IF($A297="","",IFERROR(INDEX('Catálogo'!$I$2:$I$1567,MATCH($A297,'Catálogo'!$A$2:$A$1567,0)),"código no encontrado"))</f>
        <v/>
      </c>
      <c r="E297" s="15" t="n"/>
      <c r="F297" s="10">
        <f>IF($A297="","",IFERROR(INDEX('Catálogo'!$N$2:$N$1567,MATCH($A297,'Catálogo'!$A$2:$A$1567,0)),"código no encontrado"))</f>
        <v/>
      </c>
      <c r="G297" s="10">
        <f>IF(OR($E297="",$F297="",NOT(ISNUMBER($F297))),"",$E297*$F297)</f>
        <v/>
      </c>
      <c r="H297" s="4">
        <f>IF($A297="","",IFERROR(INDEX('Catálogo'!$Q$2:$Q$1567,MATCH($A297,'Catálogo'!$A$2:$A$1567,0)),"código no encontrado"))</f>
        <v/>
      </c>
      <c r="I297" s="10">
        <f>IF($G297="","",IF($H297="Sí",ROUND($G297/1.18,2),$G297))</f>
        <v/>
      </c>
      <c r="J297" s="14" t="n"/>
    </row>
    <row r="298">
      <c r="A298" s="14" t="n"/>
      <c r="B298" s="5">
        <f>IF($A298="","",IFERROR(INDEX('Catálogo'!$D$2:$D$1567,MATCH($A298,'Catálogo'!$A$2:$A$1567,0)),"código no encontrado"))</f>
        <v/>
      </c>
      <c r="C298" s="4">
        <f>IF($A298="","",IFERROR(INDEX('Catálogo'!$H$2:$H$1567,MATCH($A298,'Catálogo'!$A$2:$A$1567,0)),"código no encontrado"))</f>
        <v/>
      </c>
      <c r="D298" s="4">
        <f>IF($A298="","",IFERROR(INDEX('Catálogo'!$I$2:$I$1567,MATCH($A298,'Catálogo'!$A$2:$A$1567,0)),"código no encontrado"))</f>
        <v/>
      </c>
      <c r="E298" s="15" t="n"/>
      <c r="F298" s="10">
        <f>IF($A298="","",IFERROR(INDEX('Catálogo'!$N$2:$N$1567,MATCH($A298,'Catálogo'!$A$2:$A$1567,0)),"código no encontrado"))</f>
        <v/>
      </c>
      <c r="G298" s="10">
        <f>IF(OR($E298="",$F298="",NOT(ISNUMBER($F298))),"",$E298*$F298)</f>
        <v/>
      </c>
      <c r="H298" s="4">
        <f>IF($A298="","",IFERROR(INDEX('Catálogo'!$Q$2:$Q$1567,MATCH($A298,'Catálogo'!$A$2:$A$1567,0)),"código no encontrado"))</f>
        <v/>
      </c>
      <c r="I298" s="10">
        <f>IF($G298="","",IF($H298="Sí",ROUND($G298/1.18,2),$G298))</f>
        <v/>
      </c>
      <c r="J298" s="14" t="n"/>
    </row>
    <row r="299">
      <c r="A299" s="14" t="n"/>
      <c r="B299" s="5">
        <f>IF($A299="","",IFERROR(INDEX('Catálogo'!$D$2:$D$1567,MATCH($A299,'Catálogo'!$A$2:$A$1567,0)),"código no encontrado"))</f>
        <v/>
      </c>
      <c r="C299" s="4">
        <f>IF($A299="","",IFERROR(INDEX('Catálogo'!$H$2:$H$1567,MATCH($A299,'Catálogo'!$A$2:$A$1567,0)),"código no encontrado"))</f>
        <v/>
      </c>
      <c r="D299" s="4">
        <f>IF($A299="","",IFERROR(INDEX('Catálogo'!$I$2:$I$1567,MATCH($A299,'Catálogo'!$A$2:$A$1567,0)),"código no encontrado"))</f>
        <v/>
      </c>
      <c r="E299" s="15" t="n"/>
      <c r="F299" s="10">
        <f>IF($A299="","",IFERROR(INDEX('Catálogo'!$N$2:$N$1567,MATCH($A299,'Catálogo'!$A$2:$A$1567,0)),"código no encontrado"))</f>
        <v/>
      </c>
      <c r="G299" s="10">
        <f>IF(OR($E299="",$F299="",NOT(ISNUMBER($F299))),"",$E299*$F299)</f>
        <v/>
      </c>
      <c r="H299" s="4">
        <f>IF($A299="","",IFERROR(INDEX('Catálogo'!$Q$2:$Q$1567,MATCH($A299,'Catálogo'!$A$2:$A$1567,0)),"código no encontrado"))</f>
        <v/>
      </c>
      <c r="I299" s="10">
        <f>IF($G299="","",IF($H299="Sí",ROUND($G299/1.18,2),$G299))</f>
        <v/>
      </c>
      <c r="J299" s="14" t="n"/>
    </row>
    <row r="300">
      <c r="A300" s="14" t="n"/>
      <c r="B300" s="5">
        <f>IF($A300="","",IFERROR(INDEX('Catálogo'!$D$2:$D$1567,MATCH($A300,'Catálogo'!$A$2:$A$1567,0)),"código no encontrado"))</f>
        <v/>
      </c>
      <c r="C300" s="4">
        <f>IF($A300="","",IFERROR(INDEX('Catálogo'!$H$2:$H$1567,MATCH($A300,'Catálogo'!$A$2:$A$1567,0)),"código no encontrado"))</f>
        <v/>
      </c>
      <c r="D300" s="4">
        <f>IF($A300="","",IFERROR(INDEX('Catálogo'!$I$2:$I$1567,MATCH($A300,'Catálogo'!$A$2:$A$1567,0)),"código no encontrado"))</f>
        <v/>
      </c>
      <c r="E300" s="15" t="n"/>
      <c r="F300" s="10">
        <f>IF($A300="","",IFERROR(INDEX('Catálogo'!$N$2:$N$1567,MATCH($A300,'Catálogo'!$A$2:$A$1567,0)),"código no encontrado"))</f>
        <v/>
      </c>
      <c r="G300" s="10">
        <f>IF(OR($E300="",$F300="",NOT(ISNUMBER($F300))),"",$E300*$F300)</f>
        <v/>
      </c>
      <c r="H300" s="4">
        <f>IF($A300="","",IFERROR(INDEX('Catálogo'!$Q$2:$Q$1567,MATCH($A300,'Catálogo'!$A$2:$A$1567,0)),"código no encontrado"))</f>
        <v/>
      </c>
      <c r="I300" s="10">
        <f>IF($G300="","",IF($H300="Sí",ROUND($G300/1.18,2),$G300))</f>
        <v/>
      </c>
      <c r="J300" s="14" t="n"/>
    </row>
    <row r="301">
      <c r="A301" s="14" t="n"/>
      <c r="B301" s="5">
        <f>IF($A301="","",IFERROR(INDEX('Catálogo'!$D$2:$D$1567,MATCH($A301,'Catálogo'!$A$2:$A$1567,0)),"código no encontrado"))</f>
        <v/>
      </c>
      <c r="C301" s="4">
        <f>IF($A301="","",IFERROR(INDEX('Catálogo'!$H$2:$H$1567,MATCH($A301,'Catálogo'!$A$2:$A$1567,0)),"código no encontrado"))</f>
        <v/>
      </c>
      <c r="D301" s="4">
        <f>IF($A301="","",IFERROR(INDEX('Catálogo'!$I$2:$I$1567,MATCH($A301,'Catálogo'!$A$2:$A$1567,0)),"código no encontrado"))</f>
        <v/>
      </c>
      <c r="E301" s="15" t="n"/>
      <c r="F301" s="10">
        <f>IF($A301="","",IFERROR(INDEX('Catálogo'!$N$2:$N$1567,MATCH($A301,'Catálogo'!$A$2:$A$1567,0)),"código no encontrado"))</f>
        <v/>
      </c>
      <c r="G301" s="10">
        <f>IF(OR($E301="",$F301="",NOT(ISNUMBER($F301))),"",$E301*$F301)</f>
        <v/>
      </c>
      <c r="H301" s="4">
        <f>IF($A301="","",IFERROR(INDEX('Catálogo'!$Q$2:$Q$1567,MATCH($A301,'Catálogo'!$A$2:$A$1567,0)),"código no encontrado"))</f>
        <v/>
      </c>
      <c r="I301" s="10">
        <f>IF($G301="","",IF($H301="Sí",ROUND($G301/1.18,2),$G301))</f>
        <v/>
      </c>
      <c r="J301" s="14" t="n"/>
    </row>
    <row r="302">
      <c r="A302" s="14" t="n"/>
      <c r="B302" s="5">
        <f>IF($A302="","",IFERROR(INDEX('Catálogo'!$D$2:$D$1567,MATCH($A302,'Catálogo'!$A$2:$A$1567,0)),"código no encontrado"))</f>
        <v/>
      </c>
      <c r="C302" s="4">
        <f>IF($A302="","",IFERROR(INDEX('Catálogo'!$H$2:$H$1567,MATCH($A302,'Catálogo'!$A$2:$A$1567,0)),"código no encontrado"))</f>
        <v/>
      </c>
      <c r="D302" s="4">
        <f>IF($A302="","",IFERROR(INDEX('Catálogo'!$I$2:$I$1567,MATCH($A302,'Catálogo'!$A$2:$A$1567,0)),"código no encontrado"))</f>
        <v/>
      </c>
      <c r="E302" s="15" t="n"/>
      <c r="F302" s="10">
        <f>IF($A302="","",IFERROR(INDEX('Catálogo'!$N$2:$N$1567,MATCH($A302,'Catálogo'!$A$2:$A$1567,0)),"código no encontrado"))</f>
        <v/>
      </c>
      <c r="G302" s="10">
        <f>IF(OR($E302="",$F302="",NOT(ISNUMBER($F302))),"",$E302*$F302)</f>
        <v/>
      </c>
      <c r="H302" s="4">
        <f>IF($A302="","",IFERROR(INDEX('Catálogo'!$Q$2:$Q$1567,MATCH($A302,'Catálogo'!$A$2:$A$1567,0)),"código no encontrado"))</f>
        <v/>
      </c>
      <c r="I302" s="10">
        <f>IF($G302="","",IF($H302="Sí",ROUND($G302/1.18,2),$G302))</f>
        <v/>
      </c>
      <c r="J302" s="14" t="n"/>
    </row>
    <row r="303">
      <c r="A303" s="14" t="n"/>
      <c r="B303" s="5">
        <f>IF($A303="","",IFERROR(INDEX('Catálogo'!$D$2:$D$1567,MATCH($A303,'Catálogo'!$A$2:$A$1567,0)),"código no encontrado"))</f>
        <v/>
      </c>
      <c r="C303" s="4">
        <f>IF($A303="","",IFERROR(INDEX('Catálogo'!$H$2:$H$1567,MATCH($A303,'Catálogo'!$A$2:$A$1567,0)),"código no encontrado"))</f>
        <v/>
      </c>
      <c r="D303" s="4">
        <f>IF($A303="","",IFERROR(INDEX('Catálogo'!$I$2:$I$1567,MATCH($A303,'Catálogo'!$A$2:$A$1567,0)),"código no encontrado"))</f>
        <v/>
      </c>
      <c r="E303" s="15" t="n"/>
      <c r="F303" s="10">
        <f>IF($A303="","",IFERROR(INDEX('Catálogo'!$N$2:$N$1567,MATCH($A303,'Catálogo'!$A$2:$A$1567,0)),"código no encontrado"))</f>
        <v/>
      </c>
      <c r="G303" s="10">
        <f>IF(OR($E303="",$F303="",NOT(ISNUMBER($F303))),"",$E303*$F303)</f>
        <v/>
      </c>
      <c r="H303" s="4">
        <f>IF($A303="","",IFERROR(INDEX('Catálogo'!$Q$2:$Q$1567,MATCH($A303,'Catálogo'!$A$2:$A$1567,0)),"código no encontrado"))</f>
        <v/>
      </c>
      <c r="I303" s="10">
        <f>IF($G303="","",IF($H303="Sí",ROUND($G303/1.18,2),$G303))</f>
        <v/>
      </c>
      <c r="J303" s="14" t="n"/>
    </row>
    <row r="304">
      <c r="A304" s="14" t="n"/>
      <c r="B304" s="5">
        <f>IF($A304="","",IFERROR(INDEX('Catálogo'!$D$2:$D$1567,MATCH($A304,'Catálogo'!$A$2:$A$1567,0)),"código no encontrado"))</f>
        <v/>
      </c>
      <c r="C304" s="4">
        <f>IF($A304="","",IFERROR(INDEX('Catálogo'!$H$2:$H$1567,MATCH($A304,'Catálogo'!$A$2:$A$1567,0)),"código no encontrado"))</f>
        <v/>
      </c>
      <c r="D304" s="4">
        <f>IF($A304="","",IFERROR(INDEX('Catálogo'!$I$2:$I$1567,MATCH($A304,'Catálogo'!$A$2:$A$1567,0)),"código no encontrado"))</f>
        <v/>
      </c>
      <c r="E304" s="15" t="n"/>
      <c r="F304" s="10">
        <f>IF($A304="","",IFERROR(INDEX('Catálogo'!$N$2:$N$1567,MATCH($A304,'Catálogo'!$A$2:$A$1567,0)),"código no encontrado"))</f>
        <v/>
      </c>
      <c r="G304" s="10">
        <f>IF(OR($E304="",$F304="",NOT(ISNUMBER($F304))),"",$E304*$F304)</f>
        <v/>
      </c>
      <c r="H304" s="4">
        <f>IF($A304="","",IFERROR(INDEX('Catálogo'!$Q$2:$Q$1567,MATCH($A304,'Catálogo'!$A$2:$A$1567,0)),"código no encontrado"))</f>
        <v/>
      </c>
      <c r="I304" s="10">
        <f>IF($G304="","",IF($H304="Sí",ROUND($G304/1.18,2),$G304))</f>
        <v/>
      </c>
      <c r="J304" s="14" t="n"/>
    </row>
    <row r="305">
      <c r="A305" s="14" t="n"/>
      <c r="B305" s="5">
        <f>IF($A305="","",IFERROR(INDEX('Catálogo'!$D$2:$D$1567,MATCH($A305,'Catálogo'!$A$2:$A$1567,0)),"código no encontrado"))</f>
        <v/>
      </c>
      <c r="C305" s="4">
        <f>IF($A305="","",IFERROR(INDEX('Catálogo'!$H$2:$H$1567,MATCH($A305,'Catálogo'!$A$2:$A$1567,0)),"código no encontrado"))</f>
        <v/>
      </c>
      <c r="D305" s="4">
        <f>IF($A305="","",IFERROR(INDEX('Catálogo'!$I$2:$I$1567,MATCH($A305,'Catálogo'!$A$2:$A$1567,0)),"código no encontrado"))</f>
        <v/>
      </c>
      <c r="E305" s="15" t="n"/>
      <c r="F305" s="10">
        <f>IF($A305="","",IFERROR(INDEX('Catálogo'!$N$2:$N$1567,MATCH($A305,'Catálogo'!$A$2:$A$1567,0)),"código no encontrado"))</f>
        <v/>
      </c>
      <c r="G305" s="10">
        <f>IF(OR($E305="",$F305="",NOT(ISNUMBER($F305))),"",$E305*$F305)</f>
        <v/>
      </c>
      <c r="H305" s="4">
        <f>IF($A305="","",IFERROR(INDEX('Catálogo'!$Q$2:$Q$1567,MATCH($A305,'Catálogo'!$A$2:$A$1567,0)),"código no encontrado"))</f>
        <v/>
      </c>
      <c r="I305" s="10">
        <f>IF($G305="","",IF($H305="Sí",ROUND($G305/1.18,2),$G305))</f>
        <v/>
      </c>
      <c r="J305" s="14" t="n"/>
    </row>
    <row r="306">
      <c r="A306" s="14" t="n"/>
      <c r="B306" s="5">
        <f>IF($A306="","",IFERROR(INDEX('Catálogo'!$D$2:$D$1567,MATCH($A306,'Catálogo'!$A$2:$A$1567,0)),"código no encontrado"))</f>
        <v/>
      </c>
      <c r="C306" s="4">
        <f>IF($A306="","",IFERROR(INDEX('Catálogo'!$H$2:$H$1567,MATCH($A306,'Catálogo'!$A$2:$A$1567,0)),"código no encontrado"))</f>
        <v/>
      </c>
      <c r="D306" s="4">
        <f>IF($A306="","",IFERROR(INDEX('Catálogo'!$I$2:$I$1567,MATCH($A306,'Catálogo'!$A$2:$A$1567,0)),"código no encontrado"))</f>
        <v/>
      </c>
      <c r="E306" s="15" t="n"/>
      <c r="F306" s="10">
        <f>IF($A306="","",IFERROR(INDEX('Catálogo'!$N$2:$N$1567,MATCH($A306,'Catálogo'!$A$2:$A$1567,0)),"código no encontrado"))</f>
        <v/>
      </c>
      <c r="G306" s="10">
        <f>IF(OR($E306="",$F306="",NOT(ISNUMBER($F306))),"",$E306*$F306)</f>
        <v/>
      </c>
      <c r="H306" s="4">
        <f>IF($A306="","",IFERROR(INDEX('Catálogo'!$Q$2:$Q$1567,MATCH($A306,'Catálogo'!$A$2:$A$1567,0)),"código no encontrado"))</f>
        <v/>
      </c>
      <c r="I306" s="10">
        <f>IF($G306="","",IF($H306="Sí",ROUND($G306/1.18,2),$G306))</f>
        <v/>
      </c>
      <c r="J306" s="14" t="n"/>
    </row>
    <row r="307">
      <c r="A307" s="14" t="n"/>
      <c r="B307" s="5">
        <f>IF($A307="","",IFERROR(INDEX('Catálogo'!$D$2:$D$1567,MATCH($A307,'Catálogo'!$A$2:$A$1567,0)),"código no encontrado"))</f>
        <v/>
      </c>
      <c r="C307" s="4">
        <f>IF($A307="","",IFERROR(INDEX('Catálogo'!$H$2:$H$1567,MATCH($A307,'Catálogo'!$A$2:$A$1567,0)),"código no encontrado"))</f>
        <v/>
      </c>
      <c r="D307" s="4">
        <f>IF($A307="","",IFERROR(INDEX('Catálogo'!$I$2:$I$1567,MATCH($A307,'Catálogo'!$A$2:$A$1567,0)),"código no encontrado"))</f>
        <v/>
      </c>
      <c r="E307" s="15" t="n"/>
      <c r="F307" s="10">
        <f>IF($A307="","",IFERROR(INDEX('Catálogo'!$N$2:$N$1567,MATCH($A307,'Catálogo'!$A$2:$A$1567,0)),"código no encontrado"))</f>
        <v/>
      </c>
      <c r="G307" s="10">
        <f>IF(OR($E307="",$F307="",NOT(ISNUMBER($F307))),"",$E307*$F307)</f>
        <v/>
      </c>
      <c r="H307" s="4">
        <f>IF($A307="","",IFERROR(INDEX('Catálogo'!$Q$2:$Q$1567,MATCH($A307,'Catálogo'!$A$2:$A$1567,0)),"código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IF($A9="","",IFERROR(INDEX('Catálogo'!$D$2:$D$1567,MATCH($A9,'Catálogo'!$A$2:$A$1567,0)),"código no encontrado"))</f>
        <v/>
      </c>
      <c r="C9" s="5">
        <f>IF($A9="","",IFERROR(INDEX('Catálogo'!$E$2:$E$1567,MATCH($A9,'Catálogo'!$A$2:$A$1567,0)),"código no encontrado"))</f>
        <v/>
      </c>
      <c r="D9" s="5">
        <f>IF($A9="","",IFERROR(INDEX('Catálogo'!$H$2:$H$1567,MATCH($A9,'Catálogo'!$A$2:$A$1567,0)),"código no encontrado"))</f>
        <v/>
      </c>
      <c r="E9" s="15" t="n"/>
      <c r="F9" s="10">
        <f>IF($A9="","",IFERROR(INDEX('Catálogo'!$N$2:$N$1567,MATCH($A9,'Catálogo'!$A$2:$A$1567,0)),"código no encontrado"))</f>
        <v/>
      </c>
      <c r="G9" s="14" t="n"/>
      <c r="H9" s="22" t="n"/>
      <c r="I9" s="14" t="n"/>
      <c r="J9" s="14" t="n"/>
      <c r="K9" s="14" t="n"/>
      <c r="L9" s="14" t="n"/>
      <c r="M9" s="11">
        <f>IF(OR($F9="",$H9="",NOT(ISNUMBER($F9)),NOT(ISNUMBER($H9))),"",($H9-$F9)/$F9)</f>
        <v/>
      </c>
      <c r="N9" s="10">
        <f>IF(OR($E9="",$H9=""),"",$E9*$H9)</f>
        <v/>
      </c>
      <c r="O9" s="14" t="n"/>
    </row>
    <row r="10">
      <c r="A10" s="14" t="n"/>
      <c r="B10" s="5">
        <f>IF($A10="","",IFERROR(INDEX('Catálogo'!$D$2:$D$1567,MATCH($A10,'Catálogo'!$A$2:$A$1567,0)),"código no encontrado"))</f>
        <v/>
      </c>
      <c r="C10" s="5">
        <f>IF($A10="","",IFERROR(INDEX('Catálogo'!$E$2:$E$1567,MATCH($A10,'Catálogo'!$A$2:$A$1567,0)),"código no encontrado"))</f>
        <v/>
      </c>
      <c r="D10" s="5">
        <f>IF($A10="","",IFERROR(INDEX('Catálogo'!$H$2:$H$1567,MATCH($A10,'Catálogo'!$A$2:$A$1567,0)),"código no encontrado"))</f>
        <v/>
      </c>
      <c r="E10" s="15" t="n"/>
      <c r="F10" s="10">
        <f>IF($A10="","",IFERROR(INDEX('Catálogo'!$N$2:$N$1567,MATCH($A10,'Catálogo'!$A$2:$A$1567,0)),"código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IF($A11="","",IFERROR(INDEX('Catálogo'!$D$2:$D$1567,MATCH($A11,'Catálogo'!$A$2:$A$1567,0)),"código no encontrado"))</f>
        <v/>
      </c>
      <c r="C11" s="5">
        <f>IF($A11="","",IFERROR(INDEX('Catálogo'!$E$2:$E$1567,MATCH($A11,'Catálogo'!$A$2:$A$1567,0)),"código no encontrado"))</f>
        <v/>
      </c>
      <c r="D11" s="5">
        <f>IF($A11="","",IFERROR(INDEX('Catálogo'!$H$2:$H$1567,MATCH($A11,'Catálogo'!$A$2:$A$1567,0)),"código no encontrado"))</f>
        <v/>
      </c>
      <c r="E11" s="15" t="n"/>
      <c r="F11" s="10">
        <f>IF($A11="","",IFERROR(INDEX('Catálogo'!$N$2:$N$1567,MATCH($A11,'Catálogo'!$A$2:$A$1567,0)),"código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IF($A12="","",IFERROR(INDEX('Catálogo'!$D$2:$D$1567,MATCH($A12,'Catálogo'!$A$2:$A$1567,0)),"código no encontrado"))</f>
        <v/>
      </c>
      <c r="C12" s="5">
        <f>IF($A12="","",IFERROR(INDEX('Catálogo'!$E$2:$E$1567,MATCH($A12,'Catálogo'!$A$2:$A$1567,0)),"código no encontrado"))</f>
        <v/>
      </c>
      <c r="D12" s="5">
        <f>IF($A12="","",IFERROR(INDEX('Catálogo'!$H$2:$H$1567,MATCH($A12,'Catálogo'!$A$2:$A$1567,0)),"código no encontrado"))</f>
        <v/>
      </c>
      <c r="E12" s="15" t="n"/>
      <c r="F12" s="10">
        <f>IF($A12="","",IFERROR(INDEX('Catálogo'!$N$2:$N$1567,MATCH($A12,'Catálogo'!$A$2:$A$1567,0)),"código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IF($A13="","",IFERROR(INDEX('Catálogo'!$D$2:$D$1567,MATCH($A13,'Catálogo'!$A$2:$A$1567,0)),"código no encontrado"))</f>
        <v/>
      </c>
      <c r="C13" s="5">
        <f>IF($A13="","",IFERROR(INDEX('Catálogo'!$E$2:$E$1567,MATCH($A13,'Catálogo'!$A$2:$A$1567,0)),"código no encontrado"))</f>
        <v/>
      </c>
      <c r="D13" s="5">
        <f>IF($A13="","",IFERROR(INDEX('Catálogo'!$H$2:$H$1567,MATCH($A13,'Catálogo'!$A$2:$A$1567,0)),"código no encontrado"))</f>
        <v/>
      </c>
      <c r="E13" s="15" t="n"/>
      <c r="F13" s="10">
        <f>IF($A13="","",IFERROR(INDEX('Catálogo'!$N$2:$N$1567,MATCH($A13,'Catálogo'!$A$2:$A$1567,0)),"código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IF($A14="","",IFERROR(INDEX('Catálogo'!$D$2:$D$1567,MATCH($A14,'Catálogo'!$A$2:$A$1567,0)),"código no encontrado"))</f>
        <v/>
      </c>
      <c r="C14" s="5">
        <f>IF($A14="","",IFERROR(INDEX('Catálogo'!$E$2:$E$1567,MATCH($A14,'Catálogo'!$A$2:$A$1567,0)),"código no encontrado"))</f>
        <v/>
      </c>
      <c r="D14" s="5">
        <f>IF($A14="","",IFERROR(INDEX('Catálogo'!$H$2:$H$1567,MATCH($A14,'Catálogo'!$A$2:$A$1567,0)),"código no encontrado"))</f>
        <v/>
      </c>
      <c r="E14" s="15" t="n"/>
      <c r="F14" s="10">
        <f>IF($A14="","",IFERROR(INDEX('Catálogo'!$N$2:$N$1567,MATCH($A14,'Catálogo'!$A$2:$A$1567,0)),"código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IF($A15="","",IFERROR(INDEX('Catálogo'!$D$2:$D$1567,MATCH($A15,'Catálogo'!$A$2:$A$1567,0)),"código no encontrado"))</f>
        <v/>
      </c>
      <c r="C15" s="5">
        <f>IF($A15="","",IFERROR(INDEX('Catálogo'!$E$2:$E$1567,MATCH($A15,'Catálogo'!$A$2:$A$1567,0)),"código no encontrado"))</f>
        <v/>
      </c>
      <c r="D15" s="5">
        <f>IF($A15="","",IFERROR(INDEX('Catálogo'!$H$2:$H$1567,MATCH($A15,'Catálogo'!$A$2:$A$1567,0)),"código no encontrado"))</f>
        <v/>
      </c>
      <c r="E15" s="15" t="n"/>
      <c r="F15" s="10">
        <f>IF($A15="","",IFERROR(INDEX('Catálogo'!$N$2:$N$1567,MATCH($A15,'Catálogo'!$A$2:$A$1567,0)),"código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IF($A16="","",IFERROR(INDEX('Catálogo'!$D$2:$D$1567,MATCH($A16,'Catálogo'!$A$2:$A$1567,0)),"código no encontrado"))</f>
        <v/>
      </c>
      <c r="C16" s="5">
        <f>IF($A16="","",IFERROR(INDEX('Catálogo'!$E$2:$E$1567,MATCH($A16,'Catálogo'!$A$2:$A$1567,0)),"código no encontrado"))</f>
        <v/>
      </c>
      <c r="D16" s="5">
        <f>IF($A16="","",IFERROR(INDEX('Catálogo'!$H$2:$H$1567,MATCH($A16,'Catálogo'!$A$2:$A$1567,0)),"código no encontrado"))</f>
        <v/>
      </c>
      <c r="E16" s="15" t="n"/>
      <c r="F16" s="10">
        <f>IF($A16="","",IFERROR(INDEX('Catálogo'!$N$2:$N$1567,MATCH($A16,'Catálogo'!$A$2:$A$1567,0)),"código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IF($A17="","",IFERROR(INDEX('Catálogo'!$D$2:$D$1567,MATCH($A17,'Catálogo'!$A$2:$A$1567,0)),"código no encontrado"))</f>
        <v/>
      </c>
      <c r="C17" s="5">
        <f>IF($A17="","",IFERROR(INDEX('Catálogo'!$E$2:$E$1567,MATCH($A17,'Catálogo'!$A$2:$A$1567,0)),"código no encontrado"))</f>
        <v/>
      </c>
      <c r="D17" s="5">
        <f>IF($A17="","",IFERROR(INDEX('Catálogo'!$H$2:$H$1567,MATCH($A17,'Catálogo'!$A$2:$A$1567,0)),"código no encontrado"))</f>
        <v/>
      </c>
      <c r="E17" s="15" t="n"/>
      <c r="F17" s="10">
        <f>IF($A17="","",IFERROR(INDEX('Catálogo'!$N$2:$N$1567,MATCH($A17,'Catálogo'!$A$2:$A$1567,0)),"código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IF($A18="","",IFERROR(INDEX('Catálogo'!$D$2:$D$1567,MATCH($A18,'Catálogo'!$A$2:$A$1567,0)),"código no encontrado"))</f>
        <v/>
      </c>
      <c r="C18" s="5">
        <f>IF($A18="","",IFERROR(INDEX('Catálogo'!$E$2:$E$1567,MATCH($A18,'Catálogo'!$A$2:$A$1567,0)),"código no encontrado"))</f>
        <v/>
      </c>
      <c r="D18" s="5">
        <f>IF($A18="","",IFERROR(INDEX('Catálogo'!$H$2:$H$1567,MATCH($A18,'Catálogo'!$A$2:$A$1567,0)),"código no encontrado"))</f>
        <v/>
      </c>
      <c r="E18" s="15" t="n"/>
      <c r="F18" s="10">
        <f>IF($A18="","",IFERROR(INDEX('Catálogo'!$N$2:$N$1567,MATCH($A18,'Catálogo'!$A$2:$A$1567,0)),"código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IF($A19="","",IFERROR(INDEX('Catálogo'!$D$2:$D$1567,MATCH($A19,'Catálogo'!$A$2:$A$1567,0)),"código no encontrado"))</f>
        <v/>
      </c>
      <c r="C19" s="5">
        <f>IF($A19="","",IFERROR(INDEX('Catálogo'!$E$2:$E$1567,MATCH($A19,'Catálogo'!$A$2:$A$1567,0)),"código no encontrado"))</f>
        <v/>
      </c>
      <c r="D19" s="5">
        <f>IF($A19="","",IFERROR(INDEX('Catálogo'!$H$2:$H$1567,MATCH($A19,'Catálogo'!$A$2:$A$1567,0)),"código no encontrado"))</f>
        <v/>
      </c>
      <c r="E19" s="15" t="n"/>
      <c r="F19" s="10">
        <f>IF($A19="","",IFERROR(INDEX('Catálogo'!$N$2:$N$1567,MATCH($A19,'Catálogo'!$A$2:$A$1567,0)),"código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IF($A20="","",IFERROR(INDEX('Catálogo'!$D$2:$D$1567,MATCH($A20,'Catálogo'!$A$2:$A$1567,0)),"código no encontrado"))</f>
        <v/>
      </c>
      <c r="C20" s="5">
        <f>IF($A20="","",IFERROR(INDEX('Catálogo'!$E$2:$E$1567,MATCH($A20,'Catálogo'!$A$2:$A$1567,0)),"código no encontrado"))</f>
        <v/>
      </c>
      <c r="D20" s="5">
        <f>IF($A20="","",IFERROR(INDEX('Catálogo'!$H$2:$H$1567,MATCH($A20,'Catálogo'!$A$2:$A$1567,0)),"código no encontrado"))</f>
        <v/>
      </c>
      <c r="E20" s="15" t="n"/>
      <c r="F20" s="10">
        <f>IF($A20="","",IFERROR(INDEX('Catálogo'!$N$2:$N$1567,MATCH($A20,'Catálogo'!$A$2:$A$1567,0)),"código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IF($A21="","",IFERROR(INDEX('Catálogo'!$D$2:$D$1567,MATCH($A21,'Catálogo'!$A$2:$A$1567,0)),"código no encontrado"))</f>
        <v/>
      </c>
      <c r="C21" s="5">
        <f>IF($A21="","",IFERROR(INDEX('Catálogo'!$E$2:$E$1567,MATCH($A21,'Catálogo'!$A$2:$A$1567,0)),"código no encontrado"))</f>
        <v/>
      </c>
      <c r="D21" s="5">
        <f>IF($A21="","",IFERROR(INDEX('Catálogo'!$H$2:$H$1567,MATCH($A21,'Catálogo'!$A$2:$A$1567,0)),"código no encontrado"))</f>
        <v/>
      </c>
      <c r="E21" s="15" t="n"/>
      <c r="F21" s="10">
        <f>IF($A21="","",IFERROR(INDEX('Catálogo'!$N$2:$N$1567,MATCH($A21,'Catálogo'!$A$2:$A$1567,0)),"código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IF($A22="","",IFERROR(INDEX('Catálogo'!$D$2:$D$1567,MATCH($A22,'Catálogo'!$A$2:$A$1567,0)),"código no encontrado"))</f>
        <v/>
      </c>
      <c r="C22" s="5">
        <f>IF($A22="","",IFERROR(INDEX('Catálogo'!$E$2:$E$1567,MATCH($A22,'Catálogo'!$A$2:$A$1567,0)),"código no encontrado"))</f>
        <v/>
      </c>
      <c r="D22" s="5">
        <f>IF($A22="","",IFERROR(INDEX('Catálogo'!$H$2:$H$1567,MATCH($A22,'Catálogo'!$A$2:$A$1567,0)),"código no encontrado"))</f>
        <v/>
      </c>
      <c r="E22" s="15" t="n"/>
      <c r="F22" s="10">
        <f>IF($A22="","",IFERROR(INDEX('Catálogo'!$N$2:$N$1567,MATCH($A22,'Catálogo'!$A$2:$A$1567,0)),"código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IF($A23="","",IFERROR(INDEX('Catálogo'!$D$2:$D$1567,MATCH($A23,'Catálogo'!$A$2:$A$1567,0)),"código no encontrado"))</f>
        <v/>
      </c>
      <c r="C23" s="5">
        <f>IF($A23="","",IFERROR(INDEX('Catálogo'!$E$2:$E$1567,MATCH($A23,'Catálogo'!$A$2:$A$1567,0)),"código no encontrado"))</f>
        <v/>
      </c>
      <c r="D23" s="5">
        <f>IF($A23="","",IFERROR(INDEX('Catálogo'!$H$2:$H$1567,MATCH($A23,'Catálogo'!$A$2:$A$1567,0)),"código no encontrado"))</f>
        <v/>
      </c>
      <c r="E23" s="15" t="n"/>
      <c r="F23" s="10">
        <f>IF($A23="","",IFERROR(INDEX('Catálogo'!$N$2:$N$1567,MATCH($A23,'Catálogo'!$A$2:$A$1567,0)),"código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IF($A24="","",IFERROR(INDEX('Catálogo'!$D$2:$D$1567,MATCH($A24,'Catálogo'!$A$2:$A$1567,0)),"código no encontrado"))</f>
        <v/>
      </c>
      <c r="C24" s="5">
        <f>IF($A24="","",IFERROR(INDEX('Catálogo'!$E$2:$E$1567,MATCH($A24,'Catálogo'!$A$2:$A$1567,0)),"código no encontrado"))</f>
        <v/>
      </c>
      <c r="D24" s="5">
        <f>IF($A24="","",IFERROR(INDEX('Catálogo'!$H$2:$H$1567,MATCH($A24,'Catálogo'!$A$2:$A$1567,0)),"código no encontrado"))</f>
        <v/>
      </c>
      <c r="E24" s="15" t="n"/>
      <c r="F24" s="10">
        <f>IF($A24="","",IFERROR(INDEX('Catálogo'!$N$2:$N$1567,MATCH($A24,'Catálogo'!$A$2:$A$1567,0)),"código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IF($A25="","",IFERROR(INDEX('Catálogo'!$D$2:$D$1567,MATCH($A25,'Catálogo'!$A$2:$A$1567,0)),"código no encontrado"))</f>
        <v/>
      </c>
      <c r="C25" s="5">
        <f>IF($A25="","",IFERROR(INDEX('Catálogo'!$E$2:$E$1567,MATCH($A25,'Catálogo'!$A$2:$A$1567,0)),"código no encontrado"))</f>
        <v/>
      </c>
      <c r="D25" s="5">
        <f>IF($A25="","",IFERROR(INDEX('Catálogo'!$H$2:$H$1567,MATCH($A25,'Catálogo'!$A$2:$A$1567,0)),"código no encontrado"))</f>
        <v/>
      </c>
      <c r="E25" s="15" t="n"/>
      <c r="F25" s="10">
        <f>IF($A25="","",IFERROR(INDEX('Catálogo'!$N$2:$N$1567,MATCH($A25,'Catálogo'!$A$2:$A$1567,0)),"código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IF($A26="","",IFERROR(INDEX('Catálogo'!$D$2:$D$1567,MATCH($A26,'Catálogo'!$A$2:$A$1567,0)),"código no encontrado"))</f>
        <v/>
      </c>
      <c r="C26" s="5">
        <f>IF($A26="","",IFERROR(INDEX('Catálogo'!$E$2:$E$1567,MATCH($A26,'Catálogo'!$A$2:$A$1567,0)),"código no encontrado"))</f>
        <v/>
      </c>
      <c r="D26" s="5">
        <f>IF($A26="","",IFERROR(INDEX('Catálogo'!$H$2:$H$1567,MATCH($A26,'Catálogo'!$A$2:$A$1567,0)),"código no encontrado"))</f>
        <v/>
      </c>
      <c r="E26" s="15" t="n"/>
      <c r="F26" s="10">
        <f>IF($A26="","",IFERROR(INDEX('Catálogo'!$N$2:$N$1567,MATCH($A26,'Catálogo'!$A$2:$A$1567,0)),"código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IF($A27="","",IFERROR(INDEX('Catálogo'!$D$2:$D$1567,MATCH($A27,'Catálogo'!$A$2:$A$1567,0)),"código no encontrado"))</f>
        <v/>
      </c>
      <c r="C27" s="5">
        <f>IF($A27="","",IFERROR(INDEX('Catálogo'!$E$2:$E$1567,MATCH($A27,'Catálogo'!$A$2:$A$1567,0)),"código no encontrado"))</f>
        <v/>
      </c>
      <c r="D27" s="5">
        <f>IF($A27="","",IFERROR(INDEX('Catálogo'!$H$2:$H$1567,MATCH($A27,'Catálogo'!$A$2:$A$1567,0)),"código no encontrado"))</f>
        <v/>
      </c>
      <c r="E27" s="15" t="n"/>
      <c r="F27" s="10">
        <f>IF($A27="","",IFERROR(INDEX('Catálogo'!$N$2:$N$1567,MATCH($A27,'Catálogo'!$A$2:$A$1567,0)),"código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IF($A28="","",IFERROR(INDEX('Catálogo'!$D$2:$D$1567,MATCH($A28,'Catálogo'!$A$2:$A$1567,0)),"código no encontrado"))</f>
        <v/>
      </c>
      <c r="C28" s="5">
        <f>IF($A28="","",IFERROR(INDEX('Catálogo'!$E$2:$E$1567,MATCH($A28,'Catálogo'!$A$2:$A$1567,0)),"código no encontrado"))</f>
        <v/>
      </c>
      <c r="D28" s="5">
        <f>IF($A28="","",IFERROR(INDEX('Catálogo'!$H$2:$H$1567,MATCH($A28,'Catálogo'!$A$2:$A$1567,0)),"código no encontrado"))</f>
        <v/>
      </c>
      <c r="E28" s="15" t="n"/>
      <c r="F28" s="10">
        <f>IF($A28="","",IFERROR(INDEX('Catálogo'!$N$2:$N$1567,MATCH($A28,'Catálogo'!$A$2:$A$1567,0)),"código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IF($A29="","",IFERROR(INDEX('Catálogo'!$D$2:$D$1567,MATCH($A29,'Catálogo'!$A$2:$A$1567,0)),"código no encontrado"))</f>
        <v/>
      </c>
      <c r="C29" s="5">
        <f>IF($A29="","",IFERROR(INDEX('Catálogo'!$E$2:$E$1567,MATCH($A29,'Catálogo'!$A$2:$A$1567,0)),"código no encontrado"))</f>
        <v/>
      </c>
      <c r="D29" s="5">
        <f>IF($A29="","",IFERROR(INDEX('Catálogo'!$H$2:$H$1567,MATCH($A29,'Catálogo'!$A$2:$A$1567,0)),"código no encontrado"))</f>
        <v/>
      </c>
      <c r="E29" s="15" t="n"/>
      <c r="F29" s="10">
        <f>IF($A29="","",IFERROR(INDEX('Catálogo'!$N$2:$N$1567,MATCH($A29,'Catálogo'!$A$2:$A$1567,0)),"código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IF($A30="","",IFERROR(INDEX('Catálogo'!$D$2:$D$1567,MATCH($A30,'Catálogo'!$A$2:$A$1567,0)),"código no encontrado"))</f>
        <v/>
      </c>
      <c r="C30" s="5">
        <f>IF($A30="","",IFERROR(INDEX('Catálogo'!$E$2:$E$1567,MATCH($A30,'Catálogo'!$A$2:$A$1567,0)),"código no encontrado"))</f>
        <v/>
      </c>
      <c r="D30" s="5">
        <f>IF($A30="","",IFERROR(INDEX('Catálogo'!$H$2:$H$1567,MATCH($A30,'Catálogo'!$A$2:$A$1567,0)),"código no encontrado"))</f>
        <v/>
      </c>
      <c r="E30" s="15" t="n"/>
      <c r="F30" s="10">
        <f>IF($A30="","",IFERROR(INDEX('Catálogo'!$N$2:$N$1567,MATCH($A30,'Catálogo'!$A$2:$A$1567,0)),"código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IF($A31="","",IFERROR(INDEX('Catálogo'!$D$2:$D$1567,MATCH($A31,'Catálogo'!$A$2:$A$1567,0)),"código no encontrado"))</f>
        <v/>
      </c>
      <c r="C31" s="5">
        <f>IF($A31="","",IFERROR(INDEX('Catálogo'!$E$2:$E$1567,MATCH($A31,'Catálogo'!$A$2:$A$1567,0)),"código no encontrado"))</f>
        <v/>
      </c>
      <c r="D31" s="5">
        <f>IF($A31="","",IFERROR(INDEX('Catálogo'!$H$2:$H$1567,MATCH($A31,'Catálogo'!$A$2:$A$1567,0)),"código no encontrado"))</f>
        <v/>
      </c>
      <c r="E31" s="15" t="n"/>
      <c r="F31" s="10">
        <f>IF($A31="","",IFERROR(INDEX('Catálogo'!$N$2:$N$1567,MATCH($A31,'Catálogo'!$A$2:$A$1567,0)),"código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IF($A32="","",IFERROR(INDEX('Catálogo'!$D$2:$D$1567,MATCH($A32,'Catálogo'!$A$2:$A$1567,0)),"código no encontrado"))</f>
        <v/>
      </c>
      <c r="C32" s="5">
        <f>IF($A32="","",IFERROR(INDEX('Catálogo'!$E$2:$E$1567,MATCH($A32,'Catálogo'!$A$2:$A$1567,0)),"código no encontrado"))</f>
        <v/>
      </c>
      <c r="D32" s="5">
        <f>IF($A32="","",IFERROR(INDEX('Catálogo'!$H$2:$H$1567,MATCH($A32,'Catálogo'!$A$2:$A$1567,0)),"código no encontrado"))</f>
        <v/>
      </c>
      <c r="E32" s="15" t="n"/>
      <c r="F32" s="10">
        <f>IF($A32="","",IFERROR(INDEX('Catálogo'!$N$2:$N$1567,MATCH($A32,'Catálogo'!$A$2:$A$1567,0)),"código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IF($A33="","",IFERROR(INDEX('Catálogo'!$D$2:$D$1567,MATCH($A33,'Catálogo'!$A$2:$A$1567,0)),"código no encontrado"))</f>
        <v/>
      </c>
      <c r="C33" s="5">
        <f>IF($A33="","",IFERROR(INDEX('Catálogo'!$E$2:$E$1567,MATCH($A33,'Catálogo'!$A$2:$A$1567,0)),"código no encontrado"))</f>
        <v/>
      </c>
      <c r="D33" s="5">
        <f>IF($A33="","",IFERROR(INDEX('Catálogo'!$H$2:$H$1567,MATCH($A33,'Catálogo'!$A$2:$A$1567,0)),"código no encontrado"))</f>
        <v/>
      </c>
      <c r="E33" s="15" t="n"/>
      <c r="F33" s="10">
        <f>IF($A33="","",IFERROR(INDEX('Catálogo'!$N$2:$N$1567,MATCH($A33,'Catálogo'!$A$2:$A$1567,0)),"código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IF($A34="","",IFERROR(INDEX('Catálogo'!$D$2:$D$1567,MATCH($A34,'Catálogo'!$A$2:$A$1567,0)),"código no encontrado"))</f>
        <v/>
      </c>
      <c r="C34" s="5">
        <f>IF($A34="","",IFERROR(INDEX('Catálogo'!$E$2:$E$1567,MATCH($A34,'Catálogo'!$A$2:$A$1567,0)),"código no encontrado"))</f>
        <v/>
      </c>
      <c r="D34" s="5">
        <f>IF($A34="","",IFERROR(INDEX('Catálogo'!$H$2:$H$1567,MATCH($A34,'Catálogo'!$A$2:$A$1567,0)),"código no encontrado"))</f>
        <v/>
      </c>
      <c r="E34" s="15" t="n"/>
      <c r="F34" s="10">
        <f>IF($A34="","",IFERROR(INDEX('Catálogo'!$N$2:$N$1567,MATCH($A34,'Catálogo'!$A$2:$A$1567,0)),"código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IF($A35="","",IFERROR(INDEX('Catálogo'!$D$2:$D$1567,MATCH($A35,'Catálogo'!$A$2:$A$1567,0)),"código no encontrado"))</f>
        <v/>
      </c>
      <c r="C35" s="5">
        <f>IF($A35="","",IFERROR(INDEX('Catálogo'!$E$2:$E$1567,MATCH($A35,'Catálogo'!$A$2:$A$1567,0)),"código no encontrado"))</f>
        <v/>
      </c>
      <c r="D35" s="5">
        <f>IF($A35="","",IFERROR(INDEX('Catálogo'!$H$2:$H$1567,MATCH($A35,'Catálogo'!$A$2:$A$1567,0)),"código no encontrado"))</f>
        <v/>
      </c>
      <c r="E35" s="15" t="n"/>
      <c r="F35" s="10">
        <f>IF($A35="","",IFERROR(INDEX('Catálogo'!$N$2:$N$1567,MATCH($A35,'Catálogo'!$A$2:$A$1567,0)),"código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IF($A36="","",IFERROR(INDEX('Catálogo'!$D$2:$D$1567,MATCH($A36,'Catálogo'!$A$2:$A$1567,0)),"código no encontrado"))</f>
        <v/>
      </c>
      <c r="C36" s="5">
        <f>IF($A36="","",IFERROR(INDEX('Catálogo'!$E$2:$E$1567,MATCH($A36,'Catálogo'!$A$2:$A$1567,0)),"código no encontrado"))</f>
        <v/>
      </c>
      <c r="D36" s="5">
        <f>IF($A36="","",IFERROR(INDEX('Catálogo'!$H$2:$H$1567,MATCH($A36,'Catálogo'!$A$2:$A$1567,0)),"código no encontrado"))</f>
        <v/>
      </c>
      <c r="E36" s="15" t="n"/>
      <c r="F36" s="10">
        <f>IF($A36="","",IFERROR(INDEX('Catálogo'!$N$2:$N$1567,MATCH($A36,'Catálogo'!$A$2:$A$1567,0)),"código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IF($A37="","",IFERROR(INDEX('Catálogo'!$D$2:$D$1567,MATCH($A37,'Catálogo'!$A$2:$A$1567,0)),"código no encontrado"))</f>
        <v/>
      </c>
      <c r="C37" s="5">
        <f>IF($A37="","",IFERROR(INDEX('Catálogo'!$E$2:$E$1567,MATCH($A37,'Catálogo'!$A$2:$A$1567,0)),"código no encontrado"))</f>
        <v/>
      </c>
      <c r="D37" s="5">
        <f>IF($A37="","",IFERROR(INDEX('Catálogo'!$H$2:$H$1567,MATCH($A37,'Catálogo'!$A$2:$A$1567,0)),"código no encontrado"))</f>
        <v/>
      </c>
      <c r="E37" s="15" t="n"/>
      <c r="F37" s="10">
        <f>IF($A37="","",IFERROR(INDEX('Catálogo'!$N$2:$N$1567,MATCH($A37,'Catálogo'!$A$2:$A$1567,0)),"código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IF($A38="","",IFERROR(INDEX('Catálogo'!$D$2:$D$1567,MATCH($A38,'Catálogo'!$A$2:$A$1567,0)),"código no encontrado"))</f>
        <v/>
      </c>
      <c r="C38" s="5">
        <f>IF($A38="","",IFERROR(INDEX('Catálogo'!$E$2:$E$1567,MATCH($A38,'Catálogo'!$A$2:$A$1567,0)),"código no encontrado"))</f>
        <v/>
      </c>
      <c r="D38" s="5">
        <f>IF($A38="","",IFERROR(INDEX('Catálogo'!$H$2:$H$1567,MATCH($A38,'Catálogo'!$A$2:$A$1567,0)),"código no encontrado"))</f>
        <v/>
      </c>
      <c r="E38" s="15" t="n"/>
      <c r="F38" s="10">
        <f>IF($A38="","",IFERROR(INDEX('Catálogo'!$N$2:$N$1567,MATCH($A38,'Catálogo'!$A$2:$A$1567,0)),"código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IF($A39="","",IFERROR(INDEX('Catálogo'!$D$2:$D$1567,MATCH($A39,'Catálogo'!$A$2:$A$1567,0)),"código no encontrado"))</f>
        <v/>
      </c>
      <c r="C39" s="5">
        <f>IF($A39="","",IFERROR(INDEX('Catálogo'!$E$2:$E$1567,MATCH($A39,'Catálogo'!$A$2:$A$1567,0)),"código no encontrado"))</f>
        <v/>
      </c>
      <c r="D39" s="5">
        <f>IF($A39="","",IFERROR(INDEX('Catálogo'!$H$2:$H$1567,MATCH($A39,'Catálogo'!$A$2:$A$1567,0)),"código no encontrado"))</f>
        <v/>
      </c>
      <c r="E39" s="15" t="n"/>
      <c r="F39" s="10">
        <f>IF($A39="","",IFERROR(INDEX('Catálogo'!$N$2:$N$1567,MATCH($A39,'Catálogo'!$A$2:$A$1567,0)),"código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IF($A40="","",IFERROR(INDEX('Catálogo'!$D$2:$D$1567,MATCH($A40,'Catálogo'!$A$2:$A$1567,0)),"código no encontrado"))</f>
        <v/>
      </c>
      <c r="C40" s="5">
        <f>IF($A40="","",IFERROR(INDEX('Catálogo'!$E$2:$E$1567,MATCH($A40,'Catálogo'!$A$2:$A$1567,0)),"código no encontrado"))</f>
        <v/>
      </c>
      <c r="D40" s="5">
        <f>IF($A40="","",IFERROR(INDEX('Catálogo'!$H$2:$H$1567,MATCH($A40,'Catálogo'!$A$2:$A$1567,0)),"código no encontrado"))</f>
        <v/>
      </c>
      <c r="E40" s="15" t="n"/>
      <c r="F40" s="10">
        <f>IF($A40="","",IFERROR(INDEX('Catálogo'!$N$2:$N$1567,MATCH($A40,'Catálogo'!$A$2:$A$1567,0)),"código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IF($A41="","",IFERROR(INDEX('Catálogo'!$D$2:$D$1567,MATCH($A41,'Catálogo'!$A$2:$A$1567,0)),"código no encontrado"))</f>
        <v/>
      </c>
      <c r="C41" s="5">
        <f>IF($A41="","",IFERROR(INDEX('Catálogo'!$E$2:$E$1567,MATCH($A41,'Catálogo'!$A$2:$A$1567,0)),"código no encontrado"))</f>
        <v/>
      </c>
      <c r="D41" s="5">
        <f>IF($A41="","",IFERROR(INDEX('Catálogo'!$H$2:$H$1567,MATCH($A41,'Catálogo'!$A$2:$A$1567,0)),"código no encontrado"))</f>
        <v/>
      </c>
      <c r="E41" s="15" t="n"/>
      <c r="F41" s="10">
        <f>IF($A41="","",IFERROR(INDEX('Catálogo'!$N$2:$N$1567,MATCH($A41,'Catálogo'!$A$2:$A$1567,0)),"código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IF($A42="","",IFERROR(INDEX('Catálogo'!$D$2:$D$1567,MATCH($A42,'Catálogo'!$A$2:$A$1567,0)),"código no encontrado"))</f>
        <v/>
      </c>
      <c r="C42" s="5">
        <f>IF($A42="","",IFERROR(INDEX('Catálogo'!$E$2:$E$1567,MATCH($A42,'Catálogo'!$A$2:$A$1567,0)),"código no encontrado"))</f>
        <v/>
      </c>
      <c r="D42" s="5">
        <f>IF($A42="","",IFERROR(INDEX('Catálogo'!$H$2:$H$1567,MATCH($A42,'Catálogo'!$A$2:$A$1567,0)),"código no encontrado"))</f>
        <v/>
      </c>
      <c r="E42" s="15" t="n"/>
      <c r="F42" s="10">
        <f>IF($A42="","",IFERROR(INDEX('Catálogo'!$N$2:$N$1567,MATCH($A42,'Catálogo'!$A$2:$A$1567,0)),"código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IF($A43="","",IFERROR(INDEX('Catálogo'!$D$2:$D$1567,MATCH($A43,'Catálogo'!$A$2:$A$1567,0)),"código no encontrado"))</f>
        <v/>
      </c>
      <c r="C43" s="5">
        <f>IF($A43="","",IFERROR(INDEX('Catálogo'!$E$2:$E$1567,MATCH($A43,'Catálogo'!$A$2:$A$1567,0)),"código no encontrado"))</f>
        <v/>
      </c>
      <c r="D43" s="5">
        <f>IF($A43="","",IFERROR(INDEX('Catálogo'!$H$2:$H$1567,MATCH($A43,'Catálogo'!$A$2:$A$1567,0)),"código no encontrado"))</f>
        <v/>
      </c>
      <c r="E43" s="15" t="n"/>
      <c r="F43" s="10">
        <f>IF($A43="","",IFERROR(INDEX('Catálogo'!$N$2:$N$1567,MATCH($A43,'Catálogo'!$A$2:$A$1567,0)),"código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IF($A44="","",IFERROR(INDEX('Catálogo'!$D$2:$D$1567,MATCH($A44,'Catálogo'!$A$2:$A$1567,0)),"código no encontrado"))</f>
        <v/>
      </c>
      <c r="C44" s="5">
        <f>IF($A44="","",IFERROR(INDEX('Catálogo'!$E$2:$E$1567,MATCH($A44,'Catálogo'!$A$2:$A$1567,0)),"código no encontrado"))</f>
        <v/>
      </c>
      <c r="D44" s="5">
        <f>IF($A44="","",IFERROR(INDEX('Catálogo'!$H$2:$H$1567,MATCH($A44,'Catálogo'!$A$2:$A$1567,0)),"código no encontrado"))</f>
        <v/>
      </c>
      <c r="E44" s="15" t="n"/>
      <c r="F44" s="10">
        <f>IF($A44="","",IFERROR(INDEX('Catálogo'!$N$2:$N$1567,MATCH($A44,'Catálogo'!$A$2:$A$1567,0)),"código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IF($A45="","",IFERROR(INDEX('Catálogo'!$D$2:$D$1567,MATCH($A45,'Catálogo'!$A$2:$A$1567,0)),"código no encontrado"))</f>
        <v/>
      </c>
      <c r="C45" s="5">
        <f>IF($A45="","",IFERROR(INDEX('Catálogo'!$E$2:$E$1567,MATCH($A45,'Catálogo'!$A$2:$A$1567,0)),"código no encontrado"))</f>
        <v/>
      </c>
      <c r="D45" s="5">
        <f>IF($A45="","",IFERROR(INDEX('Catálogo'!$H$2:$H$1567,MATCH($A45,'Catálogo'!$A$2:$A$1567,0)),"código no encontrado"))</f>
        <v/>
      </c>
      <c r="E45" s="15" t="n"/>
      <c r="F45" s="10">
        <f>IF($A45="","",IFERROR(INDEX('Catálogo'!$N$2:$N$1567,MATCH($A45,'Catálogo'!$A$2:$A$1567,0)),"código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IF($A46="","",IFERROR(INDEX('Catálogo'!$D$2:$D$1567,MATCH($A46,'Catálogo'!$A$2:$A$1567,0)),"código no encontrado"))</f>
        <v/>
      </c>
      <c r="C46" s="5">
        <f>IF($A46="","",IFERROR(INDEX('Catálogo'!$E$2:$E$1567,MATCH($A46,'Catálogo'!$A$2:$A$1567,0)),"código no encontrado"))</f>
        <v/>
      </c>
      <c r="D46" s="5">
        <f>IF($A46="","",IFERROR(INDEX('Catálogo'!$H$2:$H$1567,MATCH($A46,'Catálogo'!$A$2:$A$1567,0)),"código no encontrado"))</f>
        <v/>
      </c>
      <c r="E46" s="15" t="n"/>
      <c r="F46" s="10">
        <f>IF($A46="","",IFERROR(INDEX('Catálogo'!$N$2:$N$1567,MATCH($A46,'Catálogo'!$A$2:$A$1567,0)),"código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IF($A47="","",IFERROR(INDEX('Catálogo'!$D$2:$D$1567,MATCH($A47,'Catálogo'!$A$2:$A$1567,0)),"código no encontrado"))</f>
        <v/>
      </c>
      <c r="C47" s="5">
        <f>IF($A47="","",IFERROR(INDEX('Catálogo'!$E$2:$E$1567,MATCH($A47,'Catálogo'!$A$2:$A$1567,0)),"código no encontrado"))</f>
        <v/>
      </c>
      <c r="D47" s="5">
        <f>IF($A47="","",IFERROR(INDEX('Catálogo'!$H$2:$H$1567,MATCH($A47,'Catálogo'!$A$2:$A$1567,0)),"código no encontrado"))</f>
        <v/>
      </c>
      <c r="E47" s="15" t="n"/>
      <c r="F47" s="10">
        <f>IF($A47="","",IFERROR(INDEX('Catálogo'!$N$2:$N$1567,MATCH($A47,'Catálogo'!$A$2:$A$1567,0)),"código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IF($A48="","",IFERROR(INDEX('Catálogo'!$D$2:$D$1567,MATCH($A48,'Catálogo'!$A$2:$A$1567,0)),"código no encontrado"))</f>
        <v/>
      </c>
      <c r="C48" s="5">
        <f>IF($A48="","",IFERROR(INDEX('Catálogo'!$E$2:$E$1567,MATCH($A48,'Catálogo'!$A$2:$A$1567,0)),"código no encontrado"))</f>
        <v/>
      </c>
      <c r="D48" s="5">
        <f>IF($A48="","",IFERROR(INDEX('Catálogo'!$H$2:$H$1567,MATCH($A48,'Catálogo'!$A$2:$A$1567,0)),"código no encontrado"))</f>
        <v/>
      </c>
      <c r="E48" s="15" t="n"/>
      <c r="F48" s="10">
        <f>IF($A48="","",IFERROR(INDEX('Catálogo'!$N$2:$N$1567,MATCH($A48,'Catálogo'!$A$2:$A$1567,0)),"código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IF($A49="","",IFERROR(INDEX('Catálogo'!$D$2:$D$1567,MATCH($A49,'Catálogo'!$A$2:$A$1567,0)),"código no encontrado"))</f>
        <v/>
      </c>
      <c r="C49" s="5">
        <f>IF($A49="","",IFERROR(INDEX('Catálogo'!$E$2:$E$1567,MATCH($A49,'Catálogo'!$A$2:$A$1567,0)),"código no encontrado"))</f>
        <v/>
      </c>
      <c r="D49" s="5">
        <f>IF($A49="","",IFERROR(INDEX('Catálogo'!$H$2:$H$1567,MATCH($A49,'Catálogo'!$A$2:$A$1567,0)),"código no encontrado"))</f>
        <v/>
      </c>
      <c r="E49" s="15" t="n"/>
      <c r="F49" s="10">
        <f>IF($A49="","",IFERROR(INDEX('Catálogo'!$N$2:$N$1567,MATCH($A49,'Catálogo'!$A$2:$A$1567,0)),"código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IF($A50="","",IFERROR(INDEX('Catálogo'!$D$2:$D$1567,MATCH($A50,'Catálogo'!$A$2:$A$1567,0)),"código no encontrado"))</f>
        <v/>
      </c>
      <c r="C50" s="5">
        <f>IF($A50="","",IFERROR(INDEX('Catálogo'!$E$2:$E$1567,MATCH($A50,'Catálogo'!$A$2:$A$1567,0)),"código no encontrado"))</f>
        <v/>
      </c>
      <c r="D50" s="5">
        <f>IF($A50="","",IFERROR(INDEX('Catálogo'!$H$2:$H$1567,MATCH($A50,'Catálogo'!$A$2:$A$1567,0)),"código no encontrado"))</f>
        <v/>
      </c>
      <c r="E50" s="15" t="n"/>
      <c r="F50" s="10">
        <f>IF($A50="","",IFERROR(INDEX('Catálogo'!$N$2:$N$1567,MATCH($A50,'Catálogo'!$A$2:$A$1567,0)),"código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IF($A51="","",IFERROR(INDEX('Catálogo'!$D$2:$D$1567,MATCH($A51,'Catálogo'!$A$2:$A$1567,0)),"código no encontrado"))</f>
        <v/>
      </c>
      <c r="C51" s="5">
        <f>IF($A51="","",IFERROR(INDEX('Catálogo'!$E$2:$E$1567,MATCH($A51,'Catálogo'!$A$2:$A$1567,0)),"código no encontrado"))</f>
        <v/>
      </c>
      <c r="D51" s="5">
        <f>IF($A51="","",IFERROR(INDEX('Catálogo'!$H$2:$H$1567,MATCH($A51,'Catálogo'!$A$2:$A$1567,0)),"código no encontrado"))</f>
        <v/>
      </c>
      <c r="E51" s="15" t="n"/>
      <c r="F51" s="10">
        <f>IF($A51="","",IFERROR(INDEX('Catálogo'!$N$2:$N$1567,MATCH($A51,'Catálogo'!$A$2:$A$1567,0)),"código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IF($A52="","",IFERROR(INDEX('Catálogo'!$D$2:$D$1567,MATCH($A52,'Catálogo'!$A$2:$A$1567,0)),"código no encontrado"))</f>
        <v/>
      </c>
      <c r="C52" s="5">
        <f>IF($A52="","",IFERROR(INDEX('Catálogo'!$E$2:$E$1567,MATCH($A52,'Catálogo'!$A$2:$A$1567,0)),"código no encontrado"))</f>
        <v/>
      </c>
      <c r="D52" s="5">
        <f>IF($A52="","",IFERROR(INDEX('Catálogo'!$H$2:$H$1567,MATCH($A52,'Catálogo'!$A$2:$A$1567,0)),"código no encontrado"))</f>
        <v/>
      </c>
      <c r="E52" s="15" t="n"/>
      <c r="F52" s="10">
        <f>IF($A52="","",IFERROR(INDEX('Catálogo'!$N$2:$N$1567,MATCH($A52,'Catálogo'!$A$2:$A$1567,0)),"código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IF($A53="","",IFERROR(INDEX('Catálogo'!$D$2:$D$1567,MATCH($A53,'Catálogo'!$A$2:$A$1567,0)),"código no encontrado"))</f>
        <v/>
      </c>
      <c r="C53" s="5">
        <f>IF($A53="","",IFERROR(INDEX('Catálogo'!$E$2:$E$1567,MATCH($A53,'Catálogo'!$A$2:$A$1567,0)),"código no encontrado"))</f>
        <v/>
      </c>
      <c r="D53" s="5">
        <f>IF($A53="","",IFERROR(INDEX('Catálogo'!$H$2:$H$1567,MATCH($A53,'Catálogo'!$A$2:$A$1567,0)),"código no encontrado"))</f>
        <v/>
      </c>
      <c r="E53" s="15" t="n"/>
      <c r="F53" s="10">
        <f>IF($A53="","",IFERROR(INDEX('Catálogo'!$N$2:$N$1567,MATCH($A53,'Catálogo'!$A$2:$A$1567,0)),"código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IF($A54="","",IFERROR(INDEX('Catálogo'!$D$2:$D$1567,MATCH($A54,'Catálogo'!$A$2:$A$1567,0)),"código no encontrado"))</f>
        <v/>
      </c>
      <c r="C54" s="5">
        <f>IF($A54="","",IFERROR(INDEX('Catálogo'!$E$2:$E$1567,MATCH($A54,'Catálogo'!$A$2:$A$1567,0)),"código no encontrado"))</f>
        <v/>
      </c>
      <c r="D54" s="5">
        <f>IF($A54="","",IFERROR(INDEX('Catálogo'!$H$2:$H$1567,MATCH($A54,'Catálogo'!$A$2:$A$1567,0)),"código no encontrado"))</f>
        <v/>
      </c>
      <c r="E54" s="15" t="n"/>
      <c r="F54" s="10">
        <f>IF($A54="","",IFERROR(INDEX('Catálogo'!$N$2:$N$1567,MATCH($A54,'Catálogo'!$A$2:$A$1567,0)),"código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IF($A55="","",IFERROR(INDEX('Catálogo'!$D$2:$D$1567,MATCH($A55,'Catálogo'!$A$2:$A$1567,0)),"código no encontrado"))</f>
        <v/>
      </c>
      <c r="C55" s="5">
        <f>IF($A55="","",IFERROR(INDEX('Catálogo'!$E$2:$E$1567,MATCH($A55,'Catálogo'!$A$2:$A$1567,0)),"código no encontrado"))</f>
        <v/>
      </c>
      <c r="D55" s="5">
        <f>IF($A55="","",IFERROR(INDEX('Catálogo'!$H$2:$H$1567,MATCH($A55,'Catálogo'!$A$2:$A$1567,0)),"código no encontrado"))</f>
        <v/>
      </c>
      <c r="E55" s="15" t="n"/>
      <c r="F55" s="10">
        <f>IF($A55="","",IFERROR(INDEX('Catálogo'!$N$2:$N$1567,MATCH($A55,'Catálogo'!$A$2:$A$1567,0)),"código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IF($A56="","",IFERROR(INDEX('Catálogo'!$D$2:$D$1567,MATCH($A56,'Catálogo'!$A$2:$A$1567,0)),"código no encontrado"))</f>
        <v/>
      </c>
      <c r="C56" s="5">
        <f>IF($A56="","",IFERROR(INDEX('Catálogo'!$E$2:$E$1567,MATCH($A56,'Catálogo'!$A$2:$A$1567,0)),"código no encontrado"))</f>
        <v/>
      </c>
      <c r="D56" s="5">
        <f>IF($A56="","",IFERROR(INDEX('Catálogo'!$H$2:$H$1567,MATCH($A56,'Catálogo'!$A$2:$A$1567,0)),"código no encontrado"))</f>
        <v/>
      </c>
      <c r="E56" s="15" t="n"/>
      <c r="F56" s="10">
        <f>IF($A56="","",IFERROR(INDEX('Catálogo'!$N$2:$N$1567,MATCH($A56,'Catálogo'!$A$2:$A$1567,0)),"código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IF($A57="","",IFERROR(INDEX('Catálogo'!$D$2:$D$1567,MATCH($A57,'Catálogo'!$A$2:$A$1567,0)),"código no encontrado"))</f>
        <v/>
      </c>
      <c r="C57" s="5">
        <f>IF($A57="","",IFERROR(INDEX('Catálogo'!$E$2:$E$1567,MATCH($A57,'Catálogo'!$A$2:$A$1567,0)),"código no encontrado"))</f>
        <v/>
      </c>
      <c r="D57" s="5">
        <f>IF($A57="","",IFERROR(INDEX('Catálogo'!$H$2:$H$1567,MATCH($A57,'Catálogo'!$A$2:$A$1567,0)),"código no encontrado"))</f>
        <v/>
      </c>
      <c r="E57" s="15" t="n"/>
      <c r="F57" s="10">
        <f>IF($A57="","",IFERROR(INDEX('Catálogo'!$N$2:$N$1567,MATCH($A57,'Catálogo'!$A$2:$A$1567,0)),"código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IF($A58="","",IFERROR(INDEX('Catálogo'!$D$2:$D$1567,MATCH($A58,'Catálogo'!$A$2:$A$1567,0)),"código no encontrado"))</f>
        <v/>
      </c>
      <c r="C58" s="5">
        <f>IF($A58="","",IFERROR(INDEX('Catálogo'!$E$2:$E$1567,MATCH($A58,'Catálogo'!$A$2:$A$1567,0)),"código no encontrado"))</f>
        <v/>
      </c>
      <c r="D58" s="5">
        <f>IF($A58="","",IFERROR(INDEX('Catálogo'!$H$2:$H$1567,MATCH($A58,'Catálogo'!$A$2:$A$1567,0)),"código no encontrado"))</f>
        <v/>
      </c>
      <c r="E58" s="15" t="n"/>
      <c r="F58" s="10">
        <f>IF($A58="","",IFERROR(INDEX('Catálogo'!$N$2:$N$1567,MATCH($A58,'Catálogo'!$A$2:$A$1567,0)),"código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IF($A59="","",IFERROR(INDEX('Catálogo'!$D$2:$D$1567,MATCH($A59,'Catálogo'!$A$2:$A$1567,0)),"código no encontrado"))</f>
        <v/>
      </c>
      <c r="C59" s="5">
        <f>IF($A59="","",IFERROR(INDEX('Catálogo'!$E$2:$E$1567,MATCH($A59,'Catálogo'!$A$2:$A$1567,0)),"código no encontrado"))</f>
        <v/>
      </c>
      <c r="D59" s="5">
        <f>IF($A59="","",IFERROR(INDEX('Catálogo'!$H$2:$H$1567,MATCH($A59,'Catálogo'!$A$2:$A$1567,0)),"código no encontrado"))</f>
        <v/>
      </c>
      <c r="E59" s="15" t="n"/>
      <c r="F59" s="10">
        <f>IF($A59="","",IFERROR(INDEX('Catálogo'!$N$2:$N$1567,MATCH($A59,'Catálogo'!$A$2:$A$1567,0)),"código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IF($A60="","",IFERROR(INDEX('Catálogo'!$D$2:$D$1567,MATCH($A60,'Catálogo'!$A$2:$A$1567,0)),"código no encontrado"))</f>
        <v/>
      </c>
      <c r="C60" s="5">
        <f>IF($A60="","",IFERROR(INDEX('Catálogo'!$E$2:$E$1567,MATCH($A60,'Catálogo'!$A$2:$A$1567,0)),"código no encontrado"))</f>
        <v/>
      </c>
      <c r="D60" s="5">
        <f>IF($A60="","",IFERROR(INDEX('Catálogo'!$H$2:$H$1567,MATCH($A60,'Catálogo'!$A$2:$A$1567,0)),"código no encontrado"))</f>
        <v/>
      </c>
      <c r="E60" s="15" t="n"/>
      <c r="F60" s="10">
        <f>IF($A60="","",IFERROR(INDEX('Catálogo'!$N$2:$N$1567,MATCH($A60,'Catálogo'!$A$2:$A$1567,0)),"código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IF($A61="","",IFERROR(INDEX('Catálogo'!$D$2:$D$1567,MATCH($A61,'Catálogo'!$A$2:$A$1567,0)),"código no encontrado"))</f>
        <v/>
      </c>
      <c r="C61" s="5">
        <f>IF($A61="","",IFERROR(INDEX('Catálogo'!$E$2:$E$1567,MATCH($A61,'Catálogo'!$A$2:$A$1567,0)),"código no encontrado"))</f>
        <v/>
      </c>
      <c r="D61" s="5">
        <f>IF($A61="","",IFERROR(INDEX('Catálogo'!$H$2:$H$1567,MATCH($A61,'Catálogo'!$A$2:$A$1567,0)),"código no encontrado"))</f>
        <v/>
      </c>
      <c r="E61" s="15" t="n"/>
      <c r="F61" s="10">
        <f>IF($A61="","",IFERROR(INDEX('Catálogo'!$N$2:$N$1567,MATCH($A61,'Catálogo'!$A$2:$A$1567,0)),"código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IF($A62="","",IFERROR(INDEX('Catálogo'!$D$2:$D$1567,MATCH($A62,'Catálogo'!$A$2:$A$1567,0)),"código no encontrado"))</f>
        <v/>
      </c>
      <c r="C62" s="5">
        <f>IF($A62="","",IFERROR(INDEX('Catálogo'!$E$2:$E$1567,MATCH($A62,'Catálogo'!$A$2:$A$1567,0)),"código no encontrado"))</f>
        <v/>
      </c>
      <c r="D62" s="5">
        <f>IF($A62="","",IFERROR(INDEX('Catálogo'!$H$2:$H$1567,MATCH($A62,'Catálogo'!$A$2:$A$1567,0)),"código no encontrado"))</f>
        <v/>
      </c>
      <c r="E62" s="15" t="n"/>
      <c r="F62" s="10">
        <f>IF($A62="","",IFERROR(INDEX('Catálogo'!$N$2:$N$1567,MATCH($A62,'Catálogo'!$A$2:$A$1567,0)),"código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IF($A63="","",IFERROR(INDEX('Catálogo'!$D$2:$D$1567,MATCH($A63,'Catálogo'!$A$2:$A$1567,0)),"código no encontrado"))</f>
        <v/>
      </c>
      <c r="C63" s="5">
        <f>IF($A63="","",IFERROR(INDEX('Catálogo'!$E$2:$E$1567,MATCH($A63,'Catálogo'!$A$2:$A$1567,0)),"código no encontrado"))</f>
        <v/>
      </c>
      <c r="D63" s="5">
        <f>IF($A63="","",IFERROR(INDEX('Catálogo'!$H$2:$H$1567,MATCH($A63,'Catálogo'!$A$2:$A$1567,0)),"código no encontrado"))</f>
        <v/>
      </c>
      <c r="E63" s="15" t="n"/>
      <c r="F63" s="10">
        <f>IF($A63="","",IFERROR(INDEX('Catálogo'!$N$2:$N$1567,MATCH($A63,'Catálogo'!$A$2:$A$1567,0)),"código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IF($A64="","",IFERROR(INDEX('Catálogo'!$D$2:$D$1567,MATCH($A64,'Catálogo'!$A$2:$A$1567,0)),"código no encontrado"))</f>
        <v/>
      </c>
      <c r="C64" s="5">
        <f>IF($A64="","",IFERROR(INDEX('Catálogo'!$E$2:$E$1567,MATCH($A64,'Catálogo'!$A$2:$A$1567,0)),"código no encontrado"))</f>
        <v/>
      </c>
      <c r="D64" s="5">
        <f>IF($A64="","",IFERROR(INDEX('Catálogo'!$H$2:$H$1567,MATCH($A64,'Catálogo'!$A$2:$A$1567,0)),"código no encontrado"))</f>
        <v/>
      </c>
      <c r="E64" s="15" t="n"/>
      <c r="F64" s="10">
        <f>IF($A64="","",IFERROR(INDEX('Catálogo'!$N$2:$N$1567,MATCH($A64,'Catálogo'!$A$2:$A$1567,0)),"código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IF($A65="","",IFERROR(INDEX('Catálogo'!$D$2:$D$1567,MATCH($A65,'Catálogo'!$A$2:$A$1567,0)),"código no encontrado"))</f>
        <v/>
      </c>
      <c r="C65" s="5">
        <f>IF($A65="","",IFERROR(INDEX('Catálogo'!$E$2:$E$1567,MATCH($A65,'Catálogo'!$A$2:$A$1567,0)),"código no encontrado"))</f>
        <v/>
      </c>
      <c r="D65" s="5">
        <f>IF($A65="","",IFERROR(INDEX('Catálogo'!$H$2:$H$1567,MATCH($A65,'Catálogo'!$A$2:$A$1567,0)),"código no encontrado"))</f>
        <v/>
      </c>
      <c r="E65" s="15" t="n"/>
      <c r="F65" s="10">
        <f>IF($A65="","",IFERROR(INDEX('Catálogo'!$N$2:$N$1567,MATCH($A65,'Catálogo'!$A$2:$A$1567,0)),"código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IF($A66="","",IFERROR(INDEX('Catálogo'!$D$2:$D$1567,MATCH($A66,'Catálogo'!$A$2:$A$1567,0)),"código no encontrado"))</f>
        <v/>
      </c>
      <c r="C66" s="5">
        <f>IF($A66="","",IFERROR(INDEX('Catálogo'!$E$2:$E$1567,MATCH($A66,'Catálogo'!$A$2:$A$1567,0)),"código no encontrado"))</f>
        <v/>
      </c>
      <c r="D66" s="5">
        <f>IF($A66="","",IFERROR(INDEX('Catálogo'!$H$2:$H$1567,MATCH($A66,'Catálogo'!$A$2:$A$1567,0)),"código no encontrado"))</f>
        <v/>
      </c>
      <c r="E66" s="15" t="n"/>
      <c r="F66" s="10">
        <f>IF($A66="","",IFERROR(INDEX('Catálogo'!$N$2:$N$1567,MATCH($A66,'Catálogo'!$A$2:$A$1567,0)),"código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IF($A67="","",IFERROR(INDEX('Catálogo'!$D$2:$D$1567,MATCH($A67,'Catálogo'!$A$2:$A$1567,0)),"código no encontrado"))</f>
        <v/>
      </c>
      <c r="C67" s="5">
        <f>IF($A67="","",IFERROR(INDEX('Catálogo'!$E$2:$E$1567,MATCH($A67,'Catálogo'!$A$2:$A$1567,0)),"código no encontrado"))</f>
        <v/>
      </c>
      <c r="D67" s="5">
        <f>IF($A67="","",IFERROR(INDEX('Catálogo'!$H$2:$H$1567,MATCH($A67,'Catálogo'!$A$2:$A$1567,0)),"código no encontrado"))</f>
        <v/>
      </c>
      <c r="E67" s="15" t="n"/>
      <c r="F67" s="10">
        <f>IF($A67="","",IFERROR(INDEX('Catálogo'!$N$2:$N$1567,MATCH($A67,'Catálogo'!$A$2:$A$1567,0)),"código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IF($A68="","",IFERROR(INDEX('Catálogo'!$D$2:$D$1567,MATCH($A68,'Catálogo'!$A$2:$A$1567,0)),"código no encontrado"))</f>
        <v/>
      </c>
      <c r="C68" s="5">
        <f>IF($A68="","",IFERROR(INDEX('Catálogo'!$E$2:$E$1567,MATCH($A68,'Catálogo'!$A$2:$A$1567,0)),"código no encontrado"))</f>
        <v/>
      </c>
      <c r="D68" s="5">
        <f>IF($A68="","",IFERROR(INDEX('Catálogo'!$H$2:$H$1567,MATCH($A68,'Catálogo'!$A$2:$A$1567,0)),"código no encontrado"))</f>
        <v/>
      </c>
      <c r="E68" s="15" t="n"/>
      <c r="F68" s="10">
        <f>IF($A68="","",IFERROR(INDEX('Catálogo'!$N$2:$N$1567,MATCH($A68,'Catálogo'!$A$2:$A$1567,0)),"código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IF($A69="","",IFERROR(INDEX('Catálogo'!$D$2:$D$1567,MATCH($A69,'Catálogo'!$A$2:$A$1567,0)),"código no encontrado"))</f>
        <v/>
      </c>
      <c r="C69" s="5">
        <f>IF($A69="","",IFERROR(INDEX('Catálogo'!$E$2:$E$1567,MATCH($A69,'Catálogo'!$A$2:$A$1567,0)),"código no encontrado"))</f>
        <v/>
      </c>
      <c r="D69" s="5">
        <f>IF($A69="","",IFERROR(INDEX('Catálogo'!$H$2:$H$1567,MATCH($A69,'Catálogo'!$A$2:$A$1567,0)),"código no encontrado"))</f>
        <v/>
      </c>
      <c r="E69" s="15" t="n"/>
      <c r="F69" s="10">
        <f>IF($A69="","",IFERROR(INDEX('Catálogo'!$N$2:$N$1567,MATCH($A69,'Catálogo'!$A$2:$A$1567,0)),"código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IF($A70="","",IFERROR(INDEX('Catálogo'!$D$2:$D$1567,MATCH($A70,'Catálogo'!$A$2:$A$1567,0)),"código no encontrado"))</f>
        <v/>
      </c>
      <c r="C70" s="5">
        <f>IF($A70="","",IFERROR(INDEX('Catálogo'!$E$2:$E$1567,MATCH($A70,'Catálogo'!$A$2:$A$1567,0)),"código no encontrado"))</f>
        <v/>
      </c>
      <c r="D70" s="5">
        <f>IF($A70="","",IFERROR(INDEX('Catálogo'!$H$2:$H$1567,MATCH($A70,'Catálogo'!$A$2:$A$1567,0)),"código no encontrado"))</f>
        <v/>
      </c>
      <c r="E70" s="15" t="n"/>
      <c r="F70" s="10">
        <f>IF($A70="","",IFERROR(INDEX('Catálogo'!$N$2:$N$1567,MATCH($A70,'Catálogo'!$A$2:$A$1567,0)),"código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IF($A71="","",IFERROR(INDEX('Catálogo'!$D$2:$D$1567,MATCH($A71,'Catálogo'!$A$2:$A$1567,0)),"código no encontrado"))</f>
        <v/>
      </c>
      <c r="C71" s="5">
        <f>IF($A71="","",IFERROR(INDEX('Catálogo'!$E$2:$E$1567,MATCH($A71,'Catálogo'!$A$2:$A$1567,0)),"código no encontrado"))</f>
        <v/>
      </c>
      <c r="D71" s="5">
        <f>IF($A71="","",IFERROR(INDEX('Catálogo'!$H$2:$H$1567,MATCH($A71,'Catálogo'!$A$2:$A$1567,0)),"código no encontrado"))</f>
        <v/>
      </c>
      <c r="E71" s="15" t="n"/>
      <c r="F71" s="10">
        <f>IF($A71="","",IFERROR(INDEX('Catálogo'!$N$2:$N$1567,MATCH($A71,'Catálogo'!$A$2:$A$1567,0)),"código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IF($A72="","",IFERROR(INDEX('Catálogo'!$D$2:$D$1567,MATCH($A72,'Catálogo'!$A$2:$A$1567,0)),"código no encontrado"))</f>
        <v/>
      </c>
      <c r="C72" s="5">
        <f>IF($A72="","",IFERROR(INDEX('Catálogo'!$E$2:$E$1567,MATCH($A72,'Catálogo'!$A$2:$A$1567,0)),"código no encontrado"))</f>
        <v/>
      </c>
      <c r="D72" s="5">
        <f>IF($A72="","",IFERROR(INDEX('Catálogo'!$H$2:$H$1567,MATCH($A72,'Catálogo'!$A$2:$A$1567,0)),"código no encontrado"))</f>
        <v/>
      </c>
      <c r="E72" s="15" t="n"/>
      <c r="F72" s="10">
        <f>IF($A72="","",IFERROR(INDEX('Catálogo'!$N$2:$N$1567,MATCH($A72,'Catálogo'!$A$2:$A$1567,0)),"código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IF($A73="","",IFERROR(INDEX('Catálogo'!$D$2:$D$1567,MATCH($A73,'Catálogo'!$A$2:$A$1567,0)),"código no encontrado"))</f>
        <v/>
      </c>
      <c r="C73" s="5">
        <f>IF($A73="","",IFERROR(INDEX('Catálogo'!$E$2:$E$1567,MATCH($A73,'Catálogo'!$A$2:$A$1567,0)),"código no encontrado"))</f>
        <v/>
      </c>
      <c r="D73" s="5">
        <f>IF($A73="","",IFERROR(INDEX('Catálogo'!$H$2:$H$1567,MATCH($A73,'Catálogo'!$A$2:$A$1567,0)),"código no encontrado"))</f>
        <v/>
      </c>
      <c r="E73" s="15" t="n"/>
      <c r="F73" s="10">
        <f>IF($A73="","",IFERROR(INDEX('Catálogo'!$N$2:$N$1567,MATCH($A73,'Catálogo'!$A$2:$A$1567,0)),"código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IF($A74="","",IFERROR(INDEX('Catálogo'!$D$2:$D$1567,MATCH($A74,'Catálogo'!$A$2:$A$1567,0)),"código no encontrado"))</f>
        <v/>
      </c>
      <c r="C74" s="5">
        <f>IF($A74="","",IFERROR(INDEX('Catálogo'!$E$2:$E$1567,MATCH($A74,'Catálogo'!$A$2:$A$1567,0)),"código no encontrado"))</f>
        <v/>
      </c>
      <c r="D74" s="5">
        <f>IF($A74="","",IFERROR(INDEX('Catálogo'!$H$2:$H$1567,MATCH($A74,'Catálogo'!$A$2:$A$1567,0)),"código no encontrado"))</f>
        <v/>
      </c>
      <c r="E74" s="15" t="n"/>
      <c r="F74" s="10">
        <f>IF($A74="","",IFERROR(INDEX('Catálogo'!$N$2:$N$1567,MATCH($A74,'Catálogo'!$A$2:$A$1567,0)),"código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IF($A75="","",IFERROR(INDEX('Catálogo'!$D$2:$D$1567,MATCH($A75,'Catálogo'!$A$2:$A$1567,0)),"código no encontrado"))</f>
        <v/>
      </c>
      <c r="C75" s="5">
        <f>IF($A75="","",IFERROR(INDEX('Catálogo'!$E$2:$E$1567,MATCH($A75,'Catálogo'!$A$2:$A$1567,0)),"código no encontrado"))</f>
        <v/>
      </c>
      <c r="D75" s="5">
        <f>IF($A75="","",IFERROR(INDEX('Catálogo'!$H$2:$H$1567,MATCH($A75,'Catálogo'!$A$2:$A$1567,0)),"código no encontrado"))</f>
        <v/>
      </c>
      <c r="E75" s="15" t="n"/>
      <c r="F75" s="10">
        <f>IF($A75="","",IFERROR(INDEX('Catálogo'!$N$2:$N$1567,MATCH($A75,'Catálogo'!$A$2:$A$1567,0)),"código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IF($A76="","",IFERROR(INDEX('Catálogo'!$D$2:$D$1567,MATCH($A76,'Catálogo'!$A$2:$A$1567,0)),"código no encontrado"))</f>
        <v/>
      </c>
      <c r="C76" s="5">
        <f>IF($A76="","",IFERROR(INDEX('Catálogo'!$E$2:$E$1567,MATCH($A76,'Catálogo'!$A$2:$A$1567,0)),"código no encontrado"))</f>
        <v/>
      </c>
      <c r="D76" s="5">
        <f>IF($A76="","",IFERROR(INDEX('Catálogo'!$H$2:$H$1567,MATCH($A76,'Catálogo'!$A$2:$A$1567,0)),"código no encontrado"))</f>
        <v/>
      </c>
      <c r="E76" s="15" t="n"/>
      <c r="F76" s="10">
        <f>IF($A76="","",IFERROR(INDEX('Catálogo'!$N$2:$N$1567,MATCH($A76,'Catálogo'!$A$2:$A$1567,0)),"código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IF($A77="","",IFERROR(INDEX('Catálogo'!$D$2:$D$1567,MATCH($A77,'Catálogo'!$A$2:$A$1567,0)),"código no encontrado"))</f>
        <v/>
      </c>
      <c r="C77" s="5">
        <f>IF($A77="","",IFERROR(INDEX('Catálogo'!$E$2:$E$1567,MATCH($A77,'Catálogo'!$A$2:$A$1567,0)),"código no encontrado"))</f>
        <v/>
      </c>
      <c r="D77" s="5">
        <f>IF($A77="","",IFERROR(INDEX('Catálogo'!$H$2:$H$1567,MATCH($A77,'Catálogo'!$A$2:$A$1567,0)),"código no encontrado"))</f>
        <v/>
      </c>
      <c r="E77" s="15" t="n"/>
      <c r="F77" s="10">
        <f>IF($A77="","",IFERROR(INDEX('Catálogo'!$N$2:$N$1567,MATCH($A77,'Catálogo'!$A$2:$A$1567,0)),"código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IF($A78="","",IFERROR(INDEX('Catálogo'!$D$2:$D$1567,MATCH($A78,'Catálogo'!$A$2:$A$1567,0)),"código no encontrado"))</f>
        <v/>
      </c>
      <c r="C78" s="5">
        <f>IF($A78="","",IFERROR(INDEX('Catálogo'!$E$2:$E$1567,MATCH($A78,'Catálogo'!$A$2:$A$1567,0)),"código no encontrado"))</f>
        <v/>
      </c>
      <c r="D78" s="5">
        <f>IF($A78="","",IFERROR(INDEX('Catálogo'!$H$2:$H$1567,MATCH($A78,'Catálogo'!$A$2:$A$1567,0)),"código no encontrado"))</f>
        <v/>
      </c>
      <c r="E78" s="15" t="n"/>
      <c r="F78" s="10">
        <f>IF($A78="","",IFERROR(INDEX('Catálogo'!$N$2:$N$1567,MATCH($A78,'Catálogo'!$A$2:$A$1567,0)),"código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IF($A79="","",IFERROR(INDEX('Catálogo'!$D$2:$D$1567,MATCH($A79,'Catálogo'!$A$2:$A$1567,0)),"código no encontrado"))</f>
        <v/>
      </c>
      <c r="C79" s="5">
        <f>IF($A79="","",IFERROR(INDEX('Catálogo'!$E$2:$E$1567,MATCH($A79,'Catálogo'!$A$2:$A$1567,0)),"código no encontrado"))</f>
        <v/>
      </c>
      <c r="D79" s="5">
        <f>IF($A79="","",IFERROR(INDEX('Catálogo'!$H$2:$H$1567,MATCH($A79,'Catálogo'!$A$2:$A$1567,0)),"código no encontrado"))</f>
        <v/>
      </c>
      <c r="E79" s="15" t="n"/>
      <c r="F79" s="10">
        <f>IF($A79="","",IFERROR(INDEX('Catálogo'!$N$2:$N$1567,MATCH($A79,'Catálogo'!$A$2:$A$1567,0)),"código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IF($A80="","",IFERROR(INDEX('Catálogo'!$D$2:$D$1567,MATCH($A80,'Catálogo'!$A$2:$A$1567,0)),"código no encontrado"))</f>
        <v/>
      </c>
      <c r="C80" s="5">
        <f>IF($A80="","",IFERROR(INDEX('Catálogo'!$E$2:$E$1567,MATCH($A80,'Catálogo'!$A$2:$A$1567,0)),"código no encontrado"))</f>
        <v/>
      </c>
      <c r="D80" s="5">
        <f>IF($A80="","",IFERROR(INDEX('Catálogo'!$H$2:$H$1567,MATCH($A80,'Catálogo'!$A$2:$A$1567,0)),"código no encontrado"))</f>
        <v/>
      </c>
      <c r="E80" s="15" t="n"/>
      <c r="F80" s="10">
        <f>IF($A80="","",IFERROR(INDEX('Catálogo'!$N$2:$N$1567,MATCH($A80,'Catálogo'!$A$2:$A$1567,0)),"código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IF($A81="","",IFERROR(INDEX('Catálogo'!$D$2:$D$1567,MATCH($A81,'Catálogo'!$A$2:$A$1567,0)),"código no encontrado"))</f>
        <v/>
      </c>
      <c r="C81" s="5">
        <f>IF($A81="","",IFERROR(INDEX('Catálogo'!$E$2:$E$1567,MATCH($A81,'Catálogo'!$A$2:$A$1567,0)),"código no encontrado"))</f>
        <v/>
      </c>
      <c r="D81" s="5">
        <f>IF($A81="","",IFERROR(INDEX('Catálogo'!$H$2:$H$1567,MATCH($A81,'Catálogo'!$A$2:$A$1567,0)),"código no encontrado"))</f>
        <v/>
      </c>
      <c r="E81" s="15" t="n"/>
      <c r="F81" s="10">
        <f>IF($A81="","",IFERROR(INDEX('Catálogo'!$N$2:$N$1567,MATCH($A81,'Catálogo'!$A$2:$A$1567,0)),"código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IF($A82="","",IFERROR(INDEX('Catálogo'!$D$2:$D$1567,MATCH($A82,'Catálogo'!$A$2:$A$1567,0)),"código no encontrado"))</f>
        <v/>
      </c>
      <c r="C82" s="5">
        <f>IF($A82="","",IFERROR(INDEX('Catálogo'!$E$2:$E$1567,MATCH($A82,'Catálogo'!$A$2:$A$1567,0)),"código no encontrado"))</f>
        <v/>
      </c>
      <c r="D82" s="5">
        <f>IF($A82="","",IFERROR(INDEX('Catálogo'!$H$2:$H$1567,MATCH($A82,'Catálogo'!$A$2:$A$1567,0)),"código no encontrado"))</f>
        <v/>
      </c>
      <c r="E82" s="15" t="n"/>
      <c r="F82" s="10">
        <f>IF($A82="","",IFERROR(INDEX('Catálogo'!$N$2:$N$1567,MATCH($A82,'Catálogo'!$A$2:$A$1567,0)),"código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IF($A83="","",IFERROR(INDEX('Catálogo'!$D$2:$D$1567,MATCH($A83,'Catálogo'!$A$2:$A$1567,0)),"código no encontrado"))</f>
        <v/>
      </c>
      <c r="C83" s="5">
        <f>IF($A83="","",IFERROR(INDEX('Catálogo'!$E$2:$E$1567,MATCH($A83,'Catálogo'!$A$2:$A$1567,0)),"código no encontrado"))</f>
        <v/>
      </c>
      <c r="D83" s="5">
        <f>IF($A83="","",IFERROR(INDEX('Catálogo'!$H$2:$H$1567,MATCH($A83,'Catálogo'!$A$2:$A$1567,0)),"código no encontrado"))</f>
        <v/>
      </c>
      <c r="E83" s="15" t="n"/>
      <c r="F83" s="10">
        <f>IF($A83="","",IFERROR(INDEX('Catálogo'!$N$2:$N$1567,MATCH($A83,'Catálogo'!$A$2:$A$1567,0)),"código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IF($A84="","",IFERROR(INDEX('Catálogo'!$D$2:$D$1567,MATCH($A84,'Catálogo'!$A$2:$A$1567,0)),"código no encontrado"))</f>
        <v/>
      </c>
      <c r="C84" s="5">
        <f>IF($A84="","",IFERROR(INDEX('Catálogo'!$E$2:$E$1567,MATCH($A84,'Catálogo'!$A$2:$A$1567,0)),"código no encontrado"))</f>
        <v/>
      </c>
      <c r="D84" s="5">
        <f>IF($A84="","",IFERROR(INDEX('Catálogo'!$H$2:$H$1567,MATCH($A84,'Catálogo'!$A$2:$A$1567,0)),"código no encontrado"))</f>
        <v/>
      </c>
      <c r="E84" s="15" t="n"/>
      <c r="F84" s="10">
        <f>IF($A84="","",IFERROR(INDEX('Catálogo'!$N$2:$N$1567,MATCH($A84,'Catálogo'!$A$2:$A$1567,0)),"código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IF($A85="","",IFERROR(INDEX('Catálogo'!$D$2:$D$1567,MATCH($A85,'Catálogo'!$A$2:$A$1567,0)),"código no encontrado"))</f>
        <v/>
      </c>
      <c r="C85" s="5">
        <f>IF($A85="","",IFERROR(INDEX('Catálogo'!$E$2:$E$1567,MATCH($A85,'Catálogo'!$A$2:$A$1567,0)),"código no encontrado"))</f>
        <v/>
      </c>
      <c r="D85" s="5">
        <f>IF($A85="","",IFERROR(INDEX('Catálogo'!$H$2:$H$1567,MATCH($A85,'Catálogo'!$A$2:$A$1567,0)),"código no encontrado"))</f>
        <v/>
      </c>
      <c r="E85" s="15" t="n"/>
      <c r="F85" s="10">
        <f>IF($A85="","",IFERROR(INDEX('Catálogo'!$N$2:$N$1567,MATCH($A85,'Catálogo'!$A$2:$A$1567,0)),"código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IF($A86="","",IFERROR(INDEX('Catálogo'!$D$2:$D$1567,MATCH($A86,'Catálogo'!$A$2:$A$1567,0)),"código no encontrado"))</f>
        <v/>
      </c>
      <c r="C86" s="5">
        <f>IF($A86="","",IFERROR(INDEX('Catálogo'!$E$2:$E$1567,MATCH($A86,'Catálogo'!$A$2:$A$1567,0)),"código no encontrado"))</f>
        <v/>
      </c>
      <c r="D86" s="5">
        <f>IF($A86="","",IFERROR(INDEX('Catálogo'!$H$2:$H$1567,MATCH($A86,'Catálogo'!$A$2:$A$1567,0)),"código no encontrado"))</f>
        <v/>
      </c>
      <c r="E86" s="15" t="n"/>
      <c r="F86" s="10">
        <f>IF($A86="","",IFERROR(INDEX('Catálogo'!$N$2:$N$1567,MATCH($A86,'Catálogo'!$A$2:$A$1567,0)),"código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IF($A87="","",IFERROR(INDEX('Catálogo'!$D$2:$D$1567,MATCH($A87,'Catálogo'!$A$2:$A$1567,0)),"código no encontrado"))</f>
        <v/>
      </c>
      <c r="C87" s="5">
        <f>IF($A87="","",IFERROR(INDEX('Catálogo'!$E$2:$E$1567,MATCH($A87,'Catálogo'!$A$2:$A$1567,0)),"código no encontrado"))</f>
        <v/>
      </c>
      <c r="D87" s="5">
        <f>IF($A87="","",IFERROR(INDEX('Catálogo'!$H$2:$H$1567,MATCH($A87,'Catálogo'!$A$2:$A$1567,0)),"código no encontrado"))</f>
        <v/>
      </c>
      <c r="E87" s="15" t="n"/>
      <c r="F87" s="10">
        <f>IF($A87="","",IFERROR(INDEX('Catálogo'!$N$2:$N$1567,MATCH($A87,'Catálogo'!$A$2:$A$1567,0)),"código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IF($A88="","",IFERROR(INDEX('Catálogo'!$D$2:$D$1567,MATCH($A88,'Catálogo'!$A$2:$A$1567,0)),"código no encontrado"))</f>
        <v/>
      </c>
      <c r="C88" s="5">
        <f>IF($A88="","",IFERROR(INDEX('Catálogo'!$E$2:$E$1567,MATCH($A88,'Catálogo'!$A$2:$A$1567,0)),"código no encontrado"))</f>
        <v/>
      </c>
      <c r="D88" s="5">
        <f>IF($A88="","",IFERROR(INDEX('Catálogo'!$H$2:$H$1567,MATCH($A88,'Catálogo'!$A$2:$A$1567,0)),"código no encontrado"))</f>
        <v/>
      </c>
      <c r="E88" s="15" t="n"/>
      <c r="F88" s="10">
        <f>IF($A88="","",IFERROR(INDEX('Catálogo'!$N$2:$N$1567,MATCH($A88,'Catálogo'!$A$2:$A$1567,0)),"código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IF($A89="","",IFERROR(INDEX('Catálogo'!$D$2:$D$1567,MATCH($A89,'Catálogo'!$A$2:$A$1567,0)),"código no encontrado"))</f>
        <v/>
      </c>
      <c r="C89" s="5">
        <f>IF($A89="","",IFERROR(INDEX('Catálogo'!$E$2:$E$1567,MATCH($A89,'Catálogo'!$A$2:$A$1567,0)),"código no encontrado"))</f>
        <v/>
      </c>
      <c r="D89" s="5">
        <f>IF($A89="","",IFERROR(INDEX('Catálogo'!$H$2:$H$1567,MATCH($A89,'Catálogo'!$A$2:$A$1567,0)),"código no encontrado"))</f>
        <v/>
      </c>
      <c r="E89" s="15" t="n"/>
      <c r="F89" s="10">
        <f>IF($A89="","",IFERROR(INDEX('Catálogo'!$N$2:$N$1567,MATCH($A89,'Catálogo'!$A$2:$A$1567,0)),"código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IF($A90="","",IFERROR(INDEX('Catálogo'!$D$2:$D$1567,MATCH($A90,'Catálogo'!$A$2:$A$1567,0)),"código no encontrado"))</f>
        <v/>
      </c>
      <c r="C90" s="5">
        <f>IF($A90="","",IFERROR(INDEX('Catálogo'!$E$2:$E$1567,MATCH($A90,'Catálogo'!$A$2:$A$1567,0)),"código no encontrado"))</f>
        <v/>
      </c>
      <c r="D90" s="5">
        <f>IF($A90="","",IFERROR(INDEX('Catálogo'!$H$2:$H$1567,MATCH($A90,'Catálogo'!$A$2:$A$1567,0)),"código no encontrado"))</f>
        <v/>
      </c>
      <c r="E90" s="15" t="n"/>
      <c r="F90" s="10">
        <f>IF($A90="","",IFERROR(INDEX('Catálogo'!$N$2:$N$1567,MATCH($A90,'Catálogo'!$A$2:$A$1567,0)),"código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IF($A91="","",IFERROR(INDEX('Catálogo'!$D$2:$D$1567,MATCH($A91,'Catálogo'!$A$2:$A$1567,0)),"código no encontrado"))</f>
        <v/>
      </c>
      <c r="C91" s="5">
        <f>IF($A91="","",IFERROR(INDEX('Catálogo'!$E$2:$E$1567,MATCH($A91,'Catálogo'!$A$2:$A$1567,0)),"código no encontrado"))</f>
        <v/>
      </c>
      <c r="D91" s="5">
        <f>IF($A91="","",IFERROR(INDEX('Catálogo'!$H$2:$H$1567,MATCH($A91,'Catálogo'!$A$2:$A$1567,0)),"código no encontrado"))</f>
        <v/>
      </c>
      <c r="E91" s="15" t="n"/>
      <c r="F91" s="10">
        <f>IF($A91="","",IFERROR(INDEX('Catálogo'!$N$2:$N$1567,MATCH($A91,'Catálogo'!$A$2:$A$1567,0)),"código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IF($A92="","",IFERROR(INDEX('Catálogo'!$D$2:$D$1567,MATCH($A92,'Catálogo'!$A$2:$A$1567,0)),"código no encontrado"))</f>
        <v/>
      </c>
      <c r="C92" s="5">
        <f>IF($A92="","",IFERROR(INDEX('Catálogo'!$E$2:$E$1567,MATCH($A92,'Catálogo'!$A$2:$A$1567,0)),"código no encontrado"))</f>
        <v/>
      </c>
      <c r="D92" s="5">
        <f>IF($A92="","",IFERROR(INDEX('Catálogo'!$H$2:$H$1567,MATCH($A92,'Catálogo'!$A$2:$A$1567,0)),"código no encontrado"))</f>
        <v/>
      </c>
      <c r="E92" s="15" t="n"/>
      <c r="F92" s="10">
        <f>IF($A92="","",IFERROR(INDEX('Catálogo'!$N$2:$N$1567,MATCH($A92,'Catálogo'!$A$2:$A$1567,0)),"código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IF($A93="","",IFERROR(INDEX('Catálogo'!$D$2:$D$1567,MATCH($A93,'Catálogo'!$A$2:$A$1567,0)),"código no encontrado"))</f>
        <v/>
      </c>
      <c r="C93" s="5">
        <f>IF($A93="","",IFERROR(INDEX('Catálogo'!$E$2:$E$1567,MATCH($A93,'Catálogo'!$A$2:$A$1567,0)),"código no encontrado"))</f>
        <v/>
      </c>
      <c r="D93" s="5">
        <f>IF($A93="","",IFERROR(INDEX('Catálogo'!$H$2:$H$1567,MATCH($A93,'Catálogo'!$A$2:$A$1567,0)),"código no encontrado"))</f>
        <v/>
      </c>
      <c r="E93" s="15" t="n"/>
      <c r="F93" s="10">
        <f>IF($A93="","",IFERROR(INDEX('Catálogo'!$N$2:$N$1567,MATCH($A93,'Catálogo'!$A$2:$A$1567,0)),"código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IF($A94="","",IFERROR(INDEX('Catálogo'!$D$2:$D$1567,MATCH($A94,'Catálogo'!$A$2:$A$1567,0)),"código no encontrado"))</f>
        <v/>
      </c>
      <c r="C94" s="5">
        <f>IF($A94="","",IFERROR(INDEX('Catálogo'!$E$2:$E$1567,MATCH($A94,'Catálogo'!$A$2:$A$1567,0)),"código no encontrado"))</f>
        <v/>
      </c>
      <c r="D94" s="5">
        <f>IF($A94="","",IFERROR(INDEX('Catálogo'!$H$2:$H$1567,MATCH($A94,'Catálogo'!$A$2:$A$1567,0)),"código no encontrado"))</f>
        <v/>
      </c>
      <c r="E94" s="15" t="n"/>
      <c r="F94" s="10">
        <f>IF($A94="","",IFERROR(INDEX('Catálogo'!$N$2:$N$1567,MATCH($A94,'Catálogo'!$A$2:$A$1567,0)),"código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IF($A95="","",IFERROR(INDEX('Catálogo'!$D$2:$D$1567,MATCH($A95,'Catálogo'!$A$2:$A$1567,0)),"código no encontrado"))</f>
        <v/>
      </c>
      <c r="C95" s="5">
        <f>IF($A95="","",IFERROR(INDEX('Catálogo'!$E$2:$E$1567,MATCH($A95,'Catálogo'!$A$2:$A$1567,0)),"código no encontrado"))</f>
        <v/>
      </c>
      <c r="D95" s="5">
        <f>IF($A95="","",IFERROR(INDEX('Catálogo'!$H$2:$H$1567,MATCH($A95,'Catálogo'!$A$2:$A$1567,0)),"código no encontrado"))</f>
        <v/>
      </c>
      <c r="E95" s="15" t="n"/>
      <c r="F95" s="10">
        <f>IF($A95="","",IFERROR(INDEX('Catálogo'!$N$2:$N$1567,MATCH($A95,'Catálogo'!$A$2:$A$1567,0)),"código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IF($A96="","",IFERROR(INDEX('Catálogo'!$D$2:$D$1567,MATCH($A96,'Catálogo'!$A$2:$A$1567,0)),"código no encontrado"))</f>
        <v/>
      </c>
      <c r="C96" s="5">
        <f>IF($A96="","",IFERROR(INDEX('Catálogo'!$E$2:$E$1567,MATCH($A96,'Catálogo'!$A$2:$A$1567,0)),"código no encontrado"))</f>
        <v/>
      </c>
      <c r="D96" s="5">
        <f>IF($A96="","",IFERROR(INDEX('Catálogo'!$H$2:$H$1567,MATCH($A96,'Catálogo'!$A$2:$A$1567,0)),"código no encontrado"))</f>
        <v/>
      </c>
      <c r="E96" s="15" t="n"/>
      <c r="F96" s="10">
        <f>IF($A96="","",IFERROR(INDEX('Catálogo'!$N$2:$N$1567,MATCH($A96,'Catálogo'!$A$2:$A$1567,0)),"código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IF($A97="","",IFERROR(INDEX('Catálogo'!$D$2:$D$1567,MATCH($A97,'Catálogo'!$A$2:$A$1567,0)),"código no encontrado"))</f>
        <v/>
      </c>
      <c r="C97" s="5">
        <f>IF($A97="","",IFERROR(INDEX('Catálogo'!$E$2:$E$1567,MATCH($A97,'Catálogo'!$A$2:$A$1567,0)),"código no encontrado"))</f>
        <v/>
      </c>
      <c r="D97" s="5">
        <f>IF($A97="","",IFERROR(INDEX('Catálogo'!$H$2:$H$1567,MATCH($A97,'Catálogo'!$A$2:$A$1567,0)),"código no encontrado"))</f>
        <v/>
      </c>
      <c r="E97" s="15" t="n"/>
      <c r="F97" s="10">
        <f>IF($A97="","",IFERROR(INDEX('Catálogo'!$N$2:$N$1567,MATCH($A97,'Catálogo'!$A$2:$A$1567,0)),"código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IF($A98="","",IFERROR(INDEX('Catálogo'!$D$2:$D$1567,MATCH($A98,'Catálogo'!$A$2:$A$1567,0)),"código no encontrado"))</f>
        <v/>
      </c>
      <c r="C98" s="5">
        <f>IF($A98="","",IFERROR(INDEX('Catálogo'!$E$2:$E$1567,MATCH($A98,'Catálogo'!$A$2:$A$1567,0)),"código no encontrado"))</f>
        <v/>
      </c>
      <c r="D98" s="5">
        <f>IF($A98="","",IFERROR(INDEX('Catálogo'!$H$2:$H$1567,MATCH($A98,'Catálogo'!$A$2:$A$1567,0)),"código no encontrado"))</f>
        <v/>
      </c>
      <c r="E98" s="15" t="n"/>
      <c r="F98" s="10">
        <f>IF($A98="","",IFERROR(INDEX('Catálogo'!$N$2:$N$1567,MATCH($A98,'Catálogo'!$A$2:$A$1567,0)),"código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IF($A99="","",IFERROR(INDEX('Catálogo'!$D$2:$D$1567,MATCH($A99,'Catálogo'!$A$2:$A$1567,0)),"código no encontrado"))</f>
        <v/>
      </c>
      <c r="C99" s="5">
        <f>IF($A99="","",IFERROR(INDEX('Catálogo'!$E$2:$E$1567,MATCH($A99,'Catálogo'!$A$2:$A$1567,0)),"código no encontrado"))</f>
        <v/>
      </c>
      <c r="D99" s="5">
        <f>IF($A99="","",IFERROR(INDEX('Catálogo'!$H$2:$H$1567,MATCH($A99,'Catálogo'!$A$2:$A$1567,0)),"código no encontrado"))</f>
        <v/>
      </c>
      <c r="E99" s="15" t="n"/>
      <c r="F99" s="10">
        <f>IF($A99="","",IFERROR(INDEX('Catálogo'!$N$2:$N$1567,MATCH($A99,'Catálogo'!$A$2:$A$1567,0)),"código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IF($A100="","",IFERROR(INDEX('Catálogo'!$D$2:$D$1567,MATCH($A100,'Catálogo'!$A$2:$A$1567,0)),"código no encontrado"))</f>
        <v/>
      </c>
      <c r="C100" s="5">
        <f>IF($A100="","",IFERROR(INDEX('Catálogo'!$E$2:$E$1567,MATCH($A100,'Catálogo'!$A$2:$A$1567,0)),"código no encontrado"))</f>
        <v/>
      </c>
      <c r="D100" s="5">
        <f>IF($A100="","",IFERROR(INDEX('Catálogo'!$H$2:$H$1567,MATCH($A100,'Catálogo'!$A$2:$A$1567,0)),"código no encontrado"))</f>
        <v/>
      </c>
      <c r="E100" s="15" t="n"/>
      <c r="F100" s="10">
        <f>IF($A100="","",IFERROR(INDEX('Catálogo'!$N$2:$N$1567,MATCH($A100,'Catálogo'!$A$2:$A$1567,0)),"código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IF($A101="","",IFERROR(INDEX('Catálogo'!$D$2:$D$1567,MATCH($A101,'Catálogo'!$A$2:$A$1567,0)),"código no encontrado"))</f>
        <v/>
      </c>
      <c r="C101" s="5">
        <f>IF($A101="","",IFERROR(INDEX('Catálogo'!$E$2:$E$1567,MATCH($A101,'Catálogo'!$A$2:$A$1567,0)),"código no encontrado"))</f>
        <v/>
      </c>
      <c r="D101" s="5">
        <f>IF($A101="","",IFERROR(INDEX('Catálogo'!$H$2:$H$1567,MATCH($A101,'Catálogo'!$A$2:$A$1567,0)),"código no encontrado"))</f>
        <v/>
      </c>
      <c r="E101" s="15" t="n"/>
      <c r="F101" s="10">
        <f>IF($A101="","",IFERROR(INDEX('Catálogo'!$N$2:$N$1567,MATCH($A101,'Catálogo'!$A$2:$A$1567,0)),"código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IF($A102="","",IFERROR(INDEX('Catálogo'!$D$2:$D$1567,MATCH($A102,'Catálogo'!$A$2:$A$1567,0)),"código no encontrado"))</f>
        <v/>
      </c>
      <c r="C102" s="5">
        <f>IF($A102="","",IFERROR(INDEX('Catálogo'!$E$2:$E$1567,MATCH($A102,'Catálogo'!$A$2:$A$1567,0)),"código no encontrado"))</f>
        <v/>
      </c>
      <c r="D102" s="5">
        <f>IF($A102="","",IFERROR(INDEX('Catálogo'!$H$2:$H$1567,MATCH($A102,'Catálogo'!$A$2:$A$1567,0)),"código no encontrado"))</f>
        <v/>
      </c>
      <c r="E102" s="15" t="n"/>
      <c r="F102" s="10">
        <f>IF($A102="","",IFERROR(INDEX('Catálogo'!$N$2:$N$1567,MATCH($A102,'Catálogo'!$A$2:$A$1567,0)),"código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IF($A103="","",IFERROR(INDEX('Catálogo'!$D$2:$D$1567,MATCH($A103,'Catálogo'!$A$2:$A$1567,0)),"código no encontrado"))</f>
        <v/>
      </c>
      <c r="C103" s="5">
        <f>IF($A103="","",IFERROR(INDEX('Catálogo'!$E$2:$E$1567,MATCH($A103,'Catálogo'!$A$2:$A$1567,0)),"código no encontrado"))</f>
        <v/>
      </c>
      <c r="D103" s="5">
        <f>IF($A103="","",IFERROR(INDEX('Catálogo'!$H$2:$H$1567,MATCH($A103,'Catálogo'!$A$2:$A$1567,0)),"código no encontrado"))</f>
        <v/>
      </c>
      <c r="E103" s="15" t="n"/>
      <c r="F103" s="10">
        <f>IF($A103="","",IFERROR(INDEX('Catálogo'!$N$2:$N$1567,MATCH($A103,'Catálogo'!$A$2:$A$1567,0)),"código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IF($A104="","",IFERROR(INDEX('Catálogo'!$D$2:$D$1567,MATCH($A104,'Catálogo'!$A$2:$A$1567,0)),"código no encontrado"))</f>
        <v/>
      </c>
      <c r="C104" s="5">
        <f>IF($A104="","",IFERROR(INDEX('Catálogo'!$E$2:$E$1567,MATCH($A104,'Catálogo'!$A$2:$A$1567,0)),"código no encontrado"))</f>
        <v/>
      </c>
      <c r="D104" s="5">
        <f>IF($A104="","",IFERROR(INDEX('Catálogo'!$H$2:$H$1567,MATCH($A104,'Catálogo'!$A$2:$A$1567,0)),"código no encontrado"))</f>
        <v/>
      </c>
      <c r="E104" s="15" t="n"/>
      <c r="F104" s="10">
        <f>IF($A104="","",IFERROR(INDEX('Catálogo'!$N$2:$N$1567,MATCH($A104,'Catálogo'!$A$2:$A$1567,0)),"código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IF($A105="","",IFERROR(INDEX('Catálogo'!$D$2:$D$1567,MATCH($A105,'Catálogo'!$A$2:$A$1567,0)),"código no encontrado"))</f>
        <v/>
      </c>
      <c r="C105" s="5">
        <f>IF($A105="","",IFERROR(INDEX('Catálogo'!$E$2:$E$1567,MATCH($A105,'Catálogo'!$A$2:$A$1567,0)),"código no encontrado"))</f>
        <v/>
      </c>
      <c r="D105" s="5">
        <f>IF($A105="","",IFERROR(INDEX('Catálogo'!$H$2:$H$1567,MATCH($A105,'Catálogo'!$A$2:$A$1567,0)),"código no encontrado"))</f>
        <v/>
      </c>
      <c r="E105" s="15" t="n"/>
      <c r="F105" s="10">
        <f>IF($A105="","",IFERROR(INDEX('Catálogo'!$N$2:$N$1567,MATCH($A105,'Catálogo'!$A$2:$A$1567,0)),"código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IF($A106="","",IFERROR(INDEX('Catálogo'!$D$2:$D$1567,MATCH($A106,'Catálogo'!$A$2:$A$1567,0)),"código no encontrado"))</f>
        <v/>
      </c>
      <c r="C106" s="5">
        <f>IF($A106="","",IFERROR(INDEX('Catálogo'!$E$2:$E$1567,MATCH($A106,'Catálogo'!$A$2:$A$1567,0)),"código no encontrado"))</f>
        <v/>
      </c>
      <c r="D106" s="5">
        <f>IF($A106="","",IFERROR(INDEX('Catálogo'!$H$2:$H$1567,MATCH($A106,'Catálogo'!$A$2:$A$1567,0)),"código no encontrado"))</f>
        <v/>
      </c>
      <c r="E106" s="15" t="n"/>
      <c r="F106" s="10">
        <f>IF($A106="","",IFERROR(INDEX('Catálogo'!$N$2:$N$1567,MATCH($A106,'Catálogo'!$A$2:$A$1567,0)),"código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IF($A107="","",IFERROR(INDEX('Catálogo'!$D$2:$D$1567,MATCH($A107,'Catálogo'!$A$2:$A$1567,0)),"código no encontrado"))</f>
        <v/>
      </c>
      <c r="C107" s="5">
        <f>IF($A107="","",IFERROR(INDEX('Catálogo'!$E$2:$E$1567,MATCH($A107,'Catálogo'!$A$2:$A$1567,0)),"código no encontrado"))</f>
        <v/>
      </c>
      <c r="D107" s="5">
        <f>IF($A107="","",IFERROR(INDEX('Catálogo'!$H$2:$H$1567,MATCH($A107,'Catálogo'!$A$2:$A$1567,0)),"código no encontrado"))</f>
        <v/>
      </c>
      <c r="E107" s="15" t="n"/>
      <c r="F107" s="10">
        <f>IF($A107="","",IFERROR(INDEX('Catálogo'!$N$2:$N$1567,MATCH($A107,'Catálogo'!$A$2:$A$1567,0)),"código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IF($A108="","",IFERROR(INDEX('Catálogo'!$D$2:$D$1567,MATCH($A108,'Catálogo'!$A$2:$A$1567,0)),"código no encontrado"))</f>
        <v/>
      </c>
      <c r="C108" s="5">
        <f>IF($A108="","",IFERROR(INDEX('Catálogo'!$E$2:$E$1567,MATCH($A108,'Catálogo'!$A$2:$A$1567,0)),"código no encontrado"))</f>
        <v/>
      </c>
      <c r="D108" s="5">
        <f>IF($A108="","",IFERROR(INDEX('Catálogo'!$H$2:$H$1567,MATCH($A108,'Catálogo'!$A$2:$A$1567,0)),"código no encontrado"))</f>
        <v/>
      </c>
      <c r="E108" s="15" t="n"/>
      <c r="F108" s="10">
        <f>IF($A108="","",IFERROR(INDEX('Catálogo'!$N$2:$N$1567,MATCH($A108,'Catálogo'!$A$2:$A$1567,0)),"código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IF($A109="","",IFERROR(INDEX('Catálogo'!$D$2:$D$1567,MATCH($A109,'Catálogo'!$A$2:$A$1567,0)),"código no encontrado"))</f>
        <v/>
      </c>
      <c r="C109" s="5">
        <f>IF($A109="","",IFERROR(INDEX('Catálogo'!$E$2:$E$1567,MATCH($A109,'Catálogo'!$A$2:$A$1567,0)),"código no encontrado"))</f>
        <v/>
      </c>
      <c r="D109" s="5">
        <f>IF($A109="","",IFERROR(INDEX('Catálogo'!$H$2:$H$1567,MATCH($A109,'Catálogo'!$A$2:$A$1567,0)),"código no encontrado"))</f>
        <v/>
      </c>
      <c r="E109" s="15" t="n"/>
      <c r="F109" s="10">
        <f>IF($A109="","",IFERROR(INDEX('Catálogo'!$N$2:$N$1567,MATCH($A109,'Catálogo'!$A$2:$A$1567,0)),"código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IF($A110="","",IFERROR(INDEX('Catálogo'!$D$2:$D$1567,MATCH($A110,'Catálogo'!$A$2:$A$1567,0)),"código no encontrado"))</f>
        <v/>
      </c>
      <c r="C110" s="5">
        <f>IF($A110="","",IFERROR(INDEX('Catálogo'!$E$2:$E$1567,MATCH($A110,'Catálogo'!$A$2:$A$1567,0)),"código no encontrado"))</f>
        <v/>
      </c>
      <c r="D110" s="5">
        <f>IF($A110="","",IFERROR(INDEX('Catálogo'!$H$2:$H$1567,MATCH($A110,'Catálogo'!$A$2:$A$1567,0)),"código no encontrado"))</f>
        <v/>
      </c>
      <c r="E110" s="15" t="n"/>
      <c r="F110" s="10">
        <f>IF($A110="","",IFERROR(INDEX('Catálogo'!$N$2:$N$1567,MATCH($A110,'Catálogo'!$A$2:$A$1567,0)),"código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IF($A111="","",IFERROR(INDEX('Catálogo'!$D$2:$D$1567,MATCH($A111,'Catálogo'!$A$2:$A$1567,0)),"código no encontrado"))</f>
        <v/>
      </c>
      <c r="C111" s="5">
        <f>IF($A111="","",IFERROR(INDEX('Catálogo'!$E$2:$E$1567,MATCH($A111,'Catálogo'!$A$2:$A$1567,0)),"código no encontrado"))</f>
        <v/>
      </c>
      <c r="D111" s="5">
        <f>IF($A111="","",IFERROR(INDEX('Catálogo'!$H$2:$H$1567,MATCH($A111,'Catálogo'!$A$2:$A$1567,0)),"código no encontrado"))</f>
        <v/>
      </c>
      <c r="E111" s="15" t="n"/>
      <c r="F111" s="10">
        <f>IF($A111="","",IFERROR(INDEX('Catálogo'!$N$2:$N$1567,MATCH($A111,'Catálogo'!$A$2:$A$1567,0)),"código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IF($A112="","",IFERROR(INDEX('Catálogo'!$D$2:$D$1567,MATCH($A112,'Catálogo'!$A$2:$A$1567,0)),"código no encontrado"))</f>
        <v/>
      </c>
      <c r="C112" s="5">
        <f>IF($A112="","",IFERROR(INDEX('Catálogo'!$E$2:$E$1567,MATCH($A112,'Catálogo'!$A$2:$A$1567,0)),"código no encontrado"))</f>
        <v/>
      </c>
      <c r="D112" s="5">
        <f>IF($A112="","",IFERROR(INDEX('Catálogo'!$H$2:$H$1567,MATCH($A112,'Catálogo'!$A$2:$A$1567,0)),"código no encontrado"))</f>
        <v/>
      </c>
      <c r="E112" s="15" t="n"/>
      <c r="F112" s="10">
        <f>IF($A112="","",IFERROR(INDEX('Catálogo'!$N$2:$N$1567,MATCH($A112,'Catálogo'!$A$2:$A$1567,0)),"código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IF($A113="","",IFERROR(INDEX('Catálogo'!$D$2:$D$1567,MATCH($A113,'Catálogo'!$A$2:$A$1567,0)),"código no encontrado"))</f>
        <v/>
      </c>
      <c r="C113" s="5">
        <f>IF($A113="","",IFERROR(INDEX('Catálogo'!$E$2:$E$1567,MATCH($A113,'Catálogo'!$A$2:$A$1567,0)),"código no encontrado"))</f>
        <v/>
      </c>
      <c r="D113" s="5">
        <f>IF($A113="","",IFERROR(INDEX('Catálogo'!$H$2:$H$1567,MATCH($A113,'Catálogo'!$A$2:$A$1567,0)),"código no encontrado"))</f>
        <v/>
      </c>
      <c r="E113" s="15" t="n"/>
      <c r="F113" s="10">
        <f>IF($A113="","",IFERROR(INDEX('Catálogo'!$N$2:$N$1567,MATCH($A113,'Catálogo'!$A$2:$A$1567,0)),"código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IF($A114="","",IFERROR(INDEX('Catálogo'!$D$2:$D$1567,MATCH($A114,'Catálogo'!$A$2:$A$1567,0)),"código no encontrado"))</f>
        <v/>
      </c>
      <c r="C114" s="5">
        <f>IF($A114="","",IFERROR(INDEX('Catálogo'!$E$2:$E$1567,MATCH($A114,'Catálogo'!$A$2:$A$1567,0)),"código no encontrado"))</f>
        <v/>
      </c>
      <c r="D114" s="5">
        <f>IF($A114="","",IFERROR(INDEX('Catálogo'!$H$2:$H$1567,MATCH($A114,'Catálogo'!$A$2:$A$1567,0)),"código no encontrado"))</f>
        <v/>
      </c>
      <c r="E114" s="15" t="n"/>
      <c r="F114" s="10">
        <f>IF($A114="","",IFERROR(INDEX('Catálogo'!$N$2:$N$1567,MATCH($A114,'Catálogo'!$A$2:$A$1567,0)),"código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IF($A115="","",IFERROR(INDEX('Catálogo'!$D$2:$D$1567,MATCH($A115,'Catálogo'!$A$2:$A$1567,0)),"código no encontrado"))</f>
        <v/>
      </c>
      <c r="C115" s="5">
        <f>IF($A115="","",IFERROR(INDEX('Catálogo'!$E$2:$E$1567,MATCH($A115,'Catálogo'!$A$2:$A$1567,0)),"código no encontrado"))</f>
        <v/>
      </c>
      <c r="D115" s="5">
        <f>IF($A115="","",IFERROR(INDEX('Catálogo'!$H$2:$H$1567,MATCH($A115,'Catálogo'!$A$2:$A$1567,0)),"código no encontrado"))</f>
        <v/>
      </c>
      <c r="E115" s="15" t="n"/>
      <c r="F115" s="10">
        <f>IF($A115="","",IFERROR(INDEX('Catálogo'!$N$2:$N$1567,MATCH($A115,'Catálogo'!$A$2:$A$1567,0)),"código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IF($A116="","",IFERROR(INDEX('Catálogo'!$D$2:$D$1567,MATCH($A116,'Catálogo'!$A$2:$A$1567,0)),"código no encontrado"))</f>
        <v/>
      </c>
      <c r="C116" s="5">
        <f>IF($A116="","",IFERROR(INDEX('Catálogo'!$E$2:$E$1567,MATCH($A116,'Catálogo'!$A$2:$A$1567,0)),"código no encontrado"))</f>
        <v/>
      </c>
      <c r="D116" s="5">
        <f>IF($A116="","",IFERROR(INDEX('Catálogo'!$H$2:$H$1567,MATCH($A116,'Catálogo'!$A$2:$A$1567,0)),"código no encontrado"))</f>
        <v/>
      </c>
      <c r="E116" s="15" t="n"/>
      <c r="F116" s="10">
        <f>IF($A116="","",IFERROR(INDEX('Catálogo'!$N$2:$N$1567,MATCH($A116,'Catálogo'!$A$2:$A$1567,0)),"código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IF($A117="","",IFERROR(INDEX('Catálogo'!$D$2:$D$1567,MATCH($A117,'Catálogo'!$A$2:$A$1567,0)),"código no encontrado"))</f>
        <v/>
      </c>
      <c r="C117" s="5">
        <f>IF($A117="","",IFERROR(INDEX('Catálogo'!$E$2:$E$1567,MATCH($A117,'Catálogo'!$A$2:$A$1567,0)),"código no encontrado"))</f>
        <v/>
      </c>
      <c r="D117" s="5">
        <f>IF($A117="","",IFERROR(INDEX('Catálogo'!$H$2:$H$1567,MATCH($A117,'Catálogo'!$A$2:$A$1567,0)),"código no encontrado"))</f>
        <v/>
      </c>
      <c r="E117" s="15" t="n"/>
      <c r="F117" s="10">
        <f>IF($A117="","",IFERROR(INDEX('Catálogo'!$N$2:$N$1567,MATCH($A117,'Catálogo'!$A$2:$A$1567,0)),"código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IF($A118="","",IFERROR(INDEX('Catálogo'!$D$2:$D$1567,MATCH($A118,'Catálogo'!$A$2:$A$1567,0)),"código no encontrado"))</f>
        <v/>
      </c>
      <c r="C118" s="5">
        <f>IF($A118="","",IFERROR(INDEX('Catálogo'!$E$2:$E$1567,MATCH($A118,'Catálogo'!$A$2:$A$1567,0)),"código no encontrado"))</f>
        <v/>
      </c>
      <c r="D118" s="5">
        <f>IF($A118="","",IFERROR(INDEX('Catálogo'!$H$2:$H$1567,MATCH($A118,'Catálogo'!$A$2:$A$1567,0)),"código no encontrado"))</f>
        <v/>
      </c>
      <c r="E118" s="15" t="n"/>
      <c r="F118" s="10">
        <f>IF($A118="","",IFERROR(INDEX('Catálogo'!$N$2:$N$1567,MATCH($A118,'Catálogo'!$A$2:$A$1567,0)),"código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IF($A119="","",IFERROR(INDEX('Catálogo'!$D$2:$D$1567,MATCH($A119,'Catálogo'!$A$2:$A$1567,0)),"código no encontrado"))</f>
        <v/>
      </c>
      <c r="C119" s="5">
        <f>IF($A119="","",IFERROR(INDEX('Catálogo'!$E$2:$E$1567,MATCH($A119,'Catálogo'!$A$2:$A$1567,0)),"código no encontrado"))</f>
        <v/>
      </c>
      <c r="D119" s="5">
        <f>IF($A119="","",IFERROR(INDEX('Catálogo'!$H$2:$H$1567,MATCH($A119,'Catálogo'!$A$2:$A$1567,0)),"código no encontrado"))</f>
        <v/>
      </c>
      <c r="E119" s="15" t="n"/>
      <c r="F119" s="10">
        <f>IF($A119="","",IFERROR(INDEX('Catálogo'!$N$2:$N$1567,MATCH($A119,'Catálogo'!$A$2:$A$1567,0)),"código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IF($A120="","",IFERROR(INDEX('Catálogo'!$D$2:$D$1567,MATCH($A120,'Catálogo'!$A$2:$A$1567,0)),"código no encontrado"))</f>
        <v/>
      </c>
      <c r="C120" s="5">
        <f>IF($A120="","",IFERROR(INDEX('Catálogo'!$E$2:$E$1567,MATCH($A120,'Catálogo'!$A$2:$A$1567,0)),"código no encontrado"))</f>
        <v/>
      </c>
      <c r="D120" s="5">
        <f>IF($A120="","",IFERROR(INDEX('Catálogo'!$H$2:$H$1567,MATCH($A120,'Catálogo'!$A$2:$A$1567,0)),"código no encontrado"))</f>
        <v/>
      </c>
      <c r="E120" s="15" t="n"/>
      <c r="F120" s="10">
        <f>IF($A120="","",IFERROR(INDEX('Catálogo'!$N$2:$N$1567,MATCH($A120,'Catálogo'!$A$2:$A$1567,0)),"código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IF($A121="","",IFERROR(INDEX('Catálogo'!$D$2:$D$1567,MATCH($A121,'Catálogo'!$A$2:$A$1567,0)),"código no encontrado"))</f>
        <v/>
      </c>
      <c r="C121" s="5">
        <f>IF($A121="","",IFERROR(INDEX('Catálogo'!$E$2:$E$1567,MATCH($A121,'Catálogo'!$A$2:$A$1567,0)),"código no encontrado"))</f>
        <v/>
      </c>
      <c r="D121" s="5">
        <f>IF($A121="","",IFERROR(INDEX('Catálogo'!$H$2:$H$1567,MATCH($A121,'Catálogo'!$A$2:$A$1567,0)),"código no encontrado"))</f>
        <v/>
      </c>
      <c r="E121" s="15" t="n"/>
      <c r="F121" s="10">
        <f>IF($A121="","",IFERROR(INDEX('Catálogo'!$N$2:$N$1567,MATCH($A121,'Catálogo'!$A$2:$A$1567,0)),"código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IF($A122="","",IFERROR(INDEX('Catálogo'!$D$2:$D$1567,MATCH($A122,'Catálogo'!$A$2:$A$1567,0)),"código no encontrado"))</f>
        <v/>
      </c>
      <c r="C122" s="5">
        <f>IF($A122="","",IFERROR(INDEX('Catálogo'!$E$2:$E$1567,MATCH($A122,'Catálogo'!$A$2:$A$1567,0)),"código no encontrado"))</f>
        <v/>
      </c>
      <c r="D122" s="5">
        <f>IF($A122="","",IFERROR(INDEX('Catálogo'!$H$2:$H$1567,MATCH($A122,'Catálogo'!$A$2:$A$1567,0)),"código no encontrado"))</f>
        <v/>
      </c>
      <c r="E122" s="15" t="n"/>
      <c r="F122" s="10">
        <f>IF($A122="","",IFERROR(INDEX('Catálogo'!$N$2:$N$1567,MATCH($A122,'Catálogo'!$A$2:$A$1567,0)),"código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IF($A123="","",IFERROR(INDEX('Catálogo'!$D$2:$D$1567,MATCH($A123,'Catálogo'!$A$2:$A$1567,0)),"código no encontrado"))</f>
        <v/>
      </c>
      <c r="C123" s="5">
        <f>IF($A123="","",IFERROR(INDEX('Catálogo'!$E$2:$E$1567,MATCH($A123,'Catálogo'!$A$2:$A$1567,0)),"código no encontrado"))</f>
        <v/>
      </c>
      <c r="D123" s="5">
        <f>IF($A123="","",IFERROR(INDEX('Catálogo'!$H$2:$H$1567,MATCH($A123,'Catálogo'!$A$2:$A$1567,0)),"código no encontrado"))</f>
        <v/>
      </c>
      <c r="E123" s="15" t="n"/>
      <c r="F123" s="10">
        <f>IF($A123="","",IFERROR(INDEX('Catálogo'!$N$2:$N$1567,MATCH($A123,'Catálogo'!$A$2:$A$1567,0)),"código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IF($A124="","",IFERROR(INDEX('Catálogo'!$D$2:$D$1567,MATCH($A124,'Catálogo'!$A$2:$A$1567,0)),"código no encontrado"))</f>
        <v/>
      </c>
      <c r="C124" s="5">
        <f>IF($A124="","",IFERROR(INDEX('Catálogo'!$E$2:$E$1567,MATCH($A124,'Catálogo'!$A$2:$A$1567,0)),"código no encontrado"))</f>
        <v/>
      </c>
      <c r="D124" s="5">
        <f>IF($A124="","",IFERROR(INDEX('Catálogo'!$H$2:$H$1567,MATCH($A124,'Catálogo'!$A$2:$A$1567,0)),"código no encontrado"))</f>
        <v/>
      </c>
      <c r="E124" s="15" t="n"/>
      <c r="F124" s="10">
        <f>IF($A124="","",IFERROR(INDEX('Catálogo'!$N$2:$N$1567,MATCH($A124,'Catálogo'!$A$2:$A$1567,0)),"código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IF($A125="","",IFERROR(INDEX('Catálogo'!$D$2:$D$1567,MATCH($A125,'Catálogo'!$A$2:$A$1567,0)),"código no encontrado"))</f>
        <v/>
      </c>
      <c r="C125" s="5">
        <f>IF($A125="","",IFERROR(INDEX('Catálogo'!$E$2:$E$1567,MATCH($A125,'Catálogo'!$A$2:$A$1567,0)),"código no encontrado"))</f>
        <v/>
      </c>
      <c r="D125" s="5">
        <f>IF($A125="","",IFERROR(INDEX('Catálogo'!$H$2:$H$1567,MATCH($A125,'Catálogo'!$A$2:$A$1567,0)),"código no encontrado"))</f>
        <v/>
      </c>
      <c r="E125" s="15" t="n"/>
      <c r="F125" s="10">
        <f>IF($A125="","",IFERROR(INDEX('Catálogo'!$N$2:$N$1567,MATCH($A125,'Catálogo'!$A$2:$A$1567,0)),"código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IF($A126="","",IFERROR(INDEX('Catálogo'!$D$2:$D$1567,MATCH($A126,'Catálogo'!$A$2:$A$1567,0)),"código no encontrado"))</f>
        <v/>
      </c>
      <c r="C126" s="5">
        <f>IF($A126="","",IFERROR(INDEX('Catálogo'!$E$2:$E$1567,MATCH($A126,'Catálogo'!$A$2:$A$1567,0)),"código no encontrado"))</f>
        <v/>
      </c>
      <c r="D126" s="5">
        <f>IF($A126="","",IFERROR(INDEX('Catálogo'!$H$2:$H$1567,MATCH($A126,'Catálogo'!$A$2:$A$1567,0)),"código no encontrado"))</f>
        <v/>
      </c>
      <c r="E126" s="15" t="n"/>
      <c r="F126" s="10">
        <f>IF($A126="","",IFERROR(INDEX('Catálogo'!$N$2:$N$1567,MATCH($A126,'Catálogo'!$A$2:$A$1567,0)),"código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IF($A127="","",IFERROR(INDEX('Catálogo'!$D$2:$D$1567,MATCH($A127,'Catálogo'!$A$2:$A$1567,0)),"código no encontrado"))</f>
        <v/>
      </c>
      <c r="C127" s="5">
        <f>IF($A127="","",IFERROR(INDEX('Catálogo'!$E$2:$E$1567,MATCH($A127,'Catálogo'!$A$2:$A$1567,0)),"código no encontrado"))</f>
        <v/>
      </c>
      <c r="D127" s="5">
        <f>IF($A127="","",IFERROR(INDEX('Catálogo'!$H$2:$H$1567,MATCH($A127,'Catálogo'!$A$2:$A$1567,0)),"código no encontrado"))</f>
        <v/>
      </c>
      <c r="E127" s="15" t="n"/>
      <c r="F127" s="10">
        <f>IF($A127="","",IFERROR(INDEX('Catálogo'!$N$2:$N$1567,MATCH($A127,'Catálogo'!$A$2:$A$1567,0)),"código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IF($A128="","",IFERROR(INDEX('Catálogo'!$D$2:$D$1567,MATCH($A128,'Catálogo'!$A$2:$A$1567,0)),"código no encontrado"))</f>
        <v/>
      </c>
      <c r="C128" s="5">
        <f>IF($A128="","",IFERROR(INDEX('Catálogo'!$E$2:$E$1567,MATCH($A128,'Catálogo'!$A$2:$A$1567,0)),"código no encontrado"))</f>
        <v/>
      </c>
      <c r="D128" s="5">
        <f>IF($A128="","",IFERROR(INDEX('Catálogo'!$H$2:$H$1567,MATCH($A128,'Catálogo'!$A$2:$A$1567,0)),"código no encontrado"))</f>
        <v/>
      </c>
      <c r="E128" s="15" t="n"/>
      <c r="F128" s="10">
        <f>IF($A128="","",IFERROR(INDEX('Catálogo'!$N$2:$N$1567,MATCH($A128,'Catálogo'!$A$2:$A$1567,0)),"código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IF($A129="","",IFERROR(INDEX('Catálogo'!$D$2:$D$1567,MATCH($A129,'Catálogo'!$A$2:$A$1567,0)),"código no encontrado"))</f>
        <v/>
      </c>
      <c r="C129" s="5">
        <f>IF($A129="","",IFERROR(INDEX('Catálogo'!$E$2:$E$1567,MATCH($A129,'Catálogo'!$A$2:$A$1567,0)),"código no encontrado"))</f>
        <v/>
      </c>
      <c r="D129" s="5">
        <f>IF($A129="","",IFERROR(INDEX('Catálogo'!$H$2:$H$1567,MATCH($A129,'Catálogo'!$A$2:$A$1567,0)),"código no encontrado"))</f>
        <v/>
      </c>
      <c r="E129" s="15" t="n"/>
      <c r="F129" s="10">
        <f>IF($A129="","",IFERROR(INDEX('Catálogo'!$N$2:$N$1567,MATCH($A129,'Catálogo'!$A$2:$A$1567,0)),"código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IF($A130="","",IFERROR(INDEX('Catálogo'!$D$2:$D$1567,MATCH($A130,'Catálogo'!$A$2:$A$1567,0)),"código no encontrado"))</f>
        <v/>
      </c>
      <c r="C130" s="5">
        <f>IF($A130="","",IFERROR(INDEX('Catálogo'!$E$2:$E$1567,MATCH($A130,'Catálogo'!$A$2:$A$1567,0)),"código no encontrado"))</f>
        <v/>
      </c>
      <c r="D130" s="5">
        <f>IF($A130="","",IFERROR(INDEX('Catálogo'!$H$2:$H$1567,MATCH($A130,'Catálogo'!$A$2:$A$1567,0)),"código no encontrado"))</f>
        <v/>
      </c>
      <c r="E130" s="15" t="n"/>
      <c r="F130" s="10">
        <f>IF($A130="","",IFERROR(INDEX('Catálogo'!$N$2:$N$1567,MATCH($A130,'Catálogo'!$A$2:$A$1567,0)),"código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IF($A131="","",IFERROR(INDEX('Catálogo'!$D$2:$D$1567,MATCH($A131,'Catálogo'!$A$2:$A$1567,0)),"código no encontrado"))</f>
        <v/>
      </c>
      <c r="C131" s="5">
        <f>IF($A131="","",IFERROR(INDEX('Catálogo'!$E$2:$E$1567,MATCH($A131,'Catálogo'!$A$2:$A$1567,0)),"código no encontrado"))</f>
        <v/>
      </c>
      <c r="D131" s="5">
        <f>IF($A131="","",IFERROR(INDEX('Catálogo'!$H$2:$H$1567,MATCH($A131,'Catálogo'!$A$2:$A$1567,0)),"código no encontrado"))</f>
        <v/>
      </c>
      <c r="E131" s="15" t="n"/>
      <c r="F131" s="10">
        <f>IF($A131="","",IFERROR(INDEX('Catálogo'!$N$2:$N$1567,MATCH($A131,'Catálogo'!$A$2:$A$1567,0)),"código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IF($A132="","",IFERROR(INDEX('Catálogo'!$D$2:$D$1567,MATCH($A132,'Catálogo'!$A$2:$A$1567,0)),"código no encontrado"))</f>
        <v/>
      </c>
      <c r="C132" s="5">
        <f>IF($A132="","",IFERROR(INDEX('Catálogo'!$E$2:$E$1567,MATCH($A132,'Catálogo'!$A$2:$A$1567,0)),"código no encontrado"))</f>
        <v/>
      </c>
      <c r="D132" s="5">
        <f>IF($A132="","",IFERROR(INDEX('Catálogo'!$H$2:$H$1567,MATCH($A132,'Catálogo'!$A$2:$A$1567,0)),"código no encontrado"))</f>
        <v/>
      </c>
      <c r="E132" s="15" t="n"/>
      <c r="F132" s="10">
        <f>IF($A132="","",IFERROR(INDEX('Catálogo'!$N$2:$N$1567,MATCH($A132,'Catálogo'!$A$2:$A$1567,0)),"código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IF($A133="","",IFERROR(INDEX('Catálogo'!$D$2:$D$1567,MATCH($A133,'Catálogo'!$A$2:$A$1567,0)),"código no encontrado"))</f>
        <v/>
      </c>
      <c r="C133" s="5">
        <f>IF($A133="","",IFERROR(INDEX('Catálogo'!$E$2:$E$1567,MATCH($A133,'Catálogo'!$A$2:$A$1567,0)),"código no encontrado"))</f>
        <v/>
      </c>
      <c r="D133" s="5">
        <f>IF($A133="","",IFERROR(INDEX('Catálogo'!$H$2:$H$1567,MATCH($A133,'Catálogo'!$A$2:$A$1567,0)),"código no encontrado"))</f>
        <v/>
      </c>
      <c r="E133" s="15" t="n"/>
      <c r="F133" s="10">
        <f>IF($A133="","",IFERROR(INDEX('Catálogo'!$N$2:$N$1567,MATCH($A133,'Catálogo'!$A$2:$A$1567,0)),"código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IF($A134="","",IFERROR(INDEX('Catálogo'!$D$2:$D$1567,MATCH($A134,'Catálogo'!$A$2:$A$1567,0)),"código no encontrado"))</f>
        <v/>
      </c>
      <c r="C134" s="5">
        <f>IF($A134="","",IFERROR(INDEX('Catálogo'!$E$2:$E$1567,MATCH($A134,'Catálogo'!$A$2:$A$1567,0)),"código no encontrado"))</f>
        <v/>
      </c>
      <c r="D134" s="5">
        <f>IF($A134="","",IFERROR(INDEX('Catálogo'!$H$2:$H$1567,MATCH($A134,'Catálogo'!$A$2:$A$1567,0)),"código no encontrado"))</f>
        <v/>
      </c>
      <c r="E134" s="15" t="n"/>
      <c r="F134" s="10">
        <f>IF($A134="","",IFERROR(INDEX('Catálogo'!$N$2:$N$1567,MATCH($A134,'Catálogo'!$A$2:$A$1567,0)),"código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IF($A135="","",IFERROR(INDEX('Catálogo'!$D$2:$D$1567,MATCH($A135,'Catálogo'!$A$2:$A$1567,0)),"código no encontrado"))</f>
        <v/>
      </c>
      <c r="C135" s="5">
        <f>IF($A135="","",IFERROR(INDEX('Catálogo'!$E$2:$E$1567,MATCH($A135,'Catálogo'!$A$2:$A$1567,0)),"código no encontrado"))</f>
        <v/>
      </c>
      <c r="D135" s="5">
        <f>IF($A135="","",IFERROR(INDEX('Catálogo'!$H$2:$H$1567,MATCH($A135,'Catálogo'!$A$2:$A$1567,0)),"código no encontrado"))</f>
        <v/>
      </c>
      <c r="E135" s="15" t="n"/>
      <c r="F135" s="10">
        <f>IF($A135="","",IFERROR(INDEX('Catálogo'!$N$2:$N$1567,MATCH($A135,'Catálogo'!$A$2:$A$1567,0)),"código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IF($A136="","",IFERROR(INDEX('Catálogo'!$D$2:$D$1567,MATCH($A136,'Catálogo'!$A$2:$A$1567,0)),"código no encontrado"))</f>
        <v/>
      </c>
      <c r="C136" s="5">
        <f>IF($A136="","",IFERROR(INDEX('Catálogo'!$E$2:$E$1567,MATCH($A136,'Catálogo'!$A$2:$A$1567,0)),"código no encontrado"))</f>
        <v/>
      </c>
      <c r="D136" s="5">
        <f>IF($A136="","",IFERROR(INDEX('Catálogo'!$H$2:$H$1567,MATCH($A136,'Catálogo'!$A$2:$A$1567,0)),"código no encontrado"))</f>
        <v/>
      </c>
      <c r="E136" s="15" t="n"/>
      <c r="F136" s="10">
        <f>IF($A136="","",IFERROR(INDEX('Catálogo'!$N$2:$N$1567,MATCH($A136,'Catálogo'!$A$2:$A$1567,0)),"código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IF($A137="","",IFERROR(INDEX('Catálogo'!$D$2:$D$1567,MATCH($A137,'Catálogo'!$A$2:$A$1567,0)),"código no encontrado"))</f>
        <v/>
      </c>
      <c r="C137" s="5">
        <f>IF($A137="","",IFERROR(INDEX('Catálogo'!$E$2:$E$1567,MATCH($A137,'Catálogo'!$A$2:$A$1567,0)),"código no encontrado"))</f>
        <v/>
      </c>
      <c r="D137" s="5">
        <f>IF($A137="","",IFERROR(INDEX('Catálogo'!$H$2:$H$1567,MATCH($A137,'Catálogo'!$A$2:$A$1567,0)),"código no encontrado"))</f>
        <v/>
      </c>
      <c r="E137" s="15" t="n"/>
      <c r="F137" s="10">
        <f>IF($A137="","",IFERROR(INDEX('Catálogo'!$N$2:$N$1567,MATCH($A137,'Catálogo'!$A$2:$A$1567,0)),"código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IF($A138="","",IFERROR(INDEX('Catálogo'!$D$2:$D$1567,MATCH($A138,'Catálogo'!$A$2:$A$1567,0)),"código no encontrado"))</f>
        <v/>
      </c>
      <c r="C138" s="5">
        <f>IF($A138="","",IFERROR(INDEX('Catálogo'!$E$2:$E$1567,MATCH($A138,'Catálogo'!$A$2:$A$1567,0)),"código no encontrado"))</f>
        <v/>
      </c>
      <c r="D138" s="5">
        <f>IF($A138="","",IFERROR(INDEX('Catálogo'!$H$2:$H$1567,MATCH($A138,'Catálogo'!$A$2:$A$1567,0)),"código no encontrado"))</f>
        <v/>
      </c>
      <c r="E138" s="15" t="n"/>
      <c r="F138" s="10">
        <f>IF($A138="","",IFERROR(INDEX('Catálogo'!$N$2:$N$1567,MATCH($A138,'Catálogo'!$A$2:$A$1567,0)),"código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IF($A139="","",IFERROR(INDEX('Catálogo'!$D$2:$D$1567,MATCH($A139,'Catálogo'!$A$2:$A$1567,0)),"código no encontrado"))</f>
        <v/>
      </c>
      <c r="C139" s="5">
        <f>IF($A139="","",IFERROR(INDEX('Catálogo'!$E$2:$E$1567,MATCH($A139,'Catálogo'!$A$2:$A$1567,0)),"código no encontrado"))</f>
        <v/>
      </c>
      <c r="D139" s="5">
        <f>IF($A139="","",IFERROR(INDEX('Catálogo'!$H$2:$H$1567,MATCH($A139,'Catálogo'!$A$2:$A$1567,0)),"código no encontrado"))</f>
        <v/>
      </c>
      <c r="E139" s="15" t="n"/>
      <c r="F139" s="10">
        <f>IF($A139="","",IFERROR(INDEX('Catálogo'!$N$2:$N$1567,MATCH($A139,'Catálogo'!$A$2:$A$1567,0)),"código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IF($A140="","",IFERROR(INDEX('Catálogo'!$D$2:$D$1567,MATCH($A140,'Catálogo'!$A$2:$A$1567,0)),"código no encontrado"))</f>
        <v/>
      </c>
      <c r="C140" s="5">
        <f>IF($A140="","",IFERROR(INDEX('Catálogo'!$E$2:$E$1567,MATCH($A140,'Catálogo'!$A$2:$A$1567,0)),"código no encontrado"))</f>
        <v/>
      </c>
      <c r="D140" s="5">
        <f>IF($A140="","",IFERROR(INDEX('Catálogo'!$H$2:$H$1567,MATCH($A140,'Catálogo'!$A$2:$A$1567,0)),"código no encontrado"))</f>
        <v/>
      </c>
      <c r="E140" s="15" t="n"/>
      <c r="F140" s="10">
        <f>IF($A140="","",IFERROR(INDEX('Catálogo'!$N$2:$N$1567,MATCH($A140,'Catálogo'!$A$2:$A$1567,0)),"código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IF($A141="","",IFERROR(INDEX('Catálogo'!$D$2:$D$1567,MATCH($A141,'Catálogo'!$A$2:$A$1567,0)),"código no encontrado"))</f>
        <v/>
      </c>
      <c r="C141" s="5">
        <f>IF($A141="","",IFERROR(INDEX('Catálogo'!$E$2:$E$1567,MATCH($A141,'Catálogo'!$A$2:$A$1567,0)),"código no encontrado"))</f>
        <v/>
      </c>
      <c r="D141" s="5">
        <f>IF($A141="","",IFERROR(INDEX('Catálogo'!$H$2:$H$1567,MATCH($A141,'Catálogo'!$A$2:$A$1567,0)),"código no encontrado"))</f>
        <v/>
      </c>
      <c r="E141" s="15" t="n"/>
      <c r="F141" s="10">
        <f>IF($A141="","",IFERROR(INDEX('Catálogo'!$N$2:$N$1567,MATCH($A141,'Catálogo'!$A$2:$A$1567,0)),"código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IF($A142="","",IFERROR(INDEX('Catálogo'!$D$2:$D$1567,MATCH($A142,'Catálogo'!$A$2:$A$1567,0)),"código no encontrado"))</f>
        <v/>
      </c>
      <c r="C142" s="5">
        <f>IF($A142="","",IFERROR(INDEX('Catálogo'!$E$2:$E$1567,MATCH($A142,'Catálogo'!$A$2:$A$1567,0)),"código no encontrado"))</f>
        <v/>
      </c>
      <c r="D142" s="5">
        <f>IF($A142="","",IFERROR(INDEX('Catálogo'!$H$2:$H$1567,MATCH($A142,'Catálogo'!$A$2:$A$1567,0)),"código no encontrado"))</f>
        <v/>
      </c>
      <c r="E142" s="15" t="n"/>
      <c r="F142" s="10">
        <f>IF($A142="","",IFERROR(INDEX('Catálogo'!$N$2:$N$1567,MATCH($A142,'Catálogo'!$A$2:$A$1567,0)),"código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IF($A143="","",IFERROR(INDEX('Catálogo'!$D$2:$D$1567,MATCH($A143,'Catálogo'!$A$2:$A$1567,0)),"código no encontrado"))</f>
        <v/>
      </c>
      <c r="C143" s="5">
        <f>IF($A143="","",IFERROR(INDEX('Catálogo'!$E$2:$E$1567,MATCH($A143,'Catálogo'!$A$2:$A$1567,0)),"código no encontrado"))</f>
        <v/>
      </c>
      <c r="D143" s="5">
        <f>IF($A143="","",IFERROR(INDEX('Catálogo'!$H$2:$H$1567,MATCH($A143,'Catálogo'!$A$2:$A$1567,0)),"código no encontrado"))</f>
        <v/>
      </c>
      <c r="E143" s="15" t="n"/>
      <c r="F143" s="10">
        <f>IF($A143="","",IFERROR(INDEX('Catálogo'!$N$2:$N$1567,MATCH($A143,'Catálogo'!$A$2:$A$1567,0)),"código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IF($A144="","",IFERROR(INDEX('Catálogo'!$D$2:$D$1567,MATCH($A144,'Catálogo'!$A$2:$A$1567,0)),"código no encontrado"))</f>
        <v/>
      </c>
      <c r="C144" s="5">
        <f>IF($A144="","",IFERROR(INDEX('Catálogo'!$E$2:$E$1567,MATCH($A144,'Catálogo'!$A$2:$A$1567,0)),"código no encontrado"))</f>
        <v/>
      </c>
      <c r="D144" s="5">
        <f>IF($A144="","",IFERROR(INDEX('Catálogo'!$H$2:$H$1567,MATCH($A144,'Catálogo'!$A$2:$A$1567,0)),"código no encontrado"))</f>
        <v/>
      </c>
      <c r="E144" s="15" t="n"/>
      <c r="F144" s="10">
        <f>IF($A144="","",IFERROR(INDEX('Catálogo'!$N$2:$N$1567,MATCH($A144,'Catálogo'!$A$2:$A$1567,0)),"código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IF($A145="","",IFERROR(INDEX('Catálogo'!$D$2:$D$1567,MATCH($A145,'Catálogo'!$A$2:$A$1567,0)),"código no encontrado"))</f>
        <v/>
      </c>
      <c r="C145" s="5">
        <f>IF($A145="","",IFERROR(INDEX('Catálogo'!$E$2:$E$1567,MATCH($A145,'Catálogo'!$A$2:$A$1567,0)),"código no encontrado"))</f>
        <v/>
      </c>
      <c r="D145" s="5">
        <f>IF($A145="","",IFERROR(INDEX('Catálogo'!$H$2:$H$1567,MATCH($A145,'Catálogo'!$A$2:$A$1567,0)),"código no encontrado"))</f>
        <v/>
      </c>
      <c r="E145" s="15" t="n"/>
      <c r="F145" s="10">
        <f>IF($A145="","",IFERROR(INDEX('Catálogo'!$N$2:$N$1567,MATCH($A145,'Catálogo'!$A$2:$A$1567,0)),"código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IF($A146="","",IFERROR(INDEX('Catálogo'!$D$2:$D$1567,MATCH($A146,'Catálogo'!$A$2:$A$1567,0)),"código no encontrado"))</f>
        <v/>
      </c>
      <c r="C146" s="5">
        <f>IF($A146="","",IFERROR(INDEX('Catálogo'!$E$2:$E$1567,MATCH($A146,'Catálogo'!$A$2:$A$1567,0)),"código no encontrado"))</f>
        <v/>
      </c>
      <c r="D146" s="5">
        <f>IF($A146="","",IFERROR(INDEX('Catálogo'!$H$2:$H$1567,MATCH($A146,'Catálogo'!$A$2:$A$1567,0)),"código no encontrado"))</f>
        <v/>
      </c>
      <c r="E146" s="15" t="n"/>
      <c r="F146" s="10">
        <f>IF($A146="","",IFERROR(INDEX('Catálogo'!$N$2:$N$1567,MATCH($A146,'Catálogo'!$A$2:$A$1567,0)),"código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IF($A147="","",IFERROR(INDEX('Catálogo'!$D$2:$D$1567,MATCH($A147,'Catálogo'!$A$2:$A$1567,0)),"código no encontrado"))</f>
        <v/>
      </c>
      <c r="C147" s="5">
        <f>IF($A147="","",IFERROR(INDEX('Catálogo'!$E$2:$E$1567,MATCH($A147,'Catálogo'!$A$2:$A$1567,0)),"código no encontrado"))</f>
        <v/>
      </c>
      <c r="D147" s="5">
        <f>IF($A147="","",IFERROR(INDEX('Catálogo'!$H$2:$H$1567,MATCH($A147,'Catálogo'!$A$2:$A$1567,0)),"código no encontrado"))</f>
        <v/>
      </c>
      <c r="E147" s="15" t="n"/>
      <c r="F147" s="10">
        <f>IF($A147="","",IFERROR(INDEX('Catálogo'!$N$2:$N$1567,MATCH($A147,'Catálogo'!$A$2:$A$1567,0)),"código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IF($A148="","",IFERROR(INDEX('Catálogo'!$D$2:$D$1567,MATCH($A148,'Catálogo'!$A$2:$A$1567,0)),"código no encontrado"))</f>
        <v/>
      </c>
      <c r="C148" s="5">
        <f>IF($A148="","",IFERROR(INDEX('Catálogo'!$E$2:$E$1567,MATCH($A148,'Catálogo'!$A$2:$A$1567,0)),"código no encontrado"))</f>
        <v/>
      </c>
      <c r="D148" s="5">
        <f>IF($A148="","",IFERROR(INDEX('Catálogo'!$H$2:$H$1567,MATCH($A148,'Catálogo'!$A$2:$A$1567,0)),"código no encontrado"))</f>
        <v/>
      </c>
      <c r="E148" s="15" t="n"/>
      <c r="F148" s="10">
        <f>IF($A148="","",IFERROR(INDEX('Catálogo'!$N$2:$N$1567,MATCH($A148,'Catálogo'!$A$2:$A$1567,0)),"código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IF($A149="","",IFERROR(INDEX('Catálogo'!$D$2:$D$1567,MATCH($A149,'Catálogo'!$A$2:$A$1567,0)),"código no encontrado"))</f>
        <v/>
      </c>
      <c r="C149" s="5">
        <f>IF($A149="","",IFERROR(INDEX('Catálogo'!$E$2:$E$1567,MATCH($A149,'Catálogo'!$A$2:$A$1567,0)),"código no encontrado"))</f>
        <v/>
      </c>
      <c r="D149" s="5">
        <f>IF($A149="","",IFERROR(INDEX('Catálogo'!$H$2:$H$1567,MATCH($A149,'Catálogo'!$A$2:$A$1567,0)),"código no encontrado"))</f>
        <v/>
      </c>
      <c r="E149" s="15" t="n"/>
      <c r="F149" s="10">
        <f>IF($A149="","",IFERROR(INDEX('Catálogo'!$N$2:$N$1567,MATCH($A149,'Catálogo'!$A$2:$A$1567,0)),"código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IF($A150="","",IFERROR(INDEX('Catálogo'!$D$2:$D$1567,MATCH($A150,'Catálogo'!$A$2:$A$1567,0)),"código no encontrado"))</f>
        <v/>
      </c>
      <c r="C150" s="5">
        <f>IF($A150="","",IFERROR(INDEX('Catálogo'!$E$2:$E$1567,MATCH($A150,'Catálogo'!$A$2:$A$1567,0)),"código no encontrado"))</f>
        <v/>
      </c>
      <c r="D150" s="5">
        <f>IF($A150="","",IFERROR(INDEX('Catálogo'!$H$2:$H$1567,MATCH($A150,'Catálogo'!$A$2:$A$1567,0)),"código no encontrado"))</f>
        <v/>
      </c>
      <c r="E150" s="15" t="n"/>
      <c r="F150" s="10">
        <f>IF($A150="","",IFERROR(INDEX('Catálogo'!$N$2:$N$1567,MATCH($A150,'Catálogo'!$A$2:$A$1567,0)),"código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IF($A151="","",IFERROR(INDEX('Catálogo'!$D$2:$D$1567,MATCH($A151,'Catálogo'!$A$2:$A$1567,0)),"código no encontrado"))</f>
        <v/>
      </c>
      <c r="C151" s="5">
        <f>IF($A151="","",IFERROR(INDEX('Catálogo'!$E$2:$E$1567,MATCH($A151,'Catálogo'!$A$2:$A$1567,0)),"código no encontrado"))</f>
        <v/>
      </c>
      <c r="D151" s="5">
        <f>IF($A151="","",IFERROR(INDEX('Catálogo'!$H$2:$H$1567,MATCH($A151,'Catálogo'!$A$2:$A$1567,0)),"código no encontrado"))</f>
        <v/>
      </c>
      <c r="E151" s="15" t="n"/>
      <c r="F151" s="10">
        <f>IF($A151="","",IFERROR(INDEX('Catálogo'!$N$2:$N$1567,MATCH($A151,'Catálogo'!$A$2:$A$1567,0)),"código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IF($A152="","",IFERROR(INDEX('Catálogo'!$D$2:$D$1567,MATCH($A152,'Catálogo'!$A$2:$A$1567,0)),"código no encontrado"))</f>
        <v/>
      </c>
      <c r="C152" s="5">
        <f>IF($A152="","",IFERROR(INDEX('Catálogo'!$E$2:$E$1567,MATCH($A152,'Catálogo'!$A$2:$A$1567,0)),"código no encontrado"))</f>
        <v/>
      </c>
      <c r="D152" s="5">
        <f>IF($A152="","",IFERROR(INDEX('Catálogo'!$H$2:$H$1567,MATCH($A152,'Catálogo'!$A$2:$A$1567,0)),"código no encontrado"))</f>
        <v/>
      </c>
      <c r="E152" s="15" t="n"/>
      <c r="F152" s="10">
        <f>IF($A152="","",IFERROR(INDEX('Catálogo'!$N$2:$N$1567,MATCH($A152,'Catálogo'!$A$2:$A$1567,0)),"código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IF($A153="","",IFERROR(INDEX('Catálogo'!$D$2:$D$1567,MATCH($A153,'Catálogo'!$A$2:$A$1567,0)),"código no encontrado"))</f>
        <v/>
      </c>
      <c r="C153" s="5">
        <f>IF($A153="","",IFERROR(INDEX('Catálogo'!$E$2:$E$1567,MATCH($A153,'Catálogo'!$A$2:$A$1567,0)),"código no encontrado"))</f>
        <v/>
      </c>
      <c r="D153" s="5">
        <f>IF($A153="","",IFERROR(INDEX('Catálogo'!$H$2:$H$1567,MATCH($A153,'Catálogo'!$A$2:$A$1567,0)),"código no encontrado"))</f>
        <v/>
      </c>
      <c r="E153" s="15" t="n"/>
      <c r="F153" s="10">
        <f>IF($A153="","",IFERROR(INDEX('Catálogo'!$N$2:$N$1567,MATCH($A153,'Catálogo'!$A$2:$A$1567,0)),"código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IF($A154="","",IFERROR(INDEX('Catálogo'!$D$2:$D$1567,MATCH($A154,'Catálogo'!$A$2:$A$1567,0)),"código no encontrado"))</f>
        <v/>
      </c>
      <c r="C154" s="5">
        <f>IF($A154="","",IFERROR(INDEX('Catálogo'!$E$2:$E$1567,MATCH($A154,'Catálogo'!$A$2:$A$1567,0)),"código no encontrado"))</f>
        <v/>
      </c>
      <c r="D154" s="5">
        <f>IF($A154="","",IFERROR(INDEX('Catálogo'!$H$2:$H$1567,MATCH($A154,'Catálogo'!$A$2:$A$1567,0)),"código no encontrado"))</f>
        <v/>
      </c>
      <c r="E154" s="15" t="n"/>
      <c r="F154" s="10">
        <f>IF($A154="","",IFERROR(INDEX('Catálogo'!$N$2:$N$1567,MATCH($A154,'Catálogo'!$A$2:$A$1567,0)),"código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IF($A155="","",IFERROR(INDEX('Catálogo'!$D$2:$D$1567,MATCH($A155,'Catálogo'!$A$2:$A$1567,0)),"código no encontrado"))</f>
        <v/>
      </c>
      <c r="C155" s="5">
        <f>IF($A155="","",IFERROR(INDEX('Catálogo'!$E$2:$E$1567,MATCH($A155,'Catálogo'!$A$2:$A$1567,0)),"código no encontrado"))</f>
        <v/>
      </c>
      <c r="D155" s="5">
        <f>IF($A155="","",IFERROR(INDEX('Catálogo'!$H$2:$H$1567,MATCH($A155,'Catálogo'!$A$2:$A$1567,0)),"código no encontrado"))</f>
        <v/>
      </c>
      <c r="E155" s="15" t="n"/>
      <c r="F155" s="10">
        <f>IF($A155="","",IFERROR(INDEX('Catálogo'!$N$2:$N$1567,MATCH($A155,'Catálogo'!$A$2:$A$1567,0)),"código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IF($A156="","",IFERROR(INDEX('Catálogo'!$D$2:$D$1567,MATCH($A156,'Catálogo'!$A$2:$A$1567,0)),"código no encontrado"))</f>
        <v/>
      </c>
      <c r="C156" s="5">
        <f>IF($A156="","",IFERROR(INDEX('Catálogo'!$E$2:$E$1567,MATCH($A156,'Catálogo'!$A$2:$A$1567,0)),"código no encontrado"))</f>
        <v/>
      </c>
      <c r="D156" s="5">
        <f>IF($A156="","",IFERROR(INDEX('Catálogo'!$H$2:$H$1567,MATCH($A156,'Catálogo'!$A$2:$A$1567,0)),"código no encontrado"))</f>
        <v/>
      </c>
      <c r="E156" s="15" t="n"/>
      <c r="F156" s="10">
        <f>IF($A156="","",IFERROR(INDEX('Catálogo'!$N$2:$N$1567,MATCH($A156,'Catálogo'!$A$2:$A$1567,0)),"código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IF($A157="","",IFERROR(INDEX('Catálogo'!$D$2:$D$1567,MATCH($A157,'Catálogo'!$A$2:$A$1567,0)),"código no encontrado"))</f>
        <v/>
      </c>
      <c r="C157" s="5">
        <f>IF($A157="","",IFERROR(INDEX('Catálogo'!$E$2:$E$1567,MATCH($A157,'Catálogo'!$A$2:$A$1567,0)),"código no encontrado"))</f>
        <v/>
      </c>
      <c r="D157" s="5">
        <f>IF($A157="","",IFERROR(INDEX('Catálogo'!$H$2:$H$1567,MATCH($A157,'Catálogo'!$A$2:$A$1567,0)),"código no encontrado"))</f>
        <v/>
      </c>
      <c r="E157" s="15" t="n"/>
      <c r="F157" s="10">
        <f>IF($A157="","",IFERROR(INDEX('Catálogo'!$N$2:$N$1567,MATCH($A157,'Catálogo'!$A$2:$A$1567,0)),"código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IF($A158="","",IFERROR(INDEX('Catálogo'!$D$2:$D$1567,MATCH($A158,'Catálogo'!$A$2:$A$1567,0)),"código no encontrado"))</f>
        <v/>
      </c>
      <c r="C158" s="5">
        <f>IF($A158="","",IFERROR(INDEX('Catálogo'!$E$2:$E$1567,MATCH($A158,'Catálogo'!$A$2:$A$1567,0)),"código no encontrado"))</f>
        <v/>
      </c>
      <c r="D158" s="5">
        <f>IF($A158="","",IFERROR(INDEX('Catálogo'!$H$2:$H$1567,MATCH($A158,'Catálogo'!$A$2:$A$1567,0)),"código no encontrado"))</f>
        <v/>
      </c>
      <c r="E158" s="15" t="n"/>
      <c r="F158" s="10">
        <f>IF($A158="","",IFERROR(INDEX('Catálogo'!$N$2:$N$1567,MATCH($A158,'Catálogo'!$A$2:$A$1567,0)),"código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IF($A159="","",IFERROR(INDEX('Catálogo'!$D$2:$D$1567,MATCH($A159,'Catálogo'!$A$2:$A$1567,0)),"código no encontrado"))</f>
        <v/>
      </c>
      <c r="C159" s="5">
        <f>IF($A159="","",IFERROR(INDEX('Catálogo'!$E$2:$E$1567,MATCH($A159,'Catálogo'!$A$2:$A$1567,0)),"código no encontrado"))</f>
        <v/>
      </c>
      <c r="D159" s="5">
        <f>IF($A159="","",IFERROR(INDEX('Catálogo'!$H$2:$H$1567,MATCH($A159,'Catálogo'!$A$2:$A$1567,0)),"código no encontrado"))</f>
        <v/>
      </c>
      <c r="E159" s="15" t="n"/>
      <c r="F159" s="10">
        <f>IF($A159="","",IFERROR(INDEX('Catálogo'!$N$2:$N$1567,MATCH($A159,'Catálogo'!$A$2:$A$1567,0)),"código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IF($A160="","",IFERROR(INDEX('Catálogo'!$D$2:$D$1567,MATCH($A160,'Catálogo'!$A$2:$A$1567,0)),"código no encontrado"))</f>
        <v/>
      </c>
      <c r="C160" s="5">
        <f>IF($A160="","",IFERROR(INDEX('Catálogo'!$E$2:$E$1567,MATCH($A160,'Catálogo'!$A$2:$A$1567,0)),"código no encontrado"))</f>
        <v/>
      </c>
      <c r="D160" s="5">
        <f>IF($A160="","",IFERROR(INDEX('Catálogo'!$H$2:$H$1567,MATCH($A160,'Catálogo'!$A$2:$A$1567,0)),"código no encontrado"))</f>
        <v/>
      </c>
      <c r="E160" s="15" t="n"/>
      <c r="F160" s="10">
        <f>IF($A160="","",IFERROR(INDEX('Catálogo'!$N$2:$N$1567,MATCH($A160,'Catálogo'!$A$2:$A$1567,0)),"código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IF($A161="","",IFERROR(INDEX('Catálogo'!$D$2:$D$1567,MATCH($A161,'Catálogo'!$A$2:$A$1567,0)),"código no encontrado"))</f>
        <v/>
      </c>
      <c r="C161" s="5">
        <f>IF($A161="","",IFERROR(INDEX('Catálogo'!$E$2:$E$1567,MATCH($A161,'Catálogo'!$A$2:$A$1567,0)),"código no encontrado"))</f>
        <v/>
      </c>
      <c r="D161" s="5">
        <f>IF($A161="","",IFERROR(INDEX('Catálogo'!$H$2:$H$1567,MATCH($A161,'Catálogo'!$A$2:$A$1567,0)),"código no encontrado"))</f>
        <v/>
      </c>
      <c r="E161" s="15" t="n"/>
      <c r="F161" s="10">
        <f>IF($A161="","",IFERROR(INDEX('Catálogo'!$N$2:$N$1567,MATCH($A161,'Catálogo'!$A$2:$A$1567,0)),"código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IF($A162="","",IFERROR(INDEX('Catálogo'!$D$2:$D$1567,MATCH($A162,'Catálogo'!$A$2:$A$1567,0)),"código no encontrado"))</f>
        <v/>
      </c>
      <c r="C162" s="5">
        <f>IF($A162="","",IFERROR(INDEX('Catálogo'!$E$2:$E$1567,MATCH($A162,'Catálogo'!$A$2:$A$1567,0)),"código no encontrado"))</f>
        <v/>
      </c>
      <c r="D162" s="5">
        <f>IF($A162="","",IFERROR(INDEX('Catálogo'!$H$2:$H$1567,MATCH($A162,'Catálogo'!$A$2:$A$1567,0)),"código no encontrado"))</f>
        <v/>
      </c>
      <c r="E162" s="15" t="n"/>
      <c r="F162" s="10">
        <f>IF($A162="","",IFERROR(INDEX('Catálogo'!$N$2:$N$1567,MATCH($A162,'Catálogo'!$A$2:$A$1567,0)),"código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IF($A163="","",IFERROR(INDEX('Catálogo'!$D$2:$D$1567,MATCH($A163,'Catálogo'!$A$2:$A$1567,0)),"código no encontrado"))</f>
        <v/>
      </c>
      <c r="C163" s="5">
        <f>IF($A163="","",IFERROR(INDEX('Catálogo'!$E$2:$E$1567,MATCH($A163,'Catálogo'!$A$2:$A$1567,0)),"código no encontrado"))</f>
        <v/>
      </c>
      <c r="D163" s="5">
        <f>IF($A163="","",IFERROR(INDEX('Catálogo'!$H$2:$H$1567,MATCH($A163,'Catálogo'!$A$2:$A$1567,0)),"código no encontrado"))</f>
        <v/>
      </c>
      <c r="E163" s="15" t="n"/>
      <c r="F163" s="10">
        <f>IF($A163="","",IFERROR(INDEX('Catálogo'!$N$2:$N$1567,MATCH($A163,'Catálogo'!$A$2:$A$1567,0)),"código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IF($A164="","",IFERROR(INDEX('Catálogo'!$D$2:$D$1567,MATCH($A164,'Catálogo'!$A$2:$A$1567,0)),"código no encontrado"))</f>
        <v/>
      </c>
      <c r="C164" s="5">
        <f>IF($A164="","",IFERROR(INDEX('Catálogo'!$E$2:$E$1567,MATCH($A164,'Catálogo'!$A$2:$A$1567,0)),"código no encontrado"))</f>
        <v/>
      </c>
      <c r="D164" s="5">
        <f>IF($A164="","",IFERROR(INDEX('Catálogo'!$H$2:$H$1567,MATCH($A164,'Catálogo'!$A$2:$A$1567,0)),"código no encontrado"))</f>
        <v/>
      </c>
      <c r="E164" s="15" t="n"/>
      <c r="F164" s="10">
        <f>IF($A164="","",IFERROR(INDEX('Catálogo'!$N$2:$N$1567,MATCH($A164,'Catálogo'!$A$2:$A$1567,0)),"código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IF($A165="","",IFERROR(INDEX('Catálogo'!$D$2:$D$1567,MATCH($A165,'Catálogo'!$A$2:$A$1567,0)),"código no encontrado"))</f>
        <v/>
      </c>
      <c r="C165" s="5">
        <f>IF($A165="","",IFERROR(INDEX('Catálogo'!$E$2:$E$1567,MATCH($A165,'Catálogo'!$A$2:$A$1567,0)),"código no encontrado"))</f>
        <v/>
      </c>
      <c r="D165" s="5">
        <f>IF($A165="","",IFERROR(INDEX('Catálogo'!$H$2:$H$1567,MATCH($A165,'Catálogo'!$A$2:$A$1567,0)),"código no encontrado"))</f>
        <v/>
      </c>
      <c r="E165" s="15" t="n"/>
      <c r="F165" s="10">
        <f>IF($A165="","",IFERROR(INDEX('Catálogo'!$N$2:$N$1567,MATCH($A165,'Catálogo'!$A$2:$A$1567,0)),"código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IF($A166="","",IFERROR(INDEX('Catálogo'!$D$2:$D$1567,MATCH($A166,'Catálogo'!$A$2:$A$1567,0)),"código no encontrado"))</f>
        <v/>
      </c>
      <c r="C166" s="5">
        <f>IF($A166="","",IFERROR(INDEX('Catálogo'!$E$2:$E$1567,MATCH($A166,'Catálogo'!$A$2:$A$1567,0)),"código no encontrado"))</f>
        <v/>
      </c>
      <c r="D166" s="5">
        <f>IF($A166="","",IFERROR(INDEX('Catálogo'!$H$2:$H$1567,MATCH($A166,'Catálogo'!$A$2:$A$1567,0)),"código no encontrado"))</f>
        <v/>
      </c>
      <c r="E166" s="15" t="n"/>
      <c r="F166" s="10">
        <f>IF($A166="","",IFERROR(INDEX('Catálogo'!$N$2:$N$1567,MATCH($A166,'Catálogo'!$A$2:$A$1567,0)),"código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IF($A167="","",IFERROR(INDEX('Catálogo'!$D$2:$D$1567,MATCH($A167,'Catálogo'!$A$2:$A$1567,0)),"código no encontrado"))</f>
        <v/>
      </c>
      <c r="C167" s="5">
        <f>IF($A167="","",IFERROR(INDEX('Catálogo'!$E$2:$E$1567,MATCH($A167,'Catálogo'!$A$2:$A$1567,0)),"código no encontrado"))</f>
        <v/>
      </c>
      <c r="D167" s="5">
        <f>IF($A167="","",IFERROR(INDEX('Catálogo'!$H$2:$H$1567,MATCH($A167,'Catálogo'!$A$2:$A$1567,0)),"código no encontrado"))</f>
        <v/>
      </c>
      <c r="E167" s="15" t="n"/>
      <c r="F167" s="10">
        <f>IF($A167="","",IFERROR(INDEX('Catálogo'!$N$2:$N$1567,MATCH($A167,'Catálogo'!$A$2:$A$1567,0)),"código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IF($A168="","",IFERROR(INDEX('Catálogo'!$D$2:$D$1567,MATCH($A168,'Catálogo'!$A$2:$A$1567,0)),"código no encontrado"))</f>
        <v/>
      </c>
      <c r="C168" s="5">
        <f>IF($A168="","",IFERROR(INDEX('Catálogo'!$E$2:$E$1567,MATCH($A168,'Catálogo'!$A$2:$A$1567,0)),"código no encontrado"))</f>
        <v/>
      </c>
      <c r="D168" s="5">
        <f>IF($A168="","",IFERROR(INDEX('Catálogo'!$H$2:$H$1567,MATCH($A168,'Catálogo'!$A$2:$A$1567,0)),"código no encontrado"))</f>
        <v/>
      </c>
      <c r="E168" s="15" t="n"/>
      <c r="F168" s="10">
        <f>IF($A168="","",IFERROR(INDEX('Catálogo'!$N$2:$N$1567,MATCH($A168,'Catálogo'!$A$2:$A$1567,0)),"código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IF($A169="","",IFERROR(INDEX('Catálogo'!$D$2:$D$1567,MATCH($A169,'Catálogo'!$A$2:$A$1567,0)),"código no encontrado"))</f>
        <v/>
      </c>
      <c r="C169" s="5">
        <f>IF($A169="","",IFERROR(INDEX('Catálogo'!$E$2:$E$1567,MATCH($A169,'Catálogo'!$A$2:$A$1567,0)),"código no encontrado"))</f>
        <v/>
      </c>
      <c r="D169" s="5">
        <f>IF($A169="","",IFERROR(INDEX('Catálogo'!$H$2:$H$1567,MATCH($A169,'Catálogo'!$A$2:$A$1567,0)),"código no encontrado"))</f>
        <v/>
      </c>
      <c r="E169" s="15" t="n"/>
      <c r="F169" s="10">
        <f>IF($A169="","",IFERROR(INDEX('Catálogo'!$N$2:$N$1567,MATCH($A169,'Catálogo'!$A$2:$A$1567,0)),"código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IF($A170="","",IFERROR(INDEX('Catálogo'!$D$2:$D$1567,MATCH($A170,'Catálogo'!$A$2:$A$1567,0)),"código no encontrado"))</f>
        <v/>
      </c>
      <c r="C170" s="5">
        <f>IF($A170="","",IFERROR(INDEX('Catálogo'!$E$2:$E$1567,MATCH($A170,'Catálogo'!$A$2:$A$1567,0)),"código no encontrado"))</f>
        <v/>
      </c>
      <c r="D170" s="5">
        <f>IF($A170="","",IFERROR(INDEX('Catálogo'!$H$2:$H$1567,MATCH($A170,'Catálogo'!$A$2:$A$1567,0)),"código no encontrado"))</f>
        <v/>
      </c>
      <c r="E170" s="15" t="n"/>
      <c r="F170" s="10">
        <f>IF($A170="","",IFERROR(INDEX('Catálogo'!$N$2:$N$1567,MATCH($A170,'Catálogo'!$A$2:$A$1567,0)),"código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IF($A171="","",IFERROR(INDEX('Catálogo'!$D$2:$D$1567,MATCH($A171,'Catálogo'!$A$2:$A$1567,0)),"código no encontrado"))</f>
        <v/>
      </c>
      <c r="C171" s="5">
        <f>IF($A171="","",IFERROR(INDEX('Catálogo'!$E$2:$E$1567,MATCH($A171,'Catálogo'!$A$2:$A$1567,0)),"código no encontrado"))</f>
        <v/>
      </c>
      <c r="D171" s="5">
        <f>IF($A171="","",IFERROR(INDEX('Catálogo'!$H$2:$H$1567,MATCH($A171,'Catálogo'!$A$2:$A$1567,0)),"código no encontrado"))</f>
        <v/>
      </c>
      <c r="E171" s="15" t="n"/>
      <c r="F171" s="10">
        <f>IF($A171="","",IFERROR(INDEX('Catálogo'!$N$2:$N$1567,MATCH($A171,'Catálogo'!$A$2:$A$1567,0)),"código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IF($A172="","",IFERROR(INDEX('Catálogo'!$D$2:$D$1567,MATCH($A172,'Catálogo'!$A$2:$A$1567,0)),"código no encontrado"))</f>
        <v/>
      </c>
      <c r="C172" s="5">
        <f>IF($A172="","",IFERROR(INDEX('Catálogo'!$E$2:$E$1567,MATCH($A172,'Catálogo'!$A$2:$A$1567,0)),"código no encontrado"))</f>
        <v/>
      </c>
      <c r="D172" s="5">
        <f>IF($A172="","",IFERROR(INDEX('Catálogo'!$H$2:$H$1567,MATCH($A172,'Catálogo'!$A$2:$A$1567,0)),"código no encontrado"))</f>
        <v/>
      </c>
      <c r="E172" s="15" t="n"/>
      <c r="F172" s="10">
        <f>IF($A172="","",IFERROR(INDEX('Catálogo'!$N$2:$N$1567,MATCH($A172,'Catálogo'!$A$2:$A$1567,0)),"código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IF($A173="","",IFERROR(INDEX('Catálogo'!$D$2:$D$1567,MATCH($A173,'Catálogo'!$A$2:$A$1567,0)),"código no encontrado"))</f>
        <v/>
      </c>
      <c r="C173" s="5">
        <f>IF($A173="","",IFERROR(INDEX('Catálogo'!$E$2:$E$1567,MATCH($A173,'Catálogo'!$A$2:$A$1567,0)),"código no encontrado"))</f>
        <v/>
      </c>
      <c r="D173" s="5">
        <f>IF($A173="","",IFERROR(INDEX('Catálogo'!$H$2:$H$1567,MATCH($A173,'Catálogo'!$A$2:$A$1567,0)),"código no encontrado"))</f>
        <v/>
      </c>
      <c r="E173" s="15" t="n"/>
      <c r="F173" s="10">
        <f>IF($A173="","",IFERROR(INDEX('Catálogo'!$N$2:$N$1567,MATCH($A173,'Catálogo'!$A$2:$A$1567,0)),"código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IF($A174="","",IFERROR(INDEX('Catálogo'!$D$2:$D$1567,MATCH($A174,'Catálogo'!$A$2:$A$1567,0)),"código no encontrado"))</f>
        <v/>
      </c>
      <c r="C174" s="5">
        <f>IF($A174="","",IFERROR(INDEX('Catálogo'!$E$2:$E$1567,MATCH($A174,'Catálogo'!$A$2:$A$1567,0)),"código no encontrado"))</f>
        <v/>
      </c>
      <c r="D174" s="5">
        <f>IF($A174="","",IFERROR(INDEX('Catálogo'!$H$2:$H$1567,MATCH($A174,'Catálogo'!$A$2:$A$1567,0)),"código no encontrado"))</f>
        <v/>
      </c>
      <c r="E174" s="15" t="n"/>
      <c r="F174" s="10">
        <f>IF($A174="","",IFERROR(INDEX('Catálogo'!$N$2:$N$1567,MATCH($A174,'Catálogo'!$A$2:$A$1567,0)),"código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IF($A175="","",IFERROR(INDEX('Catálogo'!$D$2:$D$1567,MATCH($A175,'Catálogo'!$A$2:$A$1567,0)),"código no encontrado"))</f>
        <v/>
      </c>
      <c r="C175" s="5">
        <f>IF($A175="","",IFERROR(INDEX('Catálogo'!$E$2:$E$1567,MATCH($A175,'Catálogo'!$A$2:$A$1567,0)),"código no encontrado"))</f>
        <v/>
      </c>
      <c r="D175" s="5">
        <f>IF($A175="","",IFERROR(INDEX('Catálogo'!$H$2:$H$1567,MATCH($A175,'Catálogo'!$A$2:$A$1567,0)),"código no encontrado"))</f>
        <v/>
      </c>
      <c r="E175" s="15" t="n"/>
      <c r="F175" s="10">
        <f>IF($A175="","",IFERROR(INDEX('Catálogo'!$N$2:$N$1567,MATCH($A175,'Catálogo'!$A$2:$A$1567,0)),"código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IF($A176="","",IFERROR(INDEX('Catálogo'!$D$2:$D$1567,MATCH($A176,'Catálogo'!$A$2:$A$1567,0)),"código no encontrado"))</f>
        <v/>
      </c>
      <c r="C176" s="5">
        <f>IF($A176="","",IFERROR(INDEX('Catálogo'!$E$2:$E$1567,MATCH($A176,'Catálogo'!$A$2:$A$1567,0)),"código no encontrado"))</f>
        <v/>
      </c>
      <c r="D176" s="5">
        <f>IF($A176="","",IFERROR(INDEX('Catálogo'!$H$2:$H$1567,MATCH($A176,'Catálogo'!$A$2:$A$1567,0)),"código no encontrado"))</f>
        <v/>
      </c>
      <c r="E176" s="15" t="n"/>
      <c r="F176" s="10">
        <f>IF($A176="","",IFERROR(INDEX('Catálogo'!$N$2:$N$1567,MATCH($A176,'Catálogo'!$A$2:$A$1567,0)),"código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IF($A177="","",IFERROR(INDEX('Catálogo'!$D$2:$D$1567,MATCH($A177,'Catálogo'!$A$2:$A$1567,0)),"código no encontrado"))</f>
        <v/>
      </c>
      <c r="C177" s="5">
        <f>IF($A177="","",IFERROR(INDEX('Catálogo'!$E$2:$E$1567,MATCH($A177,'Catálogo'!$A$2:$A$1567,0)),"código no encontrado"))</f>
        <v/>
      </c>
      <c r="D177" s="5">
        <f>IF($A177="","",IFERROR(INDEX('Catálogo'!$H$2:$H$1567,MATCH($A177,'Catálogo'!$A$2:$A$1567,0)),"código no encontrado"))</f>
        <v/>
      </c>
      <c r="E177" s="15" t="n"/>
      <c r="F177" s="10">
        <f>IF($A177="","",IFERROR(INDEX('Catálogo'!$N$2:$N$1567,MATCH($A177,'Catálogo'!$A$2:$A$1567,0)),"código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IF($A178="","",IFERROR(INDEX('Catálogo'!$D$2:$D$1567,MATCH($A178,'Catálogo'!$A$2:$A$1567,0)),"código no encontrado"))</f>
        <v/>
      </c>
      <c r="C178" s="5">
        <f>IF($A178="","",IFERROR(INDEX('Catálogo'!$E$2:$E$1567,MATCH($A178,'Catálogo'!$A$2:$A$1567,0)),"código no encontrado"))</f>
        <v/>
      </c>
      <c r="D178" s="5">
        <f>IF($A178="","",IFERROR(INDEX('Catálogo'!$H$2:$H$1567,MATCH($A178,'Catálogo'!$A$2:$A$1567,0)),"código no encontrado"))</f>
        <v/>
      </c>
      <c r="E178" s="15" t="n"/>
      <c r="F178" s="10">
        <f>IF($A178="","",IFERROR(INDEX('Catálogo'!$N$2:$N$1567,MATCH($A178,'Catálogo'!$A$2:$A$1567,0)),"código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IF($A179="","",IFERROR(INDEX('Catálogo'!$D$2:$D$1567,MATCH($A179,'Catálogo'!$A$2:$A$1567,0)),"código no encontrado"))</f>
        <v/>
      </c>
      <c r="C179" s="5">
        <f>IF($A179="","",IFERROR(INDEX('Catálogo'!$E$2:$E$1567,MATCH($A179,'Catálogo'!$A$2:$A$1567,0)),"código no encontrado"))</f>
        <v/>
      </c>
      <c r="D179" s="5">
        <f>IF($A179="","",IFERROR(INDEX('Catálogo'!$H$2:$H$1567,MATCH($A179,'Catálogo'!$A$2:$A$1567,0)),"código no encontrado"))</f>
        <v/>
      </c>
      <c r="E179" s="15" t="n"/>
      <c r="F179" s="10">
        <f>IF($A179="","",IFERROR(INDEX('Catálogo'!$N$2:$N$1567,MATCH($A179,'Catálogo'!$A$2:$A$1567,0)),"código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IF($A180="","",IFERROR(INDEX('Catálogo'!$D$2:$D$1567,MATCH($A180,'Catálogo'!$A$2:$A$1567,0)),"código no encontrado"))</f>
        <v/>
      </c>
      <c r="C180" s="5">
        <f>IF($A180="","",IFERROR(INDEX('Catálogo'!$E$2:$E$1567,MATCH($A180,'Catálogo'!$A$2:$A$1567,0)),"código no encontrado"))</f>
        <v/>
      </c>
      <c r="D180" s="5">
        <f>IF($A180="","",IFERROR(INDEX('Catálogo'!$H$2:$H$1567,MATCH($A180,'Catálogo'!$A$2:$A$1567,0)),"código no encontrado"))</f>
        <v/>
      </c>
      <c r="E180" s="15" t="n"/>
      <c r="F180" s="10">
        <f>IF($A180="","",IFERROR(INDEX('Catálogo'!$N$2:$N$1567,MATCH($A180,'Catálogo'!$A$2:$A$1567,0)),"código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IF($A181="","",IFERROR(INDEX('Catálogo'!$D$2:$D$1567,MATCH($A181,'Catálogo'!$A$2:$A$1567,0)),"código no encontrado"))</f>
        <v/>
      </c>
      <c r="C181" s="5">
        <f>IF($A181="","",IFERROR(INDEX('Catálogo'!$E$2:$E$1567,MATCH($A181,'Catálogo'!$A$2:$A$1567,0)),"código no encontrado"))</f>
        <v/>
      </c>
      <c r="D181" s="5">
        <f>IF($A181="","",IFERROR(INDEX('Catálogo'!$H$2:$H$1567,MATCH($A181,'Catálogo'!$A$2:$A$1567,0)),"código no encontrado"))</f>
        <v/>
      </c>
      <c r="E181" s="15" t="n"/>
      <c r="F181" s="10">
        <f>IF($A181="","",IFERROR(INDEX('Catálogo'!$N$2:$N$1567,MATCH($A181,'Catálogo'!$A$2:$A$1567,0)),"código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IF($A182="","",IFERROR(INDEX('Catálogo'!$D$2:$D$1567,MATCH($A182,'Catálogo'!$A$2:$A$1567,0)),"código no encontrado"))</f>
        <v/>
      </c>
      <c r="C182" s="5">
        <f>IF($A182="","",IFERROR(INDEX('Catálogo'!$E$2:$E$1567,MATCH($A182,'Catálogo'!$A$2:$A$1567,0)),"código no encontrado"))</f>
        <v/>
      </c>
      <c r="D182" s="5">
        <f>IF($A182="","",IFERROR(INDEX('Catálogo'!$H$2:$H$1567,MATCH($A182,'Catálogo'!$A$2:$A$1567,0)),"código no encontrado"))</f>
        <v/>
      </c>
      <c r="E182" s="15" t="n"/>
      <c r="F182" s="10">
        <f>IF($A182="","",IFERROR(INDEX('Catálogo'!$N$2:$N$1567,MATCH($A182,'Catálogo'!$A$2:$A$1567,0)),"código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IF($A183="","",IFERROR(INDEX('Catálogo'!$D$2:$D$1567,MATCH($A183,'Catálogo'!$A$2:$A$1567,0)),"código no encontrado"))</f>
        <v/>
      </c>
      <c r="C183" s="5">
        <f>IF($A183="","",IFERROR(INDEX('Catálogo'!$E$2:$E$1567,MATCH($A183,'Catálogo'!$A$2:$A$1567,0)),"código no encontrado"))</f>
        <v/>
      </c>
      <c r="D183" s="5">
        <f>IF($A183="","",IFERROR(INDEX('Catálogo'!$H$2:$H$1567,MATCH($A183,'Catálogo'!$A$2:$A$1567,0)),"código no encontrado"))</f>
        <v/>
      </c>
      <c r="E183" s="15" t="n"/>
      <c r="F183" s="10">
        <f>IF($A183="","",IFERROR(INDEX('Catálogo'!$N$2:$N$1567,MATCH($A183,'Catálogo'!$A$2:$A$1567,0)),"código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IF($A184="","",IFERROR(INDEX('Catálogo'!$D$2:$D$1567,MATCH($A184,'Catálogo'!$A$2:$A$1567,0)),"código no encontrado"))</f>
        <v/>
      </c>
      <c r="C184" s="5">
        <f>IF($A184="","",IFERROR(INDEX('Catálogo'!$E$2:$E$1567,MATCH($A184,'Catálogo'!$A$2:$A$1567,0)),"código no encontrado"))</f>
        <v/>
      </c>
      <c r="D184" s="5">
        <f>IF($A184="","",IFERROR(INDEX('Catálogo'!$H$2:$H$1567,MATCH($A184,'Catálogo'!$A$2:$A$1567,0)),"código no encontrado"))</f>
        <v/>
      </c>
      <c r="E184" s="15" t="n"/>
      <c r="F184" s="10">
        <f>IF($A184="","",IFERROR(INDEX('Catálogo'!$N$2:$N$1567,MATCH($A184,'Catálogo'!$A$2:$A$1567,0)),"código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IF($A185="","",IFERROR(INDEX('Catálogo'!$D$2:$D$1567,MATCH($A185,'Catálogo'!$A$2:$A$1567,0)),"código no encontrado"))</f>
        <v/>
      </c>
      <c r="C185" s="5">
        <f>IF($A185="","",IFERROR(INDEX('Catálogo'!$E$2:$E$1567,MATCH($A185,'Catálogo'!$A$2:$A$1567,0)),"código no encontrado"))</f>
        <v/>
      </c>
      <c r="D185" s="5">
        <f>IF($A185="","",IFERROR(INDEX('Catálogo'!$H$2:$H$1567,MATCH($A185,'Catálogo'!$A$2:$A$1567,0)),"código no encontrado"))</f>
        <v/>
      </c>
      <c r="E185" s="15" t="n"/>
      <c r="F185" s="10">
        <f>IF($A185="","",IFERROR(INDEX('Catálogo'!$N$2:$N$1567,MATCH($A185,'Catálogo'!$A$2:$A$1567,0)),"código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IF($A186="","",IFERROR(INDEX('Catálogo'!$D$2:$D$1567,MATCH($A186,'Catálogo'!$A$2:$A$1567,0)),"código no encontrado"))</f>
        <v/>
      </c>
      <c r="C186" s="5">
        <f>IF($A186="","",IFERROR(INDEX('Catálogo'!$E$2:$E$1567,MATCH($A186,'Catálogo'!$A$2:$A$1567,0)),"código no encontrado"))</f>
        <v/>
      </c>
      <c r="D186" s="5">
        <f>IF($A186="","",IFERROR(INDEX('Catálogo'!$H$2:$H$1567,MATCH($A186,'Catálogo'!$A$2:$A$1567,0)),"código no encontrado"))</f>
        <v/>
      </c>
      <c r="E186" s="15" t="n"/>
      <c r="F186" s="10">
        <f>IF($A186="","",IFERROR(INDEX('Catálogo'!$N$2:$N$1567,MATCH($A186,'Catálogo'!$A$2:$A$1567,0)),"código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IF($A187="","",IFERROR(INDEX('Catálogo'!$D$2:$D$1567,MATCH($A187,'Catálogo'!$A$2:$A$1567,0)),"código no encontrado"))</f>
        <v/>
      </c>
      <c r="C187" s="5">
        <f>IF($A187="","",IFERROR(INDEX('Catálogo'!$E$2:$E$1567,MATCH($A187,'Catálogo'!$A$2:$A$1567,0)),"código no encontrado"))</f>
        <v/>
      </c>
      <c r="D187" s="5">
        <f>IF($A187="","",IFERROR(INDEX('Catálogo'!$H$2:$H$1567,MATCH($A187,'Catálogo'!$A$2:$A$1567,0)),"código no encontrado"))</f>
        <v/>
      </c>
      <c r="E187" s="15" t="n"/>
      <c r="F187" s="10">
        <f>IF($A187="","",IFERROR(INDEX('Catálogo'!$N$2:$N$1567,MATCH($A187,'Catálogo'!$A$2:$A$1567,0)),"código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IF($A188="","",IFERROR(INDEX('Catálogo'!$D$2:$D$1567,MATCH($A188,'Catálogo'!$A$2:$A$1567,0)),"código no encontrado"))</f>
        <v/>
      </c>
      <c r="C188" s="5">
        <f>IF($A188="","",IFERROR(INDEX('Catálogo'!$E$2:$E$1567,MATCH($A188,'Catálogo'!$A$2:$A$1567,0)),"código no encontrado"))</f>
        <v/>
      </c>
      <c r="D188" s="5">
        <f>IF($A188="","",IFERROR(INDEX('Catálogo'!$H$2:$H$1567,MATCH($A188,'Catálogo'!$A$2:$A$1567,0)),"código no encontrado"))</f>
        <v/>
      </c>
      <c r="E188" s="15" t="n"/>
      <c r="F188" s="10">
        <f>IF($A188="","",IFERROR(INDEX('Catálogo'!$N$2:$N$1567,MATCH($A188,'Catálogo'!$A$2:$A$1567,0)),"código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IF($A189="","",IFERROR(INDEX('Catálogo'!$D$2:$D$1567,MATCH($A189,'Catálogo'!$A$2:$A$1567,0)),"código no encontrado"))</f>
        <v/>
      </c>
      <c r="C189" s="5">
        <f>IF($A189="","",IFERROR(INDEX('Catálogo'!$E$2:$E$1567,MATCH($A189,'Catálogo'!$A$2:$A$1567,0)),"código no encontrado"))</f>
        <v/>
      </c>
      <c r="D189" s="5">
        <f>IF($A189="","",IFERROR(INDEX('Catálogo'!$H$2:$H$1567,MATCH($A189,'Catálogo'!$A$2:$A$1567,0)),"código no encontrado"))</f>
        <v/>
      </c>
      <c r="E189" s="15" t="n"/>
      <c r="F189" s="10">
        <f>IF($A189="","",IFERROR(INDEX('Catálogo'!$N$2:$N$1567,MATCH($A189,'Catálogo'!$A$2:$A$1567,0)),"código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IF($A190="","",IFERROR(INDEX('Catálogo'!$D$2:$D$1567,MATCH($A190,'Catálogo'!$A$2:$A$1567,0)),"código no encontrado"))</f>
        <v/>
      </c>
      <c r="C190" s="5">
        <f>IF($A190="","",IFERROR(INDEX('Catálogo'!$E$2:$E$1567,MATCH($A190,'Catálogo'!$A$2:$A$1567,0)),"código no encontrado"))</f>
        <v/>
      </c>
      <c r="D190" s="5">
        <f>IF($A190="","",IFERROR(INDEX('Catálogo'!$H$2:$H$1567,MATCH($A190,'Catálogo'!$A$2:$A$1567,0)),"código no encontrado"))</f>
        <v/>
      </c>
      <c r="E190" s="15" t="n"/>
      <c r="F190" s="10">
        <f>IF($A190="","",IFERROR(INDEX('Catálogo'!$N$2:$N$1567,MATCH($A190,'Catálogo'!$A$2:$A$1567,0)),"código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IF($A191="","",IFERROR(INDEX('Catálogo'!$D$2:$D$1567,MATCH($A191,'Catálogo'!$A$2:$A$1567,0)),"código no encontrado"))</f>
        <v/>
      </c>
      <c r="C191" s="5">
        <f>IF($A191="","",IFERROR(INDEX('Catálogo'!$E$2:$E$1567,MATCH($A191,'Catálogo'!$A$2:$A$1567,0)),"código no encontrado"))</f>
        <v/>
      </c>
      <c r="D191" s="5">
        <f>IF($A191="","",IFERROR(INDEX('Catálogo'!$H$2:$H$1567,MATCH($A191,'Catálogo'!$A$2:$A$1567,0)),"código no encontrado"))</f>
        <v/>
      </c>
      <c r="E191" s="15" t="n"/>
      <c r="F191" s="10">
        <f>IF($A191="","",IFERROR(INDEX('Catálogo'!$N$2:$N$1567,MATCH($A191,'Catálogo'!$A$2:$A$1567,0)),"código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IF($A192="","",IFERROR(INDEX('Catálogo'!$D$2:$D$1567,MATCH($A192,'Catálogo'!$A$2:$A$1567,0)),"código no encontrado"))</f>
        <v/>
      </c>
      <c r="C192" s="5">
        <f>IF($A192="","",IFERROR(INDEX('Catálogo'!$E$2:$E$1567,MATCH($A192,'Catálogo'!$A$2:$A$1567,0)),"código no encontrado"))</f>
        <v/>
      </c>
      <c r="D192" s="5">
        <f>IF($A192="","",IFERROR(INDEX('Catálogo'!$H$2:$H$1567,MATCH($A192,'Catálogo'!$A$2:$A$1567,0)),"código no encontrado"))</f>
        <v/>
      </c>
      <c r="E192" s="15" t="n"/>
      <c r="F192" s="10">
        <f>IF($A192="","",IFERROR(INDEX('Catálogo'!$N$2:$N$1567,MATCH($A192,'Catálogo'!$A$2:$A$1567,0)),"código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IF($A193="","",IFERROR(INDEX('Catálogo'!$D$2:$D$1567,MATCH($A193,'Catálogo'!$A$2:$A$1567,0)),"código no encontrado"))</f>
        <v/>
      </c>
      <c r="C193" s="5">
        <f>IF($A193="","",IFERROR(INDEX('Catálogo'!$E$2:$E$1567,MATCH($A193,'Catálogo'!$A$2:$A$1567,0)),"código no encontrado"))</f>
        <v/>
      </c>
      <c r="D193" s="5">
        <f>IF($A193="","",IFERROR(INDEX('Catálogo'!$H$2:$H$1567,MATCH($A193,'Catálogo'!$A$2:$A$1567,0)),"código no encontrado"))</f>
        <v/>
      </c>
      <c r="E193" s="15" t="n"/>
      <c r="F193" s="10">
        <f>IF($A193="","",IFERROR(INDEX('Catálogo'!$N$2:$N$1567,MATCH($A193,'Catálogo'!$A$2:$A$1567,0)),"código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IF($A194="","",IFERROR(INDEX('Catálogo'!$D$2:$D$1567,MATCH($A194,'Catálogo'!$A$2:$A$1567,0)),"código no encontrado"))</f>
        <v/>
      </c>
      <c r="C194" s="5">
        <f>IF($A194="","",IFERROR(INDEX('Catálogo'!$E$2:$E$1567,MATCH($A194,'Catálogo'!$A$2:$A$1567,0)),"código no encontrado"))</f>
        <v/>
      </c>
      <c r="D194" s="5">
        <f>IF($A194="","",IFERROR(INDEX('Catálogo'!$H$2:$H$1567,MATCH($A194,'Catálogo'!$A$2:$A$1567,0)),"código no encontrado"))</f>
        <v/>
      </c>
      <c r="E194" s="15" t="n"/>
      <c r="F194" s="10">
        <f>IF($A194="","",IFERROR(INDEX('Catálogo'!$N$2:$N$1567,MATCH($A194,'Catálogo'!$A$2:$A$1567,0)),"código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IF($A195="","",IFERROR(INDEX('Catálogo'!$D$2:$D$1567,MATCH($A195,'Catálogo'!$A$2:$A$1567,0)),"código no encontrado"))</f>
        <v/>
      </c>
      <c r="C195" s="5">
        <f>IF($A195="","",IFERROR(INDEX('Catálogo'!$E$2:$E$1567,MATCH($A195,'Catálogo'!$A$2:$A$1567,0)),"código no encontrado"))</f>
        <v/>
      </c>
      <c r="D195" s="5">
        <f>IF($A195="","",IFERROR(INDEX('Catálogo'!$H$2:$H$1567,MATCH($A195,'Catálogo'!$A$2:$A$1567,0)),"código no encontrado"))</f>
        <v/>
      </c>
      <c r="E195" s="15" t="n"/>
      <c r="F195" s="10">
        <f>IF($A195="","",IFERROR(INDEX('Catálogo'!$N$2:$N$1567,MATCH($A195,'Catálogo'!$A$2:$A$1567,0)),"código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IF($A196="","",IFERROR(INDEX('Catálogo'!$D$2:$D$1567,MATCH($A196,'Catálogo'!$A$2:$A$1567,0)),"código no encontrado"))</f>
        <v/>
      </c>
      <c r="C196" s="5">
        <f>IF($A196="","",IFERROR(INDEX('Catálogo'!$E$2:$E$1567,MATCH($A196,'Catálogo'!$A$2:$A$1567,0)),"código no encontrado"))</f>
        <v/>
      </c>
      <c r="D196" s="5">
        <f>IF($A196="","",IFERROR(INDEX('Catálogo'!$H$2:$H$1567,MATCH($A196,'Catálogo'!$A$2:$A$1567,0)),"código no encontrado"))</f>
        <v/>
      </c>
      <c r="E196" s="15" t="n"/>
      <c r="F196" s="10">
        <f>IF($A196="","",IFERROR(INDEX('Catálogo'!$N$2:$N$1567,MATCH($A196,'Catálogo'!$A$2:$A$1567,0)),"código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IF($A197="","",IFERROR(INDEX('Catálogo'!$D$2:$D$1567,MATCH($A197,'Catálogo'!$A$2:$A$1567,0)),"código no encontrado"))</f>
        <v/>
      </c>
      <c r="C197" s="5">
        <f>IF($A197="","",IFERROR(INDEX('Catálogo'!$E$2:$E$1567,MATCH($A197,'Catálogo'!$A$2:$A$1567,0)),"código no encontrado"))</f>
        <v/>
      </c>
      <c r="D197" s="5">
        <f>IF($A197="","",IFERROR(INDEX('Catálogo'!$H$2:$H$1567,MATCH($A197,'Catálogo'!$A$2:$A$1567,0)),"código no encontrado"))</f>
        <v/>
      </c>
      <c r="E197" s="15" t="n"/>
      <c r="F197" s="10">
        <f>IF($A197="","",IFERROR(INDEX('Catálogo'!$N$2:$N$1567,MATCH($A197,'Catálogo'!$A$2:$A$1567,0)),"código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IF($A198="","",IFERROR(INDEX('Catálogo'!$D$2:$D$1567,MATCH($A198,'Catálogo'!$A$2:$A$1567,0)),"código no encontrado"))</f>
        <v/>
      </c>
      <c r="C198" s="5">
        <f>IF($A198="","",IFERROR(INDEX('Catálogo'!$E$2:$E$1567,MATCH($A198,'Catálogo'!$A$2:$A$1567,0)),"código no encontrado"))</f>
        <v/>
      </c>
      <c r="D198" s="5">
        <f>IF($A198="","",IFERROR(INDEX('Catálogo'!$H$2:$H$1567,MATCH($A198,'Catálogo'!$A$2:$A$1567,0)),"código no encontrado"))</f>
        <v/>
      </c>
      <c r="E198" s="15" t="n"/>
      <c r="F198" s="10">
        <f>IF($A198="","",IFERROR(INDEX('Catálogo'!$N$2:$N$1567,MATCH($A198,'Catálogo'!$A$2:$A$1567,0)),"código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IF($A199="","",IFERROR(INDEX('Catálogo'!$D$2:$D$1567,MATCH($A199,'Catálogo'!$A$2:$A$1567,0)),"código no encontrado"))</f>
        <v/>
      </c>
      <c r="C199" s="5">
        <f>IF($A199="","",IFERROR(INDEX('Catálogo'!$E$2:$E$1567,MATCH($A199,'Catálogo'!$A$2:$A$1567,0)),"código no encontrado"))</f>
        <v/>
      </c>
      <c r="D199" s="5">
        <f>IF($A199="","",IFERROR(INDEX('Catálogo'!$H$2:$H$1567,MATCH($A199,'Catálogo'!$A$2:$A$1567,0)),"código no encontrado"))</f>
        <v/>
      </c>
      <c r="E199" s="15" t="n"/>
      <c r="F199" s="10">
        <f>IF($A199="","",IFERROR(INDEX('Catálogo'!$N$2:$N$1567,MATCH($A199,'Catálogo'!$A$2:$A$1567,0)),"código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IF($A200="","",IFERROR(INDEX('Catálogo'!$D$2:$D$1567,MATCH($A200,'Catálogo'!$A$2:$A$1567,0)),"código no encontrado"))</f>
        <v/>
      </c>
      <c r="C200" s="5">
        <f>IF($A200="","",IFERROR(INDEX('Catálogo'!$E$2:$E$1567,MATCH($A200,'Catálogo'!$A$2:$A$1567,0)),"código no encontrado"))</f>
        <v/>
      </c>
      <c r="D200" s="5">
        <f>IF($A200="","",IFERROR(INDEX('Catálogo'!$H$2:$H$1567,MATCH($A200,'Catálogo'!$A$2:$A$1567,0)),"código no encontrado"))</f>
        <v/>
      </c>
      <c r="E200" s="15" t="n"/>
      <c r="F200" s="10">
        <f>IF($A200="","",IFERROR(INDEX('Catálogo'!$N$2:$N$1567,MATCH($A200,'Catálogo'!$A$2:$A$1567,0)),"código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IF($A201="","",IFERROR(INDEX('Catálogo'!$D$2:$D$1567,MATCH($A201,'Catálogo'!$A$2:$A$1567,0)),"código no encontrado"))</f>
        <v/>
      </c>
      <c r="C201" s="5">
        <f>IF($A201="","",IFERROR(INDEX('Catálogo'!$E$2:$E$1567,MATCH($A201,'Catálogo'!$A$2:$A$1567,0)),"código no encontrado"))</f>
        <v/>
      </c>
      <c r="D201" s="5">
        <f>IF($A201="","",IFERROR(INDEX('Catálogo'!$H$2:$H$1567,MATCH($A201,'Catálogo'!$A$2:$A$1567,0)),"código no encontrado"))</f>
        <v/>
      </c>
      <c r="E201" s="15" t="n"/>
      <c r="F201" s="10">
        <f>IF($A201="","",IFERROR(INDEX('Catálogo'!$N$2:$N$1567,MATCH($A201,'Catálogo'!$A$2:$A$1567,0)),"código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IF($A202="","",IFERROR(INDEX('Catálogo'!$D$2:$D$1567,MATCH($A202,'Catálogo'!$A$2:$A$1567,0)),"código no encontrado"))</f>
        <v/>
      </c>
      <c r="C202" s="5">
        <f>IF($A202="","",IFERROR(INDEX('Catálogo'!$E$2:$E$1567,MATCH($A202,'Catálogo'!$A$2:$A$1567,0)),"código no encontrado"))</f>
        <v/>
      </c>
      <c r="D202" s="5">
        <f>IF($A202="","",IFERROR(INDEX('Catálogo'!$H$2:$H$1567,MATCH($A202,'Catálogo'!$A$2:$A$1567,0)),"código no encontrado"))</f>
        <v/>
      </c>
      <c r="E202" s="15" t="n"/>
      <c r="F202" s="10">
        <f>IF($A202="","",IFERROR(INDEX('Catálogo'!$N$2:$N$1567,MATCH($A202,'Catálogo'!$A$2:$A$1567,0)),"código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IF($A203="","",IFERROR(INDEX('Catálogo'!$D$2:$D$1567,MATCH($A203,'Catálogo'!$A$2:$A$1567,0)),"código no encontrado"))</f>
        <v/>
      </c>
      <c r="C203" s="5">
        <f>IF($A203="","",IFERROR(INDEX('Catálogo'!$E$2:$E$1567,MATCH($A203,'Catálogo'!$A$2:$A$1567,0)),"código no encontrado"))</f>
        <v/>
      </c>
      <c r="D203" s="5">
        <f>IF($A203="","",IFERROR(INDEX('Catálogo'!$H$2:$H$1567,MATCH($A203,'Catálogo'!$A$2:$A$1567,0)),"código no encontrado"))</f>
        <v/>
      </c>
      <c r="E203" s="15" t="n"/>
      <c r="F203" s="10">
        <f>IF($A203="","",IFERROR(INDEX('Catálogo'!$N$2:$N$1567,MATCH($A203,'Catálogo'!$A$2:$A$1567,0)),"código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IF($A204="","",IFERROR(INDEX('Catálogo'!$D$2:$D$1567,MATCH($A204,'Catálogo'!$A$2:$A$1567,0)),"código no encontrado"))</f>
        <v/>
      </c>
      <c r="C204" s="5">
        <f>IF($A204="","",IFERROR(INDEX('Catálogo'!$E$2:$E$1567,MATCH($A204,'Catálogo'!$A$2:$A$1567,0)),"código no encontrado"))</f>
        <v/>
      </c>
      <c r="D204" s="5">
        <f>IF($A204="","",IFERROR(INDEX('Catálogo'!$H$2:$H$1567,MATCH($A204,'Catálogo'!$A$2:$A$1567,0)),"código no encontrado"))</f>
        <v/>
      </c>
      <c r="E204" s="15" t="n"/>
      <c r="F204" s="10">
        <f>IF($A204="","",IFERROR(INDEX('Catálogo'!$N$2:$N$1567,MATCH($A204,'Catálogo'!$A$2:$A$1567,0)),"código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IF($A205="","",IFERROR(INDEX('Catálogo'!$D$2:$D$1567,MATCH($A205,'Catálogo'!$A$2:$A$1567,0)),"código no encontrado"))</f>
        <v/>
      </c>
      <c r="C205" s="5">
        <f>IF($A205="","",IFERROR(INDEX('Catálogo'!$E$2:$E$1567,MATCH($A205,'Catálogo'!$A$2:$A$1567,0)),"código no encontrado"))</f>
        <v/>
      </c>
      <c r="D205" s="5">
        <f>IF($A205="","",IFERROR(INDEX('Catálogo'!$H$2:$H$1567,MATCH($A205,'Catálogo'!$A$2:$A$1567,0)),"código no encontrado"))</f>
        <v/>
      </c>
      <c r="E205" s="15" t="n"/>
      <c r="F205" s="10">
        <f>IF($A205="","",IFERROR(INDEX('Catálogo'!$N$2:$N$1567,MATCH($A205,'Catálogo'!$A$2:$A$1567,0)),"código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IF($A206="","",IFERROR(INDEX('Catálogo'!$D$2:$D$1567,MATCH($A206,'Catálogo'!$A$2:$A$1567,0)),"código no encontrado"))</f>
        <v/>
      </c>
      <c r="C206" s="5">
        <f>IF($A206="","",IFERROR(INDEX('Catálogo'!$E$2:$E$1567,MATCH($A206,'Catálogo'!$A$2:$A$1567,0)),"código no encontrado"))</f>
        <v/>
      </c>
      <c r="D206" s="5">
        <f>IF($A206="","",IFERROR(INDEX('Catálogo'!$H$2:$H$1567,MATCH($A206,'Catálogo'!$A$2:$A$1567,0)),"código no encontrado"))</f>
        <v/>
      </c>
      <c r="E206" s="15" t="n"/>
      <c r="F206" s="10">
        <f>IF($A206="","",IFERROR(INDEX('Catálogo'!$N$2:$N$1567,MATCH($A206,'Catálogo'!$A$2:$A$1567,0)),"código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IF($A207="","",IFERROR(INDEX('Catálogo'!$D$2:$D$1567,MATCH($A207,'Catálogo'!$A$2:$A$1567,0)),"código no encontrado"))</f>
        <v/>
      </c>
      <c r="C207" s="5">
        <f>IF($A207="","",IFERROR(INDEX('Catálogo'!$E$2:$E$1567,MATCH($A207,'Catálogo'!$A$2:$A$1567,0)),"código no encontrado"))</f>
        <v/>
      </c>
      <c r="D207" s="5">
        <f>IF($A207="","",IFERROR(INDEX('Catálogo'!$H$2:$H$1567,MATCH($A207,'Catálogo'!$A$2:$A$1567,0)),"código no encontrado"))</f>
        <v/>
      </c>
      <c r="E207" s="15" t="n"/>
      <c r="F207" s="10">
        <f>IF($A207="","",IFERROR(INDEX('Catálogo'!$N$2:$N$1567,MATCH($A207,'Catálogo'!$A$2:$A$1567,0)),"código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IF($A208="","",IFERROR(INDEX('Catálogo'!$D$2:$D$1567,MATCH($A208,'Catálogo'!$A$2:$A$1567,0)),"código no encontrado"))</f>
        <v/>
      </c>
      <c r="C208" s="5">
        <f>IF($A208="","",IFERROR(INDEX('Catálogo'!$E$2:$E$1567,MATCH($A208,'Catálogo'!$A$2:$A$1567,0)),"código no encontrado"))</f>
        <v/>
      </c>
      <c r="D208" s="5">
        <f>IF($A208="","",IFERROR(INDEX('Catálogo'!$H$2:$H$1567,MATCH($A208,'Catálogo'!$A$2:$A$1567,0)),"código no encontrado"))</f>
        <v/>
      </c>
      <c r="E208" s="15" t="n"/>
      <c r="F208" s="10">
        <f>IF($A208="","",IFERROR(INDEX('Catálogo'!$N$2:$N$1567,MATCH($A208,'Catálogo'!$A$2:$A$1567,0)),"código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1273</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Ferretería Americana</t>
        </is>
      </c>
      <c r="B3" s="7" t="inlineStr">
        <is>
          <t>cadena</t>
        </is>
      </c>
      <c r="C3" s="7" t="inlineStr">
        <is>
          <t>detallista</t>
        </is>
      </c>
      <c r="D3" s="7" t="inlineStr">
        <is>
          <t>Sí</t>
        </is>
      </c>
      <c r="E3" s="7" t="inlineStr">
        <is>
          <t>Sí</t>
        </is>
      </c>
      <c r="F3" s="8" t="n">
        <v>0</v>
      </c>
      <c r="G3" s="5" t="inlineStr">
        <is>
          <t>Gran Santo Domingo</t>
        </is>
      </c>
      <c r="H3"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t>
        </is>
      </c>
      <c r="I3" s="7" t="inlineStr">
        <is>
          <t>ferreteriaamericana.com.do</t>
        </is>
      </c>
      <c r="J3" s="7" t="inlineStr"/>
      <c r="K3" s="7" t="inlineStr"/>
      <c r="L3" s="7" t="inlineStr"/>
      <c r="M3" s="5" t="inlineStr">
        <is>
          <t>Fundada en 1964, más de 70 años. Seis o más sucursales en el Gran Santo Domingo (JFK, Mella, San Martín, Máximo Gómez, Independencia, Maga Centro-SDE). Tienda en línea.</t>
        </is>
      </c>
    </row>
    <row r="4">
      <c r="A4" s="7" t="inlineStr">
        <is>
          <t>Ferremix (Grupo Alterra)</t>
        </is>
      </c>
      <c r="B4" s="7" t="inlineStr">
        <is>
          <t>cadena</t>
        </is>
      </c>
      <c r="C4" s="7" t="inlineStr">
        <is>
          <t>detallista</t>
        </is>
      </c>
      <c r="D4" s="7" t="inlineStr">
        <is>
          <t>Sí</t>
        </is>
      </c>
      <c r="E4" s="7" t="inlineStr">
        <is>
          <t>Sí</t>
        </is>
      </c>
      <c r="F4" s="8" t="n">
        <v>2</v>
      </c>
      <c r="G4" s="5" t="inlineStr">
        <is>
          <t>Gran Santo Domingo</t>
        </is>
      </c>
      <c r="H4" s="5" t="inlineStr">
        <is>
          <t>Cemento, morteros y aditivos, Acero de refuerzo y metales, Madera y encofrado, Pisos y revestimientos, Plomería, sanitarios y gas, Electricidad e iluminación, Pintura y acabados, Ferretería y fijaciones, Seguridad industrial y señalización</t>
        </is>
      </c>
      <c r="I4" s="7" t="inlineStr">
        <is>
          <t>ferremix.com.do</t>
        </is>
      </c>
      <c r="J4" s="7" t="inlineStr"/>
      <c r="K4" s="7" t="inlineStr">
        <is>
          <t>18295373000</t>
        </is>
      </c>
      <c r="L4" s="7" t="inlineStr">
        <is>
          <t>soporteweb@ferremix.com.do</t>
        </is>
      </c>
      <c r="M4" s="5" t="inlineStr">
        <is>
          <t>La cadena de mayor expansión reciente. Sucursales Villa Mella (849-507-0003) y Herrera (829-539-0078). Tienda en línea con precios en RD$.</t>
        </is>
      </c>
    </row>
    <row r="5">
      <c r="A5" s="7" t="inlineStr">
        <is>
          <t>InnovaCentro (La Innovación)</t>
        </is>
      </c>
      <c r="B5" s="7" t="inlineStr">
        <is>
          <t>cadena</t>
        </is>
      </c>
      <c r="C5" s="7" t="inlineStr">
        <is>
          <t>detallista</t>
        </is>
      </c>
      <c r="D5" s="7" t="inlineStr">
        <is>
          <t>Sí</t>
        </is>
      </c>
      <c r="E5" s="7" t="inlineStr">
        <is>
          <t>Sí</t>
        </is>
      </c>
      <c r="F5" s="8" t="n">
        <v>118</v>
      </c>
      <c r="G5" s="5" t="inlineStr">
        <is>
          <t>Cobertura nacional</t>
        </is>
      </c>
      <c r="H5" s="5" t="inlineStr">
        <is>
          <t>Cemento, morteros y aditivos, Pisos y revestimientos, Plomería, sanitarios y gas, Electricidad e iluminación, Pintura y acabados, Plafones y construcción liviana, Ferretería y fijaciones</t>
        </is>
      </c>
      <c r="I5" s="7" t="inlineStr">
        <is>
          <t>innovacentro.com.do</t>
        </is>
      </c>
      <c r="J5" s="7" t="inlineStr"/>
      <c r="K5" s="7" t="inlineStr"/>
      <c r="L5" s="7" t="inlineStr"/>
      <c r="M5" s="5" t="inlineStr">
        <is>
          <t>Catálogo en línea con marcas y precios. Maneja Truper, Foset, Total, Pedrollo y Tangit.</t>
        </is>
      </c>
    </row>
    <row r="6">
      <c r="A6" s="7" t="inlineStr">
        <is>
          <t>Plaza Lama</t>
        </is>
      </c>
      <c r="B6" s="7" t="inlineStr">
        <is>
          <t>cadena</t>
        </is>
      </c>
      <c r="C6" s="7" t="inlineStr">
        <is>
          <t>detallista</t>
        </is>
      </c>
      <c r="D6" s="7" t="inlineStr">
        <is>
          <t>Sí</t>
        </is>
      </c>
      <c r="E6" s="7" t="inlineStr">
        <is>
          <t>Sí</t>
        </is>
      </c>
      <c r="F6" s="8" t="n">
        <v>0</v>
      </c>
      <c r="G6" s="5" t="inlineStr">
        <is>
          <t>Cobertura nacional</t>
        </is>
      </c>
      <c r="H6" s="5" t="inlineStr">
        <is>
          <t>Pisos y revestimientos, Electricidad e iluminación, Pintura y acabados, Ferretería y fijaciones</t>
        </is>
      </c>
      <c r="I6" s="7" t="inlineStr">
        <is>
          <t>plazalama.com.do</t>
        </is>
      </c>
      <c r="J6" s="7" t="inlineStr"/>
      <c r="K6" s="7" t="inlineStr"/>
      <c r="L6" s="7" t="inlineStr"/>
      <c r="M6" s="5" t="inlineStr">
        <is>
          <t>Tienda por departamentos con área de ferretería, pintura y eléctricos, y tienda en línea.</t>
        </is>
      </c>
    </row>
    <row r="7">
      <c r="A7" s="7" t="inlineStr">
        <is>
          <t>Ferretería MC</t>
        </is>
      </c>
      <c r="B7" s="7" t="inlineStr">
        <is>
          <t>cadena</t>
        </is>
      </c>
      <c r="C7" s="7" t="inlineStr">
        <is>
          <t>detallista</t>
        </is>
      </c>
      <c r="D7" s="7" t="inlineStr">
        <is>
          <t>Sí</t>
        </is>
      </c>
      <c r="E7" s="7" t="inlineStr">
        <is>
          <t>Sí</t>
        </is>
      </c>
      <c r="F7" s="8" t="n">
        <v>0</v>
      </c>
      <c r="G7" s="5" t="inlineStr">
        <is>
          <t>Gran Santo Domingo</t>
        </is>
      </c>
      <c r="H7" s="5" t="inlineStr">
        <is>
          <t>Cemento, morteros y aditivos, Pisos y revestimientos, Plomería, sanitarios y gas, Electricidad e iluminación, Pintura y acabados, Ferretería y fijaciones</t>
        </is>
      </c>
      <c r="I7" s="7" t="inlineStr">
        <is>
          <t>mc.com.do</t>
        </is>
      </c>
      <c r="J7" s="7" t="inlineStr"/>
      <c r="K7" s="7" t="inlineStr"/>
      <c r="L7" s="7" t="inlineStr"/>
      <c r="M7" s="5" t="inlineStr">
        <is>
          <t>Catálogo con carrito de compras. Departamento de terminación: cerámica de piso y pared, porcelanato y molduras.</t>
        </is>
      </c>
    </row>
    <row r="8">
      <c r="A8" s="7" t="inlineStr">
        <is>
          <t>Ferretería Gigante</t>
        </is>
      </c>
      <c r="B8" s="7" t="inlineStr">
        <is>
          <t>cadena</t>
        </is>
      </c>
      <c r="C8" s="7" t="inlineStr">
        <is>
          <t>detallista</t>
        </is>
      </c>
      <c r="D8" s="7" t="inlineStr">
        <is>
          <t>Sí</t>
        </is>
      </c>
      <c r="E8" s="7" t="inlineStr">
        <is>
          <t>Sí</t>
        </is>
      </c>
      <c r="F8" s="8" t="n">
        <v>0</v>
      </c>
      <c r="G8" s="5" t="inlineStr">
        <is>
          <t>Gran Santo Domingo</t>
        </is>
      </c>
      <c r="H8" s="5" t="inlineStr">
        <is>
          <t>Agregados y áridos, Madera y encofrado, Pisos y revestimientos, Plomería, sanitarios y gas, Electricidad e iluminación, Pintura y acabados, Ferretería y fijaciones</t>
        </is>
      </c>
      <c r="I8" s="7" t="inlineStr">
        <is>
          <t>ferreteriagigante.com</t>
        </is>
      </c>
      <c r="J8" s="7" t="inlineStr"/>
      <c r="K8" s="7" t="inlineStr">
        <is>
          <t>18298841828</t>
        </is>
      </c>
      <c r="L8" s="7" t="inlineStr"/>
      <c r="M8" s="5" t="inlineStr">
        <is>
          <t>Precios en línea. Cotiza por WhatsApp.</t>
        </is>
      </c>
    </row>
    <row r="9">
      <c r="A9" s="7" t="inlineStr">
        <is>
          <t>Almacenes Unidos</t>
        </is>
      </c>
      <c r="B9" s="7" t="inlineStr">
        <is>
          <t>cadena</t>
        </is>
      </c>
      <c r="C9" s="7" t="inlineStr">
        <is>
          <t>detallista</t>
        </is>
      </c>
      <c r="D9" s="7" t="inlineStr">
        <is>
          <t>Sí</t>
        </is>
      </c>
      <c r="E9" s="7" t="inlineStr">
        <is>
          <t>No</t>
        </is>
      </c>
      <c r="F9" s="8" t="n">
        <v>0</v>
      </c>
      <c r="G9" s="5" t="inlineStr">
        <is>
          <t>Gran Santo Domingo, Este (Punta Cana, La Romana)</t>
        </is>
      </c>
      <c r="H9" s="5" t="inlineStr">
        <is>
          <t>Techos e impermeabilización, Plomería, sanitarios y gas, Pintura y acabados, Ferretería y fijaciones</t>
        </is>
      </c>
      <c r="I9" s="7" t="inlineStr">
        <is>
          <t>unidosrd.com</t>
        </is>
      </c>
      <c r="J9" s="7" t="inlineStr">
        <is>
          <t>809-472-6911</t>
        </is>
      </c>
      <c r="K9" s="7" t="inlineStr"/>
      <c r="L9" s="7" t="inlineStr">
        <is>
          <t>info@almacenesunidos.net</t>
        </is>
      </c>
      <c r="M9" s="5" t="inlineStr">
        <is>
          <t>Fundada en 1964, origen mayorista ferretero. Tiendas en Av. J.F. Kennedy esq. Winston Churchill, Av. Sarasota esq. Pedro A. Bobea (Bella Vista) y Punta Cana. Acepta solicitudes de cotización por WhatsApp o con un vendedor, sin visitar tienda.</t>
        </is>
      </c>
    </row>
    <row r="10">
      <c r="A10" s="7" t="inlineStr">
        <is>
          <t>Ferretería Bellón</t>
        </is>
      </c>
      <c r="B10" s="7" t="inlineStr">
        <is>
          <t>cadena</t>
        </is>
      </c>
      <c r="C10" s="7" t="inlineStr">
        <is>
          <t>detallista</t>
        </is>
      </c>
      <c r="D10" s="7" t="inlineStr">
        <is>
          <t>Sí</t>
        </is>
      </c>
      <c r="E10" s="7" t="inlineStr">
        <is>
          <t>No</t>
        </is>
      </c>
      <c r="F10" s="8" t="n">
        <v>0</v>
      </c>
      <c r="G10" s="5" t="inlineStr">
        <is>
          <t>Gran Santo Domingo</t>
        </is>
      </c>
      <c r="H10" s="5" t="inlineStr">
        <is>
          <t>Plomería, sanitarios y gas, Electricidad e iluminación, Pintura y acabados, Ferretería y fijaciones</t>
        </is>
      </c>
      <c r="I10" s="7" t="inlineStr"/>
      <c r="J10" s="7" t="inlineStr"/>
      <c r="K10" s="7" t="inlineStr"/>
      <c r="L10" s="7" t="inlineStr"/>
      <c r="M10" s="5" t="inlineStr">
        <is>
          <t>Cadena familiar consolidada, multicategoría. Datos de contacto no verificados públicamente.</t>
        </is>
      </c>
    </row>
    <row r="11">
      <c r="A11" s="7" t="inlineStr">
        <is>
          <t>Ferretería Haché</t>
        </is>
      </c>
      <c r="B11" s="7" t="inlineStr">
        <is>
          <t>cadena</t>
        </is>
      </c>
      <c r="C11" s="7" t="inlineStr">
        <is>
          <t>detallista</t>
        </is>
      </c>
      <c r="D11" s="7" t="inlineStr">
        <is>
          <t>Sí</t>
        </is>
      </c>
      <c r="E11" s="7" t="inlineStr">
        <is>
          <t>No</t>
        </is>
      </c>
      <c r="F11" s="8" t="n">
        <v>0</v>
      </c>
      <c r="G11" s="5" t="inlineStr">
        <is>
          <t>Gran Santo Domingo, Santiago / Cibao</t>
        </is>
      </c>
      <c r="H11" s="5" t="inlineStr">
        <is>
          <t>Plomería, sanitarios y gas, Electricidad e iluminación, Pintura y acabados, Ferretería y fijaciones</t>
        </is>
      </c>
      <c r="I11" s="7" t="inlineStr"/>
      <c r="J11" s="7" t="inlineStr"/>
      <c r="K11" s="7" t="inlineStr"/>
      <c r="L11" s="7" t="inlineStr"/>
      <c r="M11" s="5" t="inlineStr">
        <is>
          <t>Cadena multicategoría con presencia en Santiago y la capital. Datos de contacto no verificados públicamente.</t>
        </is>
      </c>
    </row>
    <row r="12">
      <c r="A12" s="7" t="inlineStr">
        <is>
          <t>Würth Dominicana</t>
        </is>
      </c>
      <c r="B12" s="7" t="inlineStr">
        <is>
          <t>distribuidor</t>
        </is>
      </c>
      <c r="C12" s="7" t="inlineStr">
        <is>
          <t>mayorista</t>
        </is>
      </c>
      <c r="D12" s="7" t="inlineStr">
        <is>
          <t>Sí</t>
        </is>
      </c>
      <c r="E12" s="7" t="inlineStr">
        <is>
          <t>Sí</t>
        </is>
      </c>
      <c r="F12" s="8" t="n">
        <v>0</v>
      </c>
      <c r="G12" s="5" t="inlineStr">
        <is>
          <t>Cobertura nacional</t>
        </is>
      </c>
      <c r="H12" s="5" t="inlineStr">
        <is>
          <t>Ferretería y fijaciones, Seguridad industrial y señalización</t>
        </is>
      </c>
      <c r="I12" s="7" t="inlineStr">
        <is>
          <t>wurth.com.do</t>
        </is>
      </c>
      <c r="J12" s="7" t="inlineStr">
        <is>
          <t>809-562-7777</t>
        </is>
      </c>
      <c r="K12" s="7" t="inlineStr"/>
      <c r="L12" s="7" t="inlineStr"/>
      <c r="M12" s="5" t="inlineStr">
        <is>
          <t>Proveedor premium de fijaciones y consumibles industriales, con tienda en línea. También maneja línea de EPP.</t>
        </is>
      </c>
    </row>
    <row r="13">
      <c r="A13" s="7" t="inlineStr">
        <is>
          <t>Agregados Comerciales (by Consthera)</t>
        </is>
      </c>
      <c r="B13" s="7" t="inlineStr">
        <is>
          <t>fabricante</t>
        </is>
      </c>
      <c r="C13" s="7" t="inlineStr">
        <is>
          <t>fabricante</t>
        </is>
      </c>
      <c r="D13" s="7" t="inlineStr">
        <is>
          <t>Sí</t>
        </is>
      </c>
      <c r="E13" s="7" t="inlineStr">
        <is>
          <t>No</t>
        </is>
      </c>
      <c r="F13" s="8" t="n">
        <v>0</v>
      </c>
      <c r="G13" s="5" t="inlineStr">
        <is>
          <t>Gran Santo Domingo, Este (Punta Cana, La Romana)</t>
        </is>
      </c>
      <c r="H13" s="5" t="inlineStr">
        <is>
          <t>Agregados y áridos</t>
        </is>
      </c>
      <c r="I13" s="7" t="inlineStr">
        <is>
          <t>agregadoscomerciales.com</t>
        </is>
      </c>
      <c r="J13" s="7" t="inlineStr"/>
      <c r="K13" s="7" t="inlineStr"/>
      <c r="L13" s="7" t="inlineStr"/>
      <c r="M13" s="5" t="inlineStr">
        <is>
          <t>Agregados basálticos (grava 3/4" y 1/2", arena, gravilla) según ASTM C-33, con capacidad de hasta 80,000 m³ mensuales. Contacto vía formulario web; teléfono directo no verificado públicamente.</t>
        </is>
      </c>
    </row>
    <row r="14">
      <c r="A14" s="7" t="inlineStr">
        <is>
          <t>Arenas y Gravas Santo Domingo</t>
        </is>
      </c>
      <c r="B14" s="7" t="inlineStr">
        <is>
          <t>fabricante</t>
        </is>
      </c>
      <c r="C14" s="7" t="inlineStr">
        <is>
          <t>fabricante</t>
        </is>
      </c>
      <c r="D14" s="7" t="inlineStr">
        <is>
          <t>Sí</t>
        </is>
      </c>
      <c r="E14" s="7" t="inlineStr">
        <is>
          <t>No</t>
        </is>
      </c>
      <c r="F14" s="8" t="n">
        <v>0</v>
      </c>
      <c r="G14" s="5" t="inlineStr">
        <is>
          <t>Gran Santo Domingo</t>
        </is>
      </c>
      <c r="H14" s="5" t="inlineStr">
        <is>
          <t>Agregados y áridos</t>
        </is>
      </c>
      <c r="I14" s="7" t="inlineStr">
        <is>
          <t>arenasygravassantodomingo.com</t>
        </is>
      </c>
      <c r="J14" s="7" t="inlineStr"/>
      <c r="K14" s="7" t="inlineStr"/>
      <c r="L14" s="7" t="inlineStr"/>
      <c r="M14" s="5" t="inlineStr">
        <is>
          <t>Arena, grava y transporte propio (mulas, volquetas, cargador). Enfoque en entregas a obra.</t>
        </is>
      </c>
    </row>
    <row r="15">
      <c r="A15" s="7" t="inlineStr">
        <is>
          <t>AgreAtlántico (Hormigones del Atlántico)</t>
        </is>
      </c>
      <c r="B15" s="7" t="inlineStr">
        <is>
          <t>fabricante</t>
        </is>
      </c>
      <c r="C15" s="7" t="inlineStr">
        <is>
          <t>fabricante</t>
        </is>
      </c>
      <c r="D15" s="7" t="inlineStr">
        <is>
          <t>Sí</t>
        </is>
      </c>
      <c r="E15" s="7" t="inlineStr">
        <is>
          <t>No</t>
        </is>
      </c>
      <c r="F15" s="8" t="n">
        <v>0</v>
      </c>
      <c r="G15" s="5" t="inlineStr">
        <is>
          <t>Santiago / Cibao</t>
        </is>
      </c>
      <c r="H15" s="5" t="inlineStr">
        <is>
          <t>Agregados y áridos, Hormigón premezclado</t>
        </is>
      </c>
      <c r="I15" s="7" t="inlineStr"/>
      <c r="J15" s="7" t="inlineStr"/>
      <c r="K15" s="7" t="inlineStr"/>
      <c r="L15" s="7" t="inlineStr"/>
      <c r="M15" s="5" t="inlineStr">
        <is>
          <t>División industrial de explotación de canteras y producción de agregados. Cobertura regional.</t>
        </is>
      </c>
    </row>
    <row r="16">
      <c r="A16" s="7" t="inlineStr">
        <is>
          <t>Bluewave Agregados</t>
        </is>
      </c>
      <c r="B16" s="7" t="inlineStr">
        <is>
          <t>fabricante</t>
        </is>
      </c>
      <c r="C16" s="7" t="inlineStr">
        <is>
          <t>fabricante</t>
        </is>
      </c>
      <c r="D16" s="7" t="inlineStr">
        <is>
          <t>Sí</t>
        </is>
      </c>
      <c r="E16" s="7" t="inlineStr">
        <is>
          <t>No</t>
        </is>
      </c>
      <c r="F16" s="8" t="n">
        <v>0</v>
      </c>
      <c r="G16" s="5" t="inlineStr">
        <is>
          <t>Este (Punta Cana, La Romana)</t>
        </is>
      </c>
      <c r="H16" s="5" t="inlineStr">
        <is>
          <t>Agregados y áridos</t>
        </is>
      </c>
      <c r="I16" s="7" t="inlineStr"/>
      <c r="J16" s="7" t="inlineStr"/>
      <c r="K16" s="7" t="inlineStr"/>
      <c r="L16" s="7" t="inlineStr"/>
      <c r="M16" s="5" t="inlineStr">
        <is>
          <t>Planta en Punta Cana. Arena triturada, grava, gravilla, base/sub-base y roca de voladura.</t>
        </is>
      </c>
    </row>
    <row r="17">
      <c r="A17" s="7" t="inlineStr">
        <is>
          <t>Minería &amp; Construcciones</t>
        </is>
      </c>
      <c r="B17" s="7" t="inlineStr">
        <is>
          <t>fabricante</t>
        </is>
      </c>
      <c r="C17" s="7" t="inlineStr">
        <is>
          <t>fabricante</t>
        </is>
      </c>
      <c r="D17" s="7" t="inlineStr">
        <is>
          <t>Sí</t>
        </is>
      </c>
      <c r="E17" s="7" t="inlineStr">
        <is>
          <t>No</t>
        </is>
      </c>
      <c r="F17" s="8" t="n">
        <v>0</v>
      </c>
      <c r="G17" s="5" t="inlineStr">
        <is>
          <t>Santiago / Cibao</t>
        </is>
      </c>
      <c r="H17" s="5" t="inlineStr">
        <is>
          <t>Agregados y áridos</t>
        </is>
      </c>
      <c r="I17" s="7" t="inlineStr"/>
      <c r="J17" s="7" t="inlineStr"/>
      <c r="K17" s="7" t="inlineStr"/>
      <c r="L17" s="7" t="inlineStr"/>
      <c r="M17" s="5" t="inlineStr">
        <is>
          <t>Productor con sede en Santiago. Agregados para hormigón hidráulico y asfáltico, base y sub-base para carreteras.</t>
        </is>
      </c>
    </row>
    <row r="18">
      <c r="A18" s="7" t="inlineStr">
        <is>
          <t>Cemex Dominicana</t>
        </is>
      </c>
      <c r="B18" s="7" t="inlineStr">
        <is>
          <t>fabricante</t>
        </is>
      </c>
      <c r="C18" s="7" t="inlineStr">
        <is>
          <t>fabricante</t>
        </is>
      </c>
      <c r="D18" s="7" t="inlineStr">
        <is>
          <t>No</t>
        </is>
      </c>
      <c r="E18" s="7" t="inlineStr">
        <is>
          <t>No</t>
        </is>
      </c>
      <c r="F18" s="8" t="n">
        <v>0</v>
      </c>
      <c r="G18" s="5" t="inlineStr">
        <is>
          <t>Cobertura nacional</t>
        </is>
      </c>
      <c r="H18" s="5" t="inlineStr">
        <is>
          <t>Cemento, morteros y aditivos, Hormigón premezclado</t>
        </is>
      </c>
      <c r="I18" s="7" t="inlineStr">
        <is>
          <t>cemexdominicana.com</t>
        </is>
      </c>
      <c r="J18" s="7" t="inlineStr"/>
      <c r="K18" s="7" t="inlineStr"/>
      <c r="L18" s="7" t="inlineStr"/>
      <c r="M18"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19">
      <c r="A19" s="7" t="inlineStr">
        <is>
          <t>Cementos Cibao</t>
        </is>
      </c>
      <c r="B19" s="7" t="inlineStr">
        <is>
          <t>fabricante</t>
        </is>
      </c>
      <c r="C19" s="7" t="inlineStr">
        <is>
          <t>fabricante</t>
        </is>
      </c>
      <c r="D19" s="7" t="inlineStr">
        <is>
          <t>No</t>
        </is>
      </c>
      <c r="E19" s="7" t="inlineStr">
        <is>
          <t>No</t>
        </is>
      </c>
      <c r="F19" s="8" t="n">
        <v>0</v>
      </c>
      <c r="G19" s="5" t="inlineStr">
        <is>
          <t>Santiago / Cibao, Cobertura nacional</t>
        </is>
      </c>
      <c r="H19" s="5" t="inlineStr">
        <is>
          <t>Cemento, morteros y aditivos, Hormigón premezclado, Bloques y prefabricados</t>
        </is>
      </c>
      <c r="I19" s="7" t="inlineStr">
        <is>
          <t>cementoscibao.com</t>
        </is>
      </c>
      <c r="J19" s="7" t="inlineStr"/>
      <c r="K19" s="7" t="inlineStr"/>
      <c r="L19" s="7" t="inlineStr"/>
      <c r="M19"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0">
      <c r="A20" s="7" t="inlineStr">
        <is>
          <t>Domicem</t>
        </is>
      </c>
      <c r="B20" s="7" t="inlineStr">
        <is>
          <t>fabricante</t>
        </is>
      </c>
      <c r="C20" s="7" t="inlineStr">
        <is>
          <t>fabricante</t>
        </is>
      </c>
      <c r="D20" s="7" t="inlineStr">
        <is>
          <t>No</t>
        </is>
      </c>
      <c r="E20" s="7" t="inlineStr">
        <is>
          <t>No</t>
        </is>
      </c>
      <c r="F20" s="8" t="n">
        <v>0</v>
      </c>
      <c r="G20" s="5" t="inlineStr">
        <is>
          <t>Cobertura nacional</t>
        </is>
      </c>
      <c r="H20" s="5" t="inlineStr">
        <is>
          <t>Cemento, morteros y aditivos</t>
        </is>
      </c>
      <c r="I20" s="7" t="inlineStr"/>
      <c r="J20" s="7" t="inlineStr"/>
      <c r="K20" s="7" t="inlineStr"/>
      <c r="L20" s="7" t="inlineStr"/>
      <c r="M20" s="5" t="inlineStr">
        <is>
          <t>Planta en Sabana Grande de Palenque, San Cristóbal. Tras su segunda línea (22 nov 2023, US$130M) alcanzó más de 2.1 millones de TM de clínker y casi 3 millones de TM de cemento anuales. Del grupo italiano Colacem.</t>
        </is>
      </c>
    </row>
    <row r="21">
      <c r="A21" s="7" t="inlineStr">
        <is>
          <t>Argos Dominicana</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Capital colombiano. Planta en Nigua, San Cristóbal. Anteriormente Cemento Colón.</t>
        </is>
      </c>
    </row>
    <row r="22">
      <c r="A22" s="7" t="inlineStr">
        <is>
          <t>Sika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 Techos e impermeabilización, Pintura y acabados</t>
        </is>
      </c>
      <c r="I22" s="7" t="inlineStr">
        <is>
          <t>dom.sika.com</t>
        </is>
      </c>
      <c r="J22" s="7" t="inlineStr"/>
      <c r="K22" s="7" t="inlineStr"/>
      <c r="L22" s="7" t="inlineStr"/>
      <c r="M22" s="5" t="inlineStr">
        <is>
          <t>Aditivos, morteros técnicos, pegamentos, impermeabilizantes y recubrimientos. Amplia red de distribuidores.</t>
        </is>
      </c>
    </row>
    <row r="23">
      <c r="A23" s="7" t="inlineStr">
        <is>
          <t>Concretos Tecnológicos</t>
        </is>
      </c>
      <c r="B23" s="7" t="inlineStr">
        <is>
          <t>fabricante</t>
        </is>
      </c>
      <c r="C23" s="7" t="inlineStr">
        <is>
          <t>fabricante</t>
        </is>
      </c>
      <c r="D23" s="7" t="inlineStr">
        <is>
          <t>Sí</t>
        </is>
      </c>
      <c r="E23" s="7" t="inlineStr">
        <is>
          <t>No</t>
        </is>
      </c>
      <c r="F23" s="8" t="n">
        <v>0</v>
      </c>
      <c r="G23" s="5" t="inlineStr">
        <is>
          <t>Cobertura nacional</t>
        </is>
      </c>
      <c r="H23" s="5" t="inlineStr">
        <is>
          <t>Hormigón premezclado</t>
        </is>
      </c>
      <c r="I23" s="7" t="inlineStr">
        <is>
          <t>concretostecnologicos.com</t>
        </is>
      </c>
      <c r="J23" s="7" t="inlineStr"/>
      <c r="K23" s="7" t="inlineStr"/>
      <c r="L23" s="7" t="inlineStr"/>
      <c r="M23" s="5" t="inlineStr">
        <is>
          <t>Despacho directo a obra en todo el país. Resistencias F'c 210-350 kg/cm², servicio de bombeo y calidad NORDOM. Cotiza por WhatsApp.</t>
        </is>
      </c>
    </row>
    <row r="24">
      <c r="A24" s="7" t="inlineStr">
        <is>
          <t>Hormigones del Atlántico</t>
        </is>
      </c>
      <c r="B24" s="7" t="inlineStr">
        <is>
          <t>fabricante</t>
        </is>
      </c>
      <c r="C24" s="7" t="inlineStr">
        <is>
          <t>fabricante</t>
        </is>
      </c>
      <c r="D24" s="7" t="inlineStr">
        <is>
          <t>Sí</t>
        </is>
      </c>
      <c r="E24" s="7" t="inlineStr">
        <is>
          <t>No</t>
        </is>
      </c>
      <c r="F24" s="8" t="n">
        <v>0</v>
      </c>
      <c r="G24" s="5" t="inlineStr">
        <is>
          <t>Santiago / Cibao</t>
        </is>
      </c>
      <c r="H24" s="5" t="inlineStr">
        <is>
          <t>Agregados y áridos, Hormigón premezclado</t>
        </is>
      </c>
      <c r="I24" s="7" t="inlineStr"/>
      <c r="J24" s="7" t="inlineStr"/>
      <c r="K24" s="7" t="inlineStr"/>
      <c r="L24" s="7" t="inlineStr"/>
      <c r="M24" s="5" t="inlineStr">
        <is>
          <t>Productor de hormigón y agregados con cobertura regional.</t>
        </is>
      </c>
    </row>
    <row r="25">
      <c r="A25" s="7" t="inlineStr">
        <is>
          <t>Gerdau Metaldom</t>
        </is>
      </c>
      <c r="B25" s="7" t="inlineStr">
        <is>
          <t>fabricante</t>
        </is>
      </c>
      <c r="C25" s="7" t="inlineStr">
        <is>
          <t>fabricante</t>
        </is>
      </c>
      <c r="D25" s="7" t="inlineStr">
        <is>
          <t>No</t>
        </is>
      </c>
      <c r="E25" s="7" t="inlineStr">
        <is>
          <t>Sí</t>
        </is>
      </c>
      <c r="F25" s="8" t="n">
        <v>0</v>
      </c>
      <c r="G25" s="5" t="inlineStr">
        <is>
          <t>Cobertura nacional</t>
        </is>
      </c>
      <c r="H25" s="5" t="inlineStr">
        <is>
          <t>Acero de refuerzo y metales</t>
        </is>
      </c>
      <c r="I25" s="7" t="inlineStr">
        <is>
          <t>metaldom.com</t>
        </is>
      </c>
      <c r="J25" s="7" t="inlineStr"/>
      <c r="K25" s="7" t="inlineStr"/>
      <c r="L25" s="7" t="inlineStr"/>
      <c r="M25"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6">
      <c r="A26" s="7" t="inlineStr">
        <is>
          <t>CORVI</t>
        </is>
      </c>
      <c r="B26" s="7" t="inlineStr">
        <is>
          <t>fabricante</t>
        </is>
      </c>
      <c r="C26" s="7" t="inlineStr">
        <is>
          <t>fabricante</t>
        </is>
      </c>
      <c r="D26" s="7" t="inlineStr">
        <is>
          <t>No</t>
        </is>
      </c>
      <c r="E26" s="7" t="inlineStr">
        <is>
          <t>No</t>
        </is>
      </c>
      <c r="F26" s="8" t="n">
        <v>0</v>
      </c>
      <c r="G26" s="5" t="inlineStr">
        <is>
          <t>Cobertura nacional</t>
        </is>
      </c>
      <c r="H26" s="5" t="inlineStr">
        <is>
          <t>Acero de refuerzo y metales, Plomería, sanitarios y gas</t>
        </is>
      </c>
      <c r="I26" s="7" t="inlineStr">
        <is>
          <t>corvi.do</t>
        </is>
      </c>
      <c r="J26" s="7" t="inlineStr"/>
      <c r="K26" s="7" t="inlineStr"/>
      <c r="L26" s="7" t="inlineStr"/>
      <c r="M26" s="5" t="inlineStr">
        <is>
          <t>Más de 20 años. Tubosistemas y productos derivados del alambrón de acero, además de tubería PVC, polipropileno y polietileno.</t>
        </is>
      </c>
    </row>
    <row r="27">
      <c r="A27" s="7" t="inlineStr">
        <is>
          <t>Prefhorvisa Dominicana</t>
        </is>
      </c>
      <c r="B27" s="7" t="inlineStr">
        <is>
          <t>fabricante</t>
        </is>
      </c>
      <c r="C27" s="7" t="inlineStr">
        <is>
          <t>fabricante</t>
        </is>
      </c>
      <c r="D27" s="7" t="inlineStr">
        <is>
          <t>Sí</t>
        </is>
      </c>
      <c r="E27" s="7" t="inlineStr">
        <is>
          <t>No</t>
        </is>
      </c>
      <c r="F27" s="8" t="n">
        <v>0</v>
      </c>
      <c r="G27" s="5" t="inlineStr">
        <is>
          <t>Sur</t>
        </is>
      </c>
      <c r="H27" s="5" t="inlineStr">
        <is>
          <t>Bloques y prefabricados</t>
        </is>
      </c>
      <c r="I27" s="7" t="inlineStr">
        <is>
          <t>prefhorvisard.com</t>
        </is>
      </c>
      <c r="J27" s="7" t="inlineStr"/>
      <c r="K27" s="7" t="inlineStr"/>
      <c r="L27" s="7" t="inlineStr"/>
      <c r="M27" s="5" t="inlineStr">
        <is>
          <t>Matriz española, planta en Baní (Peravia). Blocks de concreto con maquinaria Besser, norma ASTM/UNE. Vende a ferreterías, constructoras y particulares.</t>
        </is>
      </c>
    </row>
    <row r="28">
      <c r="A28" s="7" t="inlineStr">
        <is>
          <t>SANMA</t>
        </is>
      </c>
      <c r="B28" s="7" t="inlineStr">
        <is>
          <t>fabricante</t>
        </is>
      </c>
      <c r="C28" s="7" t="inlineStr">
        <is>
          <t>fabricante</t>
        </is>
      </c>
      <c r="D28" s="7" t="inlineStr">
        <is>
          <t>Sí</t>
        </is>
      </c>
      <c r="E28" s="7" t="inlineStr">
        <is>
          <t>No</t>
        </is>
      </c>
      <c r="F28" s="8" t="n">
        <v>0</v>
      </c>
      <c r="G28" s="5" t="inlineStr">
        <is>
          <t>Cobertura nacional</t>
        </is>
      </c>
      <c r="H28" s="5" t="inlineStr">
        <is>
          <t>Bloques y prefabricados</t>
        </is>
      </c>
      <c r="I28" s="7" t="inlineStr">
        <is>
          <t>sanmard.com</t>
        </is>
      </c>
      <c r="J28" s="7" t="inlineStr"/>
      <c r="K28" s="7" t="inlineStr"/>
      <c r="L28" s="7" t="inlineStr"/>
      <c r="M28" s="5" t="inlineStr">
        <is>
          <t>Especializado en prefabricados estructurales de concreto, con experiencia europea.</t>
        </is>
      </c>
    </row>
    <row r="29">
      <c r="A29" s="7" t="inlineStr">
        <is>
          <t>Grupo Ventmar</t>
        </is>
      </c>
      <c r="B29" s="7" t="inlineStr">
        <is>
          <t>fabricante</t>
        </is>
      </c>
      <c r="C29" s="7" t="inlineStr">
        <is>
          <t>fabricante</t>
        </is>
      </c>
      <c r="D29" s="7" t="inlineStr">
        <is>
          <t>Sí</t>
        </is>
      </c>
      <c r="E29" s="7" t="inlineStr">
        <is>
          <t>No</t>
        </is>
      </c>
      <c r="F29" s="8" t="n">
        <v>0</v>
      </c>
      <c r="G29" s="5" t="inlineStr">
        <is>
          <t>Sur</t>
        </is>
      </c>
      <c r="H29" s="5" t="inlineStr">
        <is>
          <t>Bloques y prefabricados</t>
        </is>
      </c>
      <c r="I29" s="7" t="inlineStr">
        <is>
          <t>ventmar.com.do</t>
        </is>
      </c>
      <c r="J29" s="7" t="inlineStr"/>
      <c r="K29" s="7" t="inlineStr"/>
      <c r="L29" s="7" t="inlineStr"/>
      <c r="M29" s="5" t="inlineStr">
        <is>
          <t>Fábrica de blocks en el sur, con producción de 8,000 a 10,000 bloques por día.</t>
        </is>
      </c>
    </row>
    <row r="30">
      <c r="A30" s="7" t="inlineStr">
        <is>
          <t>Maderas La Universal</t>
        </is>
      </c>
      <c r="B30" s="7" t="inlineStr">
        <is>
          <t>especializado</t>
        </is>
      </c>
      <c r="C30" s="7" t="inlineStr">
        <is>
          <t>detallista</t>
        </is>
      </c>
      <c r="D30" s="7" t="inlineStr">
        <is>
          <t>Sí</t>
        </is>
      </c>
      <c r="E30" s="7" t="inlineStr">
        <is>
          <t>No</t>
        </is>
      </c>
      <c r="F30" s="8" t="n">
        <v>0</v>
      </c>
      <c r="G30" s="5" t="inlineStr">
        <is>
          <t>Gran Santo Domingo</t>
        </is>
      </c>
      <c r="H30" s="5" t="inlineStr">
        <is>
          <t>Madera y encofrado</t>
        </is>
      </c>
      <c r="I30" s="7" t="inlineStr">
        <is>
          <t>maderaslauniversal.com.do</t>
        </is>
      </c>
      <c r="J30" s="7" t="inlineStr"/>
      <c r="K30" s="7" t="inlineStr"/>
      <c r="L30" s="7" t="inlineStr"/>
      <c r="M30" s="5" t="inlineStr">
        <is>
          <t>Dos sucursales en Santo Domingo, una en Av. Máximo Gómez esq. Av. de los Mártires. Pino americano, maderas preciosas, plywood, MDF, laminados y pinturas para madera.</t>
        </is>
      </c>
    </row>
    <row r="31">
      <c r="A31" s="7" t="inlineStr">
        <is>
          <t>Maderera Mario</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madereramario.com</t>
        </is>
      </c>
      <c r="J31" s="7" t="inlineStr"/>
      <c r="K31" s="7" t="inlineStr"/>
      <c r="L31" s="7" t="inlineStr"/>
      <c r="M31" s="5" t="inlineStr">
        <is>
          <t>Más de 50 años, en Villa Consuelo. Pino normal y tratado, plywood, MDF hidrófugo, andiroba, robles, caoba y puertas de polimetal.</t>
        </is>
      </c>
    </row>
    <row r="32">
      <c r="A32" s="7" t="inlineStr">
        <is>
          <t>Valiente Fernández</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valientefernandez.net</t>
        </is>
      </c>
      <c r="J32" s="7" t="inlineStr"/>
      <c r="K32" s="7" t="inlineStr"/>
      <c r="L32" s="7" t="inlineStr"/>
      <c r="M32" s="5" t="inlineStr">
        <is>
          <t>Distrito Nacional. Maderas importadas, contrachapados Film Face para encofrado y madera para apuntalar.</t>
        </is>
      </c>
    </row>
    <row r="33">
      <c r="A33" s="7" t="inlineStr">
        <is>
          <t>Aluzinc Cadimex</t>
        </is>
      </c>
      <c r="B33" s="7" t="inlineStr">
        <is>
          <t>fabricante</t>
        </is>
      </c>
      <c r="C33" s="7" t="inlineStr">
        <is>
          <t>fabricante</t>
        </is>
      </c>
      <c r="D33" s="7" t="inlineStr">
        <is>
          <t>Sí</t>
        </is>
      </c>
      <c r="E33" s="7" t="inlineStr">
        <is>
          <t>No</t>
        </is>
      </c>
      <c r="F33" s="8" t="n">
        <v>0</v>
      </c>
      <c r="G33" s="5" t="inlineStr">
        <is>
          <t>Santiago / Cibao</t>
        </is>
      </c>
      <c r="H33" s="5" t="inlineStr">
        <is>
          <t>Techos e impermeabilización</t>
        </is>
      </c>
      <c r="I33" s="7" t="inlineStr">
        <is>
          <t>aluzincadimex.com</t>
        </is>
      </c>
      <c r="J33" s="7" t="inlineStr"/>
      <c r="K33" s="7" t="inlineStr"/>
      <c r="L33" s="7" t="inlineStr"/>
      <c r="M33" s="5" t="inlineStr">
        <is>
          <t>Sede en Santiago, fábrica de 3,590 m². Aluzinc acanalado, tipo teja española, caños y caballetes en varios colores. Fabricación a medida.</t>
        </is>
      </c>
    </row>
    <row r="34">
      <c r="A34" s="7" t="inlineStr">
        <is>
          <t>Proaluzinc (CGM Industrial)</t>
        </is>
      </c>
      <c r="B34" s="7" t="inlineStr">
        <is>
          <t>fabricante</t>
        </is>
      </c>
      <c r="C34" s="7" t="inlineStr">
        <is>
          <t>fabricante</t>
        </is>
      </c>
      <c r="D34" s="7" t="inlineStr">
        <is>
          <t>Sí</t>
        </is>
      </c>
      <c r="E34" s="7" t="inlineStr">
        <is>
          <t>No</t>
        </is>
      </c>
      <c r="F34" s="8" t="n">
        <v>0</v>
      </c>
      <c r="G34" s="5" t="inlineStr">
        <is>
          <t>Gran Santo Domingo, Santiago / Cibao</t>
        </is>
      </c>
      <c r="H34" s="5" t="inlineStr">
        <is>
          <t>Techos e impermeabilización</t>
        </is>
      </c>
      <c r="I34" s="7" t="inlineStr">
        <is>
          <t>proaluzinc.com.do</t>
        </is>
      </c>
      <c r="J34" s="7" t="inlineStr"/>
      <c r="K34" s="7" t="inlineStr"/>
      <c r="L34" s="7" t="inlineStr"/>
      <c r="M34" s="5" t="inlineStr">
        <is>
          <t>Opera desde Santiago y Santo Domingo. Aluzinc, techos, Metaldeck y accesorios.</t>
        </is>
      </c>
    </row>
    <row r="35">
      <c r="A35" s="7" t="inlineStr">
        <is>
          <t>Mega Techo</t>
        </is>
      </c>
      <c r="B35" s="7" t="inlineStr">
        <is>
          <t>fabricante</t>
        </is>
      </c>
      <c r="C35" s="7" t="inlineStr">
        <is>
          <t>fabricante</t>
        </is>
      </c>
      <c r="D35" s="7" t="inlineStr">
        <is>
          <t>Sí</t>
        </is>
      </c>
      <c r="E35" s="7" t="inlineStr">
        <is>
          <t>No</t>
        </is>
      </c>
      <c r="F35" s="8" t="n">
        <v>0</v>
      </c>
      <c r="G35" s="5" t="inlineStr">
        <is>
          <t>Cobertura nacional</t>
        </is>
      </c>
      <c r="H35" s="5" t="inlineStr">
        <is>
          <t>Techos e impermeabilización</t>
        </is>
      </c>
      <c r="I35" s="7" t="inlineStr"/>
      <c r="J35" s="7" t="inlineStr"/>
      <c r="K35" s="7" t="inlineStr"/>
      <c r="L35" s="7" t="inlineStr"/>
      <c r="M35" s="5" t="inlineStr">
        <is>
          <t>Más de 25 años fabricando techos en aluzinc, zinc, metaldeck y correas.</t>
        </is>
      </c>
    </row>
    <row r="36">
      <c r="A36" s="7" t="inlineStr">
        <is>
          <t>Rooftec</t>
        </is>
      </c>
      <c r="B36" s="7" t="inlineStr">
        <is>
          <t>distribuidor</t>
        </is>
      </c>
      <c r="C36" s="7" t="inlineStr">
        <is>
          <t>detallista</t>
        </is>
      </c>
      <c r="D36" s="7" t="inlineStr">
        <is>
          <t>Sí</t>
        </is>
      </c>
      <c r="E36" s="7" t="inlineStr">
        <is>
          <t>No</t>
        </is>
      </c>
      <c r="F36" s="8" t="n">
        <v>0</v>
      </c>
      <c r="G36" s="5" t="inlineStr">
        <is>
          <t>Gran Santo Domingo, Este (Punta Cana, La Romana)</t>
        </is>
      </c>
      <c r="H36" s="5" t="inlineStr">
        <is>
          <t>Techos e impermeabilización, Plomería, sanitarios y gas</t>
        </is>
      </c>
      <c r="I36" s="7" t="inlineStr"/>
      <c r="J36" s="7" t="inlineStr"/>
      <c r="K36" s="7" t="inlineStr"/>
      <c r="L36" s="7" t="inlineStr"/>
      <c r="M36" s="5" t="inlineStr">
        <is>
          <t>Almacenes en Santo Domingo y Punta Cana. Tejas, shingles, paneles sándwich, impermeabilizantes, aislantes y tuberías PPR/PEX.</t>
        </is>
      </c>
    </row>
    <row r="37">
      <c r="A37" s="7" t="inlineStr">
        <is>
          <t>Tejar del Rey</t>
        </is>
      </c>
      <c r="B37" s="7" t="inlineStr">
        <is>
          <t>distribuidor</t>
        </is>
      </c>
      <c r="C37" s="7" t="inlineStr">
        <is>
          <t>detallista</t>
        </is>
      </c>
      <c r="D37" s="7" t="inlineStr">
        <is>
          <t>Sí</t>
        </is>
      </c>
      <c r="E37" s="7" t="inlineStr">
        <is>
          <t>No</t>
        </is>
      </c>
      <c r="F37" s="8" t="n">
        <v>0</v>
      </c>
      <c r="G37" s="5" t="inlineStr">
        <is>
          <t>Cobertura nacional</t>
        </is>
      </c>
      <c r="H37" s="5" t="inlineStr">
        <is>
          <t>Techos e impermeabilización</t>
        </is>
      </c>
      <c r="I37" s="7" t="inlineStr"/>
      <c r="J37" s="7" t="inlineStr"/>
      <c r="K37" s="7" t="inlineStr"/>
      <c r="L37" s="7" t="inlineStr"/>
      <c r="M37" s="5" t="inlineStr">
        <is>
          <t>Tejas y techos, con varias sucursales y red de distribuidores nacional.</t>
        </is>
      </c>
    </row>
    <row r="38">
      <c r="A38" s="7" t="inlineStr">
        <is>
          <t>Cerarte</t>
        </is>
      </c>
      <c r="B38" s="7" t="inlineStr">
        <is>
          <t>especializado</t>
        </is>
      </c>
      <c r="C38" s="7" t="inlineStr">
        <is>
          <t>detallista</t>
        </is>
      </c>
      <c r="D38" s="7" t="inlineStr">
        <is>
          <t>Sí</t>
        </is>
      </c>
      <c r="E38" s="7" t="inlineStr">
        <is>
          <t>Sí</t>
        </is>
      </c>
      <c r="F38" s="8" t="n">
        <v>0</v>
      </c>
      <c r="G38" s="5" t="inlineStr">
        <is>
          <t>Gran Santo Domingo, Santiago / Cibao, Este (Punta Cana, La Romana)</t>
        </is>
      </c>
      <c r="H38" s="5" t="inlineStr">
        <is>
          <t>Pisos y revestimientos, Plomería, sanitarios y gas</t>
        </is>
      </c>
      <c r="I38" s="7" t="inlineStr">
        <is>
          <t>cerarte.com.do</t>
        </is>
      </c>
      <c r="J38" s="7" t="inlineStr"/>
      <c r="K38" s="7" t="inlineStr"/>
      <c r="L38" s="7" t="inlineStr"/>
      <c r="M38"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39">
      <c r="A39" s="7" t="inlineStr">
        <is>
          <t>Cerámica Import</t>
        </is>
      </c>
      <c r="B39" s="7" t="inlineStr">
        <is>
          <t>especializado</t>
        </is>
      </c>
      <c r="C39" s="7" t="inlineStr">
        <is>
          <t>detallista</t>
        </is>
      </c>
      <c r="D39" s="7" t="inlineStr">
        <is>
          <t>Sí</t>
        </is>
      </c>
      <c r="E39" s="7" t="inlineStr">
        <is>
          <t>Sí</t>
        </is>
      </c>
      <c r="F39" s="8" t="n">
        <v>0</v>
      </c>
      <c r="G39" s="5" t="inlineStr">
        <is>
          <t>Santiago / Cibao</t>
        </is>
      </c>
      <c r="H39" s="5" t="inlineStr">
        <is>
          <t>Pisos y revestimientos, Plomería, sanitarios y gas</t>
        </is>
      </c>
      <c r="I39" s="7" t="inlineStr">
        <is>
          <t>ceramicaimport.com</t>
        </is>
      </c>
      <c r="J39" s="7" t="inlineStr"/>
      <c r="K39" s="7" t="inlineStr"/>
      <c r="L39" s="7" t="inlineStr"/>
      <c r="M39" s="5" t="inlineStr">
        <is>
          <t>Importador de alta gama en Santiago. Catálogo en línea con filtros y comparador. Porcelanato, cerámica, sanitarios, muebles de baño y grifería.</t>
        </is>
      </c>
    </row>
    <row r="40">
      <c r="A40" s="7" t="inlineStr">
        <is>
          <t>Grupo Powerplastic</t>
        </is>
      </c>
      <c r="B40" s="7" t="inlineStr">
        <is>
          <t>fabricante</t>
        </is>
      </c>
      <c r="C40" s="7" t="inlineStr">
        <is>
          <t>fabricante</t>
        </is>
      </c>
      <c r="D40" s="7" t="inlineStr">
        <is>
          <t>No</t>
        </is>
      </c>
      <c r="E40" s="7" t="inlineStr">
        <is>
          <t>No</t>
        </is>
      </c>
      <c r="F40" s="8" t="n">
        <v>0</v>
      </c>
      <c r="G40" s="5" t="inlineStr">
        <is>
          <t>Cobertura nacional</t>
        </is>
      </c>
      <c r="H40" s="5" t="inlineStr">
        <is>
          <t>Plomería, sanitarios y gas</t>
        </is>
      </c>
      <c r="I40" s="7" t="inlineStr">
        <is>
          <t>grupopowerplastic.com</t>
        </is>
      </c>
      <c r="J40" s="7" t="inlineStr"/>
      <c r="K40" s="7" t="inlineStr"/>
      <c r="L40" s="7" t="inlineStr"/>
      <c r="M40" s="5" t="inlineStr">
        <is>
          <t>Planta de 55,000 m², norma ASTM. Tuberías y accesorios PVC; exporta al Caribe. Se cotiza vía ferreterías y mayoristas.</t>
        </is>
      </c>
    </row>
    <row r="41">
      <c r="A41" s="7" t="inlineStr">
        <is>
          <t>Plastigama Wavin</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c r="J41" s="7" t="inlineStr"/>
      <c r="K41" s="7" t="inlineStr"/>
      <c r="L41" s="7" t="inlineStr"/>
      <c r="M41" s="5" t="inlineStr">
        <is>
          <t>Marca de tuberías PVC/CPVC/PPR y accesorios, con catálogos técnicos disponibles. Se distribuye vía ferreterías.</t>
        </is>
      </c>
    </row>
    <row r="42">
      <c r="A42" s="7" t="inlineStr">
        <is>
          <t>Eurosuplidores</t>
        </is>
      </c>
      <c r="B42" s="7" t="inlineStr">
        <is>
          <t>distribuidor</t>
        </is>
      </c>
      <c r="C42" s="7" t="inlineStr">
        <is>
          <t>mayorista</t>
        </is>
      </c>
      <c r="D42" s="7" t="inlineStr">
        <is>
          <t>Sí</t>
        </is>
      </c>
      <c r="E42" s="7" t="inlineStr">
        <is>
          <t>No</t>
        </is>
      </c>
      <c r="F42" s="8" t="n">
        <v>0</v>
      </c>
      <c r="G42" s="5" t="inlineStr">
        <is>
          <t>Gran Santo Domingo, Este (Punta Cana, La Romana)</t>
        </is>
      </c>
      <c r="H42" s="5" t="inlineStr">
        <is>
          <t>Electricidad e iluminación</t>
        </is>
      </c>
      <c r="I42" s="7" t="inlineStr">
        <is>
          <t>eurosuplidores.com</t>
        </is>
      </c>
      <c r="J42" s="7" t="inlineStr"/>
      <c r="K42" s="7" t="inlineStr"/>
      <c r="L42" s="7" t="inlineStr"/>
      <c r="M42" s="5" t="inlineStr">
        <is>
          <t>Más de 20 años. Cobertura Santo Domingo, Bávaro y Punta Cana. Materiales eléctricos, breakers, iluminación y energía renovable / paneles solares. Catálogo descargable y atención por WhatsApp.</t>
        </is>
      </c>
    </row>
    <row r="43">
      <c r="A43" s="7" t="inlineStr">
        <is>
          <t>Suplidores del Caribe</t>
        </is>
      </c>
      <c r="B43" s="7" t="inlineStr">
        <is>
          <t>distribuidor</t>
        </is>
      </c>
      <c r="C43" s="7" t="inlineStr">
        <is>
          <t>mayorista</t>
        </is>
      </c>
      <c r="D43" s="7" t="inlineStr">
        <is>
          <t>Sí</t>
        </is>
      </c>
      <c r="E43" s="7" t="inlineStr">
        <is>
          <t>No</t>
        </is>
      </c>
      <c r="F43" s="8" t="n">
        <v>0</v>
      </c>
      <c r="G43" s="5" t="inlineStr">
        <is>
          <t>Gran Santo Domingo</t>
        </is>
      </c>
      <c r="H43" s="5" t="inlineStr">
        <is>
          <t>Electricidad e iluminación</t>
        </is>
      </c>
      <c r="I43" s="7" t="inlineStr">
        <is>
          <t>suplidoresdelcaribe.com</t>
        </is>
      </c>
      <c r="J43" s="7" t="inlineStr">
        <is>
          <t>809-221-2424</t>
        </is>
      </c>
      <c r="K43" s="7" t="inlineStr">
        <is>
          <t>18092212424</t>
        </is>
      </c>
      <c r="L43" s="7" t="inlineStr"/>
      <c r="M43" s="5" t="inlineStr">
        <is>
          <t>Importador en Villa Juana. Cable THHN, cable URD, tubería EMT/IMC y fittings. Cotiza por WhatsApp; envío gratis en Santo Domingo.</t>
        </is>
      </c>
    </row>
    <row r="44">
      <c r="A44" s="7" t="inlineStr">
        <is>
          <t>JJ Electric</t>
        </is>
      </c>
      <c r="B44" s="7" t="inlineStr">
        <is>
          <t>distribuidor</t>
        </is>
      </c>
      <c r="C44" s="7" t="inlineStr">
        <is>
          <t>mayorista</t>
        </is>
      </c>
      <c r="D44" s="7" t="inlineStr">
        <is>
          <t>Sí</t>
        </is>
      </c>
      <c r="E44" s="7" t="inlineStr">
        <is>
          <t>No</t>
        </is>
      </c>
      <c r="F44" s="8" t="n">
        <v>0</v>
      </c>
      <c r="G44" s="5" t="inlineStr">
        <is>
          <t>Cobertura nacional</t>
        </is>
      </c>
      <c r="H44" s="5" t="inlineStr">
        <is>
          <t>Electricidad e iluminación</t>
        </is>
      </c>
      <c r="I44" s="7" t="inlineStr">
        <is>
          <t>jjelectricsa.com</t>
        </is>
      </c>
      <c r="J44" s="7" t="inlineStr">
        <is>
          <t>809-688-6166</t>
        </is>
      </c>
      <c r="K44" s="7" t="inlineStr"/>
      <c r="L44" s="7" t="inlineStr"/>
      <c r="M44" s="5" t="inlineStr">
        <is>
          <t>Sucursales en varias plazas. Alta y media tensión, cables, fittings, iluminación, transformadores y protección. Cotización formal; envío nacional en 48 horas.</t>
        </is>
      </c>
    </row>
    <row r="45">
      <c r="A45" s="7" t="inlineStr">
        <is>
          <t>AEC Dominicana</t>
        </is>
      </c>
      <c r="B45" s="7" t="inlineStr">
        <is>
          <t>mayorista</t>
        </is>
      </c>
      <c r="C45" s="7" t="inlineStr">
        <is>
          <t>mayorista</t>
        </is>
      </c>
      <c r="D45" s="7" t="inlineStr">
        <is>
          <t>Sí</t>
        </is>
      </c>
      <c r="E45" s="7" t="inlineStr">
        <is>
          <t>No</t>
        </is>
      </c>
      <c r="F45" s="8" t="n">
        <v>0</v>
      </c>
      <c r="G45" s="5" t="inlineStr">
        <is>
          <t>Gran Santo Domingo</t>
        </is>
      </c>
      <c r="H45" s="5" t="inlineStr">
        <is>
          <t>Electricidad e iluminación</t>
        </is>
      </c>
      <c r="I45" s="7" t="inlineStr"/>
      <c r="J45" s="7" t="inlineStr">
        <is>
          <t>809-412-1406</t>
        </is>
      </c>
      <c r="K45" s="7" t="inlineStr"/>
      <c r="L45" s="7" t="inlineStr"/>
      <c r="M45" s="5" t="inlineStr">
        <is>
          <t>Mayorista en Paseo de los Locutores 48, Santo Domingo. Abastece concesionarias eléctricas, industrias y distribuidores.</t>
        </is>
      </c>
    </row>
    <row r="46">
      <c r="A46" s="7" t="inlineStr">
        <is>
          <t>Dismaelec</t>
        </is>
      </c>
      <c r="B46" s="7" t="inlineStr">
        <is>
          <t>distribuidor</t>
        </is>
      </c>
      <c r="C46" s="7" t="inlineStr">
        <is>
          <t>detallista</t>
        </is>
      </c>
      <c r="D46" s="7" t="inlineStr">
        <is>
          <t>Sí</t>
        </is>
      </c>
      <c r="E46" s="7" t="inlineStr">
        <is>
          <t>No</t>
        </is>
      </c>
      <c r="F46" s="8" t="n">
        <v>0</v>
      </c>
      <c r="G46" s="5" t="inlineStr">
        <is>
          <t>Gran Santo Domingo</t>
        </is>
      </c>
      <c r="H46" s="5" t="inlineStr">
        <is>
          <t>Electricidad e iluminación</t>
        </is>
      </c>
      <c r="I46" s="7" t="inlineStr">
        <is>
          <t>dismaelec.com</t>
        </is>
      </c>
      <c r="J46" s="7" t="inlineStr"/>
      <c r="K46" s="7" t="inlineStr"/>
      <c r="L46" s="7" t="inlineStr"/>
      <c r="M46" s="5" t="inlineStr">
        <is>
          <t>Material eléctrico residencial e industrial desde el año 2000.</t>
        </is>
      </c>
    </row>
    <row r="47">
      <c r="A47" s="7" t="inlineStr">
        <is>
          <t>Ventus Grupo Corporativo</t>
        </is>
      </c>
      <c r="B47" s="7" t="inlineStr">
        <is>
          <t>fabricante</t>
        </is>
      </c>
      <c r="C47" s="7" t="inlineStr">
        <is>
          <t>fabricante</t>
        </is>
      </c>
      <c r="D47" s="7" t="inlineStr">
        <is>
          <t>Sí</t>
        </is>
      </c>
      <c r="E47" s="7" t="inlineStr">
        <is>
          <t>No</t>
        </is>
      </c>
      <c r="F47" s="8" t="n">
        <v>0</v>
      </c>
      <c r="G47" s="5" t="inlineStr">
        <is>
          <t>Santiago / Cibao, Cobertura nacional</t>
        </is>
      </c>
      <c r="H47" s="5" t="inlineStr">
        <is>
          <t>Puertas, ventanas y cristales</t>
        </is>
      </c>
      <c r="I47" s="7" t="inlineStr">
        <is>
          <t>ventus.com.do</t>
        </is>
      </c>
      <c r="J47" s="7" t="inlineStr"/>
      <c r="K47" s="7" t="inlineStr"/>
      <c r="L47" s="7" t="inlineStr"/>
      <c r="M47" s="5" t="inlineStr">
        <is>
          <t>Fabricante e instalador en Santiago con cobertura nacional. Aluminio, cristal y acero: ventanas, fachadas, muro cortina, puertas y barandas. Sistemas M100, P65, P92 y C70.</t>
        </is>
      </c>
    </row>
    <row r="48">
      <c r="A48" s="7" t="inlineStr">
        <is>
          <t>Cristalados</t>
        </is>
      </c>
      <c r="B48" s="7" t="inlineStr">
        <is>
          <t>fabricante</t>
        </is>
      </c>
      <c r="C48" s="7" t="inlineStr">
        <is>
          <t>fabricante</t>
        </is>
      </c>
      <c r="D48" s="7" t="inlineStr">
        <is>
          <t>Sí</t>
        </is>
      </c>
      <c r="E48" s="7" t="inlineStr">
        <is>
          <t>No</t>
        </is>
      </c>
      <c r="F48" s="8" t="n">
        <v>0</v>
      </c>
      <c r="G48" s="5" t="inlineStr">
        <is>
          <t>Gran Santo Domingo</t>
        </is>
      </c>
      <c r="H48" s="5" t="inlineStr">
        <is>
          <t>Puertas, ventanas y cristales</t>
        </is>
      </c>
      <c r="I48" s="7" t="inlineStr">
        <is>
          <t>cristalados.com</t>
        </is>
      </c>
      <c r="J48" s="7" t="inlineStr">
        <is>
          <t>809-379-1799</t>
        </is>
      </c>
      <c r="K48" s="7" t="inlineStr"/>
      <c r="L48" s="7" t="inlineStr"/>
      <c r="M48" s="5" t="inlineStr">
        <is>
          <t>Más de 25 años, en Santo Domingo Oeste. Puertas, ventanas, laminados, espejos y cristales templados. Fabricación a medida.</t>
        </is>
      </c>
    </row>
    <row r="49">
      <c r="A49" s="7" t="inlineStr">
        <is>
          <t>ProGlass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proglass.com.do</t>
        </is>
      </c>
      <c r="J49" s="7" t="inlineStr"/>
      <c r="K49" s="7" t="inlineStr"/>
      <c r="L49" s="7" t="inlineStr"/>
      <c r="M49" s="5" t="inlineStr">
        <is>
          <t>Ventanas corredizas de aluminio y cristal, vidrio templado, puertas polimetálicas y screen.</t>
        </is>
      </c>
    </row>
    <row r="50">
      <c r="A50" s="7" t="inlineStr">
        <is>
          <t>PuertasYVentanasRD</t>
        </is>
      </c>
      <c r="B50" s="7" t="inlineStr">
        <is>
          <t>fabricante</t>
        </is>
      </c>
      <c r="C50" s="7" t="inlineStr">
        <is>
          <t>fabricante</t>
        </is>
      </c>
      <c r="D50" s="7" t="inlineStr">
        <is>
          <t>Sí</t>
        </is>
      </c>
      <c r="E50" s="7" t="inlineStr">
        <is>
          <t>No</t>
        </is>
      </c>
      <c r="F50" s="8" t="n">
        <v>0</v>
      </c>
      <c r="G50" s="5" t="inlineStr">
        <is>
          <t>Cobertura nacional</t>
        </is>
      </c>
      <c r="H50" s="5" t="inlineStr">
        <is>
          <t>Puertas, ventanas y cristales</t>
        </is>
      </c>
      <c r="I50" s="7" t="inlineStr">
        <is>
          <t>puertasyventanasrd.com</t>
        </is>
      </c>
      <c r="J50" s="7" t="inlineStr">
        <is>
          <t>809-415-2955</t>
        </is>
      </c>
      <c r="K50" s="7" t="inlineStr"/>
      <c r="L50" s="7" t="inlineStr">
        <is>
          <t>info@puertasyventanasrd.com</t>
        </is>
      </c>
      <c r="M50" s="5" t="inlineStr">
        <is>
          <t>Línea mayorista. Aluminio, PVC, shutters, polimetal y ventanas contra huracanes.</t>
        </is>
      </c>
    </row>
    <row r="51">
      <c r="A51" s="7" t="inlineStr">
        <is>
          <t>Industria Ventcord</t>
        </is>
      </c>
      <c r="B51" s="7" t="inlineStr">
        <is>
          <t>fabricante</t>
        </is>
      </c>
      <c r="C51" s="7" t="inlineStr">
        <is>
          <t>fabricante</t>
        </is>
      </c>
      <c r="D51" s="7" t="inlineStr">
        <is>
          <t>Sí</t>
        </is>
      </c>
      <c r="E51" s="7" t="inlineStr">
        <is>
          <t>No</t>
        </is>
      </c>
      <c r="F51" s="8" t="n">
        <v>0</v>
      </c>
      <c r="G51" s="5" t="inlineStr">
        <is>
          <t>Gran Santo Domingo</t>
        </is>
      </c>
      <c r="H51" s="5" t="inlineStr">
        <is>
          <t>Puertas, ventanas y cristales</t>
        </is>
      </c>
      <c r="I51" s="7" t="inlineStr">
        <is>
          <t>ventcord.com</t>
        </is>
      </c>
      <c r="J51" s="7" t="inlineStr"/>
      <c r="K51" s="7" t="inlineStr"/>
      <c r="L51" s="7" t="inlineStr"/>
      <c r="M51" s="5" t="inlineStr">
        <is>
          <t>Más de 20 años fabricando en Santo Domingo.</t>
        </is>
      </c>
    </row>
    <row r="52">
      <c r="A52" s="7" t="inlineStr">
        <is>
          <t>Pinturas Tropical</t>
        </is>
      </c>
      <c r="B52" s="7" t="inlineStr">
        <is>
          <t>fabricante</t>
        </is>
      </c>
      <c r="C52" s="7" t="inlineStr">
        <is>
          <t>fabricante</t>
        </is>
      </c>
      <c r="D52" s="7" t="inlineStr">
        <is>
          <t>No</t>
        </is>
      </c>
      <c r="E52" s="7" t="inlineStr">
        <is>
          <t>No</t>
        </is>
      </c>
      <c r="F52" s="8" t="n">
        <v>0</v>
      </c>
      <c r="G52" s="5" t="inlineStr">
        <is>
          <t>Cobertura nacional</t>
        </is>
      </c>
      <c r="H52" s="5" t="inlineStr">
        <is>
          <t>Pintura y acabados</t>
        </is>
      </c>
      <c r="I52" s="7" t="inlineStr">
        <is>
          <t>pinturastropical.com.do</t>
        </is>
      </c>
      <c r="J52" s="7" t="inlineStr"/>
      <c r="K52" s="7" t="inlineStr"/>
      <c r="L52" s="7" t="inlineStr"/>
      <c r="M52"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3">
      <c r="A53" s="7" t="inlineStr">
        <is>
          <t>Pinturas Popular</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pinturaspopular.com</t>
        </is>
      </c>
      <c r="J53" s="7" t="inlineStr"/>
      <c r="K53" s="7" t="inlineStr"/>
      <c r="L53" s="7" t="inlineStr"/>
      <c r="M53" s="5" t="inlineStr">
        <is>
          <t>Amplia distribución en ferreterías.</t>
        </is>
      </c>
    </row>
    <row r="54">
      <c r="A54" s="7" t="inlineStr">
        <is>
          <t>Industrias Tucán</t>
        </is>
      </c>
      <c r="B54" s="7" t="inlineStr">
        <is>
          <t>fabricante</t>
        </is>
      </c>
      <c r="C54" s="7" t="inlineStr">
        <is>
          <t>fabricante</t>
        </is>
      </c>
      <c r="D54" s="7" t="inlineStr">
        <is>
          <t>No</t>
        </is>
      </c>
      <c r="E54" s="7" t="inlineStr">
        <is>
          <t>No</t>
        </is>
      </c>
      <c r="F54" s="8" t="n">
        <v>0</v>
      </c>
      <c r="G54" s="5" t="inlineStr">
        <is>
          <t>Cobertura nacional</t>
        </is>
      </c>
      <c r="H54" s="5" t="inlineStr">
        <is>
          <t>Pintura y acabados, Techos e impermeabilización</t>
        </is>
      </c>
      <c r="I54" s="7" t="inlineStr"/>
      <c r="J54" s="7" t="inlineStr"/>
      <c r="K54" s="7" t="inlineStr"/>
      <c r="L54" s="7" t="inlineStr"/>
      <c r="M54" s="5" t="inlineStr">
        <is>
          <t>Pinturas, recubrimientos arquitectónicos e industriales, impermeabilizantes anticorrosivos y productos para madera.</t>
        </is>
      </c>
    </row>
    <row r="55">
      <c r="A55" s="7" t="inlineStr">
        <is>
          <t>Procontratista</t>
        </is>
      </c>
      <c r="B55" s="7" t="inlineStr">
        <is>
          <t>mayorista</t>
        </is>
      </c>
      <c r="C55" s="7" t="inlineStr">
        <is>
          <t>mayorista</t>
        </is>
      </c>
      <c r="D55" s="7" t="inlineStr">
        <is>
          <t>Sí</t>
        </is>
      </c>
      <c r="E55" s="7" t="inlineStr">
        <is>
          <t>Sí</t>
        </is>
      </c>
      <c r="F55" s="8" t="n">
        <v>0</v>
      </c>
      <c r="G55" s="5" t="inlineStr">
        <is>
          <t>Cobertura nacional</t>
        </is>
      </c>
      <c r="H55" s="5" t="inlineStr">
        <is>
          <t>Pisos y revestimientos, Electricidad e iluminación, Plafones y construcción liviana, Climatización y ventilación</t>
        </is>
      </c>
      <c r="I55" s="7" t="inlineStr">
        <is>
          <t>procontratista.com</t>
        </is>
      </c>
      <c r="J55" s="7" t="inlineStr">
        <is>
          <t>809-472-4479</t>
        </is>
      </c>
      <c r="K55" s="7" t="inlineStr">
        <is>
          <t>18094724479</t>
        </is>
      </c>
      <c r="L55" s="7" t="inlineStr">
        <is>
          <t>ventas@procontratista.com</t>
        </is>
      </c>
      <c r="M55"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6">
      <c r="A56" s="7" t="inlineStr">
        <is>
          <t>Cielos Acústicos</t>
        </is>
      </c>
      <c r="B56" s="7" t="inlineStr">
        <is>
          <t>especializado</t>
        </is>
      </c>
      <c r="C56" s="7" t="inlineStr">
        <is>
          <t>detallista</t>
        </is>
      </c>
      <c r="D56" s="7" t="inlineStr">
        <is>
          <t>Sí</t>
        </is>
      </c>
      <c r="E56" s="7" t="inlineStr">
        <is>
          <t>Sí</t>
        </is>
      </c>
      <c r="F56" s="8" t="n">
        <v>0</v>
      </c>
      <c r="G56" s="5" t="inlineStr">
        <is>
          <t>Gran Santo Domingo, Este (Punta Cana, La Romana)</t>
        </is>
      </c>
      <c r="H56" s="5" t="inlineStr">
        <is>
          <t>Pisos y revestimientos, Electricidad e iluminación, Plafones y construcción liviana</t>
        </is>
      </c>
      <c r="I56" s="7" t="inlineStr">
        <is>
          <t>cielosacusticos.com</t>
        </is>
      </c>
      <c r="J56" s="7" t="inlineStr">
        <is>
          <t>809-732-2368</t>
        </is>
      </c>
      <c r="K56" s="7" t="inlineStr"/>
      <c r="L56" s="7" t="inlineStr">
        <is>
          <t>ventas@cielosacusticos.com</t>
        </is>
      </c>
      <c r="M56"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Catálogos en línea.</t>
        </is>
      </c>
    </row>
    <row r="57">
      <c r="A57" s="7" t="inlineStr">
        <is>
          <t>Industrias Gueca (PANELROCK)</t>
        </is>
      </c>
      <c r="B57" s="7" t="inlineStr">
        <is>
          <t>fabricante</t>
        </is>
      </c>
      <c r="C57" s="7" t="inlineStr">
        <is>
          <t>fabricante</t>
        </is>
      </c>
      <c r="D57" s="7" t="inlineStr">
        <is>
          <t>Sí</t>
        </is>
      </c>
      <c r="E57" s="7" t="inlineStr">
        <is>
          <t>No</t>
        </is>
      </c>
      <c r="F57" s="8" t="n">
        <v>0</v>
      </c>
      <c r="G57" s="5" t="inlineStr">
        <is>
          <t>Cobertura nacional</t>
        </is>
      </c>
      <c r="H57" s="5" t="inlineStr">
        <is>
          <t>Plafones y construcción liviana</t>
        </is>
      </c>
      <c r="I57" s="7" t="inlineStr">
        <is>
          <t>industriasgueca.com</t>
        </is>
      </c>
      <c r="J57" s="7" t="inlineStr"/>
      <c r="K57" s="7" t="inlineStr"/>
      <c r="L57" s="7" t="inlineStr"/>
      <c r="M57" s="5" t="inlineStr">
        <is>
          <t>Se presenta como la primera fábrica de drywall de República Dominicana. Paneles de yeso, masillas y yeso de construcción y agrícola. Cotiza por WhatsApp.</t>
        </is>
      </c>
    </row>
    <row r="58">
      <c r="A58" s="7" t="inlineStr">
        <is>
          <t>Panel Rey</t>
        </is>
      </c>
      <c r="B58" s="7" t="inlineStr">
        <is>
          <t>fabricante</t>
        </is>
      </c>
      <c r="C58" s="7" t="inlineStr">
        <is>
          <t>fabricante</t>
        </is>
      </c>
      <c r="D58" s="7" t="inlineStr">
        <is>
          <t>No</t>
        </is>
      </c>
      <c r="E58" s="7" t="inlineStr">
        <is>
          <t>No</t>
        </is>
      </c>
      <c r="F58" s="8" t="n">
        <v>0</v>
      </c>
      <c r="G58" s="5" t="inlineStr">
        <is>
          <t>Cobertura nacional</t>
        </is>
      </c>
      <c r="H58" s="5" t="inlineStr">
        <is>
          <t>Plafones y construcción liviana</t>
        </is>
      </c>
      <c r="I58" s="7" t="inlineStr">
        <is>
          <t>panelrey.com</t>
        </is>
      </c>
      <c r="J58" s="7" t="inlineStr"/>
      <c r="K58" s="7" t="inlineStr"/>
      <c r="L58" s="7" t="inlineStr"/>
      <c r="M58" s="5" t="inlineStr">
        <is>
          <t>Fabricante mexicano con presencia y distribución en RD (paneles de yeso, sistemas de fuego y acústica). Aliado local: Cielos Acústicos.</t>
        </is>
      </c>
    </row>
    <row r="59">
      <c r="A59" s="7" t="inlineStr">
        <is>
          <t>Novomat</t>
        </is>
      </c>
      <c r="B59" s="7" t="inlineStr">
        <is>
          <t>distribuidor</t>
        </is>
      </c>
      <c r="C59" s="7" t="inlineStr">
        <is>
          <t>detallista</t>
        </is>
      </c>
      <c r="D59" s="7" t="inlineStr">
        <is>
          <t>Sí</t>
        </is>
      </c>
      <c r="E59" s="7" t="inlineStr">
        <is>
          <t>No</t>
        </is>
      </c>
      <c r="F59" s="8" t="n">
        <v>0</v>
      </c>
      <c r="G59" s="5" t="inlineStr">
        <is>
          <t>Gran Santo Domingo</t>
        </is>
      </c>
      <c r="H59" s="5" t="inlineStr">
        <is>
          <t>Plafones y construcción liviana</t>
        </is>
      </c>
      <c r="I59" s="7" t="inlineStr">
        <is>
          <t>novomat.com.do</t>
        </is>
      </c>
      <c r="J59" s="7" t="inlineStr"/>
      <c r="K59" s="7" t="inlineStr"/>
      <c r="L59" s="7" t="inlineStr"/>
      <c r="M59" s="5" t="inlineStr">
        <is>
          <t>Plafones de PVC, fibra mineral, yeso y metálicos.</t>
        </is>
      </c>
    </row>
    <row r="60">
      <c r="A60" s="7" t="inlineStr">
        <is>
          <t>Torniacero</t>
        </is>
      </c>
      <c r="B60" s="7" t="inlineStr">
        <is>
          <t>especializado</t>
        </is>
      </c>
      <c r="C60" s="7" t="inlineStr">
        <is>
          <t>mayorista</t>
        </is>
      </c>
      <c r="D60" s="7" t="inlineStr">
        <is>
          <t>Sí</t>
        </is>
      </c>
      <c r="E60" s="7" t="inlineStr">
        <is>
          <t>No</t>
        </is>
      </c>
      <c r="F60" s="8" t="n">
        <v>0</v>
      </c>
      <c r="G60" s="5" t="inlineStr">
        <is>
          <t>Gran Santo Domingo</t>
        </is>
      </c>
      <c r="H60" s="5" t="inlineStr">
        <is>
          <t>Ferretería y fijaciones</t>
        </is>
      </c>
      <c r="I60" s="7" t="inlineStr"/>
      <c r="J60" s="7" t="inlineStr"/>
      <c r="K60" s="7" t="inlineStr"/>
      <c r="L60" s="7" t="inlineStr"/>
      <c r="M60" s="5" t="inlineStr">
        <is>
          <t>Especializado en tornillería, niples y pernos, con fabricación propia.</t>
        </is>
      </c>
    </row>
    <row r="61">
      <c r="A61" s="7" t="inlineStr">
        <is>
          <t>Refripartes</t>
        </is>
      </c>
      <c r="B61" s="7" t="inlineStr">
        <is>
          <t>mayorista</t>
        </is>
      </c>
      <c r="C61" s="7" t="inlineStr">
        <is>
          <t>mayorista</t>
        </is>
      </c>
      <c r="D61" s="7" t="inlineStr">
        <is>
          <t>Sí</t>
        </is>
      </c>
      <c r="E61" s="7" t="inlineStr">
        <is>
          <t>No</t>
        </is>
      </c>
      <c r="F61" s="8" t="n">
        <v>0</v>
      </c>
      <c r="G61" s="5" t="inlineStr">
        <is>
          <t>Cobertura nacional</t>
        </is>
      </c>
      <c r="H61" s="5" t="inlineStr">
        <is>
          <t>Climatización y ventilación</t>
        </is>
      </c>
      <c r="I61" s="7" t="inlineStr">
        <is>
          <t>refripartes.com</t>
        </is>
      </c>
      <c r="J61" s="7" t="inlineStr"/>
      <c r="K61" s="7" t="inlineStr"/>
      <c r="L61" s="7" t="inlineStr"/>
      <c r="M61" s="5" t="inlineStr">
        <is>
          <t>Mayorista HVACR con más de 17 sucursales en todo el país. Marca propia TGM; equipos de A/A, refrigeración, fittings de bronce y cobre, y abanicos. Amplio inventario.</t>
        </is>
      </c>
    </row>
    <row r="62">
      <c r="A62" s="7" t="inlineStr">
        <is>
          <t>Inaire</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c r="J62" s="7" t="inlineStr"/>
      <c r="K62" s="7" t="inlineStr"/>
      <c r="L62" s="7" t="inlineStr"/>
      <c r="M62" s="5" t="inlineStr">
        <is>
          <t>Mayorista e importador. Marcas Greenflow, Lennox y Daikin. Instalación y mantenimiento.</t>
        </is>
      </c>
    </row>
    <row r="63">
      <c r="A63" s="7" t="inlineStr">
        <is>
          <t>ComfortStar</t>
        </is>
      </c>
      <c r="B63" s="7" t="inlineStr">
        <is>
          <t>distribuidor</t>
        </is>
      </c>
      <c r="C63" s="7" t="inlineStr">
        <is>
          <t>mayorista</t>
        </is>
      </c>
      <c r="D63" s="7" t="inlineStr">
        <is>
          <t>Sí</t>
        </is>
      </c>
      <c r="E63" s="7" t="inlineStr">
        <is>
          <t>No</t>
        </is>
      </c>
      <c r="F63" s="8" t="n">
        <v>0</v>
      </c>
      <c r="G63" s="5" t="inlineStr">
        <is>
          <t>Cobertura nacional</t>
        </is>
      </c>
      <c r="H63" s="5" t="inlineStr">
        <is>
          <t>Climatización y ventilación</t>
        </is>
      </c>
      <c r="I63" s="7" t="inlineStr">
        <is>
          <t>comfortstar.com.do</t>
        </is>
      </c>
      <c r="J63" s="7" t="inlineStr"/>
      <c r="K63" s="7" t="inlineStr"/>
      <c r="L63" s="7" t="inlineStr"/>
      <c r="M63" s="5" t="inlineStr">
        <is>
          <t>Equipos de A/A, refrigeración y ventilación para uso residencial, comercial e industrial.</t>
        </is>
      </c>
    </row>
    <row r="64">
      <c r="A64" s="7" t="inlineStr">
        <is>
          <t>RefriMorel</t>
        </is>
      </c>
      <c r="B64" s="7" t="inlineStr">
        <is>
          <t>distribuidor</t>
        </is>
      </c>
      <c r="C64" s="7" t="inlineStr">
        <is>
          <t>detallista</t>
        </is>
      </c>
      <c r="D64" s="7" t="inlineStr">
        <is>
          <t>Sí</t>
        </is>
      </c>
      <c r="E64" s="7" t="inlineStr">
        <is>
          <t>No</t>
        </is>
      </c>
      <c r="F64" s="8" t="n">
        <v>0</v>
      </c>
      <c r="G64" s="5" t="inlineStr">
        <is>
          <t>Cobertura nacional</t>
        </is>
      </c>
      <c r="H64" s="5" t="inlineStr">
        <is>
          <t>Climatización y ventilación</t>
        </is>
      </c>
      <c r="I64" s="7" t="inlineStr">
        <is>
          <t>refrimorel.com</t>
        </is>
      </c>
      <c r="J64" s="7" t="inlineStr"/>
      <c r="K64" s="7" t="inlineStr"/>
      <c r="L64" s="7" t="inlineStr"/>
      <c r="M64" s="5" t="inlineStr">
        <is>
          <t>Distribuidor autorizado de Lennox, LG, Daikin, Milexus y Comfortmaster.</t>
        </is>
      </c>
    </row>
    <row r="65">
      <c r="A65" s="7" t="inlineStr">
        <is>
          <t>Carrier Dominicana</t>
        </is>
      </c>
      <c r="B65" s="7" t="inlineStr">
        <is>
          <t>fabricante</t>
        </is>
      </c>
      <c r="C65" s="7" t="inlineStr">
        <is>
          <t>fabricante</t>
        </is>
      </c>
      <c r="D65" s="7" t="inlineStr">
        <is>
          <t>No</t>
        </is>
      </c>
      <c r="E65" s="7" t="inlineStr">
        <is>
          <t>No</t>
        </is>
      </c>
      <c r="F65" s="8" t="n">
        <v>0</v>
      </c>
      <c r="G65" s="5" t="inlineStr">
        <is>
          <t>Cobertura nacional</t>
        </is>
      </c>
      <c r="H65" s="5" t="inlineStr">
        <is>
          <t>Climatización y ventilación</t>
        </is>
      </c>
      <c r="I65" s="7" t="inlineStr">
        <is>
          <t>carrier.com.do</t>
        </is>
      </c>
      <c r="J65" s="7" t="inlineStr"/>
      <c r="K65" s="7" t="inlineStr"/>
      <c r="L65" s="7" t="inlineStr"/>
      <c r="M65" s="5" t="inlineStr">
        <is>
          <t>Marca y distribución de aire acondicionado comercial y residencial.</t>
        </is>
      </c>
    </row>
    <row r="66">
      <c r="A66" s="7" t="inlineStr">
        <is>
          <t>CGT (CGT DO SRL)</t>
        </is>
      </c>
      <c r="B66" s="7" t="inlineStr">
        <is>
          <t>distribuidor</t>
        </is>
      </c>
      <c r="C66" s="7" t="inlineStr">
        <is>
          <t>mayorista</t>
        </is>
      </c>
      <c r="D66" s="7" t="inlineStr">
        <is>
          <t>Sí</t>
        </is>
      </c>
      <c r="E66" s="7" t="inlineStr">
        <is>
          <t>No</t>
        </is>
      </c>
      <c r="F66" s="8" t="n">
        <v>0</v>
      </c>
      <c r="G66" s="5" t="inlineStr">
        <is>
          <t>Cobertura nacional</t>
        </is>
      </c>
      <c r="H66" s="5" t="inlineStr">
        <is>
          <t>Cámaras y videovigilancia</t>
        </is>
      </c>
      <c r="I66" s="7" t="inlineStr">
        <is>
          <t>cgt.do</t>
        </is>
      </c>
      <c r="J66" s="7" t="inlineStr"/>
      <c r="K66" s="7" t="inlineStr"/>
      <c r="L66" s="7" t="inlineStr"/>
      <c r="M66" s="5" t="inlineStr">
        <is>
          <t>Distribuidor e instalador con cobertura nacional (despacho vía Caribe Tours, Metro, BM Cargo y Vimenpaq). Marcas Hikvision, HiLook, UNV y EPCOM. Precios de distribuidor por volumen y kits.</t>
        </is>
      </c>
    </row>
    <row r="67">
      <c r="A67" s="7" t="inlineStr">
        <is>
          <t>Segumart</t>
        </is>
      </c>
      <c r="B67" s="7" t="inlineStr">
        <is>
          <t>mayorista</t>
        </is>
      </c>
      <c r="C67" s="7" t="inlineStr">
        <is>
          <t>mayorista</t>
        </is>
      </c>
      <c r="D67" s="7" t="inlineStr">
        <is>
          <t>Sí</t>
        </is>
      </c>
      <c r="E67" s="7" t="inlineStr">
        <is>
          <t>Sí</t>
        </is>
      </c>
      <c r="F67" s="8" t="n">
        <v>0</v>
      </c>
      <c r="G67" s="5" t="inlineStr">
        <is>
          <t>Cobertura nacional</t>
        </is>
      </c>
      <c r="H67" s="5" t="inlineStr">
        <is>
          <t>Cámaras y videovigilancia</t>
        </is>
      </c>
      <c r="I67" s="7" t="inlineStr">
        <is>
          <t>segumart.com</t>
        </is>
      </c>
      <c r="J67" s="7" t="inlineStr"/>
      <c r="K67" s="7" t="inlineStr"/>
      <c r="L67" s="7" t="inlineStr"/>
      <c r="M67" s="5" t="inlineStr">
        <is>
          <t>Mayorista de CCTV con catálogo de precios (acceso por registro). Cámaras IP, DVR e importación directa.</t>
        </is>
      </c>
    </row>
    <row r="68">
      <c r="A68" s="7" t="inlineStr">
        <is>
          <t>Data Import</t>
        </is>
      </c>
      <c r="B68" s="7" t="inlineStr">
        <is>
          <t>distribuidor</t>
        </is>
      </c>
      <c r="C68" s="7" t="inlineStr">
        <is>
          <t>mayorista</t>
        </is>
      </c>
      <c r="D68" s="7" t="inlineStr">
        <is>
          <t>Sí</t>
        </is>
      </c>
      <c r="E68" s="7" t="inlineStr">
        <is>
          <t>No</t>
        </is>
      </c>
      <c r="F68" s="8" t="n">
        <v>0</v>
      </c>
      <c r="G68" s="5" t="inlineStr">
        <is>
          <t>Cobertura nacional</t>
        </is>
      </c>
      <c r="H68" s="5" t="inlineStr">
        <is>
          <t>Cámaras y videovigilancia</t>
        </is>
      </c>
      <c r="I68" s="7" t="inlineStr">
        <is>
          <t>dataimport.com</t>
        </is>
      </c>
      <c r="J68" s="7" t="inlineStr"/>
      <c r="K68" s="7" t="inlineStr"/>
      <c r="L68" s="7" t="inlineStr"/>
      <c r="M68" s="5" t="inlineStr">
        <is>
          <t>Cámaras CCTV/IP y kits.</t>
        </is>
      </c>
    </row>
    <row r="69">
      <c r="A69" s="7" t="inlineStr">
        <is>
          <t>CEMSEGURIDAD</t>
        </is>
      </c>
      <c r="B69" s="7" t="inlineStr">
        <is>
          <t>distribuidor</t>
        </is>
      </c>
      <c r="C69" s="7" t="inlineStr">
        <is>
          <t>detallista</t>
        </is>
      </c>
      <c r="D69" s="7" t="inlineStr">
        <is>
          <t>Sí</t>
        </is>
      </c>
      <c r="E69" s="7" t="inlineStr">
        <is>
          <t>No</t>
        </is>
      </c>
      <c r="F69" s="8" t="n">
        <v>0</v>
      </c>
      <c r="G69" s="5" t="inlineStr">
        <is>
          <t>Gran Santo Domingo, Santiago / Cibao</t>
        </is>
      </c>
      <c r="H69" s="5" t="inlineStr">
        <is>
          <t>Cámaras y videovigilancia</t>
        </is>
      </c>
      <c r="I69" s="7" t="inlineStr">
        <is>
          <t>cemseguridad.com</t>
        </is>
      </c>
      <c r="J69" s="7" t="inlineStr"/>
      <c r="K69" s="7" t="inlineStr"/>
      <c r="L69" s="7" t="inlineStr"/>
      <c r="M69" s="5" t="inlineStr">
        <is>
          <t>Distribuidor e integrador con sucursales en Santo Domingo, Santiago y Santo Domingo Este. CCTV, alarmas, control de acceso, portones y domótica.</t>
        </is>
      </c>
    </row>
    <row r="70">
      <c r="A70" s="7" t="inlineStr">
        <is>
          <t>Seguricentro</t>
        </is>
      </c>
      <c r="B70" s="7" t="inlineStr">
        <is>
          <t>mayorista</t>
        </is>
      </c>
      <c r="C70" s="7" t="inlineStr">
        <is>
          <t>mayorista</t>
        </is>
      </c>
      <c r="D70" s="7" t="inlineStr">
        <is>
          <t>Sí</t>
        </is>
      </c>
      <c r="E70" s="7" t="inlineStr">
        <is>
          <t>No</t>
        </is>
      </c>
      <c r="F70" s="8" t="n">
        <v>0</v>
      </c>
      <c r="G70" s="5" t="inlineStr">
        <is>
          <t>Cobertura nacional</t>
        </is>
      </c>
      <c r="H70" s="5" t="inlineStr">
        <is>
          <t>Cámaras y videovigilancia</t>
        </is>
      </c>
      <c r="I70" s="7" t="inlineStr"/>
      <c r="J70" s="7" t="inlineStr"/>
      <c r="K70" s="7" t="inlineStr"/>
      <c r="L70" s="7" t="inlineStr"/>
      <c r="M70" s="5" t="inlineStr">
        <is>
          <t>Mayorista de seguridad electrónica, con formación técnica y soporte a integradores.</t>
        </is>
      </c>
    </row>
    <row r="71">
      <c r="A71" s="7" t="inlineStr">
        <is>
          <t>EQUIP, SRL</t>
        </is>
      </c>
      <c r="B71" s="7" t="inlineStr">
        <is>
          <t>especializado</t>
        </is>
      </c>
      <c r="C71" s="7" t="inlineStr">
        <is>
          <t>mayorista</t>
        </is>
      </c>
      <c r="D71" s="7" t="inlineStr">
        <is>
          <t>Sí</t>
        </is>
      </c>
      <c r="E71" s="7" t="inlineStr">
        <is>
          <t>No</t>
        </is>
      </c>
      <c r="F71" s="8" t="n">
        <v>0</v>
      </c>
      <c r="G71" s="5" t="inlineStr">
        <is>
          <t>Cobertura nacional</t>
        </is>
      </c>
      <c r="H71" s="5" t="inlineStr">
        <is>
          <t>Seguridad industrial y señalización</t>
        </is>
      </c>
      <c r="I71" s="7" t="inlineStr">
        <is>
          <t>equip.com.do</t>
        </is>
      </c>
      <c r="J71" s="7" t="inlineStr">
        <is>
          <t>809-563-9898</t>
        </is>
      </c>
      <c r="K71" s="7" t="inlineStr">
        <is>
          <t>18293447774</t>
        </is>
      </c>
      <c r="L71" s="7" t="inlineStr">
        <is>
          <t>cotizaciones@equiprd.com</t>
        </is>
      </c>
      <c r="M71"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2">
      <c r="A72" s="7" t="inlineStr">
        <is>
          <t>UST (Expertos en Seguridad y Salud Laboral)</t>
        </is>
      </c>
      <c r="B72" s="7" t="inlineStr">
        <is>
          <t>distribuidor</t>
        </is>
      </c>
      <c r="C72" s="7" t="inlineStr">
        <is>
          <t>mayorista</t>
        </is>
      </c>
      <c r="D72" s="7" t="inlineStr">
        <is>
          <t>Sí</t>
        </is>
      </c>
      <c r="E72" s="7" t="inlineStr">
        <is>
          <t>No</t>
        </is>
      </c>
      <c r="F72" s="8" t="n">
        <v>0</v>
      </c>
      <c r="G72" s="5" t="inlineStr">
        <is>
          <t>Gran Santo Domingo, Cobertura nacional</t>
        </is>
      </c>
      <c r="H72" s="5" t="inlineStr">
        <is>
          <t>Seguridad industrial y señalización</t>
        </is>
      </c>
      <c r="I72" s="7" t="inlineStr">
        <is>
          <t>ust.com.do</t>
        </is>
      </c>
      <c r="J72" s="7" t="inlineStr">
        <is>
          <t>809-683-2321</t>
        </is>
      </c>
      <c r="K72" s="7" t="inlineStr"/>
      <c r="L72" s="7" t="inlineStr">
        <is>
          <t>ventas@ust.com.do</t>
        </is>
      </c>
      <c r="M72" s="5" t="inlineStr">
        <is>
          <t>Calle Mario García Alvarado No. 17, Ens. Quisqueya, Santo Domingo. EPP y señalización vial. Entrega en 48 horas con flota propia.</t>
        </is>
      </c>
    </row>
    <row r="73">
      <c r="A73" s="7" t="inlineStr">
        <is>
          <t>Equipro, SRL</t>
        </is>
      </c>
      <c r="B73" s="7" t="inlineStr">
        <is>
          <t>distribuidor</t>
        </is>
      </c>
      <c r="C73" s="7" t="inlineStr">
        <is>
          <t>mayorista</t>
        </is>
      </c>
      <c r="D73" s="7" t="inlineStr">
        <is>
          <t>Sí</t>
        </is>
      </c>
      <c r="E73" s="7" t="inlineStr">
        <is>
          <t>No</t>
        </is>
      </c>
      <c r="F73" s="8" t="n">
        <v>0</v>
      </c>
      <c r="G73" s="5" t="inlineStr">
        <is>
          <t>Sur</t>
        </is>
      </c>
      <c r="H73" s="5" t="inlineStr">
        <is>
          <t>Seguridad industrial y señalización</t>
        </is>
      </c>
      <c r="I73" s="7" t="inlineStr">
        <is>
          <t>equipro.com.do</t>
        </is>
      </c>
      <c r="J73" s="7" t="inlineStr">
        <is>
          <t>829-547-0808</t>
        </is>
      </c>
      <c r="K73" s="7" t="inlineStr"/>
      <c r="L73" s="7" t="inlineStr">
        <is>
          <t>info@equipro.com.do</t>
        </is>
      </c>
      <c r="M73" s="5" t="inlineStr">
        <is>
          <t>Enfocado en zonas francas, desde la Zona Franca de Nigua, San Cristóbal. Marcas 3M Fall Protection, Moldex, Microgard y HyTest. Taller de calibración y recertificación.</t>
        </is>
      </c>
    </row>
    <row r="74">
      <c r="A74" s="7" t="inlineStr">
        <is>
          <t>SOS Protección Integral</t>
        </is>
      </c>
      <c r="B74" s="7" t="inlineStr">
        <is>
          <t>especializado</t>
        </is>
      </c>
      <c r="C74" s="7" t="inlineStr">
        <is>
          <t>detallista</t>
        </is>
      </c>
      <c r="D74" s="7" t="inlineStr">
        <is>
          <t>Sí</t>
        </is>
      </c>
      <c r="E74" s="7" t="inlineStr">
        <is>
          <t>Sí</t>
        </is>
      </c>
      <c r="F74" s="8" t="n">
        <v>0</v>
      </c>
      <c r="G74" s="5" t="inlineStr">
        <is>
          <t>Gran Santo Domingo</t>
        </is>
      </c>
      <c r="H74" s="5" t="inlineStr">
        <is>
          <t>Seguridad industrial y señalización</t>
        </is>
      </c>
      <c r="I74" s="7" t="inlineStr">
        <is>
          <t>sosintegral.com</t>
        </is>
      </c>
      <c r="J74" s="7" t="inlineStr">
        <is>
          <t>809-331-0000</t>
        </is>
      </c>
      <c r="K74" s="7" t="inlineStr"/>
      <c r="L74" s="7" t="inlineStr">
        <is>
          <t>info@sosintegral.com</t>
        </is>
      </c>
      <c r="M74" s="5" t="inlineStr">
        <is>
          <t>Zona Industrial de Herrera, Santo Domingo Oeste. Tienda en línea de EPP.</t>
        </is>
      </c>
    </row>
    <row r="75">
      <c r="A75" s="7" t="inlineStr">
        <is>
          <t>Deinsa</t>
        </is>
      </c>
      <c r="B75" s="7" t="inlineStr">
        <is>
          <t>distribuidor</t>
        </is>
      </c>
      <c r="C75" s="7" t="inlineStr">
        <is>
          <t>mayorista</t>
        </is>
      </c>
      <c r="D75" s="7" t="inlineStr">
        <is>
          <t>Sí</t>
        </is>
      </c>
      <c r="E75" s="7" t="inlineStr">
        <is>
          <t>No</t>
        </is>
      </c>
      <c r="F75" s="8" t="n">
        <v>0</v>
      </c>
      <c r="G75" s="5" t="inlineStr">
        <is>
          <t>Gran Santo Domingo</t>
        </is>
      </c>
      <c r="H75" s="5" t="inlineStr">
        <is>
          <t>Seguridad industrial y señalización</t>
        </is>
      </c>
      <c r="I75" s="7" t="inlineStr">
        <is>
          <t>deinsa.com.do</t>
        </is>
      </c>
      <c r="J75" s="7" t="inlineStr">
        <is>
          <t>809-363-1000</t>
        </is>
      </c>
      <c r="K75" s="7" t="inlineStr"/>
      <c r="L75" s="7" t="inlineStr">
        <is>
          <t>info@deinsa.com.do</t>
        </is>
      </c>
      <c r="M75" s="5" t="inlineStr">
        <is>
          <t>Seguridad industrial, en la Zona Industrial de Herrera.</t>
        </is>
      </c>
    </row>
    <row r="76">
      <c r="A76" s="7" t="inlineStr">
        <is>
          <t>Irrigación Dominicana (IRRIDOM)</t>
        </is>
      </c>
      <c r="B76" s="7" t="inlineStr">
        <is>
          <t>especializado</t>
        </is>
      </c>
      <c r="C76" s="7" t="inlineStr">
        <is>
          <t>detallista</t>
        </is>
      </c>
      <c r="D76" s="7" t="inlineStr">
        <is>
          <t>Sí</t>
        </is>
      </c>
      <c r="E76" s="7" t="inlineStr">
        <is>
          <t>No</t>
        </is>
      </c>
      <c r="F76" s="8" t="n">
        <v>0</v>
      </c>
      <c r="G76" s="5" t="inlineStr">
        <is>
          <t>Gran Santo Domingo, Cobertura nacional</t>
        </is>
      </c>
      <c r="H76" s="5" t="inlineStr">
        <is>
          <t>Exteriores y paisajismo</t>
        </is>
      </c>
      <c r="I76" s="7" t="inlineStr">
        <is>
          <t>irrigaciondominicana.com.do</t>
        </is>
      </c>
      <c r="J76" s="7" t="inlineStr">
        <is>
          <t>809-245-5045</t>
        </is>
      </c>
      <c r="K76" s="7" t="inlineStr"/>
      <c r="L76" s="7" t="inlineStr"/>
      <c r="M76" s="5" t="inlineStr">
        <is>
          <t>Distribuidor autorizado Hunter en RD, en Av. Quinto Centenario, Distrito Nacional. Diseño hidráulico, goteo y aspersión; atiende áreas verdes, viveros y agrícola. Correo no verificado públicamente.</t>
        </is>
      </c>
    </row>
    <row r="77">
      <c r="A77" s="7" t="inlineStr">
        <is>
          <t>Green Garden Corp.</t>
        </is>
      </c>
      <c r="B77" s="7" t="inlineStr">
        <is>
          <t>especializado</t>
        </is>
      </c>
      <c r="C77" s="7" t="inlineStr">
        <is>
          <t>detallista</t>
        </is>
      </c>
      <c r="D77" s="7" t="inlineStr">
        <is>
          <t>No</t>
        </is>
      </c>
      <c r="E77" s="7" t="inlineStr">
        <is>
          <t>No</t>
        </is>
      </c>
      <c r="F77" s="8" t="n">
        <v>0</v>
      </c>
      <c r="G77" s="5" t="inlineStr">
        <is>
          <t>Cobertura nacional</t>
        </is>
      </c>
      <c r="H77" s="5" t="inlineStr">
        <is>
          <t>Exteriores y paisajismo</t>
        </is>
      </c>
      <c r="I77" s="7" t="inlineStr">
        <is>
          <t>greengardencorp.com</t>
        </is>
      </c>
      <c r="J77" s="7" t="inlineStr"/>
      <c r="K77" s="7" t="inlineStr"/>
      <c r="L77" s="7" t="inlineStr">
        <is>
          <t>info@greengardencorp.com</t>
        </is>
      </c>
      <c r="M77" s="5" t="inlineStr">
        <is>
          <t>Más de 30 años y 1,200 proyectos en RD, Barbados y México. Paisajismo, áreas verdes y campos de golf; siembra de grama, palmas y riego automatizado. Modelo B2B (hoteles y desarrolladoras). Teléfono no publicado abiertamente.</t>
        </is>
      </c>
    </row>
    <row r="78">
      <c r="A78" s="7" t="inlineStr">
        <is>
          <t>Realturf República Dominicana</t>
        </is>
      </c>
      <c r="B78" s="7" t="inlineStr">
        <is>
          <t>fabricante</t>
        </is>
      </c>
      <c r="C78" s="7" t="inlineStr">
        <is>
          <t>fabricante</t>
        </is>
      </c>
      <c r="D78" s="7" t="inlineStr">
        <is>
          <t>Sí</t>
        </is>
      </c>
      <c r="E78" s="7" t="inlineStr">
        <is>
          <t>No</t>
        </is>
      </c>
      <c r="F78" s="8" t="n">
        <v>0</v>
      </c>
      <c r="G78" s="5" t="inlineStr">
        <is>
          <t>Gran Santo Domingo, Santiago / Cibao, Este (Punta Cana, La Romana)</t>
        </is>
      </c>
      <c r="H78" s="5" t="inlineStr">
        <is>
          <t>Exteriores y paisajismo</t>
        </is>
      </c>
      <c r="I78" s="7" t="inlineStr">
        <is>
          <t>realturf.com</t>
        </is>
      </c>
      <c r="J78" s="7" t="inlineStr"/>
      <c r="K78" s="7" t="inlineStr"/>
      <c r="L78" s="7" t="inlineStr"/>
      <c r="M78" s="5" t="inlineStr">
        <is>
          <t>Fabricante e instalador de grama artificial residencial, comercial y deportiva. Garantía de hasta 10 años. Contacto vía formulario.</t>
        </is>
      </c>
    </row>
    <row r="79">
      <c r="A79" s="7" t="inlineStr">
        <is>
          <t>Viverde</t>
        </is>
      </c>
      <c r="B79" s="7" t="inlineStr">
        <is>
          <t>especializado</t>
        </is>
      </c>
      <c r="C79" s="7" t="inlineStr">
        <is>
          <t>detallista</t>
        </is>
      </c>
      <c r="D79" s="7" t="inlineStr">
        <is>
          <t>Sí</t>
        </is>
      </c>
      <c r="E79" s="7" t="inlineStr">
        <is>
          <t>No</t>
        </is>
      </c>
      <c r="F79" s="8" t="n">
        <v>0</v>
      </c>
      <c r="G79" s="5" t="inlineStr">
        <is>
          <t>Gran Santo Domingo</t>
        </is>
      </c>
      <c r="H79" s="5" t="inlineStr">
        <is>
          <t>Exteriores y paisajismo</t>
        </is>
      </c>
      <c r="I79" s="7" t="inlineStr">
        <is>
          <t>viverde.com.do</t>
        </is>
      </c>
      <c r="J79" s="7" t="inlineStr"/>
      <c r="K79" s="7" t="inlineStr"/>
      <c r="L79" s="7" t="inlineStr"/>
      <c r="M79" s="5" t="inlineStr">
        <is>
          <t>Vivero de frutales y ornamentales, con catálogo de plantas disponible. Contacto no verificado en fuentes públicas.</t>
        </is>
      </c>
    </row>
    <row r="80">
      <c r="A80" s="7" t="inlineStr">
        <is>
          <t>Jardín Botánico Nacional (Vivero)</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jbn.gob.do</t>
        </is>
      </c>
      <c r="J80" s="7" t="inlineStr"/>
      <c r="K80" s="7" t="inlineStr"/>
      <c r="L80" s="7" t="inlineStr"/>
      <c r="M80" s="5" t="inlineStr">
        <is>
          <t>Vivero público en Santo Domingo con ornamentales, frutales y forestales a precios económicos.</t>
        </is>
      </c>
    </row>
    <row r="82">
      <c r="A82" s="13" t="inlineStr">
        <is>
          <t>Los fabricantes de canal cerrado —cementeras, siderúrgica, fábricas de pintura— aparecen como indicador de tendencia pero no venden al público: no se les pide cotización directa.</t>
        </is>
      </c>
    </row>
    <row r="83"/>
  </sheetData>
  <autoFilter ref="A1:M80"/>
  <mergeCells count="1">
    <mergeCell ref="A82:M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2026-09-09T05:10:49Z</dcterms:created>
  <dcterms:modified xsi:type="dcterms:W3CDTF">2026-09-09T05:10:50Z</dcterms:modified>
</cp:coreProperties>
</file>